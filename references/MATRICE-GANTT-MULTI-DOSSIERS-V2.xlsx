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Dossiers" sheetId="1" state="visible" r:id="rId1"/>
    <sheet name="Gantt" sheetId="2" state="visible" r:id="rId2"/>
    <sheet name="Tableau de bord" sheetId="3" state="visible" r:id="rId3"/>
    <sheet name="Suivi" sheetId="4" state="visible" r:id="rId4"/>
    <sheet name="Instructions" sheetId="5" state="visible" r:id="rId5"/>
    <sheet name="Paramètres" sheetId="6" state="visible" r:id="rId6"/>
    <sheet name="Tableau1" sheetId="7" state="hidden" r:id="rId7"/>
  </sheets>
  <definedNames>
    <definedName name="_xlnm._FilterDatabase" localSheetId="0" hidden="1">'Dossiers'!$B$3:$G$60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d"/>
    <numFmt numFmtId="165" formatCode="dd/mm/yy"/>
    <numFmt numFmtId="166" formatCode="dd/mm/yyyy"/>
  </numFmts>
  <fonts count="18">
    <font>
      <name val="Calibri"/>
      <charset val="1"/>
      <family val="2"/>
      <color theme="1"/>
      <sz val="11"/>
    </font>
    <font>
      <name val="Calibri"/>
      <charset val="1"/>
      <b val="1"/>
      <sz val="11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sz val="11"/>
    </font>
    <font>
      <name val="Calibri"/>
      <charset val="1"/>
      <b val="1"/>
      <sz val="13"/>
    </font>
    <font>
      <name val="Calibri"/>
      <charset val="1"/>
      <color rgb="FF0563C1"/>
      <sz val="11"/>
      <u val="single"/>
    </font>
    <font>
      <name val="Calibri"/>
      <charset val="1"/>
      <b val="1"/>
      <color rgb="FFFF0000"/>
      <sz val="11"/>
    </font>
    <font>
      <b val="1"/>
      <sz val="11"/>
    </font>
    <font>
      <b val="1"/>
      <color rgb="00FFFFFF"/>
      <sz val="12"/>
    </font>
    <font>
      <b val="1"/>
      <sz val="12"/>
    </font>
    <font>
      <i val="1"/>
      <color rgb="00808080"/>
      <sz val="8"/>
    </font>
    <font>
      <b val="1"/>
      <sz val="8"/>
    </font>
    <font>
      <sz val="8"/>
    </font>
    <font>
      <color rgb="00FFFFFF"/>
      <sz val="1"/>
    </font>
    <font>
      <b val="1"/>
      <sz val="9"/>
    </font>
    <font>
      <b val="1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D9D9D9"/>
        <bgColor rgb="FFBDD7EE"/>
      </patternFill>
    </fill>
    <fill>
      <patternFill patternType="solid">
        <fgColor rgb="FFFFFF00"/>
        <bgColor rgb="FFFFFF00"/>
      </patternFill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E7E6E6"/>
      </patternFill>
    </fill>
    <fill>
      <patternFill patternType="solid">
        <fgColor rgb="00FF0000"/>
      </patternFill>
    </fill>
    <fill>
      <patternFill patternType="solid">
        <fgColor rgb="007030A0"/>
      </patternFill>
    </fill>
    <fill>
      <patternFill patternType="solid">
        <fgColor rgb="00FFC000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bottom style="thin"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9" fontId="0" fillId="0" borderId="0" pivotButton="0" quotePrefix="0" xfId="0"/>
    <xf numFmtId="0" fontId="6" fillId="0" borderId="1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0" borderId="2" pivotButton="0" quotePrefix="0" xfId="0"/>
    <xf numFmtId="14" fontId="1" fillId="0" borderId="2" pivotButton="0" quotePrefix="0" xfId="0"/>
    <xf numFmtId="0" fontId="0" fillId="0" borderId="2" pivotButton="0" quotePrefix="0" xfId="0"/>
    <xf numFmtId="14" fontId="0" fillId="0" borderId="2" pivotButton="0" quotePrefix="0" xfId="0"/>
    <xf numFmtId="14" fontId="7" fillId="0" borderId="2" applyAlignment="1" pivotButton="0" quotePrefix="0" xfId="0">
      <alignment horizontal="left"/>
    </xf>
    <xf numFmtId="0" fontId="8" fillId="0" borderId="0" pivotButton="0" quotePrefix="0" xfId="0"/>
    <xf numFmtId="0" fontId="9" fillId="5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0" fontId="15" fillId="0" borderId="0" pivotButton="0" quotePrefix="0" xfId="0"/>
    <xf numFmtId="164" fontId="13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pivotButton="0" quotePrefix="0" xfId="0"/>
    <xf numFmtId="0" fontId="14" fillId="0" borderId="0" pivotButton="0" quotePrefix="0" xfId="0"/>
    <xf numFmtId="0" fontId="16" fillId="0" borderId="0" pivotButton="0" quotePrefix="0" xfId="0"/>
    <xf numFmtId="166" fontId="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17" fillId="0" borderId="0" pivotButton="0" quotePrefix="0" xfId="0"/>
  </cellXfs>
  <cellStyles count="1"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1F3864"/>
        </patternFill>
      </fill>
    </dxf>
    <dxf>
      <fill>
        <patternFill patternType="solid">
          <bgColor rgb="FF4472C4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E7E6E6"/>
        </patternFill>
      </fill>
    </dxf>
    <dxf>
      <font>
        <b val="1"/>
      </font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3"/>
  <sheetViews>
    <sheetView tabSelected="1" zoomScaleNormal="100" workbookViewId="0">
      <pane ySplit="3" topLeftCell="A4" activePane="bottomLeft" state="frozen"/>
      <selection pane="bottomLeft" activeCell="F13" sqref="F13"/>
    </sheetView>
  </sheetViews>
  <sheetFormatPr baseColWidth="10" defaultColWidth="8.6640625" defaultRowHeight="14.4"/>
  <cols>
    <col width="6" customWidth="1" min="1" max="1"/>
    <col width="18" customWidth="1" min="2" max="2"/>
    <col width="36" customWidth="1" min="3" max="3"/>
    <col width="15" customWidth="1" min="4" max="4"/>
    <col width="50" customWidth="1" min="5" max="5"/>
    <col width="11.6640625" customWidth="1" min="6" max="6"/>
    <col width="13.77734375" customWidth="1" min="7" max="7"/>
  </cols>
  <sheetData>
    <row r="1">
      <c r="A1" s="15" t="inlineStr">
        <is>
          <t>DOSSIERS</t>
        </is>
      </c>
      <c r="C1" s="2" t="inlineStr">
        <is>
          <t>NE PAS SUPPRIMER DE LIGNE ENTIERE</t>
        </is>
      </c>
      <c r="E1" s="2" t="inlineStr">
        <is>
          <t>NE PAS TOUCHER AUX ZONES GRISEES</t>
        </is>
      </c>
    </row>
    <row r="2">
      <c r="A2" s="3" t="inlineStr">
        <is>
          <t>Une ligne par dossier : référence, nom, date de début, date CS et date Jury. Son bloc apparaît alors automatiquement dans Suivi et dans le tableau de bord.</t>
        </is>
      </c>
      <c r="B2" s="3" t="n"/>
      <c r="C2" s="3" t="n"/>
      <c r="D2" s="3" t="n"/>
      <c r="E2" s="3" t="n"/>
    </row>
    <row r="3">
      <c r="A3" s="15" t="inlineStr">
        <is>
          <t>N°</t>
        </is>
      </c>
      <c r="B3" s="15" t="inlineStr">
        <is>
          <t>Référence</t>
        </is>
      </c>
      <c r="C3" s="15" t="inlineStr">
        <is>
          <t>Nom / intitulé</t>
        </is>
      </c>
      <c r="D3" s="15" t="inlineStr">
        <is>
          <t>Date de début</t>
        </is>
      </c>
      <c r="E3" s="15" t="inlineStr">
        <is>
          <t>Libellé (calcul)</t>
        </is>
      </c>
      <c r="F3" s="4" t="inlineStr">
        <is>
          <t>Date CS</t>
        </is>
      </c>
      <c r="G3" s="4" t="inlineStr">
        <is>
          <t>Date Jury</t>
        </is>
      </c>
    </row>
    <row r="4">
      <c r="A4" t="n">
        <v>1</v>
      </c>
      <c r="B4" t="inlineStr">
        <is>
          <t>TEST GFF</t>
        </is>
      </c>
      <c r="C4" t="inlineStr">
        <is>
          <t>ABCDEFGH</t>
        </is>
      </c>
      <c r="D4" s="5" t="n">
        <v>46307</v>
      </c>
      <c r="E4" s="6">
        <f>IF(ISNUMBER(D4),A4&amp;" · "&amp;B4&amp;IF(C4&lt;&gt;""," · "&amp;C4,""),IF(B4&amp;C4&lt;&gt;"","(date de début à renseigner)",""))</f>
        <v/>
      </c>
      <c r="F4" s="5" t="n">
        <v>46304</v>
      </c>
      <c r="G4" s="5" t="n">
        <v>46307</v>
      </c>
    </row>
    <row r="5">
      <c r="A5" t="n">
        <v>2</v>
      </c>
      <c r="B5" t="inlineStr">
        <is>
          <t>TEST GFF</t>
        </is>
      </c>
      <c r="C5" t="inlineStr">
        <is>
          <t>ABCDEFG</t>
        </is>
      </c>
      <c r="D5" s="5" t="n">
        <v>46307</v>
      </c>
      <c r="E5" s="6">
        <f>IF(ISNUMBER(D5),A5&amp;" · "&amp;B5&amp;IF(C5&lt;&gt;""," · "&amp;C5,""),IF(B5&amp;C5&lt;&gt;"","(date de début à renseigner)",""))</f>
        <v/>
      </c>
      <c r="F5" s="5" t="n">
        <v>46335</v>
      </c>
      <c r="G5" s="5" t="n">
        <v>46343</v>
      </c>
    </row>
    <row r="6">
      <c r="A6" t="n">
        <v>3</v>
      </c>
      <c r="B6" t="inlineStr">
        <is>
          <t>TEST GFF</t>
        </is>
      </c>
      <c r="C6" t="inlineStr">
        <is>
          <t>ABCDEF</t>
        </is>
      </c>
      <c r="D6" s="5" t="n">
        <v>46307</v>
      </c>
      <c r="E6" s="6">
        <f>IF(ISNUMBER(D6),A6&amp;" · "&amp;B6&amp;IF(C6&lt;&gt;""," · "&amp;C6,""),IF(B6&amp;C6&lt;&gt;"","(date de début à renseigner)",""))</f>
        <v/>
      </c>
      <c r="F6" s="5" t="n">
        <v>46336</v>
      </c>
      <c r="G6" s="5" t="n">
        <v>46344</v>
      </c>
    </row>
    <row r="7">
      <c r="A7" t="n">
        <v>4</v>
      </c>
      <c r="D7" s="5" t="n"/>
      <c r="E7" s="6">
        <f>IF(ISNUMBER(D7),A7&amp;" · "&amp;B7&amp;IF(C7&lt;&gt;""," · "&amp;C7,""),IF(B7&amp;C7&lt;&gt;"","(date de début à renseigner)",""))</f>
        <v/>
      </c>
      <c r="F7" s="5" t="n"/>
      <c r="G7" s="5" t="n"/>
    </row>
    <row r="8">
      <c r="A8" t="n">
        <v>5</v>
      </c>
      <c r="D8" s="5" t="n"/>
      <c r="E8" s="6">
        <f>IF(ISNUMBER(D8),A8&amp;" · "&amp;B8&amp;IF(C8&lt;&gt;""," · "&amp;C8,""),IF(B8&amp;C8&lt;&gt;"","(date de début à renseigner)",""))</f>
        <v/>
      </c>
      <c r="F8" s="5" t="n"/>
      <c r="G8" s="5" t="n"/>
    </row>
    <row r="9">
      <c r="A9" t="n">
        <v>6</v>
      </c>
      <c r="D9" s="5" t="n"/>
      <c r="E9" s="6">
        <f>IF(ISNUMBER(D9),A9&amp;" · "&amp;B9&amp;IF(C9&lt;&gt;""," · "&amp;C9,""),IF(B9&amp;C9&lt;&gt;"","(date de début à renseigner)",""))</f>
        <v/>
      </c>
      <c r="F9" s="5" t="n"/>
      <c r="G9" s="5" t="n"/>
    </row>
    <row r="10">
      <c r="A10" t="n">
        <v>7</v>
      </c>
      <c r="D10" s="5" t="n"/>
      <c r="E10" s="6">
        <f>IF(ISNUMBER(D10),A10&amp;" · "&amp;B10&amp;IF(C10&lt;&gt;""," · "&amp;C10,""),IF(B10&amp;C10&lt;&gt;"","(date de début à renseigner)",""))</f>
        <v/>
      </c>
      <c r="F10" s="5" t="n"/>
      <c r="G10" s="5" t="n"/>
    </row>
    <row r="11">
      <c r="A11" t="n">
        <v>8</v>
      </c>
      <c r="D11" s="5" t="n"/>
      <c r="E11" s="6">
        <f>IF(ISNUMBER(D11),A11&amp;" · "&amp;B11&amp;IF(C11&lt;&gt;""," · "&amp;C11,""),IF(B11&amp;C11&lt;&gt;"","(date de début à renseigner)",""))</f>
        <v/>
      </c>
      <c r="F11" s="5" t="n"/>
      <c r="G11" s="5" t="n"/>
    </row>
    <row r="12">
      <c r="A12" t="n">
        <v>9</v>
      </c>
      <c r="D12" s="5" t="n"/>
      <c r="E12" s="6">
        <f>IF(ISNUMBER(D12),A12&amp;" · "&amp;B12&amp;IF(C12&lt;&gt;""," · "&amp;C12,""),IF(B12&amp;C12&lt;&gt;"","(date de début à renseigner)",""))</f>
        <v/>
      </c>
      <c r="F12" s="5" t="n"/>
      <c r="G12" s="5" t="n"/>
    </row>
    <row r="13">
      <c r="A13" t="n">
        <v>10</v>
      </c>
      <c r="D13" s="5" t="n"/>
      <c r="E13" s="6">
        <f>IF(ISNUMBER(D13),A13&amp;" · "&amp;B13&amp;IF(C13&lt;&gt;""," · "&amp;C13,""),IF(B13&amp;C13&lt;&gt;"","(date de début à renseigner)",""))</f>
        <v/>
      </c>
      <c r="F13" s="5" t="n"/>
      <c r="G13" s="5" t="n"/>
    </row>
    <row r="14">
      <c r="A14" t="n">
        <v>11</v>
      </c>
      <c r="D14" s="5" t="n"/>
      <c r="E14" s="6">
        <f>IF(ISNUMBER(D14),A14&amp;" · "&amp;B14&amp;IF(C14&lt;&gt;""," · "&amp;C14,""),IF(B14&amp;C14&lt;&gt;"","(date de début à renseigner)",""))</f>
        <v/>
      </c>
      <c r="F14" s="5" t="n"/>
      <c r="G14" s="5" t="n"/>
    </row>
    <row r="15">
      <c r="A15" t="n">
        <v>12</v>
      </c>
      <c r="D15" s="5" t="n"/>
      <c r="E15" s="6">
        <f>IF(ISNUMBER(D15),A15&amp;" · "&amp;B15&amp;IF(C15&lt;&gt;""," · "&amp;C15,""),IF(B15&amp;C15&lt;&gt;"","(date de début à renseigner)",""))</f>
        <v/>
      </c>
      <c r="F15" s="5" t="n"/>
      <c r="G15" s="5" t="n"/>
    </row>
    <row r="16">
      <c r="A16" t="n">
        <v>13</v>
      </c>
      <c r="D16" s="5" t="n"/>
      <c r="E16" s="6">
        <f>IF(ISNUMBER(D16),A16&amp;" · "&amp;B16&amp;IF(C16&lt;&gt;""," · "&amp;C16,""),IF(B16&amp;C16&lt;&gt;"","(date de début à renseigner)",""))</f>
        <v/>
      </c>
      <c r="F16" s="5" t="n"/>
      <c r="G16" s="5" t="n"/>
    </row>
    <row r="17">
      <c r="A17" t="n">
        <v>14</v>
      </c>
      <c r="D17" s="5" t="n"/>
      <c r="E17" s="6">
        <f>IF(ISNUMBER(D17),A17&amp;" · "&amp;B17&amp;IF(C17&lt;&gt;""," · "&amp;C17,""),IF(B17&amp;C17&lt;&gt;"","(date de début à renseigner)",""))</f>
        <v/>
      </c>
      <c r="F17" s="5" t="n"/>
      <c r="G17" s="5" t="n"/>
    </row>
    <row r="18">
      <c r="A18" t="n">
        <v>15</v>
      </c>
      <c r="D18" s="5" t="n"/>
      <c r="E18" s="6">
        <f>IF(ISNUMBER(D18),A18&amp;" · "&amp;B18&amp;IF(C18&lt;&gt;""," · "&amp;C18,""),IF(B18&amp;C18&lt;&gt;"","(date de début à renseigner)",""))</f>
        <v/>
      </c>
      <c r="F18" s="5" t="n"/>
      <c r="G18" s="5" t="n"/>
    </row>
    <row r="19">
      <c r="A19" t="n">
        <v>16</v>
      </c>
      <c r="D19" s="5" t="n"/>
      <c r="E19" s="6">
        <f>IF(ISNUMBER(D19),A19&amp;" · "&amp;B19&amp;IF(C19&lt;&gt;""," · "&amp;C19,""),IF(B19&amp;C19&lt;&gt;"","(date de début à renseigner)",""))</f>
        <v/>
      </c>
      <c r="F19" s="5" t="n"/>
      <c r="G19" s="5" t="n"/>
    </row>
    <row r="20">
      <c r="A20" t="n">
        <v>17</v>
      </c>
      <c r="D20" s="5" t="n"/>
      <c r="E20" s="6">
        <f>IF(ISNUMBER(D20),A20&amp;" · "&amp;B20&amp;IF(C20&lt;&gt;""," · "&amp;C20,""),IF(B20&amp;C20&lt;&gt;"","(date de début à renseigner)",""))</f>
        <v/>
      </c>
      <c r="F20" s="5" t="n"/>
      <c r="G20" s="5" t="n"/>
    </row>
    <row r="21">
      <c r="A21" t="n">
        <v>18</v>
      </c>
      <c r="D21" s="5" t="n"/>
      <c r="E21" s="6">
        <f>IF(ISNUMBER(D21),A21&amp;" · "&amp;B21&amp;IF(C21&lt;&gt;""," · "&amp;C21,""),IF(B21&amp;C21&lt;&gt;"","(date de début à renseigner)",""))</f>
        <v/>
      </c>
      <c r="F21" s="5" t="n"/>
      <c r="G21" s="5" t="n"/>
    </row>
    <row r="22">
      <c r="A22" t="n">
        <v>19</v>
      </c>
      <c r="D22" s="5" t="n"/>
      <c r="E22" s="6">
        <f>IF(ISNUMBER(D22),A22&amp;" · "&amp;B22&amp;IF(C22&lt;&gt;""," · "&amp;C22,""),IF(B22&amp;C22&lt;&gt;"","(date de début à renseigner)",""))</f>
        <v/>
      </c>
      <c r="F22" s="5" t="n"/>
      <c r="G22" s="5" t="n"/>
    </row>
    <row r="23">
      <c r="A23" t="n">
        <v>20</v>
      </c>
      <c r="D23" s="5" t="n"/>
      <c r="E23" s="6">
        <f>IF(ISNUMBER(D23),A23&amp;" · "&amp;B23&amp;IF(C23&lt;&gt;""," · "&amp;C23,""),IF(B23&amp;C23&lt;&gt;"","(date de début à renseigner)",""))</f>
        <v/>
      </c>
      <c r="F23" s="5" t="n"/>
      <c r="G23" s="5" t="n"/>
    </row>
    <row r="24">
      <c r="A24" t="n">
        <v>21</v>
      </c>
      <c r="D24" s="5" t="n"/>
      <c r="E24" s="6">
        <f>IF(ISNUMBER(D24),A24&amp;" · "&amp;B24&amp;IF(C24&lt;&gt;""," · "&amp;C24,""),IF(B24&amp;C24&lt;&gt;"","(date de début à renseigner)",""))</f>
        <v/>
      </c>
      <c r="F24" s="5" t="n"/>
      <c r="G24" s="5" t="n"/>
    </row>
    <row r="25">
      <c r="A25" t="n">
        <v>22</v>
      </c>
      <c r="D25" s="5" t="n"/>
      <c r="E25" s="6">
        <f>IF(ISNUMBER(D25),A25&amp;" · "&amp;B25&amp;IF(C25&lt;&gt;""," · "&amp;C25,""),IF(B25&amp;C25&lt;&gt;"","(date de début à renseigner)",""))</f>
        <v/>
      </c>
      <c r="F25" s="5" t="n"/>
      <c r="G25" s="5" t="n"/>
    </row>
    <row r="26">
      <c r="A26" t="n">
        <v>23</v>
      </c>
      <c r="D26" s="5" t="n"/>
      <c r="E26" s="6">
        <f>IF(ISNUMBER(D26),A26&amp;" · "&amp;B26&amp;IF(C26&lt;&gt;""," · "&amp;C26,""),IF(B26&amp;C26&lt;&gt;"","(date de début à renseigner)",""))</f>
        <v/>
      </c>
      <c r="F26" s="5" t="n"/>
      <c r="G26" s="5" t="n"/>
    </row>
    <row r="27">
      <c r="A27" t="n">
        <v>24</v>
      </c>
      <c r="D27" s="5" t="n"/>
      <c r="E27" s="6">
        <f>IF(ISNUMBER(D27),A27&amp;" · "&amp;B27&amp;IF(C27&lt;&gt;""," · "&amp;C27,""),IF(B27&amp;C27&lt;&gt;"","(date de début à renseigner)",""))</f>
        <v/>
      </c>
      <c r="F27" s="5" t="n"/>
      <c r="G27" s="5" t="n"/>
    </row>
    <row r="28">
      <c r="A28" t="n">
        <v>25</v>
      </c>
      <c r="D28" s="5" t="n"/>
      <c r="E28" s="6">
        <f>IF(ISNUMBER(D28),A28&amp;" · "&amp;B28&amp;IF(C28&lt;&gt;""," · "&amp;C28,""),IF(B28&amp;C28&lt;&gt;"","(date de début à renseigner)",""))</f>
        <v/>
      </c>
      <c r="F28" s="5" t="n"/>
      <c r="G28" s="5" t="n"/>
    </row>
    <row r="29">
      <c r="A29" t="n">
        <v>26</v>
      </c>
      <c r="D29" s="5" t="n"/>
      <c r="E29" s="6">
        <f>IF(ISNUMBER(D29),A29&amp;" · "&amp;B29&amp;IF(C29&lt;&gt;""," · "&amp;C29,""),IF(B29&amp;C29&lt;&gt;"","(date de début à renseigner)",""))</f>
        <v/>
      </c>
      <c r="F29" s="5" t="n"/>
      <c r="G29" s="5" t="n"/>
    </row>
    <row r="30">
      <c r="A30" t="n">
        <v>27</v>
      </c>
      <c r="D30" s="5" t="n"/>
      <c r="E30" s="6">
        <f>IF(ISNUMBER(D30),A30&amp;" · "&amp;B30&amp;IF(C30&lt;&gt;""," · "&amp;C30,""),IF(B30&amp;C30&lt;&gt;"","(date de début à renseigner)",""))</f>
        <v/>
      </c>
      <c r="F30" s="5" t="n"/>
      <c r="G30" s="5" t="n"/>
    </row>
    <row r="31">
      <c r="A31" t="n">
        <v>28</v>
      </c>
      <c r="D31" s="5" t="n"/>
      <c r="E31" s="6">
        <f>IF(ISNUMBER(D31),A31&amp;" · "&amp;B31&amp;IF(C31&lt;&gt;""," · "&amp;C31,""),IF(B31&amp;C31&lt;&gt;"","(date de début à renseigner)",""))</f>
        <v/>
      </c>
      <c r="F31" s="5" t="n"/>
      <c r="G31" s="5" t="n"/>
    </row>
    <row r="32">
      <c r="A32" t="n">
        <v>29</v>
      </c>
      <c r="D32" s="5" t="n"/>
      <c r="E32" s="6">
        <f>IF(ISNUMBER(D32),A32&amp;" · "&amp;B32&amp;IF(C32&lt;&gt;""," · "&amp;C32,""),IF(B32&amp;C32&lt;&gt;"","(date de début à renseigner)",""))</f>
        <v/>
      </c>
      <c r="F32" s="5" t="n"/>
      <c r="G32" s="5" t="n"/>
    </row>
    <row r="33">
      <c r="A33" t="n">
        <v>30</v>
      </c>
      <c r="D33" s="5" t="n"/>
      <c r="E33" s="6">
        <f>IF(ISNUMBER(D33),A33&amp;" · "&amp;B33&amp;IF(C33&lt;&gt;""," · "&amp;C33,""),IF(B33&amp;C33&lt;&gt;"","(date de début à renseigner)",""))</f>
        <v/>
      </c>
      <c r="F33" s="5" t="n"/>
      <c r="G33" s="5" t="n"/>
    </row>
    <row r="34">
      <c r="A34" t="n">
        <v>31</v>
      </c>
      <c r="D34" s="5" t="n"/>
      <c r="E34" s="6">
        <f>IF(ISNUMBER(D34),A34&amp;" · "&amp;B34&amp;IF(C34&lt;&gt;""," · "&amp;C34,""),IF(B34&amp;C34&lt;&gt;"","(date de début à renseigner)",""))</f>
        <v/>
      </c>
      <c r="F34" s="5" t="n"/>
      <c r="G34" s="5" t="n"/>
    </row>
    <row r="35">
      <c r="A35" t="n">
        <v>32</v>
      </c>
      <c r="D35" s="5" t="n"/>
      <c r="E35" s="6">
        <f>IF(ISNUMBER(D35),A35&amp;" · "&amp;B35&amp;IF(C35&lt;&gt;""," · "&amp;C35,""),IF(B35&amp;C35&lt;&gt;"","(date de début à renseigner)",""))</f>
        <v/>
      </c>
      <c r="F35" s="5" t="n"/>
      <c r="G35" s="5" t="n"/>
    </row>
    <row r="36">
      <c r="A36" t="n">
        <v>33</v>
      </c>
      <c r="D36" s="5" t="n"/>
      <c r="E36" s="6">
        <f>IF(ISNUMBER(D36),A36&amp;" · "&amp;B36&amp;IF(C36&lt;&gt;""," · "&amp;C36,""),IF(B36&amp;C36&lt;&gt;"","(date de début à renseigner)",""))</f>
        <v/>
      </c>
      <c r="F36" s="5" t="n"/>
      <c r="G36" s="5" t="n"/>
    </row>
    <row r="37">
      <c r="A37" t="n">
        <v>34</v>
      </c>
      <c r="D37" s="5" t="n"/>
      <c r="E37" s="6">
        <f>IF(ISNUMBER(D37),A37&amp;" · "&amp;B37&amp;IF(C37&lt;&gt;""," · "&amp;C37,""),IF(B37&amp;C37&lt;&gt;"","(date de début à renseigner)",""))</f>
        <v/>
      </c>
      <c r="F37" s="5" t="n"/>
      <c r="G37" s="5" t="n"/>
    </row>
    <row r="38">
      <c r="A38" t="n">
        <v>35</v>
      </c>
      <c r="D38" s="5" t="n"/>
      <c r="E38" s="6">
        <f>IF(ISNUMBER(D38),A38&amp;" · "&amp;B38&amp;IF(C38&lt;&gt;""," · "&amp;C38,""),IF(B38&amp;C38&lt;&gt;"","(date de début à renseigner)",""))</f>
        <v/>
      </c>
      <c r="F38" s="5" t="n"/>
      <c r="G38" s="5" t="n"/>
    </row>
    <row r="39">
      <c r="A39" t="n">
        <v>36</v>
      </c>
      <c r="D39" s="5" t="n"/>
      <c r="E39" s="6">
        <f>IF(ISNUMBER(D39),A39&amp;" · "&amp;B39&amp;IF(C39&lt;&gt;""," · "&amp;C39,""),IF(B39&amp;C39&lt;&gt;"","(date de début à renseigner)",""))</f>
        <v/>
      </c>
      <c r="F39" s="5" t="n"/>
      <c r="G39" s="5" t="n"/>
    </row>
    <row r="40">
      <c r="A40" t="n">
        <v>37</v>
      </c>
      <c r="D40" s="5" t="n"/>
      <c r="E40" s="6">
        <f>IF(ISNUMBER(D40),A40&amp;" · "&amp;B40&amp;IF(C40&lt;&gt;""," · "&amp;C40,""),IF(B40&amp;C40&lt;&gt;"","(date de début à renseigner)",""))</f>
        <v/>
      </c>
      <c r="F40" s="5" t="n"/>
      <c r="G40" s="5" t="n"/>
    </row>
    <row r="41">
      <c r="A41" t="n">
        <v>38</v>
      </c>
      <c r="D41" s="5" t="n"/>
      <c r="E41" s="6">
        <f>IF(ISNUMBER(D41),A41&amp;" · "&amp;B41&amp;IF(C41&lt;&gt;""," · "&amp;C41,""),IF(B41&amp;C41&lt;&gt;"","(date de début à renseigner)",""))</f>
        <v/>
      </c>
      <c r="F41" s="5" t="n"/>
      <c r="G41" s="5" t="n"/>
    </row>
    <row r="42">
      <c r="A42" t="n">
        <v>39</v>
      </c>
      <c r="D42" s="5" t="n"/>
      <c r="E42" s="6">
        <f>IF(ISNUMBER(D42),A42&amp;" · "&amp;B42&amp;IF(C42&lt;&gt;""," · "&amp;C42,""),IF(B42&amp;C42&lt;&gt;"","(date de début à renseigner)",""))</f>
        <v/>
      </c>
      <c r="F42" s="5" t="n"/>
      <c r="G42" s="5" t="n"/>
    </row>
    <row r="43">
      <c r="A43" t="n">
        <v>40</v>
      </c>
      <c r="D43" s="5" t="n"/>
      <c r="E43" s="6">
        <f>IF(ISNUMBER(D43),A43&amp;" · "&amp;B43&amp;IF(C43&lt;&gt;""," · "&amp;C43,""),IF(B43&amp;C43&lt;&gt;"","(date de début à renseigner)",""))</f>
        <v/>
      </c>
      <c r="F43" s="5" t="n"/>
      <c r="G43" s="5" t="n"/>
    </row>
    <row r="44">
      <c r="A44" t="n">
        <v>41</v>
      </c>
      <c r="D44" s="5" t="n"/>
      <c r="E44" s="6">
        <f>IF(ISNUMBER(D44),A44&amp;" · "&amp;B44&amp;IF(C44&lt;&gt;""," · "&amp;C44,""),IF(B44&amp;C44&lt;&gt;"","(date de début à renseigner)",""))</f>
        <v/>
      </c>
      <c r="F44" s="5" t="n"/>
      <c r="G44" s="5" t="n"/>
    </row>
    <row r="45">
      <c r="A45" t="n">
        <v>42</v>
      </c>
      <c r="D45" s="5" t="n"/>
      <c r="E45" s="6">
        <f>IF(ISNUMBER(D45),A45&amp;" · "&amp;B45&amp;IF(C45&lt;&gt;""," · "&amp;C45,""),IF(B45&amp;C45&lt;&gt;"","(date de début à renseigner)",""))</f>
        <v/>
      </c>
      <c r="F45" s="5" t="n"/>
      <c r="G45" s="5" t="n"/>
    </row>
    <row r="46">
      <c r="A46" t="n">
        <v>43</v>
      </c>
      <c r="D46" s="5" t="n"/>
      <c r="E46" s="6">
        <f>IF(ISNUMBER(D46),A46&amp;" · "&amp;B46&amp;IF(C46&lt;&gt;""," · "&amp;C46,""),IF(B46&amp;C46&lt;&gt;"","(date de début à renseigner)",""))</f>
        <v/>
      </c>
      <c r="F46" s="5" t="n"/>
      <c r="G46" s="5" t="n"/>
    </row>
    <row r="47">
      <c r="A47" t="n">
        <v>44</v>
      </c>
      <c r="D47" s="5" t="n"/>
      <c r="E47" s="6">
        <f>IF(ISNUMBER(D47),A47&amp;" · "&amp;B47&amp;IF(C47&lt;&gt;""," · "&amp;C47,""),IF(B47&amp;C47&lt;&gt;"","(date de début à renseigner)",""))</f>
        <v/>
      </c>
      <c r="F47" s="5" t="n"/>
      <c r="G47" s="5" t="n"/>
    </row>
    <row r="48">
      <c r="A48" t="n">
        <v>45</v>
      </c>
      <c r="D48" s="5" t="n"/>
      <c r="E48" s="6">
        <f>IF(ISNUMBER(D48),A48&amp;" · "&amp;B48&amp;IF(C48&lt;&gt;""," · "&amp;C48,""),IF(B48&amp;C48&lt;&gt;"","(date de début à renseigner)",""))</f>
        <v/>
      </c>
      <c r="F48" s="5" t="n"/>
      <c r="G48" s="5" t="n"/>
    </row>
    <row r="49">
      <c r="A49" t="n">
        <v>46</v>
      </c>
      <c r="D49" s="5" t="n"/>
      <c r="E49" s="6">
        <f>IF(ISNUMBER(D49),A49&amp;" · "&amp;B49&amp;IF(C49&lt;&gt;""," · "&amp;C49,""),IF(B49&amp;C49&lt;&gt;"","(date de début à renseigner)",""))</f>
        <v/>
      </c>
      <c r="F49" s="5" t="n"/>
      <c r="G49" s="5" t="n"/>
    </row>
    <row r="50">
      <c r="A50" t="n">
        <v>47</v>
      </c>
      <c r="D50" s="5" t="n"/>
      <c r="E50" s="6">
        <f>IF(ISNUMBER(D50),A50&amp;" · "&amp;B50&amp;IF(C50&lt;&gt;""," · "&amp;C50,""),IF(B50&amp;C50&lt;&gt;"","(date de début à renseigner)",""))</f>
        <v/>
      </c>
      <c r="F50" s="5" t="n"/>
      <c r="G50" s="5" t="n"/>
    </row>
    <row r="51">
      <c r="A51" t="n">
        <v>48</v>
      </c>
      <c r="D51" s="5" t="n"/>
      <c r="E51" s="6">
        <f>IF(ISNUMBER(D51),A51&amp;" · "&amp;B51&amp;IF(C51&lt;&gt;""," · "&amp;C51,""),IF(B51&amp;C51&lt;&gt;"","(date de début à renseigner)",""))</f>
        <v/>
      </c>
      <c r="F51" s="5" t="n"/>
      <c r="G51" s="5" t="n"/>
    </row>
    <row r="52">
      <c r="A52" t="n">
        <v>49</v>
      </c>
      <c r="D52" s="5" t="n"/>
      <c r="E52" s="6">
        <f>IF(ISNUMBER(D52),A52&amp;" · "&amp;B52&amp;IF(C52&lt;&gt;""," · "&amp;C52,""),IF(B52&amp;C52&lt;&gt;"","(date de début à renseigner)",""))</f>
        <v/>
      </c>
      <c r="F52" s="5" t="n"/>
      <c r="G52" s="5" t="n"/>
    </row>
    <row r="53">
      <c r="A53" t="n">
        <v>50</v>
      </c>
      <c r="D53" s="5" t="n"/>
      <c r="E53" s="6">
        <f>IF(ISNUMBER(D53),A53&amp;" · "&amp;B53&amp;IF(C53&lt;&gt;""," · "&amp;C53,""),IF(B53&amp;C53&lt;&gt;"","(date de début à renseigner)",""))</f>
        <v/>
      </c>
      <c r="F53" s="5" t="n"/>
      <c r="G53" s="5" t="n"/>
    </row>
    <row r="54">
      <c r="A54" t="n">
        <v>51</v>
      </c>
      <c r="D54" s="5" t="n"/>
      <c r="E54" s="6">
        <f>IF(ISNUMBER(D54),A54&amp;" · "&amp;B54&amp;IF(C54&lt;&gt;""," · "&amp;C54,""),IF(B54&amp;C54&lt;&gt;"","(date de début à renseigner)",""))</f>
        <v/>
      </c>
      <c r="F54" s="5" t="n"/>
      <c r="G54" s="5" t="n"/>
    </row>
    <row r="55">
      <c r="A55" t="n">
        <v>52</v>
      </c>
      <c r="D55" s="5" t="n"/>
      <c r="E55" s="6">
        <f>IF(ISNUMBER(D55),A55&amp;" · "&amp;B55&amp;IF(C55&lt;&gt;""," · "&amp;C55,""),IF(B55&amp;C55&lt;&gt;"","(date de début à renseigner)",""))</f>
        <v/>
      </c>
      <c r="F55" s="5" t="n"/>
      <c r="G55" s="5" t="n"/>
    </row>
    <row r="56">
      <c r="A56" t="n">
        <v>53</v>
      </c>
      <c r="D56" s="5" t="n"/>
      <c r="E56" s="6">
        <f>IF(ISNUMBER(D56),A56&amp;" · "&amp;B56&amp;IF(C56&lt;&gt;""," · "&amp;C56,""),IF(B56&amp;C56&lt;&gt;"","(date de début à renseigner)",""))</f>
        <v/>
      </c>
      <c r="F56" s="5" t="n"/>
      <c r="G56" s="5" t="n"/>
    </row>
    <row r="57">
      <c r="A57" t="n">
        <v>54</v>
      </c>
      <c r="D57" s="5" t="n"/>
      <c r="E57" s="6">
        <f>IF(ISNUMBER(D57),A57&amp;" · "&amp;B57&amp;IF(C57&lt;&gt;""," · "&amp;C57,""),IF(B57&amp;C57&lt;&gt;"","(date de début à renseigner)",""))</f>
        <v/>
      </c>
      <c r="F57" s="5" t="n"/>
      <c r="G57" s="5" t="n"/>
    </row>
    <row r="58">
      <c r="A58" t="n">
        <v>55</v>
      </c>
      <c r="D58" s="5" t="n"/>
      <c r="E58" s="6">
        <f>IF(ISNUMBER(D58),A58&amp;" · "&amp;B58&amp;IF(C58&lt;&gt;""," · "&amp;C58,""),IF(B58&amp;C58&lt;&gt;"","(date de début à renseigner)",""))</f>
        <v/>
      </c>
      <c r="F58" s="5" t="n"/>
      <c r="G58" s="5" t="n"/>
    </row>
    <row r="59">
      <c r="A59" t="n">
        <v>56</v>
      </c>
      <c r="D59" s="5" t="n"/>
      <c r="E59" s="6">
        <f>IF(ISNUMBER(D59),A59&amp;" · "&amp;B59&amp;IF(C59&lt;&gt;""," · "&amp;C59,""),IF(B59&amp;C59&lt;&gt;"","(date de début à renseigner)",""))</f>
        <v/>
      </c>
      <c r="F59" s="5" t="n"/>
      <c r="G59" s="5" t="n"/>
    </row>
    <row r="60">
      <c r="A60" t="n">
        <v>57</v>
      </c>
      <c r="D60" s="5" t="n"/>
      <c r="E60" s="6">
        <f>IF(ISNUMBER(D60),A60&amp;" · "&amp;B60&amp;IF(C60&lt;&gt;""," · "&amp;C60,""),IF(B60&amp;C60&lt;&gt;"","(date de début à renseigner)",""))</f>
        <v/>
      </c>
      <c r="F60" s="5" t="n"/>
      <c r="G60" s="5" t="n"/>
    </row>
    <row r="61">
      <c r="A61" t="n">
        <v>58</v>
      </c>
      <c r="D61" s="5" t="n"/>
      <c r="E61" s="6">
        <f>IF(ISNUMBER(D61),A61&amp;" · "&amp;B61&amp;IF(C61&lt;&gt;""," · "&amp;C61,""),IF(B61&amp;C61&lt;&gt;"","(date de début à renseigner)",""))</f>
        <v/>
      </c>
      <c r="F61" s="5" t="n"/>
      <c r="G61" s="5" t="n"/>
    </row>
    <row r="62">
      <c r="A62" t="n">
        <v>59</v>
      </c>
      <c r="D62" s="5" t="n"/>
      <c r="E62" s="6">
        <f>IF(ISNUMBER(D62),A62&amp;" · "&amp;B62&amp;IF(C62&lt;&gt;""," · "&amp;C62,""),IF(B62&amp;C62&lt;&gt;"","(date de début à renseigner)",""))</f>
        <v/>
      </c>
      <c r="F62" s="5" t="n"/>
      <c r="G62" s="5" t="n"/>
    </row>
    <row r="63">
      <c r="A63" t="n">
        <v>60</v>
      </c>
      <c r="D63" s="5" t="n"/>
      <c r="E63" s="6">
        <f>IF(ISNUMBER(D63),A63&amp;" · "&amp;B63&amp;IF(C63&lt;&gt;""," · "&amp;C63,""),IF(B63&amp;C63&lt;&gt;"","(date de début à renseigner)",""))</f>
        <v/>
      </c>
      <c r="F63" s="5" t="n"/>
      <c r="G63" s="5" t="n"/>
    </row>
  </sheetData>
  <autoFilter ref="B3:G60">
    <sortState ref="B4:G63">
      <sortCondition ref="F3:F60"/>
    </sortState>
  </autoFilter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P68"/>
  <sheetViews>
    <sheetView showGridLines="0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3" max="3"/>
    <col width="1.5" customWidth="1" min="4" max="4"/>
    <col width="9" customWidth="1" min="5" max="5"/>
    <col width="9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width="2.3" customWidth="1" min="15" max="15"/>
    <col hidden="1"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2.3" customWidth="1" min="29" max="29"/>
    <col width="2.3" customWidth="1" min="30" max="30"/>
    <col width="2.3" customWidth="1" min="31" max="31"/>
    <col width="2.3" customWidth="1" min="32" max="32"/>
    <col width="2.3" customWidth="1" min="33" max="33"/>
    <col width="2.3" customWidth="1" min="34" max="34"/>
    <col width="2.3" customWidth="1" min="35" max="35"/>
    <col width="2.3" customWidth="1" min="36" max="36"/>
    <col width="2.3" customWidth="1" min="37" max="37"/>
    <col width="2.3" customWidth="1" min="38" max="38"/>
    <col width="2.3" customWidth="1" min="39" max="39"/>
    <col width="2.3" customWidth="1" min="40" max="40"/>
    <col width="2.3" customWidth="1" min="41" max="41"/>
    <col width="2.3" customWidth="1" min="42" max="42"/>
    <col width="2.3" customWidth="1" min="43" max="43"/>
    <col width="2.3" customWidth="1" min="44" max="44"/>
    <col width="2.3" customWidth="1" min="45" max="45"/>
    <col width="2.3" customWidth="1" min="46" max="46"/>
    <col width="2.3" customWidth="1" min="47" max="47"/>
    <col width="2.3" customWidth="1" min="48" max="48"/>
    <col width="2.3" customWidth="1" min="49" max="49"/>
    <col width="2.3" customWidth="1" min="50" max="50"/>
    <col width="2.3" customWidth="1" min="51" max="51"/>
    <col width="2.3" customWidth="1" min="52" max="52"/>
    <col width="2.3" customWidth="1" min="53" max="53"/>
    <col width="2.3" customWidth="1" min="54" max="54"/>
    <col width="2.3" customWidth="1" min="55" max="55"/>
    <col width="2.3" customWidth="1" min="56" max="56"/>
    <col width="2.3" customWidth="1" min="57" max="57"/>
    <col width="2.3" customWidth="1" min="58" max="58"/>
    <col width="2.3" customWidth="1" min="59" max="59"/>
    <col width="2.3" customWidth="1" min="60" max="60"/>
    <col width="2.3" customWidth="1" min="61" max="61"/>
    <col width="2.3" customWidth="1" min="62" max="62"/>
    <col width="2.3" customWidth="1" min="63" max="63"/>
    <col width="2.3" customWidth="1" min="64" max="64"/>
    <col width="2.3" customWidth="1" min="65" max="65"/>
    <col width="2.3" customWidth="1" min="66" max="66"/>
    <col width="2.3" customWidth="1" min="67" max="67"/>
    <col width="2.3" customWidth="1" min="68" max="68"/>
    <col width="2.3" customWidth="1" min="69" max="69"/>
    <col width="2.3" customWidth="1" min="70" max="70"/>
    <col width="2.3" customWidth="1" min="71" max="71"/>
    <col width="2.3" customWidth="1" min="72" max="72"/>
    <col width="2.3" customWidth="1" min="73" max="73"/>
    <col width="2.3" customWidth="1" min="74" max="74"/>
    <col width="2.3" customWidth="1" min="75" max="75"/>
    <col width="2.3" customWidth="1" min="76" max="76"/>
    <col width="2.3" customWidth="1" min="77" max="77"/>
    <col width="2.3" customWidth="1" min="78" max="78"/>
    <col width="2.3" customWidth="1" min="79" max="79"/>
    <col width="2.3" customWidth="1" min="80" max="80"/>
    <col width="2.3" customWidth="1" min="81" max="81"/>
    <col width="2.3" customWidth="1" min="82" max="82"/>
    <col width="2.3" customWidth="1" min="83" max="83"/>
    <col width="2.3" customWidth="1" min="84" max="84"/>
    <col width="2.3" customWidth="1" min="85" max="85"/>
    <col width="2.3" customWidth="1" min="86" max="86"/>
    <col width="2.3" customWidth="1" min="87" max="87"/>
    <col width="2.3" customWidth="1" min="88" max="88"/>
    <col width="2.3" customWidth="1" min="89" max="89"/>
    <col width="2.3" customWidth="1" min="90" max="90"/>
    <col width="2.3" customWidth="1" min="91" max="91"/>
    <col width="2.3" customWidth="1" min="92" max="92"/>
    <col width="2.3" customWidth="1" min="93" max="93"/>
    <col width="2.3" customWidth="1" min="94" max="94"/>
    <col width="2.3" customWidth="1" min="95" max="95"/>
    <col width="2.3" customWidth="1" min="96" max="96"/>
    <col width="2.3" customWidth="1" min="97" max="97"/>
    <col width="2.3" customWidth="1" min="98" max="98"/>
    <col width="2.3" customWidth="1" min="99" max="99"/>
    <col width="2.3" customWidth="1" min="100" max="100"/>
    <col width="2.3" customWidth="1" min="101" max="101"/>
    <col width="2.3" customWidth="1" min="102" max="102"/>
    <col width="2.3" customWidth="1" min="103" max="103"/>
    <col width="2.3" customWidth="1" min="104" max="104"/>
    <col width="2.3" customWidth="1" min="105" max="105"/>
    <col width="2.3" customWidth="1" min="106" max="106"/>
    <col width="2.3" customWidth="1" min="107" max="107"/>
    <col width="2.3" customWidth="1" min="108" max="108"/>
    <col width="2.3" customWidth="1" min="109" max="109"/>
    <col width="2.3" customWidth="1" min="110" max="110"/>
    <col width="2.3" customWidth="1" min="111" max="111"/>
    <col width="2.3" customWidth="1" min="112" max="112"/>
    <col width="2.3" customWidth="1" min="113" max="113"/>
    <col width="2.3" customWidth="1" min="114" max="114"/>
    <col width="2.3" customWidth="1" min="115" max="115"/>
    <col width="2.3" customWidth="1" min="116" max="116"/>
    <col width="2.3" customWidth="1" min="117" max="117"/>
    <col width="2.3" customWidth="1" min="118" max="118"/>
    <col width="2.3" customWidth="1" min="119" max="119"/>
    <col width="2.3" customWidth="1" min="120" max="120"/>
    <col width="2.3" customWidth="1" min="121" max="121"/>
    <col width="2.3" customWidth="1" min="122" max="122"/>
    <col width="2.3" customWidth="1" min="123" max="123"/>
    <col width="2.3" customWidth="1" min="124" max="124"/>
    <col width="2.3" customWidth="1" min="125" max="125"/>
    <col width="2.3" customWidth="1" min="126" max="126"/>
    <col width="2.3" customWidth="1" min="127" max="127"/>
    <col width="2.3" customWidth="1" min="128" max="128"/>
    <col width="2.3" customWidth="1" min="129" max="129"/>
    <col width="2.3" customWidth="1" min="130" max="130"/>
    <col width="2.3" customWidth="1" min="131" max="131"/>
    <col width="2.3" customWidth="1" min="132" max="132"/>
    <col width="2.3" customWidth="1" min="133" max="133"/>
    <col width="2.3" customWidth="1" min="134" max="134"/>
    <col width="2.3" customWidth="1" min="135" max="135"/>
    <col width="2.3" customWidth="1" min="136" max="136"/>
    <col width="2.3" customWidth="1" min="137" max="137"/>
    <col width="2.3" customWidth="1" min="138" max="138"/>
    <col width="2.3" customWidth="1" min="139" max="139"/>
    <col width="2.3" customWidth="1" min="140" max="140"/>
    <col width="2.3" customWidth="1" min="141" max="141"/>
    <col width="2.3" customWidth="1" min="142" max="142"/>
    <col width="2.3" customWidth="1" min="143" max="143"/>
    <col width="2.3" customWidth="1" min="144" max="144"/>
    <col width="2.3" customWidth="1" min="145" max="145"/>
    <col width="2.3" customWidth="1" min="146" max="146"/>
  </cols>
  <sheetData>
    <row r="1">
      <c r="A1" s="21" t="inlineStr">
        <is>
          <t>Dossier affiché :</t>
        </is>
      </c>
      <c r="C1" s="22" t="n">
        <v>1</v>
      </c>
      <c r="D1" s="23">
        <f>IFERROR(INDEX(Dossiers!$E$4:$E$63,$C$1),"—")</f>
        <v/>
      </c>
    </row>
    <row r="2">
      <c r="A2" s="24" t="inlineStr">
        <is>
          <t>N° de dossier (1 à 60) — liste déroulante en C1</t>
        </is>
      </c>
    </row>
    <row r="3">
      <c r="G3" s="25">
        <f>IF(DAY(G$4)=1,TEXT(G$4,"mmm aa"),"")</f>
        <v/>
      </c>
      <c r="H3" s="25">
        <f>IF(DAY(H$4)=1,TEXT(H$4,"mmm aa"),"")</f>
        <v/>
      </c>
      <c r="I3" s="25">
        <f>IF(DAY(I$4)=1,TEXT(I$4,"mmm aa"),"")</f>
        <v/>
      </c>
      <c r="J3" s="25">
        <f>IF(DAY(J$4)=1,TEXT(J$4,"mmm aa"),"")</f>
        <v/>
      </c>
      <c r="K3" s="25">
        <f>IF(DAY(K$4)=1,TEXT(K$4,"mmm aa"),"")</f>
        <v/>
      </c>
      <c r="L3" s="25">
        <f>IF(DAY(L$4)=1,TEXT(L$4,"mmm aa"),"")</f>
        <v/>
      </c>
      <c r="M3" s="25">
        <f>IF(DAY(M$4)=1,TEXT(M$4,"mmm aa"),"")</f>
        <v/>
      </c>
      <c r="N3" s="25">
        <f>IF(DAY(N$4)=1,TEXT(N$4,"mmm aa"),"")</f>
        <v/>
      </c>
      <c r="O3" s="25">
        <f>IF(DAY(O$4)=1,TEXT(O$4,"mmm aa"),"")</f>
        <v/>
      </c>
      <c r="P3" s="25">
        <f>IF(DAY(P$4)=1,TEXT(P$4,"mmm aa"),"")</f>
        <v/>
      </c>
      <c r="Q3" s="25">
        <f>IF(DAY(Q$4)=1,TEXT(Q$4,"mmm aa"),"")</f>
        <v/>
      </c>
      <c r="R3" s="25">
        <f>IF(DAY(R$4)=1,TEXT(R$4,"mmm aa"),"")</f>
        <v/>
      </c>
      <c r="S3" s="25">
        <f>IF(DAY(S$4)=1,TEXT(S$4,"mmm aa"),"")</f>
        <v/>
      </c>
      <c r="T3" s="25">
        <f>IF(DAY(T$4)=1,TEXT(T$4,"mmm aa"),"")</f>
        <v/>
      </c>
      <c r="U3" s="25">
        <f>IF(DAY(U$4)=1,TEXT(U$4,"mmm aa"),"")</f>
        <v/>
      </c>
      <c r="V3" s="25">
        <f>IF(DAY(V$4)=1,TEXT(V$4,"mmm aa"),"")</f>
        <v/>
      </c>
      <c r="W3" s="25">
        <f>IF(DAY(W$4)=1,TEXT(W$4,"mmm aa"),"")</f>
        <v/>
      </c>
      <c r="X3" s="25">
        <f>IF(DAY(X$4)=1,TEXT(X$4,"mmm aa"),"")</f>
        <v/>
      </c>
      <c r="Y3" s="25">
        <f>IF(DAY(Y$4)=1,TEXT(Y$4,"mmm aa"),"")</f>
        <v/>
      </c>
      <c r="Z3" s="25">
        <f>IF(DAY(Z$4)=1,TEXT(Z$4,"mmm aa"),"")</f>
        <v/>
      </c>
      <c r="AA3" s="25">
        <f>IF(DAY(AA$4)=1,TEXT(AA$4,"mmm aa"),"")</f>
        <v/>
      </c>
      <c r="AB3" s="25">
        <f>IF(DAY(AB$4)=1,TEXT(AB$4,"mmm aa"),"")</f>
        <v/>
      </c>
      <c r="AC3" s="25">
        <f>IF(DAY(AC$4)=1,TEXT(AC$4,"mmm aa"),"")</f>
        <v/>
      </c>
      <c r="AD3" s="25">
        <f>IF(DAY(AD$4)=1,TEXT(AD$4,"mmm aa"),"")</f>
        <v/>
      </c>
      <c r="AE3" s="25">
        <f>IF(DAY(AE$4)=1,TEXT(AE$4,"mmm aa"),"")</f>
        <v/>
      </c>
      <c r="AF3" s="25">
        <f>IF(DAY(AF$4)=1,TEXT(AF$4,"mmm aa"),"")</f>
        <v/>
      </c>
      <c r="AG3" s="25">
        <f>IF(DAY(AG$4)=1,TEXT(AG$4,"mmm aa"),"")</f>
        <v/>
      </c>
      <c r="AH3" s="25">
        <f>IF(DAY(AH$4)=1,TEXT(AH$4,"mmm aa"),"")</f>
        <v/>
      </c>
      <c r="AI3" s="25">
        <f>IF(DAY(AI$4)=1,TEXT(AI$4,"mmm aa"),"")</f>
        <v/>
      </c>
      <c r="AJ3" s="25">
        <f>IF(DAY(AJ$4)=1,TEXT(AJ$4,"mmm aa"),"")</f>
        <v/>
      </c>
      <c r="AK3" s="25">
        <f>IF(DAY(AK$4)=1,TEXT(AK$4,"mmm aa"),"")</f>
        <v/>
      </c>
      <c r="AL3" s="25">
        <f>IF(DAY(AL$4)=1,TEXT(AL$4,"mmm aa"),"")</f>
        <v/>
      </c>
      <c r="AM3" s="25">
        <f>IF(DAY(AM$4)=1,TEXT(AM$4,"mmm aa"),"")</f>
        <v/>
      </c>
      <c r="AN3" s="25">
        <f>IF(DAY(AN$4)=1,TEXT(AN$4,"mmm aa"),"")</f>
        <v/>
      </c>
      <c r="AO3" s="25">
        <f>IF(DAY(AO$4)=1,TEXT(AO$4,"mmm aa"),"")</f>
        <v/>
      </c>
      <c r="AP3" s="25">
        <f>IF(DAY(AP$4)=1,TEXT(AP$4,"mmm aa"),"")</f>
        <v/>
      </c>
      <c r="AQ3" s="25">
        <f>IF(DAY(AQ$4)=1,TEXT(AQ$4,"mmm aa"),"")</f>
        <v/>
      </c>
      <c r="AR3" s="25">
        <f>IF(DAY(AR$4)=1,TEXT(AR$4,"mmm aa"),"")</f>
        <v/>
      </c>
      <c r="AS3" s="25">
        <f>IF(DAY(AS$4)=1,TEXT(AS$4,"mmm aa"),"")</f>
        <v/>
      </c>
      <c r="AT3" s="25">
        <f>IF(DAY(AT$4)=1,TEXT(AT$4,"mmm aa"),"")</f>
        <v/>
      </c>
      <c r="AU3" s="25">
        <f>IF(DAY(AU$4)=1,TEXT(AU$4,"mmm aa"),"")</f>
        <v/>
      </c>
      <c r="AV3" s="25">
        <f>IF(DAY(AV$4)=1,TEXT(AV$4,"mmm aa"),"")</f>
        <v/>
      </c>
      <c r="AW3" s="25">
        <f>IF(DAY(AW$4)=1,TEXT(AW$4,"mmm aa"),"")</f>
        <v/>
      </c>
      <c r="AX3" s="25">
        <f>IF(DAY(AX$4)=1,TEXT(AX$4,"mmm aa"),"")</f>
        <v/>
      </c>
      <c r="AY3" s="25">
        <f>IF(DAY(AY$4)=1,TEXT(AY$4,"mmm aa"),"")</f>
        <v/>
      </c>
      <c r="AZ3" s="25">
        <f>IF(DAY(AZ$4)=1,TEXT(AZ$4,"mmm aa"),"")</f>
        <v/>
      </c>
      <c r="BA3" s="25">
        <f>IF(DAY(BA$4)=1,TEXT(BA$4,"mmm aa"),"")</f>
        <v/>
      </c>
      <c r="BB3" s="25">
        <f>IF(DAY(BB$4)=1,TEXT(BB$4,"mmm aa"),"")</f>
        <v/>
      </c>
      <c r="BC3" s="25">
        <f>IF(DAY(BC$4)=1,TEXT(BC$4,"mmm aa"),"")</f>
        <v/>
      </c>
      <c r="BD3" s="25">
        <f>IF(DAY(BD$4)=1,TEXT(BD$4,"mmm aa"),"")</f>
        <v/>
      </c>
      <c r="BE3" s="25">
        <f>IF(DAY(BE$4)=1,TEXT(BE$4,"mmm aa"),"")</f>
        <v/>
      </c>
      <c r="BF3" s="25">
        <f>IF(DAY(BF$4)=1,TEXT(BF$4,"mmm aa"),"")</f>
        <v/>
      </c>
      <c r="BG3" s="25">
        <f>IF(DAY(BG$4)=1,TEXT(BG$4,"mmm aa"),"")</f>
        <v/>
      </c>
      <c r="BH3" s="25">
        <f>IF(DAY(BH$4)=1,TEXT(BH$4,"mmm aa"),"")</f>
        <v/>
      </c>
      <c r="BI3" s="25">
        <f>IF(DAY(BI$4)=1,TEXT(BI$4,"mmm aa"),"")</f>
        <v/>
      </c>
      <c r="BJ3" s="25">
        <f>IF(DAY(BJ$4)=1,TEXT(BJ$4,"mmm aa"),"")</f>
        <v/>
      </c>
      <c r="BK3" s="25">
        <f>IF(DAY(BK$4)=1,TEXT(BK$4,"mmm aa"),"")</f>
        <v/>
      </c>
      <c r="BL3" s="25">
        <f>IF(DAY(BL$4)=1,TEXT(BL$4,"mmm aa"),"")</f>
        <v/>
      </c>
      <c r="BM3" s="25">
        <f>IF(DAY(BM$4)=1,TEXT(BM$4,"mmm aa"),"")</f>
        <v/>
      </c>
      <c r="BN3" s="25">
        <f>IF(DAY(BN$4)=1,TEXT(BN$4,"mmm aa"),"")</f>
        <v/>
      </c>
      <c r="BO3" s="25">
        <f>IF(DAY(BO$4)=1,TEXT(BO$4,"mmm aa"),"")</f>
        <v/>
      </c>
      <c r="BP3" s="25">
        <f>IF(DAY(BP$4)=1,TEXT(BP$4,"mmm aa"),"")</f>
        <v/>
      </c>
      <c r="BQ3" s="25">
        <f>IF(DAY(BQ$4)=1,TEXT(BQ$4,"mmm aa"),"")</f>
        <v/>
      </c>
      <c r="BR3" s="25">
        <f>IF(DAY(BR$4)=1,TEXT(BR$4,"mmm aa"),"")</f>
        <v/>
      </c>
      <c r="BS3" s="25">
        <f>IF(DAY(BS$4)=1,TEXT(BS$4,"mmm aa"),"")</f>
        <v/>
      </c>
      <c r="BT3" s="25">
        <f>IF(DAY(BT$4)=1,TEXT(BT$4,"mmm aa"),"")</f>
        <v/>
      </c>
      <c r="BU3" s="25">
        <f>IF(DAY(BU$4)=1,TEXT(BU$4,"mmm aa"),"")</f>
        <v/>
      </c>
      <c r="BV3" s="25">
        <f>IF(DAY(BV$4)=1,TEXT(BV$4,"mmm aa"),"")</f>
        <v/>
      </c>
      <c r="BW3" s="25">
        <f>IF(DAY(BW$4)=1,TEXT(BW$4,"mmm aa"),"")</f>
        <v/>
      </c>
      <c r="BX3" s="25">
        <f>IF(DAY(BX$4)=1,TEXT(BX$4,"mmm aa"),"")</f>
        <v/>
      </c>
      <c r="BY3" s="25">
        <f>IF(DAY(BY$4)=1,TEXT(BY$4,"mmm aa"),"")</f>
        <v/>
      </c>
      <c r="BZ3" s="25">
        <f>IF(DAY(BZ$4)=1,TEXT(BZ$4,"mmm aa"),"")</f>
        <v/>
      </c>
      <c r="CA3" s="25">
        <f>IF(DAY(CA$4)=1,TEXT(CA$4,"mmm aa"),"")</f>
        <v/>
      </c>
      <c r="CB3" s="25">
        <f>IF(DAY(CB$4)=1,TEXT(CB$4,"mmm aa"),"")</f>
        <v/>
      </c>
      <c r="CC3" s="25">
        <f>IF(DAY(CC$4)=1,TEXT(CC$4,"mmm aa"),"")</f>
        <v/>
      </c>
      <c r="CD3" s="25">
        <f>IF(DAY(CD$4)=1,TEXT(CD$4,"mmm aa"),"")</f>
        <v/>
      </c>
      <c r="CE3" s="25">
        <f>IF(DAY(CE$4)=1,TEXT(CE$4,"mmm aa"),"")</f>
        <v/>
      </c>
      <c r="CF3" s="25">
        <f>IF(DAY(CF$4)=1,TEXT(CF$4,"mmm aa"),"")</f>
        <v/>
      </c>
      <c r="CG3" s="25">
        <f>IF(DAY(CG$4)=1,TEXT(CG$4,"mmm aa"),"")</f>
        <v/>
      </c>
      <c r="CH3" s="25">
        <f>IF(DAY(CH$4)=1,TEXT(CH$4,"mmm aa"),"")</f>
        <v/>
      </c>
      <c r="CI3" s="25">
        <f>IF(DAY(CI$4)=1,TEXT(CI$4,"mmm aa"),"")</f>
        <v/>
      </c>
      <c r="CJ3" s="25">
        <f>IF(DAY(CJ$4)=1,TEXT(CJ$4,"mmm aa"),"")</f>
        <v/>
      </c>
      <c r="CK3" s="25">
        <f>IF(DAY(CK$4)=1,TEXT(CK$4,"mmm aa"),"")</f>
        <v/>
      </c>
      <c r="CL3" s="25">
        <f>IF(DAY(CL$4)=1,TEXT(CL$4,"mmm aa"),"")</f>
        <v/>
      </c>
      <c r="CM3" s="25">
        <f>IF(DAY(CM$4)=1,TEXT(CM$4,"mmm aa"),"")</f>
        <v/>
      </c>
      <c r="CN3" s="25">
        <f>IF(DAY(CN$4)=1,TEXT(CN$4,"mmm aa"),"")</f>
        <v/>
      </c>
      <c r="CO3" s="25">
        <f>IF(DAY(CO$4)=1,TEXT(CO$4,"mmm aa"),"")</f>
        <v/>
      </c>
      <c r="CP3" s="25">
        <f>IF(DAY(CP$4)=1,TEXT(CP$4,"mmm aa"),"")</f>
        <v/>
      </c>
      <c r="CQ3" s="25">
        <f>IF(DAY(CQ$4)=1,TEXT(CQ$4,"mmm aa"),"")</f>
        <v/>
      </c>
      <c r="CR3" s="25">
        <f>IF(DAY(CR$4)=1,TEXT(CR$4,"mmm aa"),"")</f>
        <v/>
      </c>
      <c r="CS3" s="25">
        <f>IF(DAY(CS$4)=1,TEXT(CS$4,"mmm aa"),"")</f>
        <v/>
      </c>
      <c r="CT3" s="25">
        <f>IF(DAY(CT$4)=1,TEXT(CT$4,"mmm aa"),"")</f>
        <v/>
      </c>
      <c r="CU3" s="25">
        <f>IF(DAY(CU$4)=1,TEXT(CU$4,"mmm aa"),"")</f>
        <v/>
      </c>
      <c r="CV3" s="25">
        <f>IF(DAY(CV$4)=1,TEXT(CV$4,"mmm aa"),"")</f>
        <v/>
      </c>
      <c r="CW3" s="25">
        <f>IF(DAY(CW$4)=1,TEXT(CW$4,"mmm aa"),"")</f>
        <v/>
      </c>
      <c r="CX3" s="25">
        <f>IF(DAY(CX$4)=1,TEXT(CX$4,"mmm aa"),"")</f>
        <v/>
      </c>
      <c r="CY3" s="25">
        <f>IF(DAY(CY$4)=1,TEXT(CY$4,"mmm aa"),"")</f>
        <v/>
      </c>
      <c r="CZ3" s="25">
        <f>IF(DAY(CZ$4)=1,TEXT(CZ$4,"mmm aa"),"")</f>
        <v/>
      </c>
      <c r="DA3" s="25">
        <f>IF(DAY(DA$4)=1,TEXT(DA$4,"mmm aa"),"")</f>
        <v/>
      </c>
      <c r="DB3" s="25">
        <f>IF(DAY(DB$4)=1,TEXT(DB$4,"mmm aa"),"")</f>
        <v/>
      </c>
      <c r="DC3" s="25">
        <f>IF(DAY(DC$4)=1,TEXT(DC$4,"mmm aa"),"")</f>
        <v/>
      </c>
      <c r="DD3" s="25">
        <f>IF(DAY(DD$4)=1,TEXT(DD$4,"mmm aa"),"")</f>
        <v/>
      </c>
      <c r="DE3" s="25">
        <f>IF(DAY(DE$4)=1,TEXT(DE$4,"mmm aa"),"")</f>
        <v/>
      </c>
      <c r="DF3" s="25">
        <f>IF(DAY(DF$4)=1,TEXT(DF$4,"mmm aa"),"")</f>
        <v/>
      </c>
      <c r="DG3" s="25">
        <f>IF(DAY(DG$4)=1,TEXT(DG$4,"mmm aa"),"")</f>
        <v/>
      </c>
      <c r="DH3" s="25">
        <f>IF(DAY(DH$4)=1,TEXT(DH$4,"mmm aa"),"")</f>
        <v/>
      </c>
      <c r="DI3" s="25">
        <f>IF(DAY(DI$4)=1,TEXT(DI$4,"mmm aa"),"")</f>
        <v/>
      </c>
      <c r="DJ3" s="25">
        <f>IF(DAY(DJ$4)=1,TEXT(DJ$4,"mmm aa"),"")</f>
        <v/>
      </c>
      <c r="DK3" s="25">
        <f>IF(DAY(DK$4)=1,TEXT(DK$4,"mmm aa"),"")</f>
        <v/>
      </c>
      <c r="DL3" s="25">
        <f>IF(DAY(DL$4)=1,TEXT(DL$4,"mmm aa"),"")</f>
        <v/>
      </c>
      <c r="DM3" s="25">
        <f>IF(DAY(DM$4)=1,TEXT(DM$4,"mmm aa"),"")</f>
        <v/>
      </c>
      <c r="DN3" s="25">
        <f>IF(DAY(DN$4)=1,TEXT(DN$4,"mmm aa"),"")</f>
        <v/>
      </c>
      <c r="DO3" s="25">
        <f>IF(DAY(DO$4)=1,TEXT(DO$4,"mmm aa"),"")</f>
        <v/>
      </c>
      <c r="DP3" s="25">
        <f>IF(DAY(DP$4)=1,TEXT(DP$4,"mmm aa"),"")</f>
        <v/>
      </c>
      <c r="DQ3" s="25">
        <f>IF(DAY(DQ$4)=1,TEXT(DQ$4,"mmm aa"),"")</f>
        <v/>
      </c>
      <c r="DR3" s="25">
        <f>IF(DAY(DR$4)=1,TEXT(DR$4,"mmm aa"),"")</f>
        <v/>
      </c>
      <c r="DS3" s="25">
        <f>IF(DAY(DS$4)=1,TEXT(DS$4,"mmm aa"),"")</f>
        <v/>
      </c>
      <c r="DT3" s="25">
        <f>IF(DAY(DT$4)=1,TEXT(DT$4,"mmm aa"),"")</f>
        <v/>
      </c>
      <c r="DU3" s="25">
        <f>IF(DAY(DU$4)=1,TEXT(DU$4,"mmm aa"),"")</f>
        <v/>
      </c>
      <c r="DV3" s="25">
        <f>IF(DAY(DV$4)=1,TEXT(DV$4,"mmm aa"),"")</f>
        <v/>
      </c>
      <c r="DW3" s="25">
        <f>IF(DAY(DW$4)=1,TEXT(DW$4,"mmm aa"),"")</f>
        <v/>
      </c>
      <c r="DX3" s="25">
        <f>IF(DAY(DX$4)=1,TEXT(DX$4,"mmm aa"),"")</f>
        <v/>
      </c>
      <c r="DY3" s="25">
        <f>IF(DAY(DY$4)=1,TEXT(DY$4,"mmm aa"),"")</f>
        <v/>
      </c>
      <c r="DZ3" s="25">
        <f>IF(DAY(DZ$4)=1,TEXT(DZ$4,"mmm aa"),"")</f>
        <v/>
      </c>
      <c r="EA3" s="25">
        <f>IF(DAY(EA$4)=1,TEXT(EA$4,"mmm aa"),"")</f>
        <v/>
      </c>
      <c r="EB3" s="25">
        <f>IF(DAY(EB$4)=1,TEXT(EB$4,"mmm aa"),"")</f>
        <v/>
      </c>
      <c r="EC3" s="25">
        <f>IF(DAY(EC$4)=1,TEXT(EC$4,"mmm aa"),"")</f>
        <v/>
      </c>
      <c r="ED3" s="25">
        <f>IF(DAY(ED$4)=1,TEXT(ED$4,"mmm aa"),"")</f>
        <v/>
      </c>
      <c r="EE3" s="25">
        <f>IF(DAY(EE$4)=1,TEXT(EE$4,"mmm aa"),"")</f>
        <v/>
      </c>
      <c r="EF3" s="25">
        <f>IF(DAY(EF$4)=1,TEXT(EF$4,"mmm aa"),"")</f>
        <v/>
      </c>
      <c r="EG3" s="25">
        <f>IF(DAY(EG$4)=1,TEXT(EG$4,"mmm aa"),"")</f>
        <v/>
      </c>
      <c r="EH3" s="25">
        <f>IF(DAY(EH$4)=1,TEXT(EH$4,"mmm aa"),"")</f>
        <v/>
      </c>
      <c r="EI3" s="25">
        <f>IF(DAY(EI$4)=1,TEXT(EI$4,"mmm aa"),"")</f>
        <v/>
      </c>
      <c r="EJ3" s="25">
        <f>IF(DAY(EJ$4)=1,TEXT(EJ$4,"mmm aa"),"")</f>
        <v/>
      </c>
      <c r="EK3" s="25">
        <f>IF(DAY(EK$4)=1,TEXT(EK$4,"mmm aa"),"")</f>
        <v/>
      </c>
      <c r="EL3" s="25">
        <f>IF(DAY(EL$4)=1,TEXT(EL$4,"mmm aa"),"")</f>
        <v/>
      </c>
      <c r="EM3" s="25">
        <f>IF(DAY(EM$4)=1,TEXT(EM$4,"mmm aa"),"")</f>
        <v/>
      </c>
      <c r="EN3" s="25">
        <f>IF(DAY(EN$4)=1,TEXT(EN$4,"mmm aa"),"")</f>
        <v/>
      </c>
      <c r="EO3" s="25">
        <f>IF(DAY(EO$4)=1,TEXT(EO$4,"mmm aa"),"")</f>
        <v/>
      </c>
      <c r="EP3" s="25">
        <f>IF(DAY(EP$4)=1,TEXT(EP$4,"mmm aa"),"")</f>
        <v/>
      </c>
    </row>
    <row r="4">
      <c r="A4" s="26" t="inlineStr">
        <is>
          <t>ID</t>
        </is>
      </c>
      <c r="C4" s="26" t="inlineStr">
        <is>
          <t>Étape</t>
        </is>
      </c>
      <c r="E4" s="26" t="inlineStr">
        <is>
          <t>Début</t>
        </is>
      </c>
      <c r="F4" s="26" t="inlineStr">
        <is>
          <t>Fin</t>
        </is>
      </c>
      <c r="G4" s="27">
        <f>IFERROR(INDEX(Suivi!$E:$E,5+($C$1-1)*54),"")</f>
        <v/>
      </c>
      <c r="H4" s="27">
        <f>G4+1</f>
        <v/>
      </c>
      <c r="I4" s="27">
        <f>H4+1</f>
        <v/>
      </c>
      <c r="J4" s="27">
        <f>I4+1</f>
        <v/>
      </c>
      <c r="K4" s="27">
        <f>J4+1</f>
        <v/>
      </c>
      <c r="L4" s="27">
        <f>K4+1</f>
        <v/>
      </c>
      <c r="M4" s="27">
        <f>L4+1</f>
        <v/>
      </c>
      <c r="N4" s="27">
        <f>M4+1</f>
        <v/>
      </c>
      <c r="O4" s="27">
        <f>N4+1</f>
        <v/>
      </c>
      <c r="P4" s="27">
        <f>O4+1</f>
        <v/>
      </c>
      <c r="Q4" s="27">
        <f>P4+1</f>
        <v/>
      </c>
      <c r="R4" s="27">
        <f>Q4+1</f>
        <v/>
      </c>
      <c r="S4" s="27">
        <f>R4+1</f>
        <v/>
      </c>
      <c r="T4" s="27">
        <f>S4+1</f>
        <v/>
      </c>
      <c r="U4" s="27">
        <f>T4+1</f>
        <v/>
      </c>
      <c r="V4" s="27">
        <f>U4+1</f>
        <v/>
      </c>
      <c r="W4" s="27">
        <f>V4+1</f>
        <v/>
      </c>
      <c r="X4" s="27">
        <f>W4+1</f>
        <v/>
      </c>
      <c r="Y4" s="27">
        <f>X4+1</f>
        <v/>
      </c>
      <c r="Z4" s="27">
        <f>Y4+1</f>
        <v/>
      </c>
      <c r="AA4" s="27">
        <f>Z4+1</f>
        <v/>
      </c>
      <c r="AB4" s="27">
        <f>AA4+1</f>
        <v/>
      </c>
      <c r="AC4" s="27">
        <f>AB4+1</f>
        <v/>
      </c>
      <c r="AD4" s="27">
        <f>AC4+1</f>
        <v/>
      </c>
      <c r="AE4" s="27">
        <f>AD4+1</f>
        <v/>
      </c>
      <c r="AF4" s="27">
        <f>AE4+1</f>
        <v/>
      </c>
      <c r="AG4" s="27">
        <f>AF4+1</f>
        <v/>
      </c>
      <c r="AH4" s="27">
        <f>AG4+1</f>
        <v/>
      </c>
      <c r="AI4" s="27">
        <f>AH4+1</f>
        <v/>
      </c>
      <c r="AJ4" s="27">
        <f>AI4+1</f>
        <v/>
      </c>
      <c r="AK4" s="27">
        <f>AJ4+1</f>
        <v/>
      </c>
      <c r="AL4" s="27">
        <f>AK4+1</f>
        <v/>
      </c>
      <c r="AM4" s="27">
        <f>AL4+1</f>
        <v/>
      </c>
      <c r="AN4" s="27">
        <f>AM4+1</f>
        <v/>
      </c>
      <c r="AO4" s="27">
        <f>AN4+1</f>
        <v/>
      </c>
      <c r="AP4" s="27">
        <f>AO4+1</f>
        <v/>
      </c>
      <c r="AQ4" s="27">
        <f>AP4+1</f>
        <v/>
      </c>
      <c r="AR4" s="27">
        <f>AQ4+1</f>
        <v/>
      </c>
      <c r="AS4" s="27">
        <f>AR4+1</f>
        <v/>
      </c>
      <c r="AT4" s="27">
        <f>AS4+1</f>
        <v/>
      </c>
      <c r="AU4" s="27">
        <f>AT4+1</f>
        <v/>
      </c>
      <c r="AV4" s="27">
        <f>AU4+1</f>
        <v/>
      </c>
      <c r="AW4" s="27">
        <f>AV4+1</f>
        <v/>
      </c>
      <c r="AX4" s="27">
        <f>AW4+1</f>
        <v/>
      </c>
      <c r="AY4" s="27">
        <f>AX4+1</f>
        <v/>
      </c>
      <c r="AZ4" s="27">
        <f>AY4+1</f>
        <v/>
      </c>
      <c r="BA4" s="27">
        <f>AZ4+1</f>
        <v/>
      </c>
      <c r="BB4" s="27">
        <f>BA4+1</f>
        <v/>
      </c>
      <c r="BC4" s="27">
        <f>BB4+1</f>
        <v/>
      </c>
      <c r="BD4" s="27">
        <f>BC4+1</f>
        <v/>
      </c>
      <c r="BE4" s="27">
        <f>BD4+1</f>
        <v/>
      </c>
      <c r="BF4" s="27">
        <f>BE4+1</f>
        <v/>
      </c>
      <c r="BG4" s="27">
        <f>BF4+1</f>
        <v/>
      </c>
      <c r="BH4" s="27">
        <f>BG4+1</f>
        <v/>
      </c>
      <c r="BI4" s="27">
        <f>BH4+1</f>
        <v/>
      </c>
      <c r="BJ4" s="27">
        <f>BI4+1</f>
        <v/>
      </c>
      <c r="BK4" s="27">
        <f>BJ4+1</f>
        <v/>
      </c>
      <c r="BL4" s="27">
        <f>BK4+1</f>
        <v/>
      </c>
      <c r="BM4" s="27">
        <f>BL4+1</f>
        <v/>
      </c>
      <c r="BN4" s="27">
        <f>BM4+1</f>
        <v/>
      </c>
      <c r="BO4" s="27">
        <f>BN4+1</f>
        <v/>
      </c>
      <c r="BP4" s="27">
        <f>BO4+1</f>
        <v/>
      </c>
      <c r="BQ4" s="27">
        <f>BP4+1</f>
        <v/>
      </c>
      <c r="BR4" s="27">
        <f>BQ4+1</f>
        <v/>
      </c>
      <c r="BS4" s="27">
        <f>BR4+1</f>
        <v/>
      </c>
      <c r="BT4" s="27">
        <f>BS4+1</f>
        <v/>
      </c>
      <c r="BU4" s="27">
        <f>BT4+1</f>
        <v/>
      </c>
      <c r="BV4" s="27">
        <f>BU4+1</f>
        <v/>
      </c>
      <c r="BW4" s="27">
        <f>BV4+1</f>
        <v/>
      </c>
      <c r="BX4" s="27">
        <f>BW4+1</f>
        <v/>
      </c>
      <c r="BY4" s="27">
        <f>BX4+1</f>
        <v/>
      </c>
      <c r="BZ4" s="27">
        <f>BY4+1</f>
        <v/>
      </c>
      <c r="CA4" s="27">
        <f>BZ4+1</f>
        <v/>
      </c>
      <c r="CB4" s="27">
        <f>CA4+1</f>
        <v/>
      </c>
      <c r="CC4" s="27">
        <f>CB4+1</f>
        <v/>
      </c>
      <c r="CD4" s="27">
        <f>CC4+1</f>
        <v/>
      </c>
      <c r="CE4" s="27">
        <f>CD4+1</f>
        <v/>
      </c>
      <c r="CF4" s="27">
        <f>CE4+1</f>
        <v/>
      </c>
      <c r="CG4" s="27">
        <f>CF4+1</f>
        <v/>
      </c>
      <c r="CH4" s="27">
        <f>CG4+1</f>
        <v/>
      </c>
      <c r="CI4" s="27">
        <f>CH4+1</f>
        <v/>
      </c>
      <c r="CJ4" s="27">
        <f>CI4+1</f>
        <v/>
      </c>
      <c r="CK4" s="27">
        <f>CJ4+1</f>
        <v/>
      </c>
      <c r="CL4" s="27">
        <f>CK4+1</f>
        <v/>
      </c>
      <c r="CM4" s="27">
        <f>CL4+1</f>
        <v/>
      </c>
      <c r="CN4" s="27">
        <f>CM4+1</f>
        <v/>
      </c>
      <c r="CO4" s="27">
        <f>CN4+1</f>
        <v/>
      </c>
      <c r="CP4" s="27">
        <f>CO4+1</f>
        <v/>
      </c>
      <c r="CQ4" s="27">
        <f>CP4+1</f>
        <v/>
      </c>
      <c r="CR4" s="27">
        <f>CQ4+1</f>
        <v/>
      </c>
      <c r="CS4" s="27">
        <f>CR4+1</f>
        <v/>
      </c>
      <c r="CT4" s="27">
        <f>CS4+1</f>
        <v/>
      </c>
      <c r="CU4" s="27">
        <f>CT4+1</f>
        <v/>
      </c>
      <c r="CV4" s="27">
        <f>CU4+1</f>
        <v/>
      </c>
      <c r="CW4" s="27">
        <f>CV4+1</f>
        <v/>
      </c>
      <c r="CX4" s="27">
        <f>CW4+1</f>
        <v/>
      </c>
      <c r="CY4" s="27">
        <f>CX4+1</f>
        <v/>
      </c>
      <c r="CZ4" s="27">
        <f>CY4+1</f>
        <v/>
      </c>
      <c r="DA4" s="27">
        <f>CZ4+1</f>
        <v/>
      </c>
      <c r="DB4" s="27">
        <f>DA4+1</f>
        <v/>
      </c>
      <c r="DC4" s="27">
        <f>DB4+1</f>
        <v/>
      </c>
      <c r="DD4" s="27">
        <f>DC4+1</f>
        <v/>
      </c>
      <c r="DE4" s="27">
        <f>DD4+1</f>
        <v/>
      </c>
      <c r="DF4" s="27">
        <f>DE4+1</f>
        <v/>
      </c>
      <c r="DG4" s="27">
        <f>DF4+1</f>
        <v/>
      </c>
      <c r="DH4" s="27">
        <f>DG4+1</f>
        <v/>
      </c>
      <c r="DI4" s="27">
        <f>DH4+1</f>
        <v/>
      </c>
      <c r="DJ4" s="27">
        <f>DI4+1</f>
        <v/>
      </c>
      <c r="DK4" s="27">
        <f>DJ4+1</f>
        <v/>
      </c>
      <c r="DL4" s="27">
        <f>DK4+1</f>
        <v/>
      </c>
      <c r="DM4" s="27">
        <f>DL4+1</f>
        <v/>
      </c>
      <c r="DN4" s="27">
        <f>DM4+1</f>
        <v/>
      </c>
      <c r="DO4" s="27">
        <f>DN4+1</f>
        <v/>
      </c>
      <c r="DP4" s="27">
        <f>DO4+1</f>
        <v/>
      </c>
      <c r="DQ4" s="27">
        <f>DP4+1</f>
        <v/>
      </c>
      <c r="DR4" s="27">
        <f>DQ4+1</f>
        <v/>
      </c>
      <c r="DS4" s="27">
        <f>DR4+1</f>
        <v/>
      </c>
      <c r="DT4" s="27">
        <f>DS4+1</f>
        <v/>
      </c>
      <c r="DU4" s="27">
        <f>DT4+1</f>
        <v/>
      </c>
      <c r="DV4" s="27">
        <f>DU4+1</f>
        <v/>
      </c>
      <c r="DW4" s="27">
        <f>DV4+1</f>
        <v/>
      </c>
      <c r="DX4" s="27">
        <f>DW4+1</f>
        <v/>
      </c>
      <c r="DY4" s="27">
        <f>DX4+1</f>
        <v/>
      </c>
      <c r="DZ4" s="27">
        <f>DY4+1</f>
        <v/>
      </c>
      <c r="EA4" s="27">
        <f>DZ4+1</f>
        <v/>
      </c>
      <c r="EB4" s="27">
        <f>EA4+1</f>
        <v/>
      </c>
      <c r="EC4" s="27">
        <f>EB4+1</f>
        <v/>
      </c>
      <c r="ED4" s="27">
        <f>EC4+1</f>
        <v/>
      </c>
      <c r="EE4" s="27">
        <f>ED4+1</f>
        <v/>
      </c>
      <c r="EF4" s="27">
        <f>EE4+1</f>
        <v/>
      </c>
      <c r="EG4" s="27">
        <f>EF4+1</f>
        <v/>
      </c>
      <c r="EH4" s="27">
        <f>EG4+1</f>
        <v/>
      </c>
      <c r="EI4" s="27">
        <f>EH4+1</f>
        <v/>
      </c>
      <c r="EJ4" s="27">
        <f>EI4+1</f>
        <v/>
      </c>
      <c r="EK4" s="27">
        <f>EJ4+1</f>
        <v/>
      </c>
      <c r="EL4" s="27">
        <f>EK4+1</f>
        <v/>
      </c>
      <c r="EM4" s="27">
        <f>EL4+1</f>
        <v/>
      </c>
      <c r="EN4" s="27">
        <f>EM4+1</f>
        <v/>
      </c>
      <c r="EO4" s="27">
        <f>EN4+1</f>
        <v/>
      </c>
      <c r="EP4" s="27">
        <f>EO4+1</f>
        <v/>
      </c>
    </row>
    <row r="5">
      <c r="A5" s="28">
        <f>IFERROR(INDEX(Suivi!$B:$B,5+($C$1-1)*54),"")</f>
        <v/>
      </c>
      <c r="C5">
        <f>IFERROR(IF(INDEX(Suivi!$D:$D,5+($C$1-1)*54)="",INDEX(Suivi!$C:$C,5+($C$1-1)*54),INDEX(Suivi!$D:$D,5+($C$1-1)*54)),"")</f>
        <v/>
      </c>
      <c r="E5" s="29">
        <f>IFERROR(INDEX(Suivi!$E:$E,5+($C$1-1)*54),"")</f>
        <v/>
      </c>
      <c r="F5" s="29">
        <f>IFERROR(INDEX(Suivi!$F:$F,5+($C$1-1)*54),"")</f>
        <v/>
      </c>
      <c r="P5" s="30">
        <f>IFERROR(INDEX(Suivi!$G:$G,5+($C$1-1)*54),"")</f>
        <v/>
      </c>
    </row>
    <row r="6">
      <c r="A6" s="28">
        <f>IFERROR(INDEX(Suivi!$B:$B,6+($C$1-1)*54),"")</f>
        <v/>
      </c>
      <c r="C6">
        <f>IFERROR(IF(INDEX(Suivi!$D:$D,6+($C$1-1)*54)="",INDEX(Suivi!$C:$C,6+($C$1-1)*54),INDEX(Suivi!$D:$D,6+($C$1-1)*54)),"")</f>
        <v/>
      </c>
      <c r="E6" s="29">
        <f>IFERROR(INDEX(Suivi!$E:$E,6+($C$1-1)*54),"")</f>
        <v/>
      </c>
      <c r="F6" s="29">
        <f>IFERROR(INDEX(Suivi!$F:$F,6+($C$1-1)*54),"")</f>
        <v/>
      </c>
      <c r="P6" s="30">
        <f>IFERROR(INDEX(Suivi!$G:$G,6+($C$1-1)*54),"")</f>
        <v/>
      </c>
    </row>
    <row r="7">
      <c r="A7" s="28">
        <f>IFERROR(INDEX(Suivi!$B:$B,7+($C$1-1)*54),"")</f>
        <v/>
      </c>
      <c r="C7">
        <f>IFERROR(IF(INDEX(Suivi!$D:$D,7+($C$1-1)*54)="",INDEX(Suivi!$C:$C,7+($C$1-1)*54),INDEX(Suivi!$D:$D,7+($C$1-1)*54)),"")</f>
        <v/>
      </c>
      <c r="E7" s="29">
        <f>IFERROR(INDEX(Suivi!$E:$E,7+($C$1-1)*54),"")</f>
        <v/>
      </c>
      <c r="F7" s="29">
        <f>IFERROR(INDEX(Suivi!$F:$F,7+($C$1-1)*54),"")</f>
        <v/>
      </c>
      <c r="P7" s="30">
        <f>IFERROR(INDEX(Suivi!$G:$G,7+($C$1-1)*54),"")</f>
        <v/>
      </c>
    </row>
    <row r="8">
      <c r="A8" s="28">
        <f>IFERROR(INDEX(Suivi!$B:$B,8+($C$1-1)*54),"")</f>
        <v/>
      </c>
      <c r="C8">
        <f>IFERROR(IF(INDEX(Suivi!$D:$D,8+($C$1-1)*54)="",INDEX(Suivi!$C:$C,8+($C$1-1)*54),INDEX(Suivi!$D:$D,8+($C$1-1)*54)),"")</f>
        <v/>
      </c>
      <c r="E8" s="29">
        <f>IFERROR(INDEX(Suivi!$E:$E,8+($C$1-1)*54),"")</f>
        <v/>
      </c>
      <c r="F8" s="29">
        <f>IFERROR(INDEX(Suivi!$F:$F,8+($C$1-1)*54),"")</f>
        <v/>
      </c>
      <c r="P8" s="30">
        <f>IFERROR(INDEX(Suivi!$G:$G,8+($C$1-1)*54),"")</f>
        <v/>
      </c>
    </row>
    <row r="9">
      <c r="A9" s="28">
        <f>IFERROR(INDEX(Suivi!$B:$B,9+($C$1-1)*54),"")</f>
        <v/>
      </c>
      <c r="C9">
        <f>IFERROR(IF(INDEX(Suivi!$D:$D,9+($C$1-1)*54)="",INDEX(Suivi!$C:$C,9+($C$1-1)*54),INDEX(Suivi!$D:$D,9+($C$1-1)*54)),"")</f>
        <v/>
      </c>
      <c r="E9" s="29">
        <f>IFERROR(INDEX(Suivi!$E:$E,9+($C$1-1)*54),"")</f>
        <v/>
      </c>
      <c r="F9" s="29">
        <f>IFERROR(INDEX(Suivi!$F:$F,9+($C$1-1)*54),"")</f>
        <v/>
      </c>
      <c r="P9" s="30">
        <f>IFERROR(INDEX(Suivi!$G:$G,9+($C$1-1)*54),"")</f>
        <v/>
      </c>
    </row>
    <row r="10">
      <c r="A10" s="28">
        <f>IFERROR(INDEX(Suivi!$B:$B,10+($C$1-1)*54),"")</f>
        <v/>
      </c>
      <c r="C10">
        <f>IFERROR(IF(INDEX(Suivi!$D:$D,10+($C$1-1)*54)="",INDEX(Suivi!$C:$C,10+($C$1-1)*54),INDEX(Suivi!$D:$D,10+($C$1-1)*54)),"")</f>
        <v/>
      </c>
      <c r="E10" s="29">
        <f>IFERROR(INDEX(Suivi!$E:$E,10+($C$1-1)*54),"")</f>
        <v/>
      </c>
      <c r="F10" s="29">
        <f>IFERROR(INDEX(Suivi!$F:$F,10+($C$1-1)*54),"")</f>
        <v/>
      </c>
      <c r="P10" s="30">
        <f>IFERROR(INDEX(Suivi!$G:$G,10+($C$1-1)*54),"")</f>
        <v/>
      </c>
    </row>
    <row r="11">
      <c r="A11" s="28">
        <f>IFERROR(INDEX(Suivi!$B:$B,11+($C$1-1)*54),"")</f>
        <v/>
      </c>
      <c r="C11">
        <f>IFERROR(IF(INDEX(Suivi!$D:$D,11+($C$1-1)*54)="",INDEX(Suivi!$C:$C,11+($C$1-1)*54),INDEX(Suivi!$D:$D,11+($C$1-1)*54)),"")</f>
        <v/>
      </c>
      <c r="E11" s="29">
        <f>IFERROR(INDEX(Suivi!$E:$E,11+($C$1-1)*54),"")</f>
        <v/>
      </c>
      <c r="F11" s="29">
        <f>IFERROR(INDEX(Suivi!$F:$F,11+($C$1-1)*54),"")</f>
        <v/>
      </c>
      <c r="P11" s="30">
        <f>IFERROR(INDEX(Suivi!$G:$G,11+($C$1-1)*54),"")</f>
        <v/>
      </c>
    </row>
    <row r="12">
      <c r="A12" s="28">
        <f>IFERROR(INDEX(Suivi!$B:$B,12+($C$1-1)*54),"")</f>
        <v/>
      </c>
      <c r="C12">
        <f>IFERROR(IF(INDEX(Suivi!$D:$D,12+($C$1-1)*54)="",INDEX(Suivi!$C:$C,12+($C$1-1)*54),INDEX(Suivi!$D:$D,12+($C$1-1)*54)),"")</f>
        <v/>
      </c>
      <c r="E12" s="29">
        <f>IFERROR(INDEX(Suivi!$E:$E,12+($C$1-1)*54),"")</f>
        <v/>
      </c>
      <c r="F12" s="29">
        <f>IFERROR(INDEX(Suivi!$F:$F,12+($C$1-1)*54),"")</f>
        <v/>
      </c>
      <c r="P12" s="30">
        <f>IFERROR(INDEX(Suivi!$G:$G,12+($C$1-1)*54),"")</f>
        <v/>
      </c>
    </row>
    <row r="13">
      <c r="A13" s="28">
        <f>IFERROR(INDEX(Suivi!$B:$B,13+($C$1-1)*54),"")</f>
        <v/>
      </c>
      <c r="C13">
        <f>IFERROR(IF(INDEX(Suivi!$D:$D,13+($C$1-1)*54)="",INDEX(Suivi!$C:$C,13+($C$1-1)*54),INDEX(Suivi!$D:$D,13+($C$1-1)*54)),"")</f>
        <v/>
      </c>
      <c r="E13" s="29">
        <f>IFERROR(INDEX(Suivi!$E:$E,13+($C$1-1)*54),"")</f>
        <v/>
      </c>
      <c r="F13" s="29">
        <f>IFERROR(INDEX(Suivi!$F:$F,13+($C$1-1)*54),"")</f>
        <v/>
      </c>
      <c r="P13" s="30">
        <f>IFERROR(INDEX(Suivi!$G:$G,13+($C$1-1)*54),"")</f>
        <v/>
      </c>
    </row>
    <row r="14">
      <c r="A14" s="28">
        <f>IFERROR(INDEX(Suivi!$B:$B,14+($C$1-1)*54),"")</f>
        <v/>
      </c>
      <c r="C14">
        <f>IFERROR(IF(INDEX(Suivi!$D:$D,14+($C$1-1)*54)="",INDEX(Suivi!$C:$C,14+($C$1-1)*54),INDEX(Suivi!$D:$D,14+($C$1-1)*54)),"")</f>
        <v/>
      </c>
      <c r="E14" s="29">
        <f>IFERROR(INDEX(Suivi!$E:$E,14+($C$1-1)*54),"")</f>
        <v/>
      </c>
      <c r="F14" s="29">
        <f>IFERROR(INDEX(Suivi!$F:$F,14+($C$1-1)*54),"")</f>
        <v/>
      </c>
      <c r="P14" s="30">
        <f>IFERROR(INDEX(Suivi!$G:$G,14+($C$1-1)*54),"")</f>
        <v/>
      </c>
    </row>
    <row r="15">
      <c r="A15" s="28">
        <f>IFERROR(INDEX(Suivi!$B:$B,15+($C$1-1)*54),"")</f>
        <v/>
      </c>
      <c r="C15">
        <f>IFERROR(IF(INDEX(Suivi!$D:$D,15+($C$1-1)*54)="",INDEX(Suivi!$C:$C,15+($C$1-1)*54),INDEX(Suivi!$D:$D,15+($C$1-1)*54)),"")</f>
        <v/>
      </c>
      <c r="E15" s="29">
        <f>IFERROR(INDEX(Suivi!$E:$E,15+($C$1-1)*54),"")</f>
        <v/>
      </c>
      <c r="F15" s="29">
        <f>IFERROR(INDEX(Suivi!$F:$F,15+($C$1-1)*54),"")</f>
        <v/>
      </c>
      <c r="P15" s="30">
        <f>IFERROR(INDEX(Suivi!$G:$G,15+($C$1-1)*54),"")</f>
        <v/>
      </c>
    </row>
    <row r="16">
      <c r="A16" s="28">
        <f>IFERROR(INDEX(Suivi!$B:$B,16+($C$1-1)*54),"")</f>
        <v/>
      </c>
      <c r="C16">
        <f>IFERROR(IF(INDEX(Suivi!$D:$D,16+($C$1-1)*54)="",INDEX(Suivi!$C:$C,16+($C$1-1)*54),INDEX(Suivi!$D:$D,16+($C$1-1)*54)),"")</f>
        <v/>
      </c>
      <c r="E16" s="29">
        <f>IFERROR(INDEX(Suivi!$E:$E,16+($C$1-1)*54),"")</f>
        <v/>
      </c>
      <c r="F16" s="29">
        <f>IFERROR(INDEX(Suivi!$F:$F,16+($C$1-1)*54),"")</f>
        <v/>
      </c>
      <c r="P16" s="30">
        <f>IFERROR(INDEX(Suivi!$G:$G,16+($C$1-1)*54),"")</f>
        <v/>
      </c>
    </row>
    <row r="17">
      <c r="A17" s="28">
        <f>IFERROR(INDEX(Suivi!$B:$B,17+($C$1-1)*54),"")</f>
        <v/>
      </c>
      <c r="C17">
        <f>IFERROR(IF(INDEX(Suivi!$D:$D,17+($C$1-1)*54)="",INDEX(Suivi!$C:$C,17+($C$1-1)*54),INDEX(Suivi!$D:$D,17+($C$1-1)*54)),"")</f>
        <v/>
      </c>
      <c r="E17" s="29">
        <f>IFERROR(INDEX(Suivi!$E:$E,17+($C$1-1)*54),"")</f>
        <v/>
      </c>
      <c r="F17" s="29">
        <f>IFERROR(INDEX(Suivi!$F:$F,17+($C$1-1)*54),"")</f>
        <v/>
      </c>
      <c r="P17" s="30">
        <f>IFERROR(INDEX(Suivi!$G:$G,17+($C$1-1)*54),"")</f>
        <v/>
      </c>
    </row>
    <row r="18">
      <c r="A18" s="28">
        <f>IFERROR(INDEX(Suivi!$B:$B,18+($C$1-1)*54),"")</f>
        <v/>
      </c>
      <c r="C18">
        <f>IFERROR(IF(INDEX(Suivi!$D:$D,18+($C$1-1)*54)="",INDEX(Suivi!$C:$C,18+($C$1-1)*54),INDEX(Suivi!$D:$D,18+($C$1-1)*54)),"")</f>
        <v/>
      </c>
      <c r="E18" s="29">
        <f>IFERROR(INDEX(Suivi!$E:$E,18+($C$1-1)*54),"")</f>
        <v/>
      </c>
      <c r="F18" s="29">
        <f>IFERROR(INDEX(Suivi!$F:$F,18+($C$1-1)*54),"")</f>
        <v/>
      </c>
      <c r="P18" s="30">
        <f>IFERROR(INDEX(Suivi!$G:$G,18+($C$1-1)*54),"")</f>
        <v/>
      </c>
    </row>
    <row r="19">
      <c r="A19" s="28">
        <f>IFERROR(INDEX(Suivi!$B:$B,19+($C$1-1)*54),"")</f>
        <v/>
      </c>
      <c r="C19">
        <f>IFERROR(IF(INDEX(Suivi!$D:$D,19+($C$1-1)*54)="",INDEX(Suivi!$C:$C,19+($C$1-1)*54),INDEX(Suivi!$D:$D,19+($C$1-1)*54)),"")</f>
        <v/>
      </c>
      <c r="E19" s="29">
        <f>IFERROR(INDEX(Suivi!$E:$E,19+($C$1-1)*54),"")</f>
        <v/>
      </c>
      <c r="F19" s="29">
        <f>IFERROR(INDEX(Suivi!$F:$F,19+($C$1-1)*54),"")</f>
        <v/>
      </c>
      <c r="P19" s="30">
        <f>IFERROR(INDEX(Suivi!$G:$G,19+($C$1-1)*54),"")</f>
        <v/>
      </c>
    </row>
    <row r="20">
      <c r="A20" s="28">
        <f>IFERROR(INDEX(Suivi!$B:$B,20+($C$1-1)*54),"")</f>
        <v/>
      </c>
      <c r="C20">
        <f>IFERROR(IF(INDEX(Suivi!$D:$D,20+($C$1-1)*54)="",INDEX(Suivi!$C:$C,20+($C$1-1)*54),INDEX(Suivi!$D:$D,20+($C$1-1)*54)),"")</f>
        <v/>
      </c>
      <c r="E20" s="29">
        <f>IFERROR(INDEX(Suivi!$E:$E,20+($C$1-1)*54),"")</f>
        <v/>
      </c>
      <c r="F20" s="29">
        <f>IFERROR(INDEX(Suivi!$F:$F,20+($C$1-1)*54),"")</f>
        <v/>
      </c>
      <c r="P20" s="30">
        <f>IFERROR(INDEX(Suivi!$G:$G,20+($C$1-1)*54),"")</f>
        <v/>
      </c>
    </row>
    <row r="21">
      <c r="A21" s="28">
        <f>IFERROR(INDEX(Suivi!$B:$B,21+($C$1-1)*54),"")</f>
        <v/>
      </c>
      <c r="C21">
        <f>IFERROR(IF(INDEX(Suivi!$D:$D,21+($C$1-1)*54)="",INDEX(Suivi!$C:$C,21+($C$1-1)*54),INDEX(Suivi!$D:$D,21+($C$1-1)*54)),"")</f>
        <v/>
      </c>
      <c r="E21" s="29">
        <f>IFERROR(INDEX(Suivi!$E:$E,21+($C$1-1)*54),"")</f>
        <v/>
      </c>
      <c r="F21" s="29">
        <f>IFERROR(INDEX(Suivi!$F:$F,21+($C$1-1)*54),"")</f>
        <v/>
      </c>
      <c r="P21" s="30">
        <f>IFERROR(INDEX(Suivi!$G:$G,21+($C$1-1)*54),"")</f>
        <v/>
      </c>
    </row>
    <row r="22">
      <c r="A22" s="28">
        <f>IFERROR(INDEX(Suivi!$B:$B,22+($C$1-1)*54),"")</f>
        <v/>
      </c>
      <c r="C22">
        <f>IFERROR(IF(INDEX(Suivi!$D:$D,22+($C$1-1)*54)="",INDEX(Suivi!$C:$C,22+($C$1-1)*54),INDEX(Suivi!$D:$D,22+($C$1-1)*54)),"")</f>
        <v/>
      </c>
      <c r="E22" s="29">
        <f>IFERROR(INDEX(Suivi!$E:$E,22+($C$1-1)*54),"")</f>
        <v/>
      </c>
      <c r="F22" s="29">
        <f>IFERROR(INDEX(Suivi!$F:$F,22+($C$1-1)*54),"")</f>
        <v/>
      </c>
      <c r="P22" s="30">
        <f>IFERROR(INDEX(Suivi!$G:$G,22+($C$1-1)*54),"")</f>
        <v/>
      </c>
    </row>
    <row r="23">
      <c r="A23" s="28">
        <f>IFERROR(INDEX(Suivi!$B:$B,23+($C$1-1)*54),"")</f>
        <v/>
      </c>
      <c r="C23">
        <f>IFERROR(IF(INDEX(Suivi!$D:$D,23+($C$1-1)*54)="",INDEX(Suivi!$C:$C,23+($C$1-1)*54),INDEX(Suivi!$D:$D,23+($C$1-1)*54)),"")</f>
        <v/>
      </c>
      <c r="E23" s="29">
        <f>IFERROR(INDEX(Suivi!$E:$E,23+($C$1-1)*54),"")</f>
        <v/>
      </c>
      <c r="F23" s="29">
        <f>IFERROR(INDEX(Suivi!$F:$F,23+($C$1-1)*54),"")</f>
        <v/>
      </c>
      <c r="P23" s="30">
        <f>IFERROR(INDEX(Suivi!$G:$G,23+($C$1-1)*54),"")</f>
        <v/>
      </c>
    </row>
    <row r="24">
      <c r="A24" s="28">
        <f>IFERROR(INDEX(Suivi!$B:$B,24+($C$1-1)*54),"")</f>
        <v/>
      </c>
      <c r="C24">
        <f>IFERROR(IF(INDEX(Suivi!$D:$D,24+($C$1-1)*54)="",INDEX(Suivi!$C:$C,24+($C$1-1)*54),INDEX(Suivi!$D:$D,24+($C$1-1)*54)),"")</f>
        <v/>
      </c>
      <c r="E24" s="29">
        <f>IFERROR(INDEX(Suivi!$E:$E,24+($C$1-1)*54),"")</f>
        <v/>
      </c>
      <c r="F24" s="29">
        <f>IFERROR(INDEX(Suivi!$F:$F,24+($C$1-1)*54),"")</f>
        <v/>
      </c>
      <c r="P24" s="30">
        <f>IFERROR(INDEX(Suivi!$G:$G,24+($C$1-1)*54),"")</f>
        <v/>
      </c>
    </row>
    <row r="25">
      <c r="A25" s="28">
        <f>IFERROR(INDEX(Suivi!$B:$B,25+($C$1-1)*54),"")</f>
        <v/>
      </c>
      <c r="C25">
        <f>IFERROR(IF(INDEX(Suivi!$D:$D,25+($C$1-1)*54)="",INDEX(Suivi!$C:$C,25+($C$1-1)*54),INDEX(Suivi!$D:$D,25+($C$1-1)*54)),"")</f>
        <v/>
      </c>
      <c r="E25" s="29">
        <f>IFERROR(INDEX(Suivi!$E:$E,25+($C$1-1)*54),"")</f>
        <v/>
      </c>
      <c r="F25" s="29">
        <f>IFERROR(INDEX(Suivi!$F:$F,25+($C$1-1)*54),"")</f>
        <v/>
      </c>
      <c r="P25" s="30">
        <f>IFERROR(INDEX(Suivi!$G:$G,25+($C$1-1)*54),"")</f>
        <v/>
      </c>
    </row>
    <row r="26">
      <c r="A26" s="28">
        <f>IFERROR(INDEX(Suivi!$B:$B,26+($C$1-1)*54),"")</f>
        <v/>
      </c>
      <c r="C26">
        <f>IFERROR(IF(INDEX(Suivi!$D:$D,26+($C$1-1)*54)="",INDEX(Suivi!$C:$C,26+($C$1-1)*54),INDEX(Suivi!$D:$D,26+($C$1-1)*54)),"")</f>
        <v/>
      </c>
      <c r="E26" s="29">
        <f>IFERROR(INDEX(Suivi!$E:$E,26+($C$1-1)*54),"")</f>
        <v/>
      </c>
      <c r="F26" s="29">
        <f>IFERROR(INDEX(Suivi!$F:$F,26+($C$1-1)*54),"")</f>
        <v/>
      </c>
      <c r="P26" s="30">
        <f>IFERROR(INDEX(Suivi!$G:$G,26+($C$1-1)*54),"")</f>
        <v/>
      </c>
    </row>
    <row r="27">
      <c r="A27" s="28">
        <f>IFERROR(INDEX(Suivi!$B:$B,27+($C$1-1)*54),"")</f>
        <v/>
      </c>
      <c r="C27">
        <f>IFERROR(IF(INDEX(Suivi!$D:$D,27+($C$1-1)*54)="",INDEX(Suivi!$C:$C,27+($C$1-1)*54),INDEX(Suivi!$D:$D,27+($C$1-1)*54)),"")</f>
        <v/>
      </c>
      <c r="E27" s="29">
        <f>IFERROR(INDEX(Suivi!$E:$E,27+($C$1-1)*54),"")</f>
        <v/>
      </c>
      <c r="F27" s="29">
        <f>IFERROR(INDEX(Suivi!$F:$F,27+($C$1-1)*54),"")</f>
        <v/>
      </c>
      <c r="P27" s="30">
        <f>IFERROR(INDEX(Suivi!$G:$G,27+($C$1-1)*54),"")</f>
        <v/>
      </c>
    </row>
    <row r="28">
      <c r="A28" s="28">
        <f>IFERROR(INDEX(Suivi!$B:$B,28+($C$1-1)*54),"")</f>
        <v/>
      </c>
      <c r="C28">
        <f>IFERROR(IF(INDEX(Suivi!$D:$D,28+($C$1-1)*54)="",INDEX(Suivi!$C:$C,28+($C$1-1)*54),INDEX(Suivi!$D:$D,28+($C$1-1)*54)),"")</f>
        <v/>
      </c>
      <c r="E28" s="29">
        <f>IFERROR(INDEX(Suivi!$E:$E,28+($C$1-1)*54),"")</f>
        <v/>
      </c>
      <c r="F28" s="29">
        <f>IFERROR(INDEX(Suivi!$F:$F,28+($C$1-1)*54),"")</f>
        <v/>
      </c>
      <c r="P28" s="30">
        <f>IFERROR(INDEX(Suivi!$G:$G,28+($C$1-1)*54),"")</f>
        <v/>
      </c>
    </row>
    <row r="29">
      <c r="A29" s="28">
        <f>IFERROR(INDEX(Suivi!$B:$B,29+($C$1-1)*54),"")</f>
        <v/>
      </c>
      <c r="C29">
        <f>IFERROR(IF(INDEX(Suivi!$D:$D,29+($C$1-1)*54)="",INDEX(Suivi!$C:$C,29+($C$1-1)*54),INDEX(Suivi!$D:$D,29+($C$1-1)*54)),"")</f>
        <v/>
      </c>
      <c r="E29" s="29">
        <f>IFERROR(INDEX(Suivi!$E:$E,29+($C$1-1)*54),"")</f>
        <v/>
      </c>
      <c r="F29" s="29">
        <f>IFERROR(INDEX(Suivi!$F:$F,29+($C$1-1)*54),"")</f>
        <v/>
      </c>
      <c r="P29" s="30">
        <f>IFERROR(INDEX(Suivi!$G:$G,29+($C$1-1)*54),"")</f>
        <v/>
      </c>
    </row>
    <row r="30">
      <c r="A30" s="28">
        <f>IFERROR(INDEX(Suivi!$B:$B,30+($C$1-1)*54),"")</f>
        <v/>
      </c>
      <c r="C30">
        <f>IFERROR(IF(INDEX(Suivi!$D:$D,30+($C$1-1)*54)="",INDEX(Suivi!$C:$C,30+($C$1-1)*54),INDEX(Suivi!$D:$D,30+($C$1-1)*54)),"")</f>
        <v/>
      </c>
      <c r="E30" s="29">
        <f>IFERROR(INDEX(Suivi!$E:$E,30+($C$1-1)*54),"")</f>
        <v/>
      </c>
      <c r="F30" s="29">
        <f>IFERROR(INDEX(Suivi!$F:$F,30+($C$1-1)*54),"")</f>
        <v/>
      </c>
      <c r="P30" s="30">
        <f>IFERROR(INDEX(Suivi!$G:$G,30+($C$1-1)*54),"")</f>
        <v/>
      </c>
    </row>
    <row r="31">
      <c r="A31" s="28">
        <f>IFERROR(INDEX(Suivi!$B:$B,31+($C$1-1)*54),"")</f>
        <v/>
      </c>
      <c r="C31">
        <f>IFERROR(IF(INDEX(Suivi!$D:$D,31+($C$1-1)*54)="",INDEX(Suivi!$C:$C,31+($C$1-1)*54),INDEX(Suivi!$D:$D,31+($C$1-1)*54)),"")</f>
        <v/>
      </c>
      <c r="E31" s="29">
        <f>IFERROR(INDEX(Suivi!$E:$E,31+($C$1-1)*54),"")</f>
        <v/>
      </c>
      <c r="F31" s="29">
        <f>IFERROR(INDEX(Suivi!$F:$F,31+($C$1-1)*54),"")</f>
        <v/>
      </c>
      <c r="P31" s="30">
        <f>IFERROR(INDEX(Suivi!$G:$G,31+($C$1-1)*54),"")</f>
        <v/>
      </c>
    </row>
    <row r="32">
      <c r="A32" s="28">
        <f>IFERROR(INDEX(Suivi!$B:$B,32+($C$1-1)*54),"")</f>
        <v/>
      </c>
      <c r="C32">
        <f>IFERROR(IF(INDEX(Suivi!$D:$D,32+($C$1-1)*54)="",INDEX(Suivi!$C:$C,32+($C$1-1)*54),INDEX(Suivi!$D:$D,32+($C$1-1)*54)),"")</f>
        <v/>
      </c>
      <c r="E32" s="29">
        <f>IFERROR(INDEX(Suivi!$E:$E,32+($C$1-1)*54),"")</f>
        <v/>
      </c>
      <c r="F32" s="29">
        <f>IFERROR(INDEX(Suivi!$F:$F,32+($C$1-1)*54),"")</f>
        <v/>
      </c>
      <c r="P32" s="30">
        <f>IFERROR(INDEX(Suivi!$G:$G,32+($C$1-1)*54),"")</f>
        <v/>
      </c>
    </row>
    <row r="33">
      <c r="A33" s="28">
        <f>IFERROR(INDEX(Suivi!$B:$B,33+($C$1-1)*54),"")</f>
        <v/>
      </c>
      <c r="C33">
        <f>IFERROR(IF(INDEX(Suivi!$D:$D,33+($C$1-1)*54)="",INDEX(Suivi!$C:$C,33+($C$1-1)*54),INDEX(Suivi!$D:$D,33+($C$1-1)*54)),"")</f>
        <v/>
      </c>
      <c r="E33" s="29">
        <f>IFERROR(INDEX(Suivi!$E:$E,33+($C$1-1)*54),"")</f>
        <v/>
      </c>
      <c r="F33" s="29">
        <f>IFERROR(INDEX(Suivi!$F:$F,33+($C$1-1)*54),"")</f>
        <v/>
      </c>
      <c r="P33" s="30">
        <f>IFERROR(INDEX(Suivi!$G:$G,33+($C$1-1)*54),"")</f>
        <v/>
      </c>
    </row>
    <row r="34">
      <c r="A34" s="28">
        <f>IFERROR(INDEX(Suivi!$B:$B,34+($C$1-1)*54),"")</f>
        <v/>
      </c>
      <c r="C34">
        <f>IFERROR(IF(INDEX(Suivi!$D:$D,34+($C$1-1)*54)="",INDEX(Suivi!$C:$C,34+($C$1-1)*54),INDEX(Suivi!$D:$D,34+($C$1-1)*54)),"")</f>
        <v/>
      </c>
      <c r="E34" s="29">
        <f>IFERROR(INDEX(Suivi!$E:$E,34+($C$1-1)*54),"")</f>
        <v/>
      </c>
      <c r="F34" s="29">
        <f>IFERROR(INDEX(Suivi!$F:$F,34+($C$1-1)*54),"")</f>
        <v/>
      </c>
      <c r="P34" s="30">
        <f>IFERROR(INDEX(Suivi!$G:$G,34+($C$1-1)*54),"")</f>
        <v/>
      </c>
    </row>
    <row r="35">
      <c r="A35" s="28">
        <f>IFERROR(INDEX(Suivi!$B:$B,35+($C$1-1)*54),"")</f>
        <v/>
      </c>
      <c r="C35">
        <f>IFERROR(IF(INDEX(Suivi!$D:$D,35+($C$1-1)*54)="",INDEX(Suivi!$C:$C,35+($C$1-1)*54),INDEX(Suivi!$D:$D,35+($C$1-1)*54)),"")</f>
        <v/>
      </c>
      <c r="E35" s="29">
        <f>IFERROR(INDEX(Suivi!$E:$E,35+($C$1-1)*54),"")</f>
        <v/>
      </c>
      <c r="F35" s="29">
        <f>IFERROR(INDEX(Suivi!$F:$F,35+($C$1-1)*54),"")</f>
        <v/>
      </c>
      <c r="P35" s="30">
        <f>IFERROR(INDEX(Suivi!$G:$G,35+($C$1-1)*54),"")</f>
        <v/>
      </c>
    </row>
    <row r="36">
      <c r="A36" s="28">
        <f>IFERROR(INDEX(Suivi!$B:$B,36+($C$1-1)*54),"")</f>
        <v/>
      </c>
      <c r="C36">
        <f>IFERROR(IF(INDEX(Suivi!$D:$D,36+($C$1-1)*54)="",INDEX(Suivi!$C:$C,36+($C$1-1)*54),INDEX(Suivi!$D:$D,36+($C$1-1)*54)),"")</f>
        <v/>
      </c>
      <c r="E36" s="29">
        <f>IFERROR(INDEX(Suivi!$E:$E,36+($C$1-1)*54),"")</f>
        <v/>
      </c>
      <c r="F36" s="29">
        <f>IFERROR(INDEX(Suivi!$F:$F,36+($C$1-1)*54),"")</f>
        <v/>
      </c>
      <c r="P36" s="30">
        <f>IFERROR(INDEX(Suivi!$G:$G,36+($C$1-1)*54),"")</f>
        <v/>
      </c>
    </row>
    <row r="37">
      <c r="A37" s="28">
        <f>IFERROR(INDEX(Suivi!$B:$B,37+($C$1-1)*54),"")</f>
        <v/>
      </c>
      <c r="C37">
        <f>IFERROR(IF(INDEX(Suivi!$D:$D,37+($C$1-1)*54)="",INDEX(Suivi!$C:$C,37+($C$1-1)*54),INDEX(Suivi!$D:$D,37+($C$1-1)*54)),"")</f>
        <v/>
      </c>
      <c r="E37" s="29">
        <f>IFERROR(INDEX(Suivi!$E:$E,37+($C$1-1)*54),"")</f>
        <v/>
      </c>
      <c r="F37" s="29">
        <f>IFERROR(INDEX(Suivi!$F:$F,37+($C$1-1)*54),"")</f>
        <v/>
      </c>
      <c r="P37" s="30">
        <f>IFERROR(INDEX(Suivi!$G:$G,37+($C$1-1)*54),"")</f>
        <v/>
      </c>
    </row>
    <row r="38">
      <c r="A38" s="28">
        <f>IFERROR(INDEX(Suivi!$B:$B,38+($C$1-1)*54),"")</f>
        <v/>
      </c>
      <c r="C38">
        <f>IFERROR(IF(INDEX(Suivi!$D:$D,38+($C$1-1)*54)="",INDEX(Suivi!$C:$C,38+($C$1-1)*54),INDEX(Suivi!$D:$D,38+($C$1-1)*54)),"")</f>
        <v/>
      </c>
      <c r="E38" s="29">
        <f>IFERROR(INDEX(Suivi!$E:$E,38+($C$1-1)*54),"")</f>
        <v/>
      </c>
      <c r="F38" s="29">
        <f>IFERROR(INDEX(Suivi!$F:$F,38+($C$1-1)*54),"")</f>
        <v/>
      </c>
      <c r="P38" s="30">
        <f>IFERROR(INDEX(Suivi!$G:$G,38+($C$1-1)*54),"")</f>
        <v/>
      </c>
    </row>
    <row r="39">
      <c r="A39" s="28">
        <f>IFERROR(INDEX(Suivi!$B:$B,39+($C$1-1)*54),"")</f>
        <v/>
      </c>
      <c r="C39">
        <f>IFERROR(IF(INDEX(Suivi!$D:$D,39+($C$1-1)*54)="",INDEX(Suivi!$C:$C,39+($C$1-1)*54),INDEX(Suivi!$D:$D,39+($C$1-1)*54)),"")</f>
        <v/>
      </c>
      <c r="E39" s="29">
        <f>IFERROR(INDEX(Suivi!$E:$E,39+($C$1-1)*54),"")</f>
        <v/>
      </c>
      <c r="F39" s="29">
        <f>IFERROR(INDEX(Suivi!$F:$F,39+($C$1-1)*54),"")</f>
        <v/>
      </c>
      <c r="P39" s="30">
        <f>IFERROR(INDEX(Suivi!$G:$G,39+($C$1-1)*54),"")</f>
        <v/>
      </c>
    </row>
    <row r="40">
      <c r="A40" s="28">
        <f>IFERROR(INDEX(Suivi!$B:$B,40+($C$1-1)*54),"")</f>
        <v/>
      </c>
      <c r="C40">
        <f>IFERROR(IF(INDEX(Suivi!$D:$D,40+($C$1-1)*54)="",INDEX(Suivi!$C:$C,40+($C$1-1)*54),INDEX(Suivi!$D:$D,40+($C$1-1)*54)),"")</f>
        <v/>
      </c>
      <c r="E40" s="29">
        <f>IFERROR(INDEX(Suivi!$E:$E,40+($C$1-1)*54),"")</f>
        <v/>
      </c>
      <c r="F40" s="29">
        <f>IFERROR(INDEX(Suivi!$F:$F,40+($C$1-1)*54),"")</f>
        <v/>
      </c>
      <c r="P40" s="30">
        <f>IFERROR(INDEX(Suivi!$G:$G,40+($C$1-1)*54),"")</f>
        <v/>
      </c>
    </row>
    <row r="41">
      <c r="A41" s="28">
        <f>IFERROR(INDEX(Suivi!$B:$B,41+($C$1-1)*54),"")</f>
        <v/>
      </c>
      <c r="C41">
        <f>IFERROR(IF(INDEX(Suivi!$D:$D,41+($C$1-1)*54)="",INDEX(Suivi!$C:$C,41+($C$1-1)*54),INDEX(Suivi!$D:$D,41+($C$1-1)*54)),"")</f>
        <v/>
      </c>
      <c r="E41" s="29">
        <f>IFERROR(INDEX(Suivi!$E:$E,41+($C$1-1)*54),"")</f>
        <v/>
      </c>
      <c r="F41" s="29">
        <f>IFERROR(INDEX(Suivi!$F:$F,41+($C$1-1)*54),"")</f>
        <v/>
      </c>
      <c r="P41" s="30">
        <f>IFERROR(INDEX(Suivi!$G:$G,41+($C$1-1)*54),"")</f>
        <v/>
      </c>
    </row>
    <row r="42">
      <c r="A42" s="28">
        <f>IFERROR(INDEX(Suivi!$B:$B,42+($C$1-1)*54),"")</f>
        <v/>
      </c>
      <c r="C42">
        <f>IFERROR(IF(INDEX(Suivi!$D:$D,42+($C$1-1)*54)="",INDEX(Suivi!$C:$C,42+($C$1-1)*54),INDEX(Suivi!$D:$D,42+($C$1-1)*54)),"")</f>
        <v/>
      </c>
      <c r="E42" s="29">
        <f>IFERROR(INDEX(Suivi!$E:$E,42+($C$1-1)*54),"")</f>
        <v/>
      </c>
      <c r="F42" s="29">
        <f>IFERROR(INDEX(Suivi!$F:$F,42+($C$1-1)*54),"")</f>
        <v/>
      </c>
      <c r="P42" s="30">
        <f>IFERROR(INDEX(Suivi!$G:$G,42+($C$1-1)*54),"")</f>
        <v/>
      </c>
    </row>
    <row r="43">
      <c r="A43" s="28">
        <f>IFERROR(INDEX(Suivi!$B:$B,43+($C$1-1)*54),"")</f>
        <v/>
      </c>
      <c r="C43">
        <f>IFERROR(IF(INDEX(Suivi!$D:$D,43+($C$1-1)*54)="",INDEX(Suivi!$C:$C,43+($C$1-1)*54),INDEX(Suivi!$D:$D,43+($C$1-1)*54)),"")</f>
        <v/>
      </c>
      <c r="E43" s="29">
        <f>IFERROR(INDEX(Suivi!$E:$E,43+($C$1-1)*54),"")</f>
        <v/>
      </c>
      <c r="F43" s="29">
        <f>IFERROR(INDEX(Suivi!$F:$F,43+($C$1-1)*54),"")</f>
        <v/>
      </c>
      <c r="P43" s="30">
        <f>IFERROR(INDEX(Suivi!$G:$G,43+($C$1-1)*54),"")</f>
        <v/>
      </c>
    </row>
    <row r="44">
      <c r="A44" s="28">
        <f>IFERROR(INDEX(Suivi!$B:$B,44+($C$1-1)*54),"")</f>
        <v/>
      </c>
      <c r="C44">
        <f>IFERROR(IF(INDEX(Suivi!$D:$D,44+($C$1-1)*54)="",INDEX(Suivi!$C:$C,44+($C$1-1)*54),INDEX(Suivi!$D:$D,44+($C$1-1)*54)),"")</f>
        <v/>
      </c>
      <c r="E44" s="29">
        <f>IFERROR(INDEX(Suivi!$E:$E,44+($C$1-1)*54),"")</f>
        <v/>
      </c>
      <c r="F44" s="29">
        <f>IFERROR(INDEX(Suivi!$F:$F,44+($C$1-1)*54),"")</f>
        <v/>
      </c>
      <c r="P44" s="30">
        <f>IFERROR(INDEX(Suivi!$G:$G,44+($C$1-1)*54),"")</f>
        <v/>
      </c>
    </row>
    <row r="45">
      <c r="A45" s="28">
        <f>IFERROR(INDEX(Suivi!$B:$B,45+($C$1-1)*54),"")</f>
        <v/>
      </c>
      <c r="C45">
        <f>IFERROR(IF(INDEX(Suivi!$D:$D,45+($C$1-1)*54)="",INDEX(Suivi!$C:$C,45+($C$1-1)*54),INDEX(Suivi!$D:$D,45+($C$1-1)*54)),"")</f>
        <v/>
      </c>
      <c r="E45" s="29">
        <f>IFERROR(INDEX(Suivi!$E:$E,45+($C$1-1)*54),"")</f>
        <v/>
      </c>
      <c r="F45" s="29">
        <f>IFERROR(INDEX(Suivi!$F:$F,45+($C$1-1)*54),"")</f>
        <v/>
      </c>
      <c r="P45" s="30">
        <f>IFERROR(INDEX(Suivi!$G:$G,45+($C$1-1)*54),"")</f>
        <v/>
      </c>
    </row>
    <row r="46">
      <c r="A46" s="28">
        <f>IFERROR(INDEX(Suivi!$B:$B,46+($C$1-1)*54),"")</f>
        <v/>
      </c>
      <c r="C46">
        <f>IFERROR(IF(INDEX(Suivi!$D:$D,46+($C$1-1)*54)="",INDEX(Suivi!$C:$C,46+($C$1-1)*54),INDEX(Suivi!$D:$D,46+($C$1-1)*54)),"")</f>
        <v/>
      </c>
      <c r="E46" s="29">
        <f>IFERROR(INDEX(Suivi!$E:$E,46+($C$1-1)*54),"")</f>
        <v/>
      </c>
      <c r="F46" s="29">
        <f>IFERROR(INDEX(Suivi!$F:$F,46+($C$1-1)*54),"")</f>
        <v/>
      </c>
      <c r="P46" s="30">
        <f>IFERROR(INDEX(Suivi!$G:$G,46+($C$1-1)*54),"")</f>
        <v/>
      </c>
    </row>
    <row r="47">
      <c r="A47" s="28">
        <f>IFERROR(INDEX(Suivi!$B:$B,47+($C$1-1)*54),"")</f>
        <v/>
      </c>
      <c r="C47">
        <f>IFERROR(IF(INDEX(Suivi!$D:$D,47+($C$1-1)*54)="",INDEX(Suivi!$C:$C,47+($C$1-1)*54),INDEX(Suivi!$D:$D,47+($C$1-1)*54)),"")</f>
        <v/>
      </c>
      <c r="E47" s="29">
        <f>IFERROR(INDEX(Suivi!$E:$E,47+($C$1-1)*54),"")</f>
        <v/>
      </c>
      <c r="F47" s="29">
        <f>IFERROR(INDEX(Suivi!$F:$F,47+($C$1-1)*54),"")</f>
        <v/>
      </c>
      <c r="P47" s="30">
        <f>IFERROR(INDEX(Suivi!$G:$G,47+($C$1-1)*54),"")</f>
        <v/>
      </c>
    </row>
    <row r="48">
      <c r="A48" s="28">
        <f>IFERROR(INDEX(Suivi!$B:$B,48+($C$1-1)*54),"")</f>
        <v/>
      </c>
      <c r="C48">
        <f>IFERROR(IF(INDEX(Suivi!$D:$D,48+($C$1-1)*54)="",INDEX(Suivi!$C:$C,48+($C$1-1)*54),INDEX(Suivi!$D:$D,48+($C$1-1)*54)),"")</f>
        <v/>
      </c>
      <c r="E48" s="29">
        <f>IFERROR(INDEX(Suivi!$E:$E,48+($C$1-1)*54),"")</f>
        <v/>
      </c>
      <c r="F48" s="29">
        <f>IFERROR(INDEX(Suivi!$F:$F,48+($C$1-1)*54),"")</f>
        <v/>
      </c>
      <c r="P48" s="30">
        <f>IFERROR(INDEX(Suivi!$G:$G,48+($C$1-1)*54),"")</f>
        <v/>
      </c>
    </row>
    <row r="49">
      <c r="A49" s="28">
        <f>IFERROR(INDEX(Suivi!$B:$B,49+($C$1-1)*54),"")</f>
        <v/>
      </c>
      <c r="C49">
        <f>IFERROR(IF(INDEX(Suivi!$D:$D,49+($C$1-1)*54)="",INDEX(Suivi!$C:$C,49+($C$1-1)*54),INDEX(Suivi!$D:$D,49+($C$1-1)*54)),"")</f>
        <v/>
      </c>
      <c r="E49" s="29">
        <f>IFERROR(INDEX(Suivi!$E:$E,49+($C$1-1)*54),"")</f>
        <v/>
      </c>
      <c r="F49" s="29">
        <f>IFERROR(INDEX(Suivi!$F:$F,49+($C$1-1)*54),"")</f>
        <v/>
      </c>
      <c r="P49" s="30">
        <f>IFERROR(INDEX(Suivi!$G:$G,49+($C$1-1)*54),"")</f>
        <v/>
      </c>
    </row>
    <row r="50">
      <c r="A50" s="28">
        <f>IFERROR(INDEX(Suivi!$B:$B,50+($C$1-1)*54),"")</f>
        <v/>
      </c>
      <c r="C50">
        <f>IFERROR(IF(INDEX(Suivi!$D:$D,50+($C$1-1)*54)="",INDEX(Suivi!$C:$C,50+($C$1-1)*54),INDEX(Suivi!$D:$D,50+($C$1-1)*54)),"")</f>
        <v/>
      </c>
      <c r="E50" s="29">
        <f>IFERROR(INDEX(Suivi!$E:$E,50+($C$1-1)*54),"")</f>
        <v/>
      </c>
      <c r="F50" s="29">
        <f>IFERROR(INDEX(Suivi!$F:$F,50+($C$1-1)*54),"")</f>
        <v/>
      </c>
      <c r="P50" s="30">
        <f>IFERROR(INDEX(Suivi!$G:$G,50+($C$1-1)*54),"")</f>
        <v/>
      </c>
    </row>
    <row r="51">
      <c r="A51" s="28">
        <f>IFERROR(INDEX(Suivi!$B:$B,51+($C$1-1)*54),"")</f>
        <v/>
      </c>
      <c r="C51">
        <f>IFERROR(IF(INDEX(Suivi!$D:$D,51+($C$1-1)*54)="",INDEX(Suivi!$C:$C,51+($C$1-1)*54),INDEX(Suivi!$D:$D,51+($C$1-1)*54)),"")</f>
        <v/>
      </c>
      <c r="E51" s="29">
        <f>IFERROR(INDEX(Suivi!$E:$E,51+($C$1-1)*54),"")</f>
        <v/>
      </c>
      <c r="F51" s="29">
        <f>IFERROR(INDEX(Suivi!$F:$F,51+($C$1-1)*54),"")</f>
        <v/>
      </c>
      <c r="P51" s="30">
        <f>IFERROR(INDEX(Suivi!$G:$G,51+($C$1-1)*54),"")</f>
        <v/>
      </c>
    </row>
    <row r="52">
      <c r="A52" s="28">
        <f>IFERROR(INDEX(Suivi!$B:$B,52+($C$1-1)*54),"")</f>
        <v/>
      </c>
      <c r="C52">
        <f>IFERROR(IF(INDEX(Suivi!$D:$D,52+($C$1-1)*54)="",INDEX(Suivi!$C:$C,52+($C$1-1)*54),INDEX(Suivi!$D:$D,52+($C$1-1)*54)),"")</f>
        <v/>
      </c>
      <c r="E52" s="29">
        <f>IFERROR(INDEX(Suivi!$E:$E,52+($C$1-1)*54),"")</f>
        <v/>
      </c>
      <c r="F52" s="29">
        <f>IFERROR(INDEX(Suivi!$F:$F,52+($C$1-1)*54),"")</f>
        <v/>
      </c>
      <c r="P52" s="30">
        <f>IFERROR(INDEX(Suivi!$G:$G,52+($C$1-1)*54),"")</f>
        <v/>
      </c>
    </row>
    <row r="53">
      <c r="A53" s="28">
        <f>IFERROR(INDEX(Suivi!$B:$B,53+($C$1-1)*54),"")</f>
        <v/>
      </c>
      <c r="C53">
        <f>IFERROR(IF(INDEX(Suivi!$D:$D,53+($C$1-1)*54)="",INDEX(Suivi!$C:$C,53+($C$1-1)*54),INDEX(Suivi!$D:$D,53+($C$1-1)*54)),"")</f>
        <v/>
      </c>
      <c r="E53" s="29">
        <f>IFERROR(INDEX(Suivi!$E:$E,53+($C$1-1)*54),"")</f>
        <v/>
      </c>
      <c r="F53" s="29">
        <f>IFERROR(INDEX(Suivi!$F:$F,53+($C$1-1)*54),"")</f>
        <v/>
      </c>
      <c r="P53" s="30">
        <f>IFERROR(INDEX(Suivi!$G:$G,53+($C$1-1)*54),"")</f>
        <v/>
      </c>
    </row>
    <row r="54">
      <c r="A54" s="28">
        <f>IFERROR(INDEX(Suivi!$B:$B,54+($C$1-1)*54),"")</f>
        <v/>
      </c>
      <c r="C54">
        <f>IFERROR(IF(INDEX(Suivi!$D:$D,54+($C$1-1)*54)="",INDEX(Suivi!$C:$C,54+($C$1-1)*54),INDEX(Suivi!$D:$D,54+($C$1-1)*54)),"")</f>
        <v/>
      </c>
      <c r="E54" s="29">
        <f>IFERROR(INDEX(Suivi!$E:$E,54+($C$1-1)*54),"")</f>
        <v/>
      </c>
      <c r="F54" s="29">
        <f>IFERROR(INDEX(Suivi!$F:$F,54+($C$1-1)*54),"")</f>
        <v/>
      </c>
      <c r="P54" s="30">
        <f>IFERROR(INDEX(Suivi!$G:$G,54+($C$1-1)*54),"")</f>
        <v/>
      </c>
    </row>
    <row r="55">
      <c r="A55" s="28">
        <f>IFERROR(INDEX(Suivi!$B:$B,55+($C$1-1)*54),"")</f>
        <v/>
      </c>
      <c r="C55">
        <f>IFERROR(IF(INDEX(Suivi!$D:$D,55+($C$1-1)*54)="",INDEX(Suivi!$C:$C,55+($C$1-1)*54),INDEX(Suivi!$D:$D,55+($C$1-1)*54)),"")</f>
        <v/>
      </c>
      <c r="E55" s="29">
        <f>IFERROR(INDEX(Suivi!$E:$E,55+($C$1-1)*54),"")</f>
        <v/>
      </c>
      <c r="F55" s="29">
        <f>IFERROR(INDEX(Suivi!$F:$F,55+($C$1-1)*54),"")</f>
        <v/>
      </c>
      <c r="P55" s="30">
        <f>IFERROR(INDEX(Suivi!$G:$G,55+($C$1-1)*54),"")</f>
        <v/>
      </c>
    </row>
    <row r="56">
      <c r="A56" s="28">
        <f>IFERROR(INDEX(Suivi!$B:$B,56+($C$1-1)*54),"")</f>
        <v/>
      </c>
      <c r="C56">
        <f>IFERROR(IF(INDEX(Suivi!$D:$D,56+($C$1-1)*54)="",INDEX(Suivi!$C:$C,56+($C$1-1)*54),INDEX(Suivi!$D:$D,56+($C$1-1)*54)),"")</f>
        <v/>
      </c>
      <c r="E56" s="29">
        <f>IFERROR(INDEX(Suivi!$E:$E,56+($C$1-1)*54),"")</f>
        <v/>
      </c>
      <c r="F56" s="29">
        <f>IFERROR(INDEX(Suivi!$F:$F,56+($C$1-1)*54),"")</f>
        <v/>
      </c>
      <c r="P56" s="30">
        <f>IFERROR(INDEX(Suivi!$G:$G,56+($C$1-1)*54),"")</f>
        <v/>
      </c>
    </row>
    <row r="57">
      <c r="A57" s="28">
        <f>IFERROR(INDEX(Suivi!$B:$B,57+($C$1-1)*54),"")</f>
        <v/>
      </c>
      <c r="C57">
        <f>IFERROR(IF(INDEX(Suivi!$D:$D,57+($C$1-1)*54)="",INDEX(Suivi!$C:$C,57+($C$1-1)*54),INDEX(Suivi!$D:$D,57+($C$1-1)*54)),"")</f>
        <v/>
      </c>
      <c r="E57" s="29">
        <f>IFERROR(INDEX(Suivi!$E:$E,57+($C$1-1)*54),"")</f>
        <v/>
      </c>
      <c r="F57" s="29">
        <f>IFERROR(INDEX(Suivi!$F:$F,57+($C$1-1)*54),"")</f>
        <v/>
      </c>
      <c r="P57" s="30">
        <f>IFERROR(INDEX(Suivi!$G:$G,57+($C$1-1)*54),"")</f>
        <v/>
      </c>
    </row>
    <row r="59">
      <c r="C59" s="31" t="inlineStr">
        <is>
          <t>Jalons :</t>
        </is>
      </c>
      <c r="D59" t="inlineStr">
        <is>
          <t>CS :</t>
        </is>
      </c>
      <c r="E59" s="32">
        <f>IFERROR(INDEX(Dossiers!$F$4:$F$63,$C$1),"")</f>
        <v/>
      </c>
      <c r="F59" t="inlineStr">
        <is>
          <t>Jury :</t>
        </is>
      </c>
      <c r="G59" s="32">
        <f>IFERROR(INDEX(Dossiers!$G$4:$G$63,$C$1),"")</f>
        <v/>
      </c>
    </row>
    <row r="61">
      <c r="C61" s="31" t="inlineStr">
        <is>
          <t>Légende :</t>
        </is>
      </c>
      <c r="G61" s="33" t="n"/>
      <c r="H61" t="inlineStr">
        <is>
          <t>Macro-étape</t>
        </is>
      </c>
    </row>
    <row r="62">
      <c r="G62" s="34" t="n"/>
      <c r="H62" t="inlineStr">
        <is>
          <t>Tâche</t>
        </is>
      </c>
    </row>
    <row r="63">
      <c r="G63" s="35" t="n"/>
      <c r="H63" t="inlineStr">
        <is>
          <t>Week-end</t>
        </is>
      </c>
    </row>
    <row r="64">
      <c r="G64" s="36" t="n"/>
      <c r="H64" t="inlineStr">
        <is>
          <t>Date CS</t>
        </is>
      </c>
    </row>
    <row r="65">
      <c r="G65" s="37" t="n"/>
      <c r="H65" t="inlineStr">
        <is>
          <t>Date Jury</t>
        </is>
      </c>
    </row>
    <row r="66">
      <c r="G66" s="38" t="n"/>
      <c r="H66" t="inlineStr">
        <is>
          <t>Alerte retard</t>
        </is>
      </c>
    </row>
    <row r="68">
      <c r="C68" s="39" t="inlineStr">
        <is>
          <t>Gantt dynamique : changez le dossier en C1 ou modifiez Dossiers / Paramètres / Suivi.</t>
        </is>
      </c>
    </row>
  </sheetData>
  <mergeCells count="1">
    <mergeCell ref="D1:N1"/>
  </mergeCells>
  <conditionalFormatting sqref="G5:EP57">
    <cfRule type="expression" priority="1" dxfId="16" stopIfTrue="1">
      <formula>AND(ISNUMBER($E5),ISNUMBER($A5),G$4&gt;=$E5,G$4&lt;=$F5)</formula>
    </cfRule>
    <cfRule type="expression" priority="2" dxfId="17" stopIfTrue="1">
      <formula>AND(ISNUMBER($E5),G$4&gt;=$E5,G$4&lt;=IF($F5&lt;$E5,$E5,$F5))</formula>
    </cfRule>
    <cfRule type="expression" priority="3" dxfId="18" stopIfTrue="1">
      <formula>AND($P5="Alerte retard",G$4&lt;=$F5,G$4&gt;=$E5)</formula>
    </cfRule>
    <cfRule type="expression" priority="6" dxfId="19">
      <formula>AND(ISNUMBER($E$59),G$4=$E$59)</formula>
    </cfRule>
    <cfRule type="expression" priority="7" dxfId="20">
      <formula>AND(ISNUMBER($G$59),G$4=$G$59)</formula>
    </cfRule>
  </conditionalFormatting>
  <conditionalFormatting sqref="G3:EP57">
    <cfRule type="expression" priority="4" dxfId="21">
      <formula>OR(WEEKDAY(G$4,2)=6,WEEKDAY(G$4,2)=7)</formula>
    </cfRule>
  </conditionalFormatting>
  <conditionalFormatting sqref="A5:F57">
    <cfRule type="expression" priority="5" dxfId="22">
      <formula>ISNUMBER($A5)</formula>
    </cfRule>
  </conditionalFormatting>
  <dataValidations count="1">
    <dataValidation sqref="C1" showDropDown="0" showInputMessage="0" showErrorMessage="0" allowBlank="0" type="list">
      <formula1>=Dossiers!$A$4:$A$63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5" sqref="A5"/>
    </sheetView>
  </sheetViews>
  <sheetFormatPr baseColWidth="10" defaultColWidth="8.6640625" defaultRowHeight="14.4"/>
  <cols>
    <col width="46" customWidth="1" min="1" max="1"/>
    <col width="12" customWidth="1" min="2" max="3"/>
    <col width="16" customWidth="1" min="4" max="9"/>
    <col width="12" customWidth="1" min="10" max="11"/>
  </cols>
  <sheetData>
    <row r="1" ht="17.25" customHeight="1">
      <c r="A1" s="7" t="inlineStr">
        <is>
          <t>TABLEAU DE BORD DES DOSSIERS</t>
        </is>
      </c>
    </row>
    <row r="2">
      <c r="A2">
        <f>"Dossiers actifs : "&amp;COUNTIF(A5:A64,"?*")</f>
        <v/>
      </c>
      <c r="D2">
        <f>"Dossiers avec étapes en retard : "&amp;COUNTIF(K5:K64,"&gt;0")</f>
        <v/>
      </c>
    </row>
    <row r="3">
      <c r="A3" t="inlineStr">
        <is>
          <t>Cliquer sur un dossier pour ouvrir son détail. Réalisation = étapes « Réalisé » ou « Clôturé » sur le total des étapes.</t>
        </is>
      </c>
    </row>
    <row r="4" ht="48" customHeight="1">
      <c r="A4" s="8" t="inlineStr">
        <is>
          <t>Dossier</t>
        </is>
      </c>
      <c r="B4" s="9" t="inlineStr">
        <is>
          <t>Début</t>
        </is>
      </c>
      <c r="C4" s="9" t="inlineStr">
        <is>
          <t>Fin prévue</t>
        </is>
      </c>
      <c r="D4" s="9">
        <f>Paramètres!G5&amp;" · "&amp;Paramètres!H5</f>
        <v/>
      </c>
      <c r="E4" s="9">
        <f>Paramètres!G10&amp;" · "&amp;Paramètres!H10</f>
        <v/>
      </c>
      <c r="F4" s="9">
        <f>Paramètres!G15&amp;" · "&amp;Paramètres!H15</f>
        <v/>
      </c>
      <c r="G4" s="9">
        <f>Paramètres!G32&amp;" · "&amp;Paramètres!H32</f>
        <v/>
      </c>
      <c r="H4" s="9">
        <f>Paramètres!G37&amp;" · "&amp;Paramètres!H37</f>
        <v/>
      </c>
      <c r="I4" s="9">
        <f>Paramètres!G56&amp;" · "&amp;Paramètres!H56</f>
        <v/>
      </c>
      <c r="J4" s="9" t="inlineStr">
        <is>
          <t>Global</t>
        </is>
      </c>
      <c r="K4" s="9" t="inlineStr">
        <is>
          <t>Étapes en retard</t>
        </is>
      </c>
    </row>
    <row r="5">
      <c r="A5" s="10">
        <f>IF(ISNUMBER(Dossiers!$D$4),HYPERLINK("#Suivi!A4",Dossiers!$E$4),"")</f>
        <v/>
      </c>
      <c r="B5" s="5">
        <f>IF($A5="","",Dossiers!$D$4)</f>
        <v/>
      </c>
      <c r="C5" s="5">
        <f>IF($A5="","",MAX(Suivi!$F$5:$F$57))</f>
        <v/>
      </c>
      <c r="D5" s="11">
        <f>IF($A5="","",(COUNTIF(Suivi!$G$6:$G$9,"Réalisé")+COUNTIF(Suivi!$G$6:$G$9,"Clôturé"))/ROWS(Suivi!$G$6:$G$9))</f>
        <v/>
      </c>
      <c r="E5" s="11">
        <f>IF($A5="","",(COUNTIF(Suivi!$G$11:$G$14,"Réalisé")+COUNTIF(Suivi!$G$11:$G$14,"Clôturé"))/ROWS(Suivi!$G$11:$G$14))</f>
        <v/>
      </c>
      <c r="F5" s="11">
        <f>IF($A5="","",(COUNTIF(Suivi!$G$16:$G$31,"Réalisé")+COUNTIF(Suivi!$G$16:$G$31,"Clôturé"))/ROWS(Suivi!$G$16:$G$31))</f>
        <v/>
      </c>
      <c r="G5" s="11">
        <f>IF($A5="","",(COUNTIF(Suivi!$G$33:$G$36,"Réalisé")+COUNTIF(Suivi!$G$33:$G$36,"Clôturé"))/ROWS(Suivi!$G$33:$G$36))</f>
        <v/>
      </c>
      <c r="H5" s="11">
        <f>IF($A5="","",(COUNTIF(Suivi!$G$38:$G$55,"Réalisé")+COUNTIF(Suivi!$G$38:$G$55,"Clôturé"))/ROWS(Suivi!$G$38:$G$55))</f>
        <v/>
      </c>
      <c r="I5" s="11">
        <f>IF($A5="","",(COUNTIF(Suivi!$G$57:$G$57,"Réalisé")+COUNTIF(Suivi!$G$57:$G$57,"Clôturé"))/ROWS(Suivi!$G$57:$G$57))</f>
        <v/>
      </c>
      <c r="J5" s="11">
        <f>IF($A5="","",SUMPRODUCT(ISNUMBER(SEARCH(".",Suivi!$B$5:$B$57))*((Suivi!$G$5:$G$57="Réalisé")+(Suivi!$G$5:$G$57="Clôturé")))/SUMPRODUCT(--ISNUMBER(SEARCH(".",Suivi!$B$5:$B$57))))</f>
        <v/>
      </c>
      <c r="K5">
        <f>IF($A5="","",SUMPRODUCT(ISNUMBER(SEARCH(".",Suivi!$B$5:$B$57))*ISNUMBER(Suivi!$F$5:$F$57)*(Suivi!$F$5:$F$57&lt;TODAY())*(Suivi!$G$5:$G$57&lt;&gt;"Réalisé")*(Suivi!$G$5:$G$57&lt;&gt;"Clôturé")))</f>
        <v/>
      </c>
    </row>
    <row r="6">
      <c r="A6" s="10">
        <f>IF(ISNUMBER(Dossiers!$D$5),HYPERLINK("#Suivi!A58",Dossiers!$E$5),"")</f>
        <v/>
      </c>
      <c r="B6" s="5">
        <f>IF($A6="","",Dossiers!$D$5)</f>
        <v/>
      </c>
      <c r="C6" s="5">
        <f>IF($A6="","",MAX(Suivi!$F$59:$F$111))</f>
        <v/>
      </c>
      <c r="D6" s="11">
        <f>IF($A6="","",(COUNTIF(Suivi!$G$60:$G$63,"Réalisé")+COUNTIF(Suivi!$G$60:$G$63,"Clôturé"))/ROWS(Suivi!$G$60:$G$63))</f>
        <v/>
      </c>
      <c r="E6" s="11">
        <f>IF($A6="","",(COUNTIF(Suivi!$G$65:$G$68,"Réalisé")+COUNTIF(Suivi!$G$65:$G$68,"Clôturé"))/ROWS(Suivi!$G$65:$G$68))</f>
        <v/>
      </c>
      <c r="F6" s="11">
        <f>IF($A6="","",(COUNTIF(Suivi!$G$70:$G$85,"Réalisé")+COUNTIF(Suivi!$G$70:$G$85,"Clôturé"))/ROWS(Suivi!$G$70:$G$85))</f>
        <v/>
      </c>
      <c r="G6" s="11">
        <f>IF($A6="","",(COUNTIF(Suivi!$G$87:$G$90,"Réalisé")+COUNTIF(Suivi!$G$87:$G$90,"Clôturé"))/ROWS(Suivi!$G$87:$G$90))</f>
        <v/>
      </c>
      <c r="H6" s="11">
        <f>IF($A6="","",(COUNTIF(Suivi!$G$92:$G$109,"Réalisé")+COUNTIF(Suivi!$G$92:$G$109,"Clôturé"))/ROWS(Suivi!$G$92:$G$109))</f>
        <v/>
      </c>
      <c r="I6" s="11">
        <f>IF($A6="","",(COUNTIF(Suivi!$G$111:$G$111,"Réalisé")+COUNTIF(Suivi!$G$111:$G$111,"Clôturé"))/ROWS(Suivi!$G$111:$G$111))</f>
        <v/>
      </c>
      <c r="J6" s="11">
        <f>IF($A6="","",SUMPRODUCT(ISNUMBER(SEARCH(".",Suivi!$B$59:$B$111))*((Suivi!$G$59:$G$111="Réalisé")+(Suivi!$G$59:$G$111="Clôturé")))/SUMPRODUCT(--ISNUMBER(SEARCH(".",Suivi!$B$59:$B$111))))</f>
        <v/>
      </c>
      <c r="K6">
        <f>IF($A6="","",SUMPRODUCT(ISNUMBER(SEARCH(".",Suivi!$B$59:$B$111))*ISNUMBER(Suivi!$F$59:$F$111)*(Suivi!$F$59:$F$111&lt;TODAY())*(Suivi!$G$59:$G$111&lt;&gt;"Réalisé")*(Suivi!$G$59:$G$111&lt;&gt;"Clôturé")))</f>
        <v/>
      </c>
    </row>
    <row r="7">
      <c r="A7" s="10">
        <f>IF(ISNUMBER(Dossiers!$D$6),HYPERLINK("#Suivi!A112",Dossiers!$E$6),"")</f>
        <v/>
      </c>
      <c r="B7" s="5">
        <f>IF($A7="","",Dossiers!$D$6)</f>
        <v/>
      </c>
      <c r="C7" s="5">
        <f>IF($A7="","",MAX(Suivi!$F$113:$F$165))</f>
        <v/>
      </c>
      <c r="D7" s="11">
        <f>IF($A7="","",(COUNTIF(Suivi!$G$114:$G$117,"Réalisé")+COUNTIF(Suivi!$G$114:$G$117,"Clôturé"))/ROWS(Suivi!$G$114:$G$117))</f>
        <v/>
      </c>
      <c r="E7" s="11">
        <f>IF($A7="","",(COUNTIF(Suivi!$G$119:$G$122,"Réalisé")+COUNTIF(Suivi!$G$119:$G$122,"Clôturé"))/ROWS(Suivi!$G$119:$G$122))</f>
        <v/>
      </c>
      <c r="F7" s="11">
        <f>IF($A7="","",(COUNTIF(Suivi!$G$124:$G$139,"Réalisé")+COUNTIF(Suivi!$G$124:$G$139,"Clôturé"))/ROWS(Suivi!$G$124:$G$139))</f>
        <v/>
      </c>
      <c r="G7" s="11">
        <f>IF($A7="","",(COUNTIF(Suivi!$G$141:$G$144,"Réalisé")+COUNTIF(Suivi!$G$141:$G$144,"Clôturé"))/ROWS(Suivi!$G$141:$G$144))</f>
        <v/>
      </c>
      <c r="H7" s="11">
        <f>IF($A7="","",(COUNTIF(Suivi!$G$146:$G$163,"Réalisé")+COUNTIF(Suivi!$G$146:$G$163,"Clôturé"))/ROWS(Suivi!$G$146:$G$163))</f>
        <v/>
      </c>
      <c r="I7" s="11">
        <f>IF($A7="","",(COUNTIF(Suivi!$G$165:$G$165,"Réalisé")+COUNTIF(Suivi!$G$165:$G$165,"Clôturé"))/ROWS(Suivi!$G$165:$G$165))</f>
        <v/>
      </c>
      <c r="J7" s="11">
        <f>IF($A7="","",SUMPRODUCT(ISNUMBER(SEARCH(".",Suivi!$B$113:$B$165))*((Suivi!$G$113:$G$165="Réalisé")+(Suivi!$G$113:$G$165="Clôturé")))/SUMPRODUCT(--ISNUMBER(SEARCH(".",Suivi!$B$113:$B$165))))</f>
        <v/>
      </c>
      <c r="K7">
        <f>IF($A7="","",SUMPRODUCT(ISNUMBER(SEARCH(".",Suivi!$B$113:$B$165))*ISNUMBER(Suivi!$F$113:$F$165)*(Suivi!$F$113:$F$165&lt;TODAY())*(Suivi!$G$113:$G$165&lt;&gt;"Réalisé")*(Suivi!$G$113:$G$165&lt;&gt;"Clôturé")))</f>
        <v/>
      </c>
    </row>
    <row r="8">
      <c r="A8" s="10">
        <f>IF(ISNUMBER(Dossiers!$D$7),HYPERLINK("#Suivi!A166",Dossiers!$E$7),"")</f>
        <v/>
      </c>
      <c r="B8" s="5">
        <f>IF($A8="","",Dossiers!$D$7)</f>
        <v/>
      </c>
      <c r="C8" s="5">
        <f>IF($A8="","",MAX(Suivi!$F$167:$F$219))</f>
        <v/>
      </c>
      <c r="D8" s="11">
        <f>IF($A8="","",(COUNTIF(Suivi!$G$168:$G$171,"Réalisé")+COUNTIF(Suivi!$G$168:$G$171,"Clôturé"))/ROWS(Suivi!$G$168:$G$171))</f>
        <v/>
      </c>
      <c r="E8" s="11">
        <f>IF($A8="","",(COUNTIF(Suivi!$G$173:$G$176,"Réalisé")+COUNTIF(Suivi!$G$173:$G$176,"Clôturé"))/ROWS(Suivi!$G$173:$G$176))</f>
        <v/>
      </c>
      <c r="F8" s="11">
        <f>IF($A8="","",(COUNTIF(Suivi!$G$178:$G$193,"Réalisé")+COUNTIF(Suivi!$G$178:$G$193,"Clôturé"))/ROWS(Suivi!$G$178:$G$193))</f>
        <v/>
      </c>
      <c r="G8" s="11">
        <f>IF($A8="","",(COUNTIF(Suivi!$G$195:$G$198,"Réalisé")+COUNTIF(Suivi!$G$195:$G$198,"Clôturé"))/ROWS(Suivi!$G$195:$G$198))</f>
        <v/>
      </c>
      <c r="H8" s="11">
        <f>IF($A8="","",(COUNTIF(Suivi!$G$200:$G$217,"Réalisé")+COUNTIF(Suivi!$G$200:$G$217,"Clôturé"))/ROWS(Suivi!$G$200:$G$217))</f>
        <v/>
      </c>
      <c r="I8" s="11">
        <f>IF($A8="","",(COUNTIF(Suivi!$G$219:$G$219,"Réalisé")+COUNTIF(Suivi!$G$219:$G$219,"Clôturé"))/ROWS(Suivi!$G$219:$G$219))</f>
        <v/>
      </c>
      <c r="J8" s="11">
        <f>IF($A8="","",SUMPRODUCT(ISNUMBER(SEARCH(".",Suivi!$B$167:$B$219))*((Suivi!$G$167:$G$219="Réalisé")+(Suivi!$G$167:$G$219="Clôturé")))/SUMPRODUCT(--ISNUMBER(SEARCH(".",Suivi!$B$167:$B$219))))</f>
        <v/>
      </c>
      <c r="K8">
        <f>IF($A8="","",SUMPRODUCT(ISNUMBER(SEARCH(".",Suivi!$B$167:$B$219))*ISNUMBER(Suivi!$F$167:$F$219)*(Suivi!$F$167:$F$219&lt;TODAY())*(Suivi!$G$167:$G$219&lt;&gt;"Réalisé")*(Suivi!$G$167:$G$219&lt;&gt;"Clôturé")))</f>
        <v/>
      </c>
    </row>
    <row r="9">
      <c r="A9" s="10">
        <f>IF(ISNUMBER(Dossiers!$D$8),HYPERLINK("#Suivi!A220",Dossiers!$E$8),"")</f>
        <v/>
      </c>
      <c r="B9" s="5">
        <f>IF($A9="","",Dossiers!$D$8)</f>
        <v/>
      </c>
      <c r="C9" s="5">
        <f>IF($A9="","",MAX(Suivi!$F$221:$F$273))</f>
        <v/>
      </c>
      <c r="D9" s="11">
        <f>IF($A9="","",(COUNTIF(Suivi!$G$222:$G$225,"Réalisé")+COUNTIF(Suivi!$G$222:$G$225,"Clôturé"))/ROWS(Suivi!$G$222:$G$225))</f>
        <v/>
      </c>
      <c r="E9" s="11">
        <f>IF($A9="","",(COUNTIF(Suivi!$G$227:$G$230,"Réalisé")+COUNTIF(Suivi!$G$227:$G$230,"Clôturé"))/ROWS(Suivi!$G$227:$G$230))</f>
        <v/>
      </c>
      <c r="F9" s="11">
        <f>IF($A9="","",(COUNTIF(Suivi!$G$232:$G$247,"Réalisé")+COUNTIF(Suivi!$G$232:$G$247,"Clôturé"))/ROWS(Suivi!$G$232:$G$247))</f>
        <v/>
      </c>
      <c r="G9" s="11">
        <f>IF($A9="","",(COUNTIF(Suivi!$G$249:$G$252,"Réalisé")+COUNTIF(Suivi!$G$249:$G$252,"Clôturé"))/ROWS(Suivi!$G$249:$G$252))</f>
        <v/>
      </c>
      <c r="H9" s="11">
        <f>IF($A9="","",(COUNTIF(Suivi!$G$254:$G$271,"Réalisé")+COUNTIF(Suivi!$G$254:$G$271,"Clôturé"))/ROWS(Suivi!$G$254:$G$271))</f>
        <v/>
      </c>
      <c r="I9" s="11">
        <f>IF($A9="","",(COUNTIF(Suivi!$G$273:$G$273,"Réalisé")+COUNTIF(Suivi!$G$273:$G$273,"Clôturé"))/ROWS(Suivi!$G$273:$G$273))</f>
        <v/>
      </c>
      <c r="J9" s="11">
        <f>IF($A9="","",SUMPRODUCT(ISNUMBER(SEARCH(".",Suivi!$B$221:$B$273))*((Suivi!$G$221:$G$273="Réalisé")+(Suivi!$G$221:$G$273="Clôturé")))/SUMPRODUCT(--ISNUMBER(SEARCH(".",Suivi!$B$221:$B$273))))</f>
        <v/>
      </c>
      <c r="K9">
        <f>IF($A9="","",SUMPRODUCT(ISNUMBER(SEARCH(".",Suivi!$B$221:$B$273))*ISNUMBER(Suivi!$F$221:$F$273)*(Suivi!$F$221:$F$273&lt;TODAY())*(Suivi!$G$221:$G$273&lt;&gt;"Réalisé")*(Suivi!$G$221:$G$273&lt;&gt;"Clôturé")))</f>
        <v/>
      </c>
    </row>
    <row r="10">
      <c r="A10" s="10">
        <f>IF(ISNUMBER(Dossiers!$D$9),HYPERLINK("#Suivi!A274",Dossiers!$E$9),"")</f>
        <v/>
      </c>
      <c r="B10" s="5">
        <f>IF($A10="","",Dossiers!$D$9)</f>
        <v/>
      </c>
      <c r="C10" s="5">
        <f>IF($A10="","",MAX(Suivi!$F$275:$F$327))</f>
        <v/>
      </c>
      <c r="D10" s="11">
        <f>IF($A10="","",(COUNTIF(Suivi!$G$276:$G$279,"Réalisé")+COUNTIF(Suivi!$G$276:$G$279,"Clôturé"))/ROWS(Suivi!$G$276:$G$279))</f>
        <v/>
      </c>
      <c r="E10" s="11">
        <f>IF($A10="","",(COUNTIF(Suivi!$G$281:$G$284,"Réalisé")+COUNTIF(Suivi!$G$281:$G$284,"Clôturé"))/ROWS(Suivi!$G$281:$G$284))</f>
        <v/>
      </c>
      <c r="F10" s="11">
        <f>IF($A10="","",(COUNTIF(Suivi!$G$286:$G$301,"Réalisé")+COUNTIF(Suivi!$G$286:$G$301,"Clôturé"))/ROWS(Suivi!$G$286:$G$301))</f>
        <v/>
      </c>
      <c r="G10" s="11">
        <f>IF($A10="","",(COUNTIF(Suivi!$G$303:$G$306,"Réalisé")+COUNTIF(Suivi!$G$303:$G$306,"Clôturé"))/ROWS(Suivi!$G$303:$G$306))</f>
        <v/>
      </c>
      <c r="H10" s="11">
        <f>IF($A10="","",(COUNTIF(Suivi!$G$308:$G$325,"Réalisé")+COUNTIF(Suivi!$G$308:$G$325,"Clôturé"))/ROWS(Suivi!$G$308:$G$325))</f>
        <v/>
      </c>
      <c r="I10" s="11">
        <f>IF($A10="","",(COUNTIF(Suivi!$G$327:$G$327,"Réalisé")+COUNTIF(Suivi!$G$327:$G$327,"Clôturé"))/ROWS(Suivi!$G$327:$G$327))</f>
        <v/>
      </c>
      <c r="J10" s="11">
        <f>IF($A10="","",SUMPRODUCT(ISNUMBER(SEARCH(".",Suivi!$B$275:$B$327))*((Suivi!$G$275:$G$327="Réalisé")+(Suivi!$G$275:$G$327="Clôturé")))/SUMPRODUCT(--ISNUMBER(SEARCH(".",Suivi!$B$275:$B$327))))</f>
        <v/>
      </c>
      <c r="K10">
        <f>IF($A10="","",SUMPRODUCT(ISNUMBER(SEARCH(".",Suivi!$B$275:$B$327))*ISNUMBER(Suivi!$F$275:$F$327)*(Suivi!$F$275:$F$327&lt;TODAY())*(Suivi!$G$275:$G$327&lt;&gt;"Réalisé")*(Suivi!$G$275:$G$327&lt;&gt;"Clôturé")))</f>
        <v/>
      </c>
    </row>
    <row r="11">
      <c r="A11" s="10">
        <f>IF(ISNUMBER(Dossiers!$D$10),HYPERLINK("#Suivi!A328",Dossiers!$E$10),"")</f>
        <v/>
      </c>
      <c r="B11" s="5">
        <f>IF($A11="","",Dossiers!$D$10)</f>
        <v/>
      </c>
      <c r="C11" s="5">
        <f>IF($A11="","",MAX(Suivi!$F$329:$F$381))</f>
        <v/>
      </c>
      <c r="D11" s="11">
        <f>IF($A11="","",(COUNTIF(Suivi!$G$330:$G$333,"Réalisé")+COUNTIF(Suivi!$G$330:$G$333,"Clôturé"))/ROWS(Suivi!$G$330:$G$333))</f>
        <v/>
      </c>
      <c r="E11" s="11">
        <f>IF($A11="","",(COUNTIF(Suivi!$G$335:$G$338,"Réalisé")+COUNTIF(Suivi!$G$335:$G$338,"Clôturé"))/ROWS(Suivi!$G$335:$G$338))</f>
        <v/>
      </c>
      <c r="F11" s="11">
        <f>IF($A11="","",(COUNTIF(Suivi!$G$340:$G$355,"Réalisé")+COUNTIF(Suivi!$G$340:$G$355,"Clôturé"))/ROWS(Suivi!$G$340:$G$355))</f>
        <v/>
      </c>
      <c r="G11" s="11">
        <f>IF($A11="","",(COUNTIF(Suivi!$G$357:$G$360,"Réalisé")+COUNTIF(Suivi!$G$357:$G$360,"Clôturé"))/ROWS(Suivi!$G$357:$G$360))</f>
        <v/>
      </c>
      <c r="H11" s="11">
        <f>IF($A11="","",(COUNTIF(Suivi!$G$362:$G$379,"Réalisé")+COUNTIF(Suivi!$G$362:$G$379,"Clôturé"))/ROWS(Suivi!$G$362:$G$379))</f>
        <v/>
      </c>
      <c r="I11" s="11">
        <f>IF($A11="","",(COUNTIF(Suivi!$G$381:$G$381,"Réalisé")+COUNTIF(Suivi!$G$381:$G$381,"Clôturé"))/ROWS(Suivi!$G$381:$G$381))</f>
        <v/>
      </c>
      <c r="J11" s="11">
        <f>IF($A11="","",SUMPRODUCT(ISNUMBER(SEARCH(".",Suivi!$B$329:$B$381))*((Suivi!$G$329:$G$381="Réalisé")+(Suivi!$G$329:$G$381="Clôturé")))/SUMPRODUCT(--ISNUMBER(SEARCH(".",Suivi!$B$329:$B$381))))</f>
        <v/>
      </c>
      <c r="K11">
        <f>IF($A11="","",SUMPRODUCT(ISNUMBER(SEARCH(".",Suivi!$B$329:$B$381))*ISNUMBER(Suivi!$F$329:$F$381)*(Suivi!$F$329:$F$381&lt;TODAY())*(Suivi!$G$329:$G$381&lt;&gt;"Réalisé")*(Suivi!$G$329:$G$381&lt;&gt;"Clôturé")))</f>
        <v/>
      </c>
    </row>
    <row r="12">
      <c r="A12" s="10">
        <f>IF(ISNUMBER(Dossiers!$D$11),HYPERLINK("#Suivi!A382",Dossiers!$E$11),"")</f>
        <v/>
      </c>
      <c r="B12" s="5">
        <f>IF($A12="","",Dossiers!$D$11)</f>
        <v/>
      </c>
      <c r="C12" s="5">
        <f>IF($A12="","",MAX(Suivi!$F$383:$F$435))</f>
        <v/>
      </c>
      <c r="D12" s="11">
        <f>IF($A12="","",(COUNTIF(Suivi!$G$384:$G$387,"Réalisé")+COUNTIF(Suivi!$G$384:$G$387,"Clôturé"))/ROWS(Suivi!$G$384:$G$387))</f>
        <v/>
      </c>
      <c r="E12" s="11">
        <f>IF($A12="","",(COUNTIF(Suivi!$G$389:$G$392,"Réalisé")+COUNTIF(Suivi!$G$389:$G$392,"Clôturé"))/ROWS(Suivi!$G$389:$G$392))</f>
        <v/>
      </c>
      <c r="F12" s="11">
        <f>IF($A12="","",(COUNTIF(Suivi!$G$394:$G$409,"Réalisé")+COUNTIF(Suivi!$G$394:$G$409,"Clôturé"))/ROWS(Suivi!$G$394:$G$409))</f>
        <v/>
      </c>
      <c r="G12" s="11">
        <f>IF($A12="","",(COUNTIF(Suivi!$G$411:$G$414,"Réalisé")+COUNTIF(Suivi!$G$411:$G$414,"Clôturé"))/ROWS(Suivi!$G$411:$G$414))</f>
        <v/>
      </c>
      <c r="H12" s="11">
        <f>IF($A12="","",(COUNTIF(Suivi!$G$416:$G$433,"Réalisé")+COUNTIF(Suivi!$G$416:$G$433,"Clôturé"))/ROWS(Suivi!$G$416:$G$433))</f>
        <v/>
      </c>
      <c r="I12" s="11">
        <f>IF($A12="","",(COUNTIF(Suivi!$G$435:$G$435,"Réalisé")+COUNTIF(Suivi!$G$435:$G$435,"Clôturé"))/ROWS(Suivi!$G$435:$G$435))</f>
        <v/>
      </c>
      <c r="J12" s="11">
        <f>IF($A12="","",SUMPRODUCT(ISNUMBER(SEARCH(".",Suivi!$B$383:$B$435))*((Suivi!$G$383:$G$435="Réalisé")+(Suivi!$G$383:$G$435="Clôturé")))/SUMPRODUCT(--ISNUMBER(SEARCH(".",Suivi!$B$383:$B$435))))</f>
        <v/>
      </c>
      <c r="K12">
        <f>IF($A12="","",SUMPRODUCT(ISNUMBER(SEARCH(".",Suivi!$B$383:$B$435))*ISNUMBER(Suivi!$F$383:$F$435)*(Suivi!$F$383:$F$435&lt;TODAY())*(Suivi!$G$383:$G$435&lt;&gt;"Réalisé")*(Suivi!$G$383:$G$435&lt;&gt;"Clôturé")))</f>
        <v/>
      </c>
    </row>
    <row r="13">
      <c r="A13" s="10">
        <f>IF(ISNUMBER(Dossiers!$D$12),HYPERLINK("#Suivi!A436",Dossiers!$E$12),"")</f>
        <v/>
      </c>
      <c r="B13" s="5">
        <f>IF($A13="","",Dossiers!$D$12)</f>
        <v/>
      </c>
      <c r="C13" s="5">
        <f>IF($A13="","",MAX(Suivi!$F$437:$F$489))</f>
        <v/>
      </c>
      <c r="D13" s="11">
        <f>IF($A13="","",(COUNTIF(Suivi!$G$438:$G$441,"Réalisé")+COUNTIF(Suivi!$G$438:$G$441,"Clôturé"))/ROWS(Suivi!$G$438:$G$441))</f>
        <v/>
      </c>
      <c r="E13" s="11">
        <f>IF($A13="","",(COUNTIF(Suivi!$G$443:$G$446,"Réalisé")+COUNTIF(Suivi!$G$443:$G$446,"Clôturé"))/ROWS(Suivi!$G$443:$G$446))</f>
        <v/>
      </c>
      <c r="F13" s="11">
        <f>IF($A13="","",(COUNTIF(Suivi!$G$448:$G$463,"Réalisé")+COUNTIF(Suivi!$G$448:$G$463,"Clôturé"))/ROWS(Suivi!$G$448:$G$463))</f>
        <v/>
      </c>
      <c r="G13" s="11">
        <f>IF($A13="","",(COUNTIF(Suivi!$G$465:$G$468,"Réalisé")+COUNTIF(Suivi!$G$465:$G$468,"Clôturé"))/ROWS(Suivi!$G$465:$G$468))</f>
        <v/>
      </c>
      <c r="H13" s="11">
        <f>IF($A13="","",(COUNTIF(Suivi!$G$470:$G$487,"Réalisé")+COUNTIF(Suivi!$G$470:$G$487,"Clôturé"))/ROWS(Suivi!$G$470:$G$487))</f>
        <v/>
      </c>
      <c r="I13" s="11">
        <f>IF($A13="","",(COUNTIF(Suivi!$G$489:$G$489,"Réalisé")+COUNTIF(Suivi!$G$489:$G$489,"Clôturé"))/ROWS(Suivi!$G$489:$G$489))</f>
        <v/>
      </c>
      <c r="J13" s="11">
        <f>IF($A13="","",SUMPRODUCT(ISNUMBER(SEARCH(".",Suivi!$B$437:$B$489))*((Suivi!$G$437:$G$489="Réalisé")+(Suivi!$G$437:$G$489="Clôturé")))/SUMPRODUCT(--ISNUMBER(SEARCH(".",Suivi!$B$437:$B$489))))</f>
        <v/>
      </c>
      <c r="K13">
        <f>IF($A13="","",SUMPRODUCT(ISNUMBER(SEARCH(".",Suivi!$B$437:$B$489))*ISNUMBER(Suivi!$F$437:$F$489)*(Suivi!$F$437:$F$489&lt;TODAY())*(Suivi!$G$437:$G$489&lt;&gt;"Réalisé")*(Suivi!$G$437:$G$489&lt;&gt;"Clôturé")))</f>
        <v/>
      </c>
    </row>
    <row r="14">
      <c r="A14" s="10">
        <f>IF(ISNUMBER(Dossiers!$D$13),HYPERLINK("#Suivi!A490",Dossiers!$E$13),"")</f>
        <v/>
      </c>
      <c r="B14" s="5">
        <f>IF($A14="","",Dossiers!$D$13)</f>
        <v/>
      </c>
      <c r="C14" s="5">
        <f>IF($A14="","",MAX(Suivi!$F$491:$F$543))</f>
        <v/>
      </c>
      <c r="D14" s="11">
        <f>IF($A14="","",(COUNTIF(Suivi!$G$492:$G$495,"Réalisé")+COUNTIF(Suivi!$G$492:$G$495,"Clôturé"))/ROWS(Suivi!$G$492:$G$495))</f>
        <v/>
      </c>
      <c r="E14" s="11">
        <f>IF($A14="","",(COUNTIF(Suivi!$G$497:$G$500,"Réalisé")+COUNTIF(Suivi!$G$497:$G$500,"Clôturé"))/ROWS(Suivi!$G$497:$G$500))</f>
        <v/>
      </c>
      <c r="F14" s="11">
        <f>IF($A14="","",(COUNTIF(Suivi!$G$502:$G$517,"Réalisé")+COUNTIF(Suivi!$G$502:$G$517,"Clôturé"))/ROWS(Suivi!$G$502:$G$517))</f>
        <v/>
      </c>
      <c r="G14" s="11">
        <f>IF($A14="","",(COUNTIF(Suivi!$G$519:$G$522,"Réalisé")+COUNTIF(Suivi!$G$519:$G$522,"Clôturé"))/ROWS(Suivi!$G$519:$G$522))</f>
        <v/>
      </c>
      <c r="H14" s="11">
        <f>IF($A14="","",(COUNTIF(Suivi!$G$524:$G$541,"Réalisé")+COUNTIF(Suivi!$G$524:$G$541,"Clôturé"))/ROWS(Suivi!$G$524:$G$541))</f>
        <v/>
      </c>
      <c r="I14" s="11">
        <f>IF($A14="","",(COUNTIF(Suivi!$G$543:$G$543,"Réalisé")+COUNTIF(Suivi!$G$543:$G$543,"Clôturé"))/ROWS(Suivi!$G$543:$G$543))</f>
        <v/>
      </c>
      <c r="J14" s="11">
        <f>IF($A14="","",SUMPRODUCT(ISNUMBER(SEARCH(".",Suivi!$B$491:$B$543))*((Suivi!$G$491:$G$543="Réalisé")+(Suivi!$G$491:$G$543="Clôturé")))/SUMPRODUCT(--ISNUMBER(SEARCH(".",Suivi!$B$491:$B$543))))</f>
        <v/>
      </c>
      <c r="K14">
        <f>IF($A14="","",SUMPRODUCT(ISNUMBER(SEARCH(".",Suivi!$B$491:$B$543))*ISNUMBER(Suivi!$F$491:$F$543)*(Suivi!$F$491:$F$543&lt;TODAY())*(Suivi!$G$491:$G$543&lt;&gt;"Réalisé")*(Suivi!$G$491:$G$543&lt;&gt;"Clôturé")))</f>
        <v/>
      </c>
    </row>
    <row r="15">
      <c r="A15" s="10">
        <f>IF(ISNUMBER(Dossiers!$D$14),HYPERLINK("#Suivi!A544",Dossiers!$E$14),"")</f>
        <v/>
      </c>
      <c r="B15" s="5">
        <f>IF($A15="","",Dossiers!$D$14)</f>
        <v/>
      </c>
      <c r="C15" s="5">
        <f>IF($A15="","",MAX(Suivi!$F$545:$F$597))</f>
        <v/>
      </c>
      <c r="D15" s="11">
        <f>IF($A15="","",(COUNTIF(Suivi!$G$546:$G$549,"Réalisé")+COUNTIF(Suivi!$G$546:$G$549,"Clôturé"))/ROWS(Suivi!$G$546:$G$549))</f>
        <v/>
      </c>
      <c r="E15" s="11">
        <f>IF($A15="","",(COUNTIF(Suivi!$G$551:$G$554,"Réalisé")+COUNTIF(Suivi!$G$551:$G$554,"Clôturé"))/ROWS(Suivi!$G$551:$G$554))</f>
        <v/>
      </c>
      <c r="F15" s="11">
        <f>IF($A15="","",(COUNTIF(Suivi!$G$556:$G$571,"Réalisé")+COUNTIF(Suivi!$G$556:$G$571,"Clôturé"))/ROWS(Suivi!$G$556:$G$571))</f>
        <v/>
      </c>
      <c r="G15" s="11">
        <f>IF($A15="","",(COUNTIF(Suivi!$G$573:$G$576,"Réalisé")+COUNTIF(Suivi!$G$573:$G$576,"Clôturé"))/ROWS(Suivi!$G$573:$G$576))</f>
        <v/>
      </c>
      <c r="H15" s="11">
        <f>IF($A15="","",(COUNTIF(Suivi!$G$578:$G$595,"Réalisé")+COUNTIF(Suivi!$G$578:$G$595,"Clôturé"))/ROWS(Suivi!$G$578:$G$595))</f>
        <v/>
      </c>
      <c r="I15" s="11">
        <f>IF($A15="","",(COUNTIF(Suivi!$G$597:$G$597,"Réalisé")+COUNTIF(Suivi!$G$597:$G$597,"Clôturé"))/ROWS(Suivi!$G$597:$G$597))</f>
        <v/>
      </c>
      <c r="J15" s="11">
        <f>IF($A15="","",SUMPRODUCT(ISNUMBER(SEARCH(".",Suivi!$B$545:$B$597))*((Suivi!$G$545:$G$597="Réalisé")+(Suivi!$G$545:$G$597="Clôturé")))/SUMPRODUCT(--ISNUMBER(SEARCH(".",Suivi!$B$545:$B$597))))</f>
        <v/>
      </c>
      <c r="K15">
        <f>IF($A15="","",SUMPRODUCT(ISNUMBER(SEARCH(".",Suivi!$B$545:$B$597))*ISNUMBER(Suivi!$F$545:$F$597)*(Suivi!$F$545:$F$597&lt;TODAY())*(Suivi!$G$545:$G$597&lt;&gt;"Réalisé")*(Suivi!$G$545:$G$597&lt;&gt;"Clôturé")))</f>
        <v/>
      </c>
    </row>
    <row r="16">
      <c r="A16" s="10">
        <f>IF(ISNUMBER(Dossiers!$D$15),HYPERLINK("#Suivi!A598",Dossiers!$E$15),"")</f>
        <v/>
      </c>
      <c r="B16" s="5">
        <f>IF($A16="","",Dossiers!$D$15)</f>
        <v/>
      </c>
      <c r="C16" s="5">
        <f>IF($A16="","",MAX(Suivi!$F$599:$F$651))</f>
        <v/>
      </c>
      <c r="D16" s="11">
        <f>IF($A16="","",(COUNTIF(Suivi!$G$600:$G$603,"Réalisé")+COUNTIF(Suivi!$G$600:$G$603,"Clôturé"))/ROWS(Suivi!$G$600:$G$603))</f>
        <v/>
      </c>
      <c r="E16" s="11">
        <f>IF($A16="","",(COUNTIF(Suivi!$G$605:$G$608,"Réalisé")+COUNTIF(Suivi!$G$605:$G$608,"Clôturé"))/ROWS(Suivi!$G$605:$G$608))</f>
        <v/>
      </c>
      <c r="F16" s="11">
        <f>IF($A16="","",(COUNTIF(Suivi!$G$610:$G$625,"Réalisé")+COUNTIF(Suivi!$G$610:$G$625,"Clôturé"))/ROWS(Suivi!$G$610:$G$625))</f>
        <v/>
      </c>
      <c r="G16" s="11">
        <f>IF($A16="","",(COUNTIF(Suivi!$G$627:$G$630,"Réalisé")+COUNTIF(Suivi!$G$627:$G$630,"Clôturé"))/ROWS(Suivi!$G$627:$G$630))</f>
        <v/>
      </c>
      <c r="H16" s="11">
        <f>IF($A16="","",(COUNTIF(Suivi!$G$632:$G$649,"Réalisé")+COUNTIF(Suivi!$G$632:$G$649,"Clôturé"))/ROWS(Suivi!$G$632:$G$649))</f>
        <v/>
      </c>
      <c r="I16" s="11">
        <f>IF($A16="","",(COUNTIF(Suivi!$G$651:$G$651,"Réalisé")+COUNTIF(Suivi!$G$651:$G$651,"Clôturé"))/ROWS(Suivi!$G$651:$G$651))</f>
        <v/>
      </c>
      <c r="J16" s="11">
        <f>IF($A16="","",SUMPRODUCT(ISNUMBER(SEARCH(".",Suivi!$B$599:$B$651))*((Suivi!$G$599:$G$651="Réalisé")+(Suivi!$G$599:$G$651="Clôturé")))/SUMPRODUCT(--ISNUMBER(SEARCH(".",Suivi!$B$599:$B$651))))</f>
        <v/>
      </c>
      <c r="K16">
        <f>IF($A16="","",SUMPRODUCT(ISNUMBER(SEARCH(".",Suivi!$B$599:$B$651))*ISNUMBER(Suivi!$F$599:$F$651)*(Suivi!$F$599:$F$651&lt;TODAY())*(Suivi!$G$599:$G$651&lt;&gt;"Réalisé")*(Suivi!$G$599:$G$651&lt;&gt;"Clôturé")))</f>
        <v/>
      </c>
    </row>
    <row r="17">
      <c r="A17" s="10">
        <f>IF(ISNUMBER(Dossiers!$D$16),HYPERLINK("#Suivi!A652",Dossiers!$E$16),"")</f>
        <v/>
      </c>
      <c r="B17" s="5">
        <f>IF($A17="","",Dossiers!$D$16)</f>
        <v/>
      </c>
      <c r="C17" s="5">
        <f>IF($A17="","",MAX(Suivi!$F$653:$F$705))</f>
        <v/>
      </c>
      <c r="D17" s="11">
        <f>IF($A17="","",(COUNTIF(Suivi!$G$654:$G$657,"Réalisé")+COUNTIF(Suivi!$G$654:$G$657,"Clôturé"))/ROWS(Suivi!$G$654:$G$657))</f>
        <v/>
      </c>
      <c r="E17" s="11">
        <f>IF($A17="","",(COUNTIF(Suivi!$G$659:$G$662,"Réalisé")+COUNTIF(Suivi!$G$659:$G$662,"Clôturé"))/ROWS(Suivi!$G$659:$G$662))</f>
        <v/>
      </c>
      <c r="F17" s="11">
        <f>IF($A17="","",(COUNTIF(Suivi!$G$664:$G$679,"Réalisé")+COUNTIF(Suivi!$G$664:$G$679,"Clôturé"))/ROWS(Suivi!$G$664:$G$679))</f>
        <v/>
      </c>
      <c r="G17" s="11">
        <f>IF($A17="","",(COUNTIF(Suivi!$G$681:$G$684,"Réalisé")+COUNTIF(Suivi!$G$681:$G$684,"Clôturé"))/ROWS(Suivi!$G$681:$G$684))</f>
        <v/>
      </c>
      <c r="H17" s="11">
        <f>IF($A17="","",(COUNTIF(Suivi!$G$686:$G$703,"Réalisé")+COUNTIF(Suivi!$G$686:$G$703,"Clôturé"))/ROWS(Suivi!$G$686:$G$703))</f>
        <v/>
      </c>
      <c r="I17" s="11">
        <f>IF($A17="","",(COUNTIF(Suivi!$G$705:$G$705,"Réalisé")+COUNTIF(Suivi!$G$705:$G$705,"Clôturé"))/ROWS(Suivi!$G$705:$G$705))</f>
        <v/>
      </c>
      <c r="J17" s="11">
        <f>IF($A17="","",SUMPRODUCT(ISNUMBER(SEARCH(".",Suivi!$B$653:$B$705))*((Suivi!$G$653:$G$705="Réalisé")+(Suivi!$G$653:$G$705="Clôturé")))/SUMPRODUCT(--ISNUMBER(SEARCH(".",Suivi!$B$653:$B$705))))</f>
        <v/>
      </c>
      <c r="K17">
        <f>IF($A17="","",SUMPRODUCT(ISNUMBER(SEARCH(".",Suivi!$B$653:$B$705))*ISNUMBER(Suivi!$F$653:$F$705)*(Suivi!$F$653:$F$705&lt;TODAY())*(Suivi!$G$653:$G$705&lt;&gt;"Réalisé")*(Suivi!$G$653:$G$705&lt;&gt;"Clôturé")))</f>
        <v/>
      </c>
    </row>
    <row r="18">
      <c r="A18" s="10">
        <f>IF(ISNUMBER(Dossiers!$D$17),HYPERLINK("#Suivi!A706",Dossiers!$E$17),"")</f>
        <v/>
      </c>
      <c r="B18" s="5">
        <f>IF($A18="","",Dossiers!$D$17)</f>
        <v/>
      </c>
      <c r="C18" s="5">
        <f>IF($A18="","",MAX(Suivi!$F$707:$F$759))</f>
        <v/>
      </c>
      <c r="D18" s="11">
        <f>IF($A18="","",(COUNTIF(Suivi!$G$708:$G$711,"Réalisé")+COUNTIF(Suivi!$G$708:$G$711,"Clôturé"))/ROWS(Suivi!$G$708:$G$711))</f>
        <v/>
      </c>
      <c r="E18" s="11">
        <f>IF($A18="","",(COUNTIF(Suivi!$G$713:$G$716,"Réalisé")+COUNTIF(Suivi!$G$713:$G$716,"Clôturé"))/ROWS(Suivi!$G$713:$G$716))</f>
        <v/>
      </c>
      <c r="F18" s="11">
        <f>IF($A18="","",(COUNTIF(Suivi!$G$718:$G$733,"Réalisé")+COUNTIF(Suivi!$G$718:$G$733,"Clôturé"))/ROWS(Suivi!$G$718:$G$733))</f>
        <v/>
      </c>
      <c r="G18" s="11">
        <f>IF($A18="","",(COUNTIF(Suivi!$G$735:$G$738,"Réalisé")+COUNTIF(Suivi!$G$735:$G$738,"Clôturé"))/ROWS(Suivi!$G$735:$G$738))</f>
        <v/>
      </c>
      <c r="H18" s="11">
        <f>IF($A18="","",(COUNTIF(Suivi!$G$740:$G$757,"Réalisé")+COUNTIF(Suivi!$G$740:$G$757,"Clôturé"))/ROWS(Suivi!$G$740:$G$757))</f>
        <v/>
      </c>
      <c r="I18" s="11">
        <f>IF($A18="","",(COUNTIF(Suivi!$G$759:$G$759,"Réalisé")+COUNTIF(Suivi!$G$759:$G$759,"Clôturé"))/ROWS(Suivi!$G$759:$G$759))</f>
        <v/>
      </c>
      <c r="J18" s="11">
        <f>IF($A18="","",SUMPRODUCT(ISNUMBER(SEARCH(".",Suivi!$B$707:$B$759))*((Suivi!$G$707:$G$759="Réalisé")+(Suivi!$G$707:$G$759="Clôturé")))/SUMPRODUCT(--ISNUMBER(SEARCH(".",Suivi!$B$707:$B$759))))</f>
        <v/>
      </c>
      <c r="K18">
        <f>IF($A18="","",SUMPRODUCT(ISNUMBER(SEARCH(".",Suivi!$B$707:$B$759))*ISNUMBER(Suivi!$F$707:$F$759)*(Suivi!$F$707:$F$759&lt;TODAY())*(Suivi!$G$707:$G$759&lt;&gt;"Réalisé")*(Suivi!$G$707:$G$759&lt;&gt;"Clôturé")))</f>
        <v/>
      </c>
    </row>
    <row r="19">
      <c r="A19" s="10">
        <f>IF(ISNUMBER(Dossiers!$D$18),HYPERLINK("#Suivi!A760",Dossiers!$E$18),"")</f>
        <v/>
      </c>
      <c r="B19" s="5">
        <f>IF($A19="","",Dossiers!$D$18)</f>
        <v/>
      </c>
      <c r="C19" s="5">
        <f>IF($A19="","",MAX(Suivi!$F$761:$F$813))</f>
        <v/>
      </c>
      <c r="D19" s="11">
        <f>IF($A19="","",(COUNTIF(Suivi!$G$762:$G$765,"Réalisé")+COUNTIF(Suivi!$G$762:$G$765,"Clôturé"))/ROWS(Suivi!$G$762:$G$765))</f>
        <v/>
      </c>
      <c r="E19" s="11">
        <f>IF($A19="","",(COUNTIF(Suivi!$G$767:$G$770,"Réalisé")+COUNTIF(Suivi!$G$767:$G$770,"Clôturé"))/ROWS(Suivi!$G$767:$G$770))</f>
        <v/>
      </c>
      <c r="F19" s="11">
        <f>IF($A19="","",(COUNTIF(Suivi!$G$772:$G$787,"Réalisé")+COUNTIF(Suivi!$G$772:$G$787,"Clôturé"))/ROWS(Suivi!$G$772:$G$787))</f>
        <v/>
      </c>
      <c r="G19" s="11">
        <f>IF($A19="","",(COUNTIF(Suivi!$G$789:$G$792,"Réalisé")+COUNTIF(Suivi!$G$789:$G$792,"Clôturé"))/ROWS(Suivi!$G$789:$G$792))</f>
        <v/>
      </c>
      <c r="H19" s="11">
        <f>IF($A19="","",(COUNTIF(Suivi!$G$794:$G$811,"Réalisé")+COUNTIF(Suivi!$G$794:$G$811,"Clôturé"))/ROWS(Suivi!$G$794:$G$811))</f>
        <v/>
      </c>
      <c r="I19" s="11">
        <f>IF($A19="","",(COUNTIF(Suivi!$G$813:$G$813,"Réalisé")+COUNTIF(Suivi!$G$813:$G$813,"Clôturé"))/ROWS(Suivi!$G$813:$G$813))</f>
        <v/>
      </c>
      <c r="J19" s="11">
        <f>IF($A19="","",SUMPRODUCT(ISNUMBER(SEARCH(".",Suivi!$B$761:$B$813))*((Suivi!$G$761:$G$813="Réalisé")+(Suivi!$G$761:$G$813="Clôturé")))/SUMPRODUCT(--ISNUMBER(SEARCH(".",Suivi!$B$761:$B$813))))</f>
        <v/>
      </c>
      <c r="K19">
        <f>IF($A19="","",SUMPRODUCT(ISNUMBER(SEARCH(".",Suivi!$B$761:$B$813))*ISNUMBER(Suivi!$F$761:$F$813)*(Suivi!$F$761:$F$813&lt;TODAY())*(Suivi!$G$761:$G$813&lt;&gt;"Réalisé")*(Suivi!$G$761:$G$813&lt;&gt;"Clôturé")))</f>
        <v/>
      </c>
    </row>
    <row r="20">
      <c r="A20" s="10">
        <f>IF(ISNUMBER(Dossiers!$D$19),HYPERLINK("#Suivi!A814",Dossiers!$E$19),"")</f>
        <v/>
      </c>
      <c r="B20" s="5">
        <f>IF($A20="","",Dossiers!$D$19)</f>
        <v/>
      </c>
      <c r="C20" s="5">
        <f>IF($A20="","",MAX(Suivi!$F$815:$F$867))</f>
        <v/>
      </c>
      <c r="D20" s="11">
        <f>IF($A20="","",(COUNTIF(Suivi!$G$816:$G$819,"Réalisé")+COUNTIF(Suivi!$G$816:$G$819,"Clôturé"))/ROWS(Suivi!$G$816:$G$819))</f>
        <v/>
      </c>
      <c r="E20" s="11">
        <f>IF($A20="","",(COUNTIF(Suivi!$G$821:$G$824,"Réalisé")+COUNTIF(Suivi!$G$821:$G$824,"Clôturé"))/ROWS(Suivi!$G$821:$G$824))</f>
        <v/>
      </c>
      <c r="F20" s="11">
        <f>IF($A20="","",(COUNTIF(Suivi!$G$826:$G$841,"Réalisé")+COUNTIF(Suivi!$G$826:$G$841,"Clôturé"))/ROWS(Suivi!$G$826:$G$841))</f>
        <v/>
      </c>
      <c r="G20" s="11">
        <f>IF($A20="","",(COUNTIF(Suivi!$G$843:$G$846,"Réalisé")+COUNTIF(Suivi!$G$843:$G$846,"Clôturé"))/ROWS(Suivi!$G$843:$G$846))</f>
        <v/>
      </c>
      <c r="H20" s="11">
        <f>IF($A20="","",(COUNTIF(Suivi!$G$848:$G$865,"Réalisé")+COUNTIF(Suivi!$G$848:$G$865,"Clôturé"))/ROWS(Suivi!$G$848:$G$865))</f>
        <v/>
      </c>
      <c r="I20" s="11">
        <f>IF($A20="","",(COUNTIF(Suivi!$G$867:$G$867,"Réalisé")+COUNTIF(Suivi!$G$867:$G$867,"Clôturé"))/ROWS(Suivi!$G$867:$G$867))</f>
        <v/>
      </c>
      <c r="J20" s="11">
        <f>IF($A20="","",SUMPRODUCT(ISNUMBER(SEARCH(".",Suivi!$B$815:$B$867))*((Suivi!$G$815:$G$867="Réalisé")+(Suivi!$G$815:$G$867="Clôturé")))/SUMPRODUCT(--ISNUMBER(SEARCH(".",Suivi!$B$815:$B$867))))</f>
        <v/>
      </c>
      <c r="K20">
        <f>IF($A20="","",SUMPRODUCT(ISNUMBER(SEARCH(".",Suivi!$B$815:$B$867))*ISNUMBER(Suivi!$F$815:$F$867)*(Suivi!$F$815:$F$867&lt;TODAY())*(Suivi!$G$815:$G$867&lt;&gt;"Réalisé")*(Suivi!$G$815:$G$867&lt;&gt;"Clôturé")))</f>
        <v/>
      </c>
    </row>
    <row r="21">
      <c r="A21" s="10">
        <f>IF(ISNUMBER(Dossiers!$D$20),HYPERLINK("#Suivi!A868",Dossiers!$E$20),"")</f>
        <v/>
      </c>
      <c r="B21" s="5">
        <f>IF($A21="","",Dossiers!$D$20)</f>
        <v/>
      </c>
      <c r="C21" s="5">
        <f>IF($A21="","",MAX(Suivi!$F$869:$F$921))</f>
        <v/>
      </c>
      <c r="D21" s="11">
        <f>IF($A21="","",(COUNTIF(Suivi!$G$870:$G$873,"Réalisé")+COUNTIF(Suivi!$G$870:$G$873,"Clôturé"))/ROWS(Suivi!$G$870:$G$873))</f>
        <v/>
      </c>
      <c r="E21" s="11">
        <f>IF($A21="","",(COUNTIF(Suivi!$G$875:$G$878,"Réalisé")+COUNTIF(Suivi!$G$875:$G$878,"Clôturé"))/ROWS(Suivi!$G$875:$G$878))</f>
        <v/>
      </c>
      <c r="F21" s="11">
        <f>IF($A21="","",(COUNTIF(Suivi!$G$880:$G$895,"Réalisé")+COUNTIF(Suivi!$G$880:$G$895,"Clôturé"))/ROWS(Suivi!$G$880:$G$895))</f>
        <v/>
      </c>
      <c r="G21" s="11">
        <f>IF($A21="","",(COUNTIF(Suivi!$G$897:$G$900,"Réalisé")+COUNTIF(Suivi!$G$897:$G$900,"Clôturé"))/ROWS(Suivi!$G$897:$G$900))</f>
        <v/>
      </c>
      <c r="H21" s="11">
        <f>IF($A21="","",(COUNTIF(Suivi!$G$902:$G$919,"Réalisé")+COUNTIF(Suivi!$G$902:$G$919,"Clôturé"))/ROWS(Suivi!$G$902:$G$919))</f>
        <v/>
      </c>
      <c r="I21" s="11">
        <f>IF($A21="","",(COUNTIF(Suivi!$G$921:$G$921,"Réalisé")+COUNTIF(Suivi!$G$921:$G$921,"Clôturé"))/ROWS(Suivi!$G$921:$G$921))</f>
        <v/>
      </c>
      <c r="J21" s="11">
        <f>IF($A21="","",SUMPRODUCT(ISNUMBER(SEARCH(".",Suivi!$B$869:$B$921))*((Suivi!$G$869:$G$921="Réalisé")+(Suivi!$G$869:$G$921="Clôturé")))/SUMPRODUCT(--ISNUMBER(SEARCH(".",Suivi!$B$869:$B$921))))</f>
        <v/>
      </c>
      <c r="K21">
        <f>IF($A21="","",SUMPRODUCT(ISNUMBER(SEARCH(".",Suivi!$B$869:$B$921))*ISNUMBER(Suivi!$F$869:$F$921)*(Suivi!$F$869:$F$921&lt;TODAY())*(Suivi!$G$869:$G$921&lt;&gt;"Réalisé")*(Suivi!$G$869:$G$921&lt;&gt;"Clôturé")))</f>
        <v/>
      </c>
    </row>
    <row r="22">
      <c r="A22" s="10">
        <f>IF(ISNUMBER(Dossiers!$D$21),HYPERLINK("#Suivi!A922",Dossiers!$E$21),"")</f>
        <v/>
      </c>
      <c r="B22" s="5">
        <f>IF($A22="","",Dossiers!$D$21)</f>
        <v/>
      </c>
      <c r="C22" s="5">
        <f>IF($A22="","",MAX(Suivi!$F$923:$F$975))</f>
        <v/>
      </c>
      <c r="D22" s="11">
        <f>IF($A22="","",(COUNTIF(Suivi!$G$924:$G$927,"Réalisé")+COUNTIF(Suivi!$G$924:$G$927,"Clôturé"))/ROWS(Suivi!$G$924:$G$927))</f>
        <v/>
      </c>
      <c r="E22" s="11">
        <f>IF($A22="","",(COUNTIF(Suivi!$G$929:$G$932,"Réalisé")+COUNTIF(Suivi!$G$929:$G$932,"Clôturé"))/ROWS(Suivi!$G$929:$G$932))</f>
        <v/>
      </c>
      <c r="F22" s="11">
        <f>IF($A22="","",(COUNTIF(Suivi!$G$934:$G$949,"Réalisé")+COUNTIF(Suivi!$G$934:$G$949,"Clôturé"))/ROWS(Suivi!$G$934:$G$949))</f>
        <v/>
      </c>
      <c r="G22" s="11">
        <f>IF($A22="","",(COUNTIF(Suivi!$G$951:$G$954,"Réalisé")+COUNTIF(Suivi!$G$951:$G$954,"Clôturé"))/ROWS(Suivi!$G$951:$G$954))</f>
        <v/>
      </c>
      <c r="H22" s="11">
        <f>IF($A22="","",(COUNTIF(Suivi!$G$956:$G$973,"Réalisé")+COUNTIF(Suivi!$G$956:$G$973,"Clôturé"))/ROWS(Suivi!$G$956:$G$973))</f>
        <v/>
      </c>
      <c r="I22" s="11">
        <f>IF($A22="","",(COUNTIF(Suivi!$G$975:$G$975,"Réalisé")+COUNTIF(Suivi!$G$975:$G$975,"Clôturé"))/ROWS(Suivi!$G$975:$G$975))</f>
        <v/>
      </c>
      <c r="J22" s="11">
        <f>IF($A22="","",SUMPRODUCT(ISNUMBER(SEARCH(".",Suivi!$B$923:$B$975))*((Suivi!$G$923:$G$975="Réalisé")+(Suivi!$G$923:$G$975="Clôturé")))/SUMPRODUCT(--ISNUMBER(SEARCH(".",Suivi!$B$923:$B$975))))</f>
        <v/>
      </c>
      <c r="K22">
        <f>IF($A22="","",SUMPRODUCT(ISNUMBER(SEARCH(".",Suivi!$B$923:$B$975))*ISNUMBER(Suivi!$F$923:$F$975)*(Suivi!$F$923:$F$975&lt;TODAY())*(Suivi!$G$923:$G$975&lt;&gt;"Réalisé")*(Suivi!$G$923:$G$975&lt;&gt;"Clôturé")))</f>
        <v/>
      </c>
    </row>
    <row r="23">
      <c r="A23" s="10">
        <f>IF(ISNUMBER(Dossiers!$D$22),HYPERLINK("#Suivi!A976",Dossiers!$E$22),"")</f>
        <v/>
      </c>
      <c r="B23" s="5">
        <f>IF($A23="","",Dossiers!$D$22)</f>
        <v/>
      </c>
      <c r="C23" s="5">
        <f>IF($A23="","",MAX(Suivi!$F$977:$F$1029))</f>
        <v/>
      </c>
      <c r="D23" s="11">
        <f>IF($A23="","",(COUNTIF(Suivi!$G$978:$G$981,"Réalisé")+COUNTIF(Suivi!$G$978:$G$981,"Clôturé"))/ROWS(Suivi!$G$978:$G$981))</f>
        <v/>
      </c>
      <c r="E23" s="11">
        <f>IF($A23="","",(COUNTIF(Suivi!$G$983:$G$986,"Réalisé")+COUNTIF(Suivi!$G$983:$G$986,"Clôturé"))/ROWS(Suivi!$G$983:$G$986))</f>
        <v/>
      </c>
      <c r="F23" s="11">
        <f>IF($A23="","",(COUNTIF(Suivi!$G$988:$G$1003,"Réalisé")+COUNTIF(Suivi!$G$988:$G$1003,"Clôturé"))/ROWS(Suivi!$G$988:$G$1003))</f>
        <v/>
      </c>
      <c r="G23" s="11">
        <f>IF($A23="","",(COUNTIF(Suivi!$G$1005:$G$1008,"Réalisé")+COUNTIF(Suivi!$G$1005:$G$1008,"Clôturé"))/ROWS(Suivi!$G$1005:$G$1008))</f>
        <v/>
      </c>
      <c r="H23" s="11">
        <f>IF($A23="","",(COUNTIF(Suivi!$G$1010:$G$1027,"Réalisé")+COUNTIF(Suivi!$G$1010:$G$1027,"Clôturé"))/ROWS(Suivi!$G$1010:$G$1027))</f>
        <v/>
      </c>
      <c r="I23" s="11">
        <f>IF($A23="","",(COUNTIF(Suivi!$G$1029:$G$1029,"Réalisé")+COUNTIF(Suivi!$G$1029:$G$1029,"Clôturé"))/ROWS(Suivi!$G$1029:$G$1029))</f>
        <v/>
      </c>
      <c r="J23" s="11">
        <f>IF($A23="","",SUMPRODUCT(ISNUMBER(SEARCH(".",Suivi!$B$977:$B$1029))*((Suivi!$G$977:$G$1029="Réalisé")+(Suivi!$G$977:$G$1029="Clôturé")))/SUMPRODUCT(--ISNUMBER(SEARCH(".",Suivi!$B$977:$B$1029))))</f>
        <v/>
      </c>
      <c r="K23">
        <f>IF($A23="","",SUMPRODUCT(ISNUMBER(SEARCH(".",Suivi!$B$977:$B$1029))*ISNUMBER(Suivi!$F$977:$F$1029)*(Suivi!$F$977:$F$1029&lt;TODAY())*(Suivi!$G$977:$G$1029&lt;&gt;"Réalisé")*(Suivi!$G$977:$G$1029&lt;&gt;"Clôturé")))</f>
        <v/>
      </c>
    </row>
    <row r="24">
      <c r="A24" s="10">
        <f>IF(ISNUMBER(Dossiers!$D$23),HYPERLINK("#Suivi!A1030",Dossiers!$E$23),"")</f>
        <v/>
      </c>
      <c r="B24" s="5">
        <f>IF($A24="","",Dossiers!$D$23)</f>
        <v/>
      </c>
      <c r="C24" s="5">
        <f>IF($A24="","",MAX(Suivi!$F$1031:$F$1083))</f>
        <v/>
      </c>
      <c r="D24" s="11">
        <f>IF($A24="","",(COUNTIF(Suivi!$G$1032:$G$1035,"Réalisé")+COUNTIF(Suivi!$G$1032:$G$1035,"Clôturé"))/ROWS(Suivi!$G$1032:$G$1035))</f>
        <v/>
      </c>
      <c r="E24" s="11">
        <f>IF($A24="","",(COUNTIF(Suivi!$G$1037:$G$1040,"Réalisé")+COUNTIF(Suivi!$G$1037:$G$1040,"Clôturé"))/ROWS(Suivi!$G$1037:$G$1040))</f>
        <v/>
      </c>
      <c r="F24" s="11">
        <f>IF($A24="","",(COUNTIF(Suivi!$G$1042:$G$1057,"Réalisé")+COUNTIF(Suivi!$G$1042:$G$1057,"Clôturé"))/ROWS(Suivi!$G$1042:$G$1057))</f>
        <v/>
      </c>
      <c r="G24" s="11">
        <f>IF($A24="","",(COUNTIF(Suivi!$G$1059:$G$1062,"Réalisé")+COUNTIF(Suivi!$G$1059:$G$1062,"Clôturé"))/ROWS(Suivi!$G$1059:$G$1062))</f>
        <v/>
      </c>
      <c r="H24" s="11">
        <f>IF($A24="","",(COUNTIF(Suivi!$G$1064:$G$1081,"Réalisé")+COUNTIF(Suivi!$G$1064:$G$1081,"Clôturé"))/ROWS(Suivi!$G$1064:$G$1081))</f>
        <v/>
      </c>
      <c r="I24" s="11">
        <f>IF($A24="","",(COUNTIF(Suivi!$G$1083:$G$1083,"Réalisé")+COUNTIF(Suivi!$G$1083:$G$1083,"Clôturé"))/ROWS(Suivi!$G$1083:$G$1083))</f>
        <v/>
      </c>
      <c r="J24" s="11">
        <f>IF($A24="","",SUMPRODUCT(ISNUMBER(SEARCH(".",Suivi!$B$1031:$B$1083))*((Suivi!$G$1031:$G$1083="Réalisé")+(Suivi!$G$1031:$G$1083="Clôturé")))/SUMPRODUCT(--ISNUMBER(SEARCH(".",Suivi!$B$1031:$B$1083))))</f>
        <v/>
      </c>
      <c r="K24">
        <f>IF($A24="","",SUMPRODUCT(ISNUMBER(SEARCH(".",Suivi!$B$1031:$B$1083))*ISNUMBER(Suivi!$F$1031:$F$1083)*(Suivi!$F$1031:$F$1083&lt;TODAY())*(Suivi!$G$1031:$G$1083&lt;&gt;"Réalisé")*(Suivi!$G$1031:$G$1083&lt;&gt;"Clôturé")))</f>
        <v/>
      </c>
    </row>
    <row r="25">
      <c r="A25" s="10">
        <f>IF(ISNUMBER(Dossiers!$D$24),HYPERLINK("#Suivi!A1084",Dossiers!$E$24),"")</f>
        <v/>
      </c>
      <c r="B25" s="5">
        <f>IF($A25="","",Dossiers!$D$24)</f>
        <v/>
      </c>
      <c r="C25" s="5">
        <f>IF($A25="","",MAX(Suivi!$F$1085:$F$1137))</f>
        <v/>
      </c>
      <c r="D25" s="11">
        <f>IF($A25="","",(COUNTIF(Suivi!$G$1086:$G$1089,"Réalisé")+COUNTIF(Suivi!$G$1086:$G$1089,"Clôturé"))/ROWS(Suivi!$G$1086:$G$1089))</f>
        <v/>
      </c>
      <c r="E25" s="11">
        <f>IF($A25="","",(COUNTIF(Suivi!$G$1091:$G$1094,"Réalisé")+COUNTIF(Suivi!$G$1091:$G$1094,"Clôturé"))/ROWS(Suivi!$G$1091:$G$1094))</f>
        <v/>
      </c>
      <c r="F25" s="11">
        <f>IF($A25="","",(COUNTIF(Suivi!$G$1096:$G$1111,"Réalisé")+COUNTIF(Suivi!$G$1096:$G$1111,"Clôturé"))/ROWS(Suivi!$G$1096:$G$1111))</f>
        <v/>
      </c>
      <c r="G25" s="11">
        <f>IF($A25="","",(COUNTIF(Suivi!$G$1113:$G$1116,"Réalisé")+COUNTIF(Suivi!$G$1113:$G$1116,"Clôturé"))/ROWS(Suivi!$G$1113:$G$1116))</f>
        <v/>
      </c>
      <c r="H25" s="11">
        <f>IF($A25="","",(COUNTIF(Suivi!$G$1118:$G$1135,"Réalisé")+COUNTIF(Suivi!$G$1118:$G$1135,"Clôturé"))/ROWS(Suivi!$G$1118:$G$1135))</f>
        <v/>
      </c>
      <c r="I25" s="11">
        <f>IF($A25="","",(COUNTIF(Suivi!$G$1137:$G$1137,"Réalisé")+COUNTIF(Suivi!$G$1137:$G$1137,"Clôturé"))/ROWS(Suivi!$G$1137:$G$1137))</f>
        <v/>
      </c>
      <c r="J25" s="11">
        <f>IF($A25="","",SUMPRODUCT(ISNUMBER(SEARCH(".",Suivi!$B$1085:$B$1137))*((Suivi!$G$1085:$G$1137="Réalisé")+(Suivi!$G$1085:$G$1137="Clôturé")))/SUMPRODUCT(--ISNUMBER(SEARCH(".",Suivi!$B$1085:$B$1137))))</f>
        <v/>
      </c>
      <c r="K25">
        <f>IF($A25="","",SUMPRODUCT(ISNUMBER(SEARCH(".",Suivi!$B$1085:$B$1137))*ISNUMBER(Suivi!$F$1085:$F$1137)*(Suivi!$F$1085:$F$1137&lt;TODAY())*(Suivi!$G$1085:$G$1137&lt;&gt;"Réalisé")*(Suivi!$G$1085:$G$1137&lt;&gt;"Clôturé")))</f>
        <v/>
      </c>
    </row>
    <row r="26">
      <c r="A26" s="10">
        <f>IF(ISNUMBER(Dossiers!$D$25),HYPERLINK("#Suivi!A1138",Dossiers!$E$25),"")</f>
        <v/>
      </c>
      <c r="B26" s="5">
        <f>IF($A26="","",Dossiers!$D$25)</f>
        <v/>
      </c>
      <c r="C26" s="5">
        <f>IF($A26="","",MAX(Suivi!$F$1139:$F$1191))</f>
        <v/>
      </c>
      <c r="D26" s="11">
        <f>IF($A26="","",(COUNTIF(Suivi!$G$1140:$G$1143,"Réalisé")+COUNTIF(Suivi!$G$1140:$G$1143,"Clôturé"))/ROWS(Suivi!$G$1140:$G$1143))</f>
        <v/>
      </c>
      <c r="E26" s="11">
        <f>IF($A26="","",(COUNTIF(Suivi!$G$1145:$G$1148,"Réalisé")+COUNTIF(Suivi!$G$1145:$G$1148,"Clôturé"))/ROWS(Suivi!$G$1145:$G$1148))</f>
        <v/>
      </c>
      <c r="F26" s="11">
        <f>IF($A26="","",(COUNTIF(Suivi!$G$1150:$G$1165,"Réalisé")+COUNTIF(Suivi!$G$1150:$G$1165,"Clôturé"))/ROWS(Suivi!$G$1150:$G$1165))</f>
        <v/>
      </c>
      <c r="G26" s="11">
        <f>IF($A26="","",(COUNTIF(Suivi!$G$1167:$G$1170,"Réalisé")+COUNTIF(Suivi!$G$1167:$G$1170,"Clôturé"))/ROWS(Suivi!$G$1167:$G$1170))</f>
        <v/>
      </c>
      <c r="H26" s="11">
        <f>IF($A26="","",(COUNTIF(Suivi!$G$1172:$G$1189,"Réalisé")+COUNTIF(Suivi!$G$1172:$G$1189,"Clôturé"))/ROWS(Suivi!$G$1172:$G$1189))</f>
        <v/>
      </c>
      <c r="I26" s="11">
        <f>IF($A26="","",(COUNTIF(Suivi!$G$1191:$G$1191,"Réalisé")+COUNTIF(Suivi!$G$1191:$G$1191,"Clôturé"))/ROWS(Suivi!$G$1191:$G$1191))</f>
        <v/>
      </c>
      <c r="J26" s="11">
        <f>IF($A26="","",SUMPRODUCT(ISNUMBER(SEARCH(".",Suivi!$B$1139:$B$1191))*((Suivi!$G$1139:$G$1191="Réalisé")+(Suivi!$G$1139:$G$1191="Clôturé")))/SUMPRODUCT(--ISNUMBER(SEARCH(".",Suivi!$B$1139:$B$1191))))</f>
        <v/>
      </c>
      <c r="K26">
        <f>IF($A26="","",SUMPRODUCT(ISNUMBER(SEARCH(".",Suivi!$B$1139:$B$1191))*ISNUMBER(Suivi!$F$1139:$F$1191)*(Suivi!$F$1139:$F$1191&lt;TODAY())*(Suivi!$G$1139:$G$1191&lt;&gt;"Réalisé")*(Suivi!$G$1139:$G$1191&lt;&gt;"Clôturé")))</f>
        <v/>
      </c>
    </row>
    <row r="27">
      <c r="A27" s="10">
        <f>IF(ISNUMBER(Dossiers!$D$26),HYPERLINK("#Suivi!A1192",Dossiers!$E$26),"")</f>
        <v/>
      </c>
      <c r="B27" s="5">
        <f>IF($A27="","",Dossiers!$D$26)</f>
        <v/>
      </c>
      <c r="C27" s="5">
        <f>IF($A27="","",MAX(Suivi!$F$1193:$F$1245))</f>
        <v/>
      </c>
      <c r="D27" s="11">
        <f>IF($A27="","",(COUNTIF(Suivi!$G$1194:$G$1197,"Réalisé")+COUNTIF(Suivi!$G$1194:$G$1197,"Clôturé"))/ROWS(Suivi!$G$1194:$G$1197))</f>
        <v/>
      </c>
      <c r="E27" s="11">
        <f>IF($A27="","",(COUNTIF(Suivi!$G$1199:$G$1202,"Réalisé")+COUNTIF(Suivi!$G$1199:$G$1202,"Clôturé"))/ROWS(Suivi!$G$1199:$G$1202))</f>
        <v/>
      </c>
      <c r="F27" s="11">
        <f>IF($A27="","",(COUNTIF(Suivi!$G$1204:$G$1219,"Réalisé")+COUNTIF(Suivi!$G$1204:$G$1219,"Clôturé"))/ROWS(Suivi!$G$1204:$G$1219))</f>
        <v/>
      </c>
      <c r="G27" s="11">
        <f>IF($A27="","",(COUNTIF(Suivi!$G$1221:$G$1224,"Réalisé")+COUNTIF(Suivi!$G$1221:$G$1224,"Clôturé"))/ROWS(Suivi!$G$1221:$G$1224))</f>
        <v/>
      </c>
      <c r="H27" s="11">
        <f>IF($A27="","",(COUNTIF(Suivi!$G$1226:$G$1243,"Réalisé")+COUNTIF(Suivi!$G$1226:$G$1243,"Clôturé"))/ROWS(Suivi!$G$1226:$G$1243))</f>
        <v/>
      </c>
      <c r="I27" s="11">
        <f>IF($A27="","",(COUNTIF(Suivi!$G$1245:$G$1245,"Réalisé")+COUNTIF(Suivi!$G$1245:$G$1245,"Clôturé"))/ROWS(Suivi!$G$1245:$G$1245))</f>
        <v/>
      </c>
      <c r="J27" s="11">
        <f>IF($A27="","",SUMPRODUCT(ISNUMBER(SEARCH(".",Suivi!$B$1193:$B$1245))*((Suivi!$G$1193:$G$1245="Réalisé")+(Suivi!$G$1193:$G$1245="Clôturé")))/SUMPRODUCT(--ISNUMBER(SEARCH(".",Suivi!$B$1193:$B$1245))))</f>
        <v/>
      </c>
      <c r="K27">
        <f>IF($A27="","",SUMPRODUCT(ISNUMBER(SEARCH(".",Suivi!$B$1193:$B$1245))*ISNUMBER(Suivi!$F$1193:$F$1245)*(Suivi!$F$1193:$F$1245&lt;TODAY())*(Suivi!$G$1193:$G$1245&lt;&gt;"Réalisé")*(Suivi!$G$1193:$G$1245&lt;&gt;"Clôturé")))</f>
        <v/>
      </c>
    </row>
    <row r="28">
      <c r="A28" s="10">
        <f>IF(ISNUMBER(Dossiers!$D$27),HYPERLINK("#Suivi!A1246",Dossiers!$E$27),"")</f>
        <v/>
      </c>
      <c r="B28" s="5">
        <f>IF($A28="","",Dossiers!$D$27)</f>
        <v/>
      </c>
      <c r="C28" s="5">
        <f>IF($A28="","",MAX(Suivi!$F$1247:$F$1299))</f>
        <v/>
      </c>
      <c r="D28" s="11">
        <f>IF($A28="","",(COUNTIF(Suivi!$G$1248:$G$1251,"Réalisé")+COUNTIF(Suivi!$G$1248:$G$1251,"Clôturé"))/ROWS(Suivi!$G$1248:$G$1251))</f>
        <v/>
      </c>
      <c r="E28" s="11">
        <f>IF($A28="","",(COUNTIF(Suivi!$G$1253:$G$1256,"Réalisé")+COUNTIF(Suivi!$G$1253:$G$1256,"Clôturé"))/ROWS(Suivi!$G$1253:$G$1256))</f>
        <v/>
      </c>
      <c r="F28" s="11">
        <f>IF($A28="","",(COUNTIF(Suivi!$G$1258:$G$1273,"Réalisé")+COUNTIF(Suivi!$G$1258:$G$1273,"Clôturé"))/ROWS(Suivi!$G$1258:$G$1273))</f>
        <v/>
      </c>
      <c r="G28" s="11">
        <f>IF($A28="","",(COUNTIF(Suivi!$G$1275:$G$1278,"Réalisé")+COUNTIF(Suivi!$G$1275:$G$1278,"Clôturé"))/ROWS(Suivi!$G$1275:$G$1278))</f>
        <v/>
      </c>
      <c r="H28" s="11">
        <f>IF($A28="","",(COUNTIF(Suivi!$G$1280:$G$1297,"Réalisé")+COUNTIF(Suivi!$G$1280:$G$1297,"Clôturé"))/ROWS(Suivi!$G$1280:$G$1297))</f>
        <v/>
      </c>
      <c r="I28" s="11">
        <f>IF($A28="","",(COUNTIF(Suivi!$G$1299:$G$1299,"Réalisé")+COUNTIF(Suivi!$G$1299:$G$1299,"Clôturé"))/ROWS(Suivi!$G$1299:$G$1299))</f>
        <v/>
      </c>
      <c r="J28" s="11">
        <f>IF($A28="","",SUMPRODUCT(ISNUMBER(SEARCH(".",Suivi!$B$1247:$B$1299))*((Suivi!$G$1247:$G$1299="Réalisé")+(Suivi!$G$1247:$G$1299="Clôturé")))/SUMPRODUCT(--ISNUMBER(SEARCH(".",Suivi!$B$1247:$B$1299))))</f>
        <v/>
      </c>
      <c r="K28">
        <f>IF($A28="","",SUMPRODUCT(ISNUMBER(SEARCH(".",Suivi!$B$1247:$B$1299))*ISNUMBER(Suivi!$F$1247:$F$1299)*(Suivi!$F$1247:$F$1299&lt;TODAY())*(Suivi!$G$1247:$G$1299&lt;&gt;"Réalisé")*(Suivi!$G$1247:$G$1299&lt;&gt;"Clôturé")))</f>
        <v/>
      </c>
    </row>
    <row r="29">
      <c r="A29" s="10">
        <f>IF(ISNUMBER(Dossiers!$D$28),HYPERLINK("#Suivi!A1300",Dossiers!$E$28),"")</f>
        <v/>
      </c>
      <c r="B29" s="5">
        <f>IF($A29="","",Dossiers!$D$28)</f>
        <v/>
      </c>
      <c r="C29" s="5">
        <f>IF($A29="","",MAX(Suivi!$F$1301:$F$1353))</f>
        <v/>
      </c>
      <c r="D29" s="11">
        <f>IF($A29="","",(COUNTIF(Suivi!$G$1302:$G$1305,"Réalisé")+COUNTIF(Suivi!$G$1302:$G$1305,"Clôturé"))/ROWS(Suivi!$G$1302:$G$1305))</f>
        <v/>
      </c>
      <c r="E29" s="11">
        <f>IF($A29="","",(COUNTIF(Suivi!$G$1307:$G$1310,"Réalisé")+COUNTIF(Suivi!$G$1307:$G$1310,"Clôturé"))/ROWS(Suivi!$G$1307:$G$1310))</f>
        <v/>
      </c>
      <c r="F29" s="11">
        <f>IF($A29="","",(COUNTIF(Suivi!$G$1312:$G$1327,"Réalisé")+COUNTIF(Suivi!$G$1312:$G$1327,"Clôturé"))/ROWS(Suivi!$G$1312:$G$1327))</f>
        <v/>
      </c>
      <c r="G29" s="11">
        <f>IF($A29="","",(COUNTIF(Suivi!$G$1329:$G$1332,"Réalisé")+COUNTIF(Suivi!$G$1329:$G$1332,"Clôturé"))/ROWS(Suivi!$G$1329:$G$1332))</f>
        <v/>
      </c>
      <c r="H29" s="11">
        <f>IF($A29="","",(COUNTIF(Suivi!$G$1334:$G$1351,"Réalisé")+COUNTIF(Suivi!$G$1334:$G$1351,"Clôturé"))/ROWS(Suivi!$G$1334:$G$1351))</f>
        <v/>
      </c>
      <c r="I29" s="11">
        <f>IF($A29="","",(COUNTIF(Suivi!$G$1353:$G$1353,"Réalisé")+COUNTIF(Suivi!$G$1353:$G$1353,"Clôturé"))/ROWS(Suivi!$G$1353:$G$1353))</f>
        <v/>
      </c>
      <c r="J29" s="11">
        <f>IF($A29="","",SUMPRODUCT(ISNUMBER(SEARCH(".",Suivi!$B$1301:$B$1353))*((Suivi!$G$1301:$G$1353="Réalisé")+(Suivi!$G$1301:$G$1353="Clôturé")))/SUMPRODUCT(--ISNUMBER(SEARCH(".",Suivi!$B$1301:$B$1353))))</f>
        <v/>
      </c>
      <c r="K29">
        <f>IF($A29="","",SUMPRODUCT(ISNUMBER(SEARCH(".",Suivi!$B$1301:$B$1353))*ISNUMBER(Suivi!$F$1301:$F$1353)*(Suivi!$F$1301:$F$1353&lt;TODAY())*(Suivi!$G$1301:$G$1353&lt;&gt;"Réalisé")*(Suivi!$G$1301:$G$1353&lt;&gt;"Clôturé")))</f>
        <v/>
      </c>
    </row>
    <row r="30">
      <c r="A30" s="10">
        <f>IF(ISNUMBER(Dossiers!$D$29),HYPERLINK("#Suivi!A1354",Dossiers!$E$29),"")</f>
        <v/>
      </c>
      <c r="B30" s="5">
        <f>IF($A30="","",Dossiers!$D$29)</f>
        <v/>
      </c>
      <c r="C30" s="5">
        <f>IF($A30="","",MAX(Suivi!$F$1355:$F$1407))</f>
        <v/>
      </c>
      <c r="D30" s="11">
        <f>IF($A30="","",(COUNTIF(Suivi!$G$1356:$G$1359,"Réalisé")+COUNTIF(Suivi!$G$1356:$G$1359,"Clôturé"))/ROWS(Suivi!$G$1356:$G$1359))</f>
        <v/>
      </c>
      <c r="E30" s="11">
        <f>IF($A30="","",(COUNTIF(Suivi!$G$1361:$G$1364,"Réalisé")+COUNTIF(Suivi!$G$1361:$G$1364,"Clôturé"))/ROWS(Suivi!$G$1361:$G$1364))</f>
        <v/>
      </c>
      <c r="F30" s="11">
        <f>IF($A30="","",(COUNTIF(Suivi!$G$1366:$G$1381,"Réalisé")+COUNTIF(Suivi!$G$1366:$G$1381,"Clôturé"))/ROWS(Suivi!$G$1366:$G$1381))</f>
        <v/>
      </c>
      <c r="G30" s="11">
        <f>IF($A30="","",(COUNTIF(Suivi!$G$1383:$G$1386,"Réalisé")+COUNTIF(Suivi!$G$1383:$G$1386,"Clôturé"))/ROWS(Suivi!$G$1383:$G$1386))</f>
        <v/>
      </c>
      <c r="H30" s="11">
        <f>IF($A30="","",(COUNTIF(Suivi!$G$1388:$G$1405,"Réalisé")+COUNTIF(Suivi!$G$1388:$G$1405,"Clôturé"))/ROWS(Suivi!$G$1388:$G$1405))</f>
        <v/>
      </c>
      <c r="I30" s="11">
        <f>IF($A30="","",(COUNTIF(Suivi!$G$1407:$G$1407,"Réalisé")+COUNTIF(Suivi!$G$1407:$G$1407,"Clôturé"))/ROWS(Suivi!$G$1407:$G$1407))</f>
        <v/>
      </c>
      <c r="J30" s="11">
        <f>IF($A30="","",SUMPRODUCT(ISNUMBER(SEARCH(".",Suivi!$B$1355:$B$1407))*((Suivi!$G$1355:$G$1407="Réalisé")+(Suivi!$G$1355:$G$1407="Clôturé")))/SUMPRODUCT(--ISNUMBER(SEARCH(".",Suivi!$B$1355:$B$1407))))</f>
        <v/>
      </c>
      <c r="K30">
        <f>IF($A30="","",SUMPRODUCT(ISNUMBER(SEARCH(".",Suivi!$B$1355:$B$1407))*ISNUMBER(Suivi!$F$1355:$F$1407)*(Suivi!$F$1355:$F$1407&lt;TODAY())*(Suivi!$G$1355:$G$1407&lt;&gt;"Réalisé")*(Suivi!$G$1355:$G$1407&lt;&gt;"Clôturé")))</f>
        <v/>
      </c>
    </row>
    <row r="31">
      <c r="A31" s="10">
        <f>IF(ISNUMBER(Dossiers!$D$30),HYPERLINK("#Suivi!A1408",Dossiers!$E$30),"")</f>
        <v/>
      </c>
      <c r="B31" s="5">
        <f>IF($A31="","",Dossiers!$D$30)</f>
        <v/>
      </c>
      <c r="C31" s="5">
        <f>IF($A31="","",MAX(Suivi!$F$1409:$F$1461))</f>
        <v/>
      </c>
      <c r="D31" s="11">
        <f>IF($A31="","",(COUNTIF(Suivi!$G$1410:$G$1413,"Réalisé")+COUNTIF(Suivi!$G$1410:$G$1413,"Clôturé"))/ROWS(Suivi!$G$1410:$G$1413))</f>
        <v/>
      </c>
      <c r="E31" s="11">
        <f>IF($A31="","",(COUNTIF(Suivi!$G$1415:$G$1418,"Réalisé")+COUNTIF(Suivi!$G$1415:$G$1418,"Clôturé"))/ROWS(Suivi!$G$1415:$G$1418))</f>
        <v/>
      </c>
      <c r="F31" s="11">
        <f>IF($A31="","",(COUNTIF(Suivi!$G$1420:$G$1435,"Réalisé")+COUNTIF(Suivi!$G$1420:$G$1435,"Clôturé"))/ROWS(Suivi!$G$1420:$G$1435))</f>
        <v/>
      </c>
      <c r="G31" s="11">
        <f>IF($A31="","",(COUNTIF(Suivi!$G$1437:$G$1440,"Réalisé")+COUNTIF(Suivi!$G$1437:$G$1440,"Clôturé"))/ROWS(Suivi!$G$1437:$G$1440))</f>
        <v/>
      </c>
      <c r="H31" s="11">
        <f>IF($A31="","",(COUNTIF(Suivi!$G$1442:$G$1459,"Réalisé")+COUNTIF(Suivi!$G$1442:$G$1459,"Clôturé"))/ROWS(Suivi!$G$1442:$G$1459))</f>
        <v/>
      </c>
      <c r="I31" s="11">
        <f>IF($A31="","",(COUNTIF(Suivi!$G$1461:$G$1461,"Réalisé")+COUNTIF(Suivi!$G$1461:$G$1461,"Clôturé"))/ROWS(Suivi!$G$1461:$G$1461))</f>
        <v/>
      </c>
      <c r="J31" s="11">
        <f>IF($A31="","",SUMPRODUCT(ISNUMBER(SEARCH(".",Suivi!$B$1409:$B$1461))*((Suivi!$G$1409:$G$1461="Réalisé")+(Suivi!$G$1409:$G$1461="Clôturé")))/SUMPRODUCT(--ISNUMBER(SEARCH(".",Suivi!$B$1409:$B$1461))))</f>
        <v/>
      </c>
      <c r="K31">
        <f>IF($A31="","",SUMPRODUCT(ISNUMBER(SEARCH(".",Suivi!$B$1409:$B$1461))*ISNUMBER(Suivi!$F$1409:$F$1461)*(Suivi!$F$1409:$F$1461&lt;TODAY())*(Suivi!$G$1409:$G$1461&lt;&gt;"Réalisé")*(Suivi!$G$1409:$G$1461&lt;&gt;"Clôturé")))</f>
        <v/>
      </c>
    </row>
    <row r="32">
      <c r="A32" s="10">
        <f>IF(ISNUMBER(Dossiers!$D$31),HYPERLINK("#Suivi!A1462",Dossiers!$E$31),"")</f>
        <v/>
      </c>
      <c r="B32" s="5">
        <f>IF($A32="","",Dossiers!$D$31)</f>
        <v/>
      </c>
      <c r="C32" s="5">
        <f>IF($A32="","",MAX(Suivi!$F$1463:$F$1515))</f>
        <v/>
      </c>
      <c r="D32" s="11">
        <f>IF($A32="","",(COUNTIF(Suivi!$G$1464:$G$1467,"Réalisé")+COUNTIF(Suivi!$G$1464:$G$1467,"Clôturé"))/ROWS(Suivi!$G$1464:$G$1467))</f>
        <v/>
      </c>
      <c r="E32" s="11">
        <f>IF($A32="","",(COUNTIF(Suivi!$G$1469:$G$1472,"Réalisé")+COUNTIF(Suivi!$G$1469:$G$1472,"Clôturé"))/ROWS(Suivi!$G$1469:$G$1472))</f>
        <v/>
      </c>
      <c r="F32" s="11">
        <f>IF($A32="","",(COUNTIF(Suivi!$G$1474:$G$1489,"Réalisé")+COUNTIF(Suivi!$G$1474:$G$1489,"Clôturé"))/ROWS(Suivi!$G$1474:$G$1489))</f>
        <v/>
      </c>
      <c r="G32" s="11">
        <f>IF($A32="","",(COUNTIF(Suivi!$G$1491:$G$1494,"Réalisé")+COUNTIF(Suivi!$G$1491:$G$1494,"Clôturé"))/ROWS(Suivi!$G$1491:$G$1494))</f>
        <v/>
      </c>
      <c r="H32" s="11">
        <f>IF($A32="","",(COUNTIF(Suivi!$G$1496:$G$1513,"Réalisé")+COUNTIF(Suivi!$G$1496:$G$1513,"Clôturé"))/ROWS(Suivi!$G$1496:$G$1513))</f>
        <v/>
      </c>
      <c r="I32" s="11">
        <f>IF($A32="","",(COUNTIF(Suivi!$G$1515:$G$1515,"Réalisé")+COUNTIF(Suivi!$G$1515:$G$1515,"Clôturé"))/ROWS(Suivi!$G$1515:$G$1515))</f>
        <v/>
      </c>
      <c r="J32" s="11">
        <f>IF($A32="","",SUMPRODUCT(ISNUMBER(SEARCH(".",Suivi!$B$1463:$B$1515))*((Suivi!$G$1463:$G$1515="Réalisé")+(Suivi!$G$1463:$G$1515="Clôturé")))/SUMPRODUCT(--ISNUMBER(SEARCH(".",Suivi!$B$1463:$B$1515))))</f>
        <v/>
      </c>
      <c r="K32">
        <f>IF($A32="","",SUMPRODUCT(ISNUMBER(SEARCH(".",Suivi!$B$1463:$B$1515))*ISNUMBER(Suivi!$F$1463:$F$1515)*(Suivi!$F$1463:$F$1515&lt;TODAY())*(Suivi!$G$1463:$G$1515&lt;&gt;"Réalisé")*(Suivi!$G$1463:$G$1515&lt;&gt;"Clôturé")))</f>
        <v/>
      </c>
    </row>
    <row r="33">
      <c r="A33" s="10">
        <f>IF(ISNUMBER(Dossiers!$D$32),HYPERLINK("#Suivi!A1516",Dossiers!$E$32),"")</f>
        <v/>
      </c>
      <c r="B33" s="5">
        <f>IF($A33="","",Dossiers!$D$32)</f>
        <v/>
      </c>
      <c r="C33" s="5">
        <f>IF($A33="","",MAX(Suivi!$F$1517:$F$1569))</f>
        <v/>
      </c>
      <c r="D33" s="11">
        <f>IF($A33="","",(COUNTIF(Suivi!$G$1518:$G$1521,"Réalisé")+COUNTIF(Suivi!$G$1518:$G$1521,"Clôturé"))/ROWS(Suivi!$G$1518:$G$1521))</f>
        <v/>
      </c>
      <c r="E33" s="11">
        <f>IF($A33="","",(COUNTIF(Suivi!$G$1523:$G$1526,"Réalisé")+COUNTIF(Suivi!$G$1523:$G$1526,"Clôturé"))/ROWS(Suivi!$G$1523:$G$1526))</f>
        <v/>
      </c>
      <c r="F33" s="11">
        <f>IF($A33="","",(COUNTIF(Suivi!$G$1528:$G$1543,"Réalisé")+COUNTIF(Suivi!$G$1528:$G$1543,"Clôturé"))/ROWS(Suivi!$G$1528:$G$1543))</f>
        <v/>
      </c>
      <c r="G33" s="11">
        <f>IF($A33="","",(COUNTIF(Suivi!$G$1545:$G$1548,"Réalisé")+COUNTIF(Suivi!$G$1545:$G$1548,"Clôturé"))/ROWS(Suivi!$G$1545:$G$1548))</f>
        <v/>
      </c>
      <c r="H33" s="11">
        <f>IF($A33="","",(COUNTIF(Suivi!$G$1550:$G$1567,"Réalisé")+COUNTIF(Suivi!$G$1550:$G$1567,"Clôturé"))/ROWS(Suivi!$G$1550:$G$1567))</f>
        <v/>
      </c>
      <c r="I33" s="11">
        <f>IF($A33="","",(COUNTIF(Suivi!$G$1569:$G$1569,"Réalisé")+COUNTIF(Suivi!$G$1569:$G$1569,"Clôturé"))/ROWS(Suivi!$G$1569:$G$1569))</f>
        <v/>
      </c>
      <c r="J33" s="11">
        <f>IF($A33="","",SUMPRODUCT(ISNUMBER(SEARCH(".",Suivi!$B$1517:$B$1569))*((Suivi!$G$1517:$G$1569="Réalisé")+(Suivi!$G$1517:$G$1569="Clôturé")))/SUMPRODUCT(--ISNUMBER(SEARCH(".",Suivi!$B$1517:$B$1569))))</f>
        <v/>
      </c>
      <c r="K33">
        <f>IF($A33="","",SUMPRODUCT(ISNUMBER(SEARCH(".",Suivi!$B$1517:$B$1569))*ISNUMBER(Suivi!$F$1517:$F$1569)*(Suivi!$F$1517:$F$1569&lt;TODAY())*(Suivi!$G$1517:$G$1569&lt;&gt;"Réalisé")*(Suivi!$G$1517:$G$1569&lt;&gt;"Clôturé")))</f>
        <v/>
      </c>
    </row>
    <row r="34">
      <c r="A34" s="10">
        <f>IF(ISNUMBER(Dossiers!$D$33),HYPERLINK("#Suivi!A1570",Dossiers!$E$33),"")</f>
        <v/>
      </c>
      <c r="B34" s="5">
        <f>IF($A34="","",Dossiers!$D$33)</f>
        <v/>
      </c>
      <c r="C34" s="5">
        <f>IF($A34="","",MAX(Suivi!$F$1571:$F$1623))</f>
        <v/>
      </c>
      <c r="D34" s="11">
        <f>IF($A34="","",(COUNTIF(Suivi!$G$1572:$G$1575,"Réalisé")+COUNTIF(Suivi!$G$1572:$G$1575,"Clôturé"))/ROWS(Suivi!$G$1572:$G$1575))</f>
        <v/>
      </c>
      <c r="E34" s="11">
        <f>IF($A34="","",(COUNTIF(Suivi!$G$1577:$G$1580,"Réalisé")+COUNTIF(Suivi!$G$1577:$G$1580,"Clôturé"))/ROWS(Suivi!$G$1577:$G$1580))</f>
        <v/>
      </c>
      <c r="F34" s="11">
        <f>IF($A34="","",(COUNTIF(Suivi!$G$1582:$G$1597,"Réalisé")+COUNTIF(Suivi!$G$1582:$G$1597,"Clôturé"))/ROWS(Suivi!$G$1582:$G$1597))</f>
        <v/>
      </c>
      <c r="G34" s="11">
        <f>IF($A34="","",(COUNTIF(Suivi!$G$1599:$G$1602,"Réalisé")+COUNTIF(Suivi!$G$1599:$G$1602,"Clôturé"))/ROWS(Suivi!$G$1599:$G$1602))</f>
        <v/>
      </c>
      <c r="H34" s="11">
        <f>IF($A34="","",(COUNTIF(Suivi!$G$1604:$G$1621,"Réalisé")+COUNTIF(Suivi!$G$1604:$G$1621,"Clôturé"))/ROWS(Suivi!$G$1604:$G$1621))</f>
        <v/>
      </c>
      <c r="I34" s="11">
        <f>IF($A34="","",(COUNTIF(Suivi!$G$1623:$G$1623,"Réalisé")+COUNTIF(Suivi!$G$1623:$G$1623,"Clôturé"))/ROWS(Suivi!$G$1623:$G$1623))</f>
        <v/>
      </c>
      <c r="J34" s="11">
        <f>IF($A34="","",SUMPRODUCT(ISNUMBER(SEARCH(".",Suivi!$B$1571:$B$1623))*((Suivi!$G$1571:$G$1623="Réalisé")+(Suivi!$G$1571:$G$1623="Clôturé")))/SUMPRODUCT(--ISNUMBER(SEARCH(".",Suivi!$B$1571:$B$1623))))</f>
        <v/>
      </c>
      <c r="K34">
        <f>IF($A34="","",SUMPRODUCT(ISNUMBER(SEARCH(".",Suivi!$B$1571:$B$1623))*ISNUMBER(Suivi!$F$1571:$F$1623)*(Suivi!$F$1571:$F$1623&lt;TODAY())*(Suivi!$G$1571:$G$1623&lt;&gt;"Réalisé")*(Suivi!$G$1571:$G$1623&lt;&gt;"Clôturé")))</f>
        <v/>
      </c>
    </row>
    <row r="35">
      <c r="A35" s="10">
        <f>IF(ISNUMBER(Dossiers!$D$34),HYPERLINK("#Suivi!A1624",Dossiers!$E$34),"")</f>
        <v/>
      </c>
      <c r="B35" s="5">
        <f>IF($A35="","",Dossiers!$D$34)</f>
        <v/>
      </c>
      <c r="C35" s="5">
        <f>IF($A35="","",MAX(Suivi!$F$1625:$F$1677))</f>
        <v/>
      </c>
      <c r="D35" s="11">
        <f>IF($A35="","",(COUNTIF(Suivi!$G$1626:$G$1629,"Réalisé")+COUNTIF(Suivi!$G$1626:$G$1629,"Clôturé"))/ROWS(Suivi!$G$1626:$G$1629))</f>
        <v/>
      </c>
      <c r="E35" s="11">
        <f>IF($A35="","",(COUNTIF(Suivi!$G$1631:$G$1634,"Réalisé")+COUNTIF(Suivi!$G$1631:$G$1634,"Clôturé"))/ROWS(Suivi!$G$1631:$G$1634))</f>
        <v/>
      </c>
      <c r="F35" s="11">
        <f>IF($A35="","",(COUNTIF(Suivi!$G$1636:$G$1651,"Réalisé")+COUNTIF(Suivi!$G$1636:$G$1651,"Clôturé"))/ROWS(Suivi!$G$1636:$G$1651))</f>
        <v/>
      </c>
      <c r="G35" s="11">
        <f>IF($A35="","",(COUNTIF(Suivi!$G$1653:$G$1656,"Réalisé")+COUNTIF(Suivi!$G$1653:$G$1656,"Clôturé"))/ROWS(Suivi!$G$1653:$G$1656))</f>
        <v/>
      </c>
      <c r="H35" s="11">
        <f>IF($A35="","",(COUNTIF(Suivi!$G$1658:$G$1675,"Réalisé")+COUNTIF(Suivi!$G$1658:$G$1675,"Clôturé"))/ROWS(Suivi!$G$1658:$G$1675))</f>
        <v/>
      </c>
      <c r="I35" s="11">
        <f>IF($A35="","",(COUNTIF(Suivi!$G$1677:$G$1677,"Réalisé")+COUNTIF(Suivi!$G$1677:$G$1677,"Clôturé"))/ROWS(Suivi!$G$1677:$G$1677))</f>
        <v/>
      </c>
      <c r="J35" s="11">
        <f>IF($A35="","",SUMPRODUCT(ISNUMBER(SEARCH(".",Suivi!$B$1625:$B$1677))*((Suivi!$G$1625:$G$1677="Réalisé")+(Suivi!$G$1625:$G$1677="Clôturé")))/SUMPRODUCT(--ISNUMBER(SEARCH(".",Suivi!$B$1625:$B$1677))))</f>
        <v/>
      </c>
      <c r="K35">
        <f>IF($A35="","",SUMPRODUCT(ISNUMBER(SEARCH(".",Suivi!$B$1625:$B$1677))*ISNUMBER(Suivi!$F$1625:$F$1677)*(Suivi!$F$1625:$F$1677&lt;TODAY())*(Suivi!$G$1625:$G$1677&lt;&gt;"Réalisé")*(Suivi!$G$1625:$G$1677&lt;&gt;"Clôturé")))</f>
        <v/>
      </c>
    </row>
    <row r="36">
      <c r="A36" s="10">
        <f>IF(ISNUMBER(Dossiers!$D$35),HYPERLINK("#Suivi!A1678",Dossiers!$E$35),"")</f>
        <v/>
      </c>
      <c r="B36" s="5">
        <f>IF($A36="","",Dossiers!$D$35)</f>
        <v/>
      </c>
      <c r="C36" s="5">
        <f>IF($A36="","",MAX(Suivi!$F$1679:$F$1731))</f>
        <v/>
      </c>
      <c r="D36" s="11">
        <f>IF($A36="","",(COUNTIF(Suivi!$G$1680:$G$1683,"Réalisé")+COUNTIF(Suivi!$G$1680:$G$1683,"Clôturé"))/ROWS(Suivi!$G$1680:$G$1683))</f>
        <v/>
      </c>
      <c r="E36" s="11">
        <f>IF($A36="","",(COUNTIF(Suivi!$G$1685:$G$1688,"Réalisé")+COUNTIF(Suivi!$G$1685:$G$1688,"Clôturé"))/ROWS(Suivi!$G$1685:$G$1688))</f>
        <v/>
      </c>
      <c r="F36" s="11">
        <f>IF($A36="","",(COUNTIF(Suivi!$G$1690:$G$1705,"Réalisé")+COUNTIF(Suivi!$G$1690:$G$1705,"Clôturé"))/ROWS(Suivi!$G$1690:$G$1705))</f>
        <v/>
      </c>
      <c r="G36" s="11">
        <f>IF($A36="","",(COUNTIF(Suivi!$G$1707:$G$1710,"Réalisé")+COUNTIF(Suivi!$G$1707:$G$1710,"Clôturé"))/ROWS(Suivi!$G$1707:$G$1710))</f>
        <v/>
      </c>
      <c r="H36" s="11">
        <f>IF($A36="","",(COUNTIF(Suivi!$G$1712:$G$1729,"Réalisé")+COUNTIF(Suivi!$G$1712:$G$1729,"Clôturé"))/ROWS(Suivi!$G$1712:$G$1729))</f>
        <v/>
      </c>
      <c r="I36" s="11">
        <f>IF($A36="","",(COUNTIF(Suivi!$G$1731:$G$1731,"Réalisé")+COUNTIF(Suivi!$G$1731:$G$1731,"Clôturé"))/ROWS(Suivi!$G$1731:$G$1731))</f>
        <v/>
      </c>
      <c r="J36" s="11">
        <f>IF($A36="","",SUMPRODUCT(ISNUMBER(SEARCH(".",Suivi!$B$1679:$B$1731))*((Suivi!$G$1679:$G$1731="Réalisé")+(Suivi!$G$1679:$G$1731="Clôturé")))/SUMPRODUCT(--ISNUMBER(SEARCH(".",Suivi!$B$1679:$B$1731))))</f>
        <v/>
      </c>
      <c r="K36">
        <f>IF($A36="","",SUMPRODUCT(ISNUMBER(SEARCH(".",Suivi!$B$1679:$B$1731))*ISNUMBER(Suivi!$F$1679:$F$1731)*(Suivi!$F$1679:$F$1731&lt;TODAY())*(Suivi!$G$1679:$G$1731&lt;&gt;"Réalisé")*(Suivi!$G$1679:$G$1731&lt;&gt;"Clôturé")))</f>
        <v/>
      </c>
    </row>
    <row r="37">
      <c r="A37" s="10">
        <f>IF(ISNUMBER(Dossiers!$D$36),HYPERLINK("#Suivi!A1732",Dossiers!$E$36),"")</f>
        <v/>
      </c>
      <c r="B37" s="5">
        <f>IF($A37="","",Dossiers!$D$36)</f>
        <v/>
      </c>
      <c r="C37" s="5">
        <f>IF($A37="","",MAX(Suivi!$F$1733:$F$1785))</f>
        <v/>
      </c>
      <c r="D37" s="11">
        <f>IF($A37="","",(COUNTIF(Suivi!$G$1734:$G$1737,"Réalisé")+COUNTIF(Suivi!$G$1734:$G$1737,"Clôturé"))/ROWS(Suivi!$G$1734:$G$1737))</f>
        <v/>
      </c>
      <c r="E37" s="11">
        <f>IF($A37="","",(COUNTIF(Suivi!$G$1739:$G$1742,"Réalisé")+COUNTIF(Suivi!$G$1739:$G$1742,"Clôturé"))/ROWS(Suivi!$G$1739:$G$1742))</f>
        <v/>
      </c>
      <c r="F37" s="11">
        <f>IF($A37="","",(COUNTIF(Suivi!$G$1744:$G$1759,"Réalisé")+COUNTIF(Suivi!$G$1744:$G$1759,"Clôturé"))/ROWS(Suivi!$G$1744:$G$1759))</f>
        <v/>
      </c>
      <c r="G37" s="11">
        <f>IF($A37="","",(COUNTIF(Suivi!$G$1761:$G$1764,"Réalisé")+COUNTIF(Suivi!$G$1761:$G$1764,"Clôturé"))/ROWS(Suivi!$G$1761:$G$1764))</f>
        <v/>
      </c>
      <c r="H37" s="11">
        <f>IF($A37="","",(COUNTIF(Suivi!$G$1766:$G$1783,"Réalisé")+COUNTIF(Suivi!$G$1766:$G$1783,"Clôturé"))/ROWS(Suivi!$G$1766:$G$1783))</f>
        <v/>
      </c>
      <c r="I37" s="11">
        <f>IF($A37="","",(COUNTIF(Suivi!$G$1785:$G$1785,"Réalisé")+COUNTIF(Suivi!$G$1785:$G$1785,"Clôturé"))/ROWS(Suivi!$G$1785:$G$1785))</f>
        <v/>
      </c>
      <c r="J37" s="11">
        <f>IF($A37="","",SUMPRODUCT(ISNUMBER(SEARCH(".",Suivi!$B$1733:$B$1785))*((Suivi!$G$1733:$G$1785="Réalisé")+(Suivi!$G$1733:$G$1785="Clôturé")))/SUMPRODUCT(--ISNUMBER(SEARCH(".",Suivi!$B$1733:$B$1785))))</f>
        <v/>
      </c>
      <c r="K37">
        <f>IF($A37="","",SUMPRODUCT(ISNUMBER(SEARCH(".",Suivi!$B$1733:$B$1785))*ISNUMBER(Suivi!$F$1733:$F$1785)*(Suivi!$F$1733:$F$1785&lt;TODAY())*(Suivi!$G$1733:$G$1785&lt;&gt;"Réalisé")*(Suivi!$G$1733:$G$1785&lt;&gt;"Clôturé")))</f>
        <v/>
      </c>
    </row>
    <row r="38">
      <c r="A38" s="10">
        <f>IF(ISNUMBER(Dossiers!$D$37),HYPERLINK("#Suivi!A1786",Dossiers!$E$37),"")</f>
        <v/>
      </c>
      <c r="B38" s="5">
        <f>IF($A38="","",Dossiers!$D$37)</f>
        <v/>
      </c>
      <c r="C38" s="5">
        <f>IF($A38="","",MAX(Suivi!$F$1787:$F$1839))</f>
        <v/>
      </c>
      <c r="D38" s="11">
        <f>IF($A38="","",(COUNTIF(Suivi!$G$1788:$G$1791,"Réalisé")+COUNTIF(Suivi!$G$1788:$G$1791,"Clôturé"))/ROWS(Suivi!$G$1788:$G$1791))</f>
        <v/>
      </c>
      <c r="E38" s="11">
        <f>IF($A38="","",(COUNTIF(Suivi!$G$1793:$G$1796,"Réalisé")+COUNTIF(Suivi!$G$1793:$G$1796,"Clôturé"))/ROWS(Suivi!$G$1793:$G$1796))</f>
        <v/>
      </c>
      <c r="F38" s="11">
        <f>IF($A38="","",(COUNTIF(Suivi!$G$1798:$G$1813,"Réalisé")+COUNTIF(Suivi!$G$1798:$G$1813,"Clôturé"))/ROWS(Suivi!$G$1798:$G$1813))</f>
        <v/>
      </c>
      <c r="G38" s="11">
        <f>IF($A38="","",(COUNTIF(Suivi!$G$1815:$G$1818,"Réalisé")+COUNTIF(Suivi!$G$1815:$G$1818,"Clôturé"))/ROWS(Suivi!$G$1815:$G$1818))</f>
        <v/>
      </c>
      <c r="H38" s="11">
        <f>IF($A38="","",(COUNTIF(Suivi!$G$1820:$G$1837,"Réalisé")+COUNTIF(Suivi!$G$1820:$G$1837,"Clôturé"))/ROWS(Suivi!$G$1820:$G$1837))</f>
        <v/>
      </c>
      <c r="I38" s="11">
        <f>IF($A38="","",(COUNTIF(Suivi!$G$1839:$G$1839,"Réalisé")+COUNTIF(Suivi!$G$1839:$G$1839,"Clôturé"))/ROWS(Suivi!$G$1839:$G$1839))</f>
        <v/>
      </c>
      <c r="J38" s="11">
        <f>IF($A38="","",SUMPRODUCT(ISNUMBER(SEARCH(".",Suivi!$B$1787:$B$1839))*((Suivi!$G$1787:$G$1839="Réalisé")+(Suivi!$G$1787:$G$1839="Clôturé")))/SUMPRODUCT(--ISNUMBER(SEARCH(".",Suivi!$B$1787:$B$1839))))</f>
        <v/>
      </c>
      <c r="K38">
        <f>IF($A38="","",SUMPRODUCT(ISNUMBER(SEARCH(".",Suivi!$B$1787:$B$1839))*ISNUMBER(Suivi!$F$1787:$F$1839)*(Suivi!$F$1787:$F$1839&lt;TODAY())*(Suivi!$G$1787:$G$1839&lt;&gt;"Réalisé")*(Suivi!$G$1787:$G$1839&lt;&gt;"Clôturé")))</f>
        <v/>
      </c>
    </row>
    <row r="39">
      <c r="A39" s="10">
        <f>IF(ISNUMBER(Dossiers!$D$38),HYPERLINK("#Suivi!A1840",Dossiers!$E$38),"")</f>
        <v/>
      </c>
      <c r="B39" s="5">
        <f>IF($A39="","",Dossiers!$D$38)</f>
        <v/>
      </c>
      <c r="C39" s="5">
        <f>IF($A39="","",MAX(Suivi!$F$1841:$F$1893))</f>
        <v/>
      </c>
      <c r="D39" s="11">
        <f>IF($A39="","",(COUNTIF(Suivi!$G$1842:$G$1845,"Réalisé")+COUNTIF(Suivi!$G$1842:$G$1845,"Clôturé"))/ROWS(Suivi!$G$1842:$G$1845))</f>
        <v/>
      </c>
      <c r="E39" s="11">
        <f>IF($A39="","",(COUNTIF(Suivi!$G$1847:$G$1850,"Réalisé")+COUNTIF(Suivi!$G$1847:$G$1850,"Clôturé"))/ROWS(Suivi!$G$1847:$G$1850))</f>
        <v/>
      </c>
      <c r="F39" s="11">
        <f>IF($A39="","",(COUNTIF(Suivi!$G$1852:$G$1867,"Réalisé")+COUNTIF(Suivi!$G$1852:$G$1867,"Clôturé"))/ROWS(Suivi!$G$1852:$G$1867))</f>
        <v/>
      </c>
      <c r="G39" s="11">
        <f>IF($A39="","",(COUNTIF(Suivi!$G$1869:$G$1872,"Réalisé")+COUNTIF(Suivi!$G$1869:$G$1872,"Clôturé"))/ROWS(Suivi!$G$1869:$G$1872))</f>
        <v/>
      </c>
      <c r="H39" s="11">
        <f>IF($A39="","",(COUNTIF(Suivi!$G$1874:$G$1891,"Réalisé")+COUNTIF(Suivi!$G$1874:$G$1891,"Clôturé"))/ROWS(Suivi!$G$1874:$G$1891))</f>
        <v/>
      </c>
      <c r="I39" s="11">
        <f>IF($A39="","",(COUNTIF(Suivi!$G$1893:$G$1893,"Réalisé")+COUNTIF(Suivi!$G$1893:$G$1893,"Clôturé"))/ROWS(Suivi!$G$1893:$G$1893))</f>
        <v/>
      </c>
      <c r="J39" s="11">
        <f>IF($A39="","",SUMPRODUCT(ISNUMBER(SEARCH(".",Suivi!$B$1841:$B$1893))*((Suivi!$G$1841:$G$1893="Réalisé")+(Suivi!$G$1841:$G$1893="Clôturé")))/SUMPRODUCT(--ISNUMBER(SEARCH(".",Suivi!$B$1841:$B$1893))))</f>
        <v/>
      </c>
      <c r="K39">
        <f>IF($A39="","",SUMPRODUCT(ISNUMBER(SEARCH(".",Suivi!$B$1841:$B$1893))*ISNUMBER(Suivi!$F$1841:$F$1893)*(Suivi!$F$1841:$F$1893&lt;TODAY())*(Suivi!$G$1841:$G$1893&lt;&gt;"Réalisé")*(Suivi!$G$1841:$G$1893&lt;&gt;"Clôturé")))</f>
        <v/>
      </c>
    </row>
    <row r="40">
      <c r="A40" s="10">
        <f>IF(ISNUMBER(Dossiers!$D$39),HYPERLINK("#Suivi!A1894",Dossiers!$E$39),"")</f>
        <v/>
      </c>
      <c r="B40" s="5">
        <f>IF($A40="","",Dossiers!$D$39)</f>
        <v/>
      </c>
      <c r="C40" s="5">
        <f>IF($A40="","",MAX(Suivi!$F$1895:$F$1947))</f>
        <v/>
      </c>
      <c r="D40" s="11">
        <f>IF($A40="","",(COUNTIF(Suivi!$G$1896:$G$1899,"Réalisé")+COUNTIF(Suivi!$G$1896:$G$1899,"Clôturé"))/ROWS(Suivi!$G$1896:$G$1899))</f>
        <v/>
      </c>
      <c r="E40" s="11">
        <f>IF($A40="","",(COUNTIF(Suivi!$G$1901:$G$1904,"Réalisé")+COUNTIF(Suivi!$G$1901:$G$1904,"Clôturé"))/ROWS(Suivi!$G$1901:$G$1904))</f>
        <v/>
      </c>
      <c r="F40" s="11">
        <f>IF($A40="","",(COUNTIF(Suivi!$G$1906:$G$1921,"Réalisé")+COUNTIF(Suivi!$G$1906:$G$1921,"Clôturé"))/ROWS(Suivi!$G$1906:$G$1921))</f>
        <v/>
      </c>
      <c r="G40" s="11">
        <f>IF($A40="","",(COUNTIF(Suivi!$G$1923:$G$1926,"Réalisé")+COUNTIF(Suivi!$G$1923:$G$1926,"Clôturé"))/ROWS(Suivi!$G$1923:$G$1926))</f>
        <v/>
      </c>
      <c r="H40" s="11">
        <f>IF($A40="","",(COUNTIF(Suivi!$G$1928:$G$1945,"Réalisé")+COUNTIF(Suivi!$G$1928:$G$1945,"Clôturé"))/ROWS(Suivi!$G$1928:$G$1945))</f>
        <v/>
      </c>
      <c r="I40" s="11">
        <f>IF($A40="","",(COUNTIF(Suivi!$G$1947:$G$1947,"Réalisé")+COUNTIF(Suivi!$G$1947:$G$1947,"Clôturé"))/ROWS(Suivi!$G$1947:$G$1947))</f>
        <v/>
      </c>
      <c r="J40" s="11">
        <f>IF($A40="","",SUMPRODUCT(ISNUMBER(SEARCH(".",Suivi!$B$1895:$B$1947))*((Suivi!$G$1895:$G$1947="Réalisé")+(Suivi!$G$1895:$G$1947="Clôturé")))/SUMPRODUCT(--ISNUMBER(SEARCH(".",Suivi!$B$1895:$B$1947))))</f>
        <v/>
      </c>
      <c r="K40">
        <f>IF($A40="","",SUMPRODUCT(ISNUMBER(SEARCH(".",Suivi!$B$1895:$B$1947))*ISNUMBER(Suivi!$F$1895:$F$1947)*(Suivi!$F$1895:$F$1947&lt;TODAY())*(Suivi!$G$1895:$G$1947&lt;&gt;"Réalisé")*(Suivi!$G$1895:$G$1947&lt;&gt;"Clôturé")))</f>
        <v/>
      </c>
    </row>
    <row r="41">
      <c r="A41" s="10">
        <f>IF(ISNUMBER(Dossiers!$D$40),HYPERLINK("#Suivi!A1948",Dossiers!$E$40),"")</f>
        <v/>
      </c>
      <c r="B41" s="5">
        <f>IF($A41="","",Dossiers!$D$40)</f>
        <v/>
      </c>
      <c r="C41" s="5">
        <f>IF($A41="","",MAX(Suivi!$F$1949:$F$2001))</f>
        <v/>
      </c>
      <c r="D41" s="11">
        <f>IF($A41="","",(COUNTIF(Suivi!$G$1950:$G$1953,"Réalisé")+COUNTIF(Suivi!$G$1950:$G$1953,"Clôturé"))/ROWS(Suivi!$G$1950:$G$1953))</f>
        <v/>
      </c>
      <c r="E41" s="11">
        <f>IF($A41="","",(COUNTIF(Suivi!$G$1955:$G$1958,"Réalisé")+COUNTIF(Suivi!$G$1955:$G$1958,"Clôturé"))/ROWS(Suivi!$G$1955:$G$1958))</f>
        <v/>
      </c>
      <c r="F41" s="11">
        <f>IF($A41="","",(COUNTIF(Suivi!$G$1960:$G$1975,"Réalisé")+COUNTIF(Suivi!$G$1960:$G$1975,"Clôturé"))/ROWS(Suivi!$G$1960:$G$1975))</f>
        <v/>
      </c>
      <c r="G41" s="11">
        <f>IF($A41="","",(COUNTIF(Suivi!$G$1977:$G$1980,"Réalisé")+COUNTIF(Suivi!$G$1977:$G$1980,"Clôturé"))/ROWS(Suivi!$G$1977:$G$1980))</f>
        <v/>
      </c>
      <c r="H41" s="11">
        <f>IF($A41="","",(COUNTIF(Suivi!$G$1982:$G$1999,"Réalisé")+COUNTIF(Suivi!$G$1982:$G$1999,"Clôturé"))/ROWS(Suivi!$G$1982:$G$1999))</f>
        <v/>
      </c>
      <c r="I41" s="11">
        <f>IF($A41="","",(COUNTIF(Suivi!$G$2001:$G$2001,"Réalisé")+COUNTIF(Suivi!$G$2001:$G$2001,"Clôturé"))/ROWS(Suivi!$G$2001:$G$2001))</f>
        <v/>
      </c>
      <c r="J41" s="11">
        <f>IF($A41="","",SUMPRODUCT(ISNUMBER(SEARCH(".",Suivi!$B$1949:$B$2001))*((Suivi!$G$1949:$G$2001="Réalisé")+(Suivi!$G$1949:$G$2001="Clôturé")))/SUMPRODUCT(--ISNUMBER(SEARCH(".",Suivi!$B$1949:$B$2001))))</f>
        <v/>
      </c>
      <c r="K41">
        <f>IF($A41="","",SUMPRODUCT(ISNUMBER(SEARCH(".",Suivi!$B$1949:$B$2001))*ISNUMBER(Suivi!$F$1949:$F$2001)*(Suivi!$F$1949:$F$2001&lt;TODAY())*(Suivi!$G$1949:$G$2001&lt;&gt;"Réalisé")*(Suivi!$G$1949:$G$2001&lt;&gt;"Clôturé")))</f>
        <v/>
      </c>
    </row>
    <row r="42">
      <c r="A42" s="10">
        <f>IF(ISNUMBER(Dossiers!$D$41),HYPERLINK("#Suivi!A2002",Dossiers!$E$41),"")</f>
        <v/>
      </c>
      <c r="B42" s="5">
        <f>IF($A42="","",Dossiers!$D$41)</f>
        <v/>
      </c>
      <c r="C42" s="5">
        <f>IF($A42="","",MAX(Suivi!$F$2003:$F$2055))</f>
        <v/>
      </c>
      <c r="D42" s="11">
        <f>IF($A42="","",(COUNTIF(Suivi!$G$2004:$G$2007,"Réalisé")+COUNTIF(Suivi!$G$2004:$G$2007,"Clôturé"))/ROWS(Suivi!$G$2004:$G$2007))</f>
        <v/>
      </c>
      <c r="E42" s="11">
        <f>IF($A42="","",(COUNTIF(Suivi!$G$2009:$G$2012,"Réalisé")+COUNTIF(Suivi!$G$2009:$G$2012,"Clôturé"))/ROWS(Suivi!$G$2009:$G$2012))</f>
        <v/>
      </c>
      <c r="F42" s="11">
        <f>IF($A42="","",(COUNTIF(Suivi!$G$2014:$G$2029,"Réalisé")+COUNTIF(Suivi!$G$2014:$G$2029,"Clôturé"))/ROWS(Suivi!$G$2014:$G$2029))</f>
        <v/>
      </c>
      <c r="G42" s="11">
        <f>IF($A42="","",(COUNTIF(Suivi!$G$2031:$G$2034,"Réalisé")+COUNTIF(Suivi!$G$2031:$G$2034,"Clôturé"))/ROWS(Suivi!$G$2031:$G$2034))</f>
        <v/>
      </c>
      <c r="H42" s="11">
        <f>IF($A42="","",(COUNTIF(Suivi!$G$2036:$G$2053,"Réalisé")+COUNTIF(Suivi!$G$2036:$G$2053,"Clôturé"))/ROWS(Suivi!$G$2036:$G$2053))</f>
        <v/>
      </c>
      <c r="I42" s="11">
        <f>IF($A42="","",(COUNTIF(Suivi!$G$2055:$G$2055,"Réalisé")+COUNTIF(Suivi!$G$2055:$G$2055,"Clôturé"))/ROWS(Suivi!$G$2055:$G$2055))</f>
        <v/>
      </c>
      <c r="J42" s="11">
        <f>IF($A42="","",SUMPRODUCT(ISNUMBER(SEARCH(".",Suivi!$B$2003:$B$2055))*((Suivi!$G$2003:$G$2055="Réalisé")+(Suivi!$G$2003:$G$2055="Clôturé")))/SUMPRODUCT(--ISNUMBER(SEARCH(".",Suivi!$B$2003:$B$2055))))</f>
        <v/>
      </c>
      <c r="K42">
        <f>IF($A42="","",SUMPRODUCT(ISNUMBER(SEARCH(".",Suivi!$B$2003:$B$2055))*ISNUMBER(Suivi!$F$2003:$F$2055)*(Suivi!$F$2003:$F$2055&lt;TODAY())*(Suivi!$G$2003:$G$2055&lt;&gt;"Réalisé")*(Suivi!$G$2003:$G$2055&lt;&gt;"Clôturé")))</f>
        <v/>
      </c>
    </row>
    <row r="43">
      <c r="A43" s="10">
        <f>IF(ISNUMBER(Dossiers!$D$42),HYPERLINK("#Suivi!A2056",Dossiers!$E$42),"")</f>
        <v/>
      </c>
      <c r="B43" s="5">
        <f>IF($A43="","",Dossiers!$D$42)</f>
        <v/>
      </c>
      <c r="C43" s="5">
        <f>IF($A43="","",MAX(Suivi!$F$2057:$F$2109))</f>
        <v/>
      </c>
      <c r="D43" s="11">
        <f>IF($A43="","",(COUNTIF(Suivi!$G$2058:$G$2061,"Réalisé")+COUNTIF(Suivi!$G$2058:$G$2061,"Clôturé"))/ROWS(Suivi!$G$2058:$G$2061))</f>
        <v/>
      </c>
      <c r="E43" s="11">
        <f>IF($A43="","",(COUNTIF(Suivi!$G$2063:$G$2066,"Réalisé")+COUNTIF(Suivi!$G$2063:$G$2066,"Clôturé"))/ROWS(Suivi!$G$2063:$G$2066))</f>
        <v/>
      </c>
      <c r="F43" s="11">
        <f>IF($A43="","",(COUNTIF(Suivi!$G$2068:$G$2083,"Réalisé")+COUNTIF(Suivi!$G$2068:$G$2083,"Clôturé"))/ROWS(Suivi!$G$2068:$G$2083))</f>
        <v/>
      </c>
      <c r="G43" s="11">
        <f>IF($A43="","",(COUNTIF(Suivi!$G$2085:$G$2088,"Réalisé")+COUNTIF(Suivi!$G$2085:$G$2088,"Clôturé"))/ROWS(Suivi!$G$2085:$G$2088))</f>
        <v/>
      </c>
      <c r="H43" s="11">
        <f>IF($A43="","",(COUNTIF(Suivi!$G$2090:$G$2107,"Réalisé")+COUNTIF(Suivi!$G$2090:$G$2107,"Clôturé"))/ROWS(Suivi!$G$2090:$G$2107))</f>
        <v/>
      </c>
      <c r="I43" s="11">
        <f>IF($A43="","",(COUNTIF(Suivi!$G$2109:$G$2109,"Réalisé")+COUNTIF(Suivi!$G$2109:$G$2109,"Clôturé"))/ROWS(Suivi!$G$2109:$G$2109))</f>
        <v/>
      </c>
      <c r="J43" s="11">
        <f>IF($A43="","",SUMPRODUCT(ISNUMBER(SEARCH(".",Suivi!$B$2057:$B$2109))*((Suivi!$G$2057:$G$2109="Réalisé")+(Suivi!$G$2057:$G$2109="Clôturé")))/SUMPRODUCT(--ISNUMBER(SEARCH(".",Suivi!$B$2057:$B$2109))))</f>
        <v/>
      </c>
      <c r="K43">
        <f>IF($A43="","",SUMPRODUCT(ISNUMBER(SEARCH(".",Suivi!$B$2057:$B$2109))*ISNUMBER(Suivi!$F$2057:$F$2109)*(Suivi!$F$2057:$F$2109&lt;TODAY())*(Suivi!$G$2057:$G$2109&lt;&gt;"Réalisé")*(Suivi!$G$2057:$G$2109&lt;&gt;"Clôturé")))</f>
        <v/>
      </c>
    </row>
    <row r="44">
      <c r="A44" s="10">
        <f>IF(ISNUMBER(Dossiers!$D$43),HYPERLINK("#Suivi!A2110",Dossiers!$E$43),"")</f>
        <v/>
      </c>
      <c r="B44" s="5">
        <f>IF($A44="","",Dossiers!$D$43)</f>
        <v/>
      </c>
      <c r="C44" s="5">
        <f>IF($A44="","",MAX(Suivi!$F$2111:$F$2163))</f>
        <v/>
      </c>
      <c r="D44" s="11">
        <f>IF($A44="","",(COUNTIF(Suivi!$G$2112:$G$2115,"Réalisé")+COUNTIF(Suivi!$G$2112:$G$2115,"Clôturé"))/ROWS(Suivi!$G$2112:$G$2115))</f>
        <v/>
      </c>
      <c r="E44" s="11">
        <f>IF($A44="","",(COUNTIF(Suivi!$G$2117:$G$2120,"Réalisé")+COUNTIF(Suivi!$G$2117:$G$2120,"Clôturé"))/ROWS(Suivi!$G$2117:$G$2120))</f>
        <v/>
      </c>
      <c r="F44" s="11">
        <f>IF($A44="","",(COUNTIF(Suivi!$G$2122:$G$2137,"Réalisé")+COUNTIF(Suivi!$G$2122:$G$2137,"Clôturé"))/ROWS(Suivi!$G$2122:$G$2137))</f>
        <v/>
      </c>
      <c r="G44" s="11">
        <f>IF($A44="","",(COUNTIF(Suivi!$G$2139:$G$2142,"Réalisé")+COUNTIF(Suivi!$G$2139:$G$2142,"Clôturé"))/ROWS(Suivi!$G$2139:$G$2142))</f>
        <v/>
      </c>
      <c r="H44" s="11">
        <f>IF($A44="","",(COUNTIF(Suivi!$G$2144:$G$2161,"Réalisé")+COUNTIF(Suivi!$G$2144:$G$2161,"Clôturé"))/ROWS(Suivi!$G$2144:$G$2161))</f>
        <v/>
      </c>
      <c r="I44" s="11">
        <f>IF($A44="","",(COUNTIF(Suivi!$G$2163:$G$2163,"Réalisé")+COUNTIF(Suivi!$G$2163:$G$2163,"Clôturé"))/ROWS(Suivi!$G$2163:$G$2163))</f>
        <v/>
      </c>
      <c r="J44" s="11">
        <f>IF($A44="","",SUMPRODUCT(ISNUMBER(SEARCH(".",Suivi!$B$2111:$B$2163))*((Suivi!$G$2111:$G$2163="Réalisé")+(Suivi!$G$2111:$G$2163="Clôturé")))/SUMPRODUCT(--ISNUMBER(SEARCH(".",Suivi!$B$2111:$B$2163))))</f>
        <v/>
      </c>
      <c r="K44">
        <f>IF($A44="","",SUMPRODUCT(ISNUMBER(SEARCH(".",Suivi!$B$2111:$B$2163))*ISNUMBER(Suivi!$F$2111:$F$2163)*(Suivi!$F$2111:$F$2163&lt;TODAY())*(Suivi!$G$2111:$G$2163&lt;&gt;"Réalisé")*(Suivi!$G$2111:$G$2163&lt;&gt;"Clôturé")))</f>
        <v/>
      </c>
    </row>
    <row r="45">
      <c r="A45" s="10">
        <f>IF(ISNUMBER(Dossiers!$D$44),HYPERLINK("#Suivi!A2164",Dossiers!$E$44),"")</f>
        <v/>
      </c>
      <c r="B45" s="5">
        <f>IF($A45="","",Dossiers!$D$44)</f>
        <v/>
      </c>
      <c r="C45" s="5">
        <f>IF($A45="","",MAX(Suivi!$F$2165:$F$2217))</f>
        <v/>
      </c>
      <c r="D45" s="11">
        <f>IF($A45="","",(COUNTIF(Suivi!$G$2166:$G$2169,"Réalisé")+COUNTIF(Suivi!$G$2166:$G$2169,"Clôturé"))/ROWS(Suivi!$G$2166:$G$2169))</f>
        <v/>
      </c>
      <c r="E45" s="11">
        <f>IF($A45="","",(COUNTIF(Suivi!$G$2171:$G$2174,"Réalisé")+COUNTIF(Suivi!$G$2171:$G$2174,"Clôturé"))/ROWS(Suivi!$G$2171:$G$2174))</f>
        <v/>
      </c>
      <c r="F45" s="11">
        <f>IF($A45="","",(COUNTIF(Suivi!$G$2176:$G$2191,"Réalisé")+COUNTIF(Suivi!$G$2176:$G$2191,"Clôturé"))/ROWS(Suivi!$G$2176:$G$2191))</f>
        <v/>
      </c>
      <c r="G45" s="11">
        <f>IF($A45="","",(COUNTIF(Suivi!$G$2193:$G$2196,"Réalisé")+COUNTIF(Suivi!$G$2193:$G$2196,"Clôturé"))/ROWS(Suivi!$G$2193:$G$2196))</f>
        <v/>
      </c>
      <c r="H45" s="11">
        <f>IF($A45="","",(COUNTIF(Suivi!$G$2198:$G$2215,"Réalisé")+COUNTIF(Suivi!$G$2198:$G$2215,"Clôturé"))/ROWS(Suivi!$G$2198:$G$2215))</f>
        <v/>
      </c>
      <c r="I45" s="11">
        <f>IF($A45="","",(COUNTIF(Suivi!$G$2217:$G$2217,"Réalisé")+COUNTIF(Suivi!$G$2217:$G$2217,"Clôturé"))/ROWS(Suivi!$G$2217:$G$2217))</f>
        <v/>
      </c>
      <c r="J45" s="11">
        <f>IF($A45="","",SUMPRODUCT(ISNUMBER(SEARCH(".",Suivi!$B$2165:$B$2217))*((Suivi!$G$2165:$G$2217="Réalisé")+(Suivi!$G$2165:$G$2217="Clôturé")))/SUMPRODUCT(--ISNUMBER(SEARCH(".",Suivi!$B$2165:$B$2217))))</f>
        <v/>
      </c>
      <c r="K45">
        <f>IF($A45="","",SUMPRODUCT(ISNUMBER(SEARCH(".",Suivi!$B$2165:$B$2217))*ISNUMBER(Suivi!$F$2165:$F$2217)*(Suivi!$F$2165:$F$2217&lt;TODAY())*(Suivi!$G$2165:$G$2217&lt;&gt;"Réalisé")*(Suivi!$G$2165:$G$2217&lt;&gt;"Clôturé")))</f>
        <v/>
      </c>
    </row>
    <row r="46">
      <c r="A46" s="10">
        <f>IF(ISNUMBER(Dossiers!$D$45),HYPERLINK("#Suivi!A2218",Dossiers!$E$45),"")</f>
        <v/>
      </c>
      <c r="B46" s="5">
        <f>IF($A46="","",Dossiers!$D$45)</f>
        <v/>
      </c>
      <c r="C46" s="5">
        <f>IF($A46="","",MAX(Suivi!$F$2219:$F$2271))</f>
        <v/>
      </c>
      <c r="D46" s="11">
        <f>IF($A46="","",(COUNTIF(Suivi!$G$2220:$G$2223,"Réalisé")+COUNTIF(Suivi!$G$2220:$G$2223,"Clôturé"))/ROWS(Suivi!$G$2220:$G$2223))</f>
        <v/>
      </c>
      <c r="E46" s="11">
        <f>IF($A46="","",(COUNTIF(Suivi!$G$2225:$G$2228,"Réalisé")+COUNTIF(Suivi!$G$2225:$G$2228,"Clôturé"))/ROWS(Suivi!$G$2225:$G$2228))</f>
        <v/>
      </c>
      <c r="F46" s="11">
        <f>IF($A46="","",(COUNTIF(Suivi!$G$2230:$G$2245,"Réalisé")+COUNTIF(Suivi!$G$2230:$G$2245,"Clôturé"))/ROWS(Suivi!$G$2230:$G$2245))</f>
        <v/>
      </c>
      <c r="G46" s="11">
        <f>IF($A46="","",(COUNTIF(Suivi!$G$2247:$G$2250,"Réalisé")+COUNTIF(Suivi!$G$2247:$G$2250,"Clôturé"))/ROWS(Suivi!$G$2247:$G$2250))</f>
        <v/>
      </c>
      <c r="H46" s="11">
        <f>IF($A46="","",(COUNTIF(Suivi!$G$2252:$G$2269,"Réalisé")+COUNTIF(Suivi!$G$2252:$G$2269,"Clôturé"))/ROWS(Suivi!$G$2252:$G$2269))</f>
        <v/>
      </c>
      <c r="I46" s="11">
        <f>IF($A46="","",(COUNTIF(Suivi!$G$2271:$G$2271,"Réalisé")+COUNTIF(Suivi!$G$2271:$G$2271,"Clôturé"))/ROWS(Suivi!$G$2271:$G$2271))</f>
        <v/>
      </c>
      <c r="J46" s="11">
        <f>IF($A46="","",SUMPRODUCT(ISNUMBER(SEARCH(".",Suivi!$B$2219:$B$2271))*((Suivi!$G$2219:$G$2271="Réalisé")+(Suivi!$G$2219:$G$2271="Clôturé")))/SUMPRODUCT(--ISNUMBER(SEARCH(".",Suivi!$B$2219:$B$2271))))</f>
        <v/>
      </c>
      <c r="K46">
        <f>IF($A46="","",SUMPRODUCT(ISNUMBER(SEARCH(".",Suivi!$B$2219:$B$2271))*ISNUMBER(Suivi!$F$2219:$F$2271)*(Suivi!$F$2219:$F$2271&lt;TODAY())*(Suivi!$G$2219:$G$2271&lt;&gt;"Réalisé")*(Suivi!$G$2219:$G$2271&lt;&gt;"Clôturé")))</f>
        <v/>
      </c>
    </row>
    <row r="47">
      <c r="A47" s="10">
        <f>IF(ISNUMBER(Dossiers!$D$46),HYPERLINK("#Suivi!A2272",Dossiers!$E$46),"")</f>
        <v/>
      </c>
      <c r="B47" s="5">
        <f>IF($A47="","",Dossiers!$D$46)</f>
        <v/>
      </c>
      <c r="C47" s="5">
        <f>IF($A47="","",MAX(Suivi!$F$2273:$F$2325))</f>
        <v/>
      </c>
      <c r="D47" s="11">
        <f>IF($A47="","",(COUNTIF(Suivi!$G$2274:$G$2277,"Réalisé")+COUNTIF(Suivi!$G$2274:$G$2277,"Clôturé"))/ROWS(Suivi!$G$2274:$G$2277))</f>
        <v/>
      </c>
      <c r="E47" s="11">
        <f>IF($A47="","",(COUNTIF(Suivi!$G$2279:$G$2282,"Réalisé")+COUNTIF(Suivi!$G$2279:$G$2282,"Clôturé"))/ROWS(Suivi!$G$2279:$G$2282))</f>
        <v/>
      </c>
      <c r="F47" s="11">
        <f>IF($A47="","",(COUNTIF(Suivi!$G$2284:$G$2299,"Réalisé")+COUNTIF(Suivi!$G$2284:$G$2299,"Clôturé"))/ROWS(Suivi!$G$2284:$G$2299))</f>
        <v/>
      </c>
      <c r="G47" s="11">
        <f>IF($A47="","",(COUNTIF(Suivi!$G$2301:$G$2304,"Réalisé")+COUNTIF(Suivi!$G$2301:$G$2304,"Clôturé"))/ROWS(Suivi!$G$2301:$G$2304))</f>
        <v/>
      </c>
      <c r="H47" s="11">
        <f>IF($A47="","",(COUNTIF(Suivi!$G$2306:$G$2323,"Réalisé")+COUNTIF(Suivi!$G$2306:$G$2323,"Clôturé"))/ROWS(Suivi!$G$2306:$G$2323))</f>
        <v/>
      </c>
      <c r="I47" s="11">
        <f>IF($A47="","",(COUNTIF(Suivi!$G$2325:$G$2325,"Réalisé")+COUNTIF(Suivi!$G$2325:$G$2325,"Clôturé"))/ROWS(Suivi!$G$2325:$G$2325))</f>
        <v/>
      </c>
      <c r="J47" s="11">
        <f>IF($A47="","",SUMPRODUCT(ISNUMBER(SEARCH(".",Suivi!$B$2273:$B$2325))*((Suivi!$G$2273:$G$2325="Réalisé")+(Suivi!$G$2273:$G$2325="Clôturé")))/SUMPRODUCT(--ISNUMBER(SEARCH(".",Suivi!$B$2273:$B$2325))))</f>
        <v/>
      </c>
      <c r="K47">
        <f>IF($A47="","",SUMPRODUCT(ISNUMBER(SEARCH(".",Suivi!$B$2273:$B$2325))*ISNUMBER(Suivi!$F$2273:$F$2325)*(Suivi!$F$2273:$F$2325&lt;TODAY())*(Suivi!$G$2273:$G$2325&lt;&gt;"Réalisé")*(Suivi!$G$2273:$G$2325&lt;&gt;"Clôturé")))</f>
        <v/>
      </c>
    </row>
    <row r="48">
      <c r="A48" s="10">
        <f>IF(ISNUMBER(Dossiers!$D$47),HYPERLINK("#Suivi!A2326",Dossiers!$E$47),"")</f>
        <v/>
      </c>
      <c r="B48" s="5">
        <f>IF($A48="","",Dossiers!$D$47)</f>
        <v/>
      </c>
      <c r="C48" s="5">
        <f>IF($A48="","",MAX(Suivi!$F$2327:$F$2379))</f>
        <v/>
      </c>
      <c r="D48" s="11">
        <f>IF($A48="","",(COUNTIF(Suivi!$G$2328:$G$2331,"Réalisé")+COUNTIF(Suivi!$G$2328:$G$2331,"Clôturé"))/ROWS(Suivi!$G$2328:$G$2331))</f>
        <v/>
      </c>
      <c r="E48" s="11">
        <f>IF($A48="","",(COUNTIF(Suivi!$G$2333:$G$2336,"Réalisé")+COUNTIF(Suivi!$G$2333:$G$2336,"Clôturé"))/ROWS(Suivi!$G$2333:$G$2336))</f>
        <v/>
      </c>
      <c r="F48" s="11">
        <f>IF($A48="","",(COUNTIF(Suivi!$G$2338:$G$2353,"Réalisé")+COUNTIF(Suivi!$G$2338:$G$2353,"Clôturé"))/ROWS(Suivi!$G$2338:$G$2353))</f>
        <v/>
      </c>
      <c r="G48" s="11">
        <f>IF($A48="","",(COUNTIF(Suivi!$G$2355:$G$2358,"Réalisé")+COUNTIF(Suivi!$G$2355:$G$2358,"Clôturé"))/ROWS(Suivi!$G$2355:$G$2358))</f>
        <v/>
      </c>
      <c r="H48" s="11">
        <f>IF($A48="","",(COUNTIF(Suivi!$G$2360:$G$2377,"Réalisé")+COUNTIF(Suivi!$G$2360:$G$2377,"Clôturé"))/ROWS(Suivi!$G$2360:$G$2377))</f>
        <v/>
      </c>
      <c r="I48" s="11">
        <f>IF($A48="","",(COUNTIF(Suivi!$G$2379:$G$2379,"Réalisé")+COUNTIF(Suivi!$G$2379:$G$2379,"Clôturé"))/ROWS(Suivi!$G$2379:$G$2379))</f>
        <v/>
      </c>
      <c r="J48" s="11">
        <f>IF($A48="","",SUMPRODUCT(ISNUMBER(SEARCH(".",Suivi!$B$2327:$B$2379))*((Suivi!$G$2327:$G$2379="Réalisé")+(Suivi!$G$2327:$G$2379="Clôturé")))/SUMPRODUCT(--ISNUMBER(SEARCH(".",Suivi!$B$2327:$B$2379))))</f>
        <v/>
      </c>
      <c r="K48">
        <f>IF($A48="","",SUMPRODUCT(ISNUMBER(SEARCH(".",Suivi!$B$2327:$B$2379))*ISNUMBER(Suivi!$F$2327:$F$2379)*(Suivi!$F$2327:$F$2379&lt;TODAY())*(Suivi!$G$2327:$G$2379&lt;&gt;"Réalisé")*(Suivi!$G$2327:$G$2379&lt;&gt;"Clôturé")))</f>
        <v/>
      </c>
    </row>
    <row r="49">
      <c r="A49" s="10">
        <f>IF(ISNUMBER(Dossiers!$D$48),HYPERLINK("#Suivi!A2380",Dossiers!$E$48),"")</f>
        <v/>
      </c>
      <c r="B49" s="5">
        <f>IF($A49="","",Dossiers!$D$48)</f>
        <v/>
      </c>
      <c r="C49" s="5">
        <f>IF($A49="","",MAX(Suivi!$F$2381:$F$2433))</f>
        <v/>
      </c>
      <c r="D49" s="11">
        <f>IF($A49="","",(COUNTIF(Suivi!$G$2382:$G$2385,"Réalisé")+COUNTIF(Suivi!$G$2382:$G$2385,"Clôturé"))/ROWS(Suivi!$G$2382:$G$2385))</f>
        <v/>
      </c>
      <c r="E49" s="11">
        <f>IF($A49="","",(COUNTIF(Suivi!$G$2387:$G$2390,"Réalisé")+COUNTIF(Suivi!$G$2387:$G$2390,"Clôturé"))/ROWS(Suivi!$G$2387:$G$2390))</f>
        <v/>
      </c>
      <c r="F49" s="11">
        <f>IF($A49="","",(COUNTIF(Suivi!$G$2392:$G$2407,"Réalisé")+COUNTIF(Suivi!$G$2392:$G$2407,"Clôturé"))/ROWS(Suivi!$G$2392:$G$2407))</f>
        <v/>
      </c>
      <c r="G49" s="11">
        <f>IF($A49="","",(COUNTIF(Suivi!$G$2409:$G$2412,"Réalisé")+COUNTIF(Suivi!$G$2409:$G$2412,"Clôturé"))/ROWS(Suivi!$G$2409:$G$2412))</f>
        <v/>
      </c>
      <c r="H49" s="11">
        <f>IF($A49="","",(COUNTIF(Suivi!$G$2414:$G$2431,"Réalisé")+COUNTIF(Suivi!$G$2414:$G$2431,"Clôturé"))/ROWS(Suivi!$G$2414:$G$2431))</f>
        <v/>
      </c>
      <c r="I49" s="11">
        <f>IF($A49="","",(COUNTIF(Suivi!$G$2433:$G$2433,"Réalisé")+COUNTIF(Suivi!$G$2433:$G$2433,"Clôturé"))/ROWS(Suivi!$G$2433:$G$2433))</f>
        <v/>
      </c>
      <c r="J49" s="11">
        <f>IF($A49="","",SUMPRODUCT(ISNUMBER(SEARCH(".",Suivi!$B$2381:$B$2433))*((Suivi!$G$2381:$G$2433="Réalisé")+(Suivi!$G$2381:$G$2433="Clôturé")))/SUMPRODUCT(--ISNUMBER(SEARCH(".",Suivi!$B$2381:$B$2433))))</f>
        <v/>
      </c>
      <c r="K49">
        <f>IF($A49="","",SUMPRODUCT(ISNUMBER(SEARCH(".",Suivi!$B$2381:$B$2433))*ISNUMBER(Suivi!$F$2381:$F$2433)*(Suivi!$F$2381:$F$2433&lt;TODAY())*(Suivi!$G$2381:$G$2433&lt;&gt;"Réalisé")*(Suivi!$G$2381:$G$2433&lt;&gt;"Clôturé")))</f>
        <v/>
      </c>
    </row>
    <row r="50">
      <c r="A50" s="10">
        <f>IF(ISNUMBER(Dossiers!$D$49),HYPERLINK("#Suivi!A2434",Dossiers!$E$49),"")</f>
        <v/>
      </c>
      <c r="B50" s="5">
        <f>IF($A50="","",Dossiers!$D$49)</f>
        <v/>
      </c>
      <c r="C50" s="5">
        <f>IF($A50="","",MAX(Suivi!$F$2435:$F$2487))</f>
        <v/>
      </c>
      <c r="D50" s="11">
        <f>IF($A50="","",(COUNTIF(Suivi!$G$2436:$G$2439,"Réalisé")+COUNTIF(Suivi!$G$2436:$G$2439,"Clôturé"))/ROWS(Suivi!$G$2436:$G$2439))</f>
        <v/>
      </c>
      <c r="E50" s="11">
        <f>IF($A50="","",(COUNTIF(Suivi!$G$2441:$G$2444,"Réalisé")+COUNTIF(Suivi!$G$2441:$G$2444,"Clôturé"))/ROWS(Suivi!$G$2441:$G$2444))</f>
        <v/>
      </c>
      <c r="F50" s="11">
        <f>IF($A50="","",(COUNTIF(Suivi!$G$2446:$G$2461,"Réalisé")+COUNTIF(Suivi!$G$2446:$G$2461,"Clôturé"))/ROWS(Suivi!$G$2446:$G$2461))</f>
        <v/>
      </c>
      <c r="G50" s="11">
        <f>IF($A50="","",(COUNTIF(Suivi!$G$2463:$G$2466,"Réalisé")+COUNTIF(Suivi!$G$2463:$G$2466,"Clôturé"))/ROWS(Suivi!$G$2463:$G$2466))</f>
        <v/>
      </c>
      <c r="H50" s="11">
        <f>IF($A50="","",(COUNTIF(Suivi!$G$2468:$G$2485,"Réalisé")+COUNTIF(Suivi!$G$2468:$G$2485,"Clôturé"))/ROWS(Suivi!$G$2468:$G$2485))</f>
        <v/>
      </c>
      <c r="I50" s="11">
        <f>IF($A50="","",(COUNTIF(Suivi!$G$2487:$G$2487,"Réalisé")+COUNTIF(Suivi!$G$2487:$G$2487,"Clôturé"))/ROWS(Suivi!$G$2487:$G$2487))</f>
        <v/>
      </c>
      <c r="J50" s="11">
        <f>IF($A50="","",SUMPRODUCT(ISNUMBER(SEARCH(".",Suivi!$B$2435:$B$2487))*((Suivi!$G$2435:$G$2487="Réalisé")+(Suivi!$G$2435:$G$2487="Clôturé")))/SUMPRODUCT(--ISNUMBER(SEARCH(".",Suivi!$B$2435:$B$2487))))</f>
        <v/>
      </c>
      <c r="K50">
        <f>IF($A50="","",SUMPRODUCT(ISNUMBER(SEARCH(".",Suivi!$B$2435:$B$2487))*ISNUMBER(Suivi!$F$2435:$F$2487)*(Suivi!$F$2435:$F$2487&lt;TODAY())*(Suivi!$G$2435:$G$2487&lt;&gt;"Réalisé")*(Suivi!$G$2435:$G$2487&lt;&gt;"Clôturé")))</f>
        <v/>
      </c>
    </row>
    <row r="51">
      <c r="A51" s="10">
        <f>IF(ISNUMBER(Dossiers!$D$50),HYPERLINK("#Suivi!A2488",Dossiers!$E$50),"")</f>
        <v/>
      </c>
      <c r="B51" s="5">
        <f>IF($A51="","",Dossiers!$D$50)</f>
        <v/>
      </c>
      <c r="C51" s="5">
        <f>IF($A51="","",MAX(Suivi!$F$2489:$F$2541))</f>
        <v/>
      </c>
      <c r="D51" s="11">
        <f>IF($A51="","",(COUNTIF(Suivi!$G$2490:$G$2493,"Réalisé")+COUNTIF(Suivi!$G$2490:$G$2493,"Clôturé"))/ROWS(Suivi!$G$2490:$G$2493))</f>
        <v/>
      </c>
      <c r="E51" s="11">
        <f>IF($A51="","",(COUNTIF(Suivi!$G$2495:$G$2498,"Réalisé")+COUNTIF(Suivi!$G$2495:$G$2498,"Clôturé"))/ROWS(Suivi!$G$2495:$G$2498))</f>
        <v/>
      </c>
      <c r="F51" s="11">
        <f>IF($A51="","",(COUNTIF(Suivi!$G$2500:$G$2515,"Réalisé")+COUNTIF(Suivi!$G$2500:$G$2515,"Clôturé"))/ROWS(Suivi!$G$2500:$G$2515))</f>
        <v/>
      </c>
      <c r="G51" s="11">
        <f>IF($A51="","",(COUNTIF(Suivi!$G$2517:$G$2520,"Réalisé")+COUNTIF(Suivi!$G$2517:$G$2520,"Clôturé"))/ROWS(Suivi!$G$2517:$G$2520))</f>
        <v/>
      </c>
      <c r="H51" s="11">
        <f>IF($A51="","",(COUNTIF(Suivi!$G$2522:$G$2539,"Réalisé")+COUNTIF(Suivi!$G$2522:$G$2539,"Clôturé"))/ROWS(Suivi!$G$2522:$G$2539))</f>
        <v/>
      </c>
      <c r="I51" s="11">
        <f>IF($A51="","",(COUNTIF(Suivi!$G$2541:$G$2541,"Réalisé")+COUNTIF(Suivi!$G$2541:$G$2541,"Clôturé"))/ROWS(Suivi!$G$2541:$G$2541))</f>
        <v/>
      </c>
      <c r="J51" s="11">
        <f>IF($A51="","",SUMPRODUCT(ISNUMBER(SEARCH(".",Suivi!$B$2489:$B$2541))*((Suivi!$G$2489:$G$2541="Réalisé")+(Suivi!$G$2489:$G$2541="Clôturé")))/SUMPRODUCT(--ISNUMBER(SEARCH(".",Suivi!$B$2489:$B$2541))))</f>
        <v/>
      </c>
      <c r="K51">
        <f>IF($A51="","",SUMPRODUCT(ISNUMBER(SEARCH(".",Suivi!$B$2489:$B$2541))*ISNUMBER(Suivi!$F$2489:$F$2541)*(Suivi!$F$2489:$F$2541&lt;TODAY())*(Suivi!$G$2489:$G$2541&lt;&gt;"Réalisé")*(Suivi!$G$2489:$G$2541&lt;&gt;"Clôturé")))</f>
        <v/>
      </c>
    </row>
    <row r="52">
      <c r="A52" s="10">
        <f>IF(ISNUMBER(Dossiers!$D$51),HYPERLINK("#Suivi!A2542",Dossiers!$E$51),"")</f>
        <v/>
      </c>
      <c r="B52" s="5">
        <f>IF($A52="","",Dossiers!$D$51)</f>
        <v/>
      </c>
      <c r="C52" s="5">
        <f>IF($A52="","",MAX(Suivi!$F$2543:$F$2595))</f>
        <v/>
      </c>
      <c r="D52" s="11">
        <f>IF($A52="","",(COUNTIF(Suivi!$G$2544:$G$2547,"Réalisé")+COUNTIF(Suivi!$G$2544:$G$2547,"Clôturé"))/ROWS(Suivi!$G$2544:$G$2547))</f>
        <v/>
      </c>
      <c r="E52" s="11">
        <f>IF($A52="","",(COUNTIF(Suivi!$G$2549:$G$2552,"Réalisé")+COUNTIF(Suivi!$G$2549:$G$2552,"Clôturé"))/ROWS(Suivi!$G$2549:$G$2552))</f>
        <v/>
      </c>
      <c r="F52" s="11">
        <f>IF($A52="","",(COUNTIF(Suivi!$G$2554:$G$2569,"Réalisé")+COUNTIF(Suivi!$G$2554:$G$2569,"Clôturé"))/ROWS(Suivi!$G$2554:$G$2569))</f>
        <v/>
      </c>
      <c r="G52" s="11">
        <f>IF($A52="","",(COUNTIF(Suivi!$G$2571:$G$2574,"Réalisé")+COUNTIF(Suivi!$G$2571:$G$2574,"Clôturé"))/ROWS(Suivi!$G$2571:$G$2574))</f>
        <v/>
      </c>
      <c r="H52" s="11">
        <f>IF($A52="","",(COUNTIF(Suivi!$G$2576:$G$2593,"Réalisé")+COUNTIF(Suivi!$G$2576:$G$2593,"Clôturé"))/ROWS(Suivi!$G$2576:$G$2593))</f>
        <v/>
      </c>
      <c r="I52" s="11">
        <f>IF($A52="","",(COUNTIF(Suivi!$G$2595:$G$2595,"Réalisé")+COUNTIF(Suivi!$G$2595:$G$2595,"Clôturé"))/ROWS(Suivi!$G$2595:$G$2595))</f>
        <v/>
      </c>
      <c r="J52" s="11">
        <f>IF($A52="","",SUMPRODUCT(ISNUMBER(SEARCH(".",Suivi!$B$2543:$B$2595))*((Suivi!$G$2543:$G$2595="Réalisé")+(Suivi!$G$2543:$G$2595="Clôturé")))/SUMPRODUCT(--ISNUMBER(SEARCH(".",Suivi!$B$2543:$B$2595))))</f>
        <v/>
      </c>
      <c r="K52">
        <f>IF($A52="","",SUMPRODUCT(ISNUMBER(SEARCH(".",Suivi!$B$2543:$B$2595))*ISNUMBER(Suivi!$F$2543:$F$2595)*(Suivi!$F$2543:$F$2595&lt;TODAY())*(Suivi!$G$2543:$G$2595&lt;&gt;"Réalisé")*(Suivi!$G$2543:$G$2595&lt;&gt;"Clôturé")))</f>
        <v/>
      </c>
    </row>
    <row r="53">
      <c r="A53" s="10">
        <f>IF(ISNUMBER(Dossiers!$D$52),HYPERLINK("#Suivi!A2596",Dossiers!$E$52),"")</f>
        <v/>
      </c>
      <c r="B53" s="5">
        <f>IF($A53="","",Dossiers!$D$52)</f>
        <v/>
      </c>
      <c r="C53" s="5">
        <f>IF($A53="","",MAX(Suivi!$F$2597:$F$2649))</f>
        <v/>
      </c>
      <c r="D53" s="11">
        <f>IF($A53="","",(COUNTIF(Suivi!$G$2598:$G$2601,"Réalisé")+COUNTIF(Suivi!$G$2598:$G$2601,"Clôturé"))/ROWS(Suivi!$G$2598:$G$2601))</f>
        <v/>
      </c>
      <c r="E53" s="11">
        <f>IF($A53="","",(COUNTIF(Suivi!$G$2603:$G$2606,"Réalisé")+COUNTIF(Suivi!$G$2603:$G$2606,"Clôturé"))/ROWS(Suivi!$G$2603:$G$2606))</f>
        <v/>
      </c>
      <c r="F53" s="11">
        <f>IF($A53="","",(COUNTIF(Suivi!$G$2608:$G$2623,"Réalisé")+COUNTIF(Suivi!$G$2608:$G$2623,"Clôturé"))/ROWS(Suivi!$G$2608:$G$2623))</f>
        <v/>
      </c>
      <c r="G53" s="11">
        <f>IF($A53="","",(COUNTIF(Suivi!$G$2625:$G$2628,"Réalisé")+COUNTIF(Suivi!$G$2625:$G$2628,"Clôturé"))/ROWS(Suivi!$G$2625:$G$2628))</f>
        <v/>
      </c>
      <c r="H53" s="11">
        <f>IF($A53="","",(COUNTIF(Suivi!$G$2630:$G$2647,"Réalisé")+COUNTIF(Suivi!$G$2630:$G$2647,"Clôturé"))/ROWS(Suivi!$G$2630:$G$2647))</f>
        <v/>
      </c>
      <c r="I53" s="11">
        <f>IF($A53="","",(COUNTIF(Suivi!$G$2649:$G$2649,"Réalisé")+COUNTIF(Suivi!$G$2649:$G$2649,"Clôturé"))/ROWS(Suivi!$G$2649:$G$2649))</f>
        <v/>
      </c>
      <c r="J53" s="11">
        <f>IF($A53="","",SUMPRODUCT(ISNUMBER(SEARCH(".",Suivi!$B$2597:$B$2649))*((Suivi!$G$2597:$G$2649="Réalisé")+(Suivi!$G$2597:$G$2649="Clôturé")))/SUMPRODUCT(--ISNUMBER(SEARCH(".",Suivi!$B$2597:$B$2649))))</f>
        <v/>
      </c>
      <c r="K53">
        <f>IF($A53="","",SUMPRODUCT(ISNUMBER(SEARCH(".",Suivi!$B$2597:$B$2649))*ISNUMBER(Suivi!$F$2597:$F$2649)*(Suivi!$F$2597:$F$2649&lt;TODAY())*(Suivi!$G$2597:$G$2649&lt;&gt;"Réalisé")*(Suivi!$G$2597:$G$2649&lt;&gt;"Clôturé")))</f>
        <v/>
      </c>
    </row>
    <row r="54">
      <c r="A54" s="10">
        <f>IF(ISNUMBER(Dossiers!$D$53),HYPERLINK("#Suivi!A2650",Dossiers!$E$53),"")</f>
        <v/>
      </c>
      <c r="B54" s="5">
        <f>IF($A54="","",Dossiers!$D$53)</f>
        <v/>
      </c>
      <c r="C54" s="5">
        <f>IF($A54="","",MAX(Suivi!$F$2651:$F$2703))</f>
        <v/>
      </c>
      <c r="D54" s="11">
        <f>IF($A54="","",(COUNTIF(Suivi!$G$2652:$G$2655,"Réalisé")+COUNTIF(Suivi!$G$2652:$G$2655,"Clôturé"))/ROWS(Suivi!$G$2652:$G$2655))</f>
        <v/>
      </c>
      <c r="E54" s="11">
        <f>IF($A54="","",(COUNTIF(Suivi!$G$2657:$G$2660,"Réalisé")+COUNTIF(Suivi!$G$2657:$G$2660,"Clôturé"))/ROWS(Suivi!$G$2657:$G$2660))</f>
        <v/>
      </c>
      <c r="F54" s="11">
        <f>IF($A54="","",(COUNTIF(Suivi!$G$2662:$G$2677,"Réalisé")+COUNTIF(Suivi!$G$2662:$G$2677,"Clôturé"))/ROWS(Suivi!$G$2662:$G$2677))</f>
        <v/>
      </c>
      <c r="G54" s="11">
        <f>IF($A54="","",(COUNTIF(Suivi!$G$2679:$G$2682,"Réalisé")+COUNTIF(Suivi!$G$2679:$G$2682,"Clôturé"))/ROWS(Suivi!$G$2679:$G$2682))</f>
        <v/>
      </c>
      <c r="H54" s="11">
        <f>IF($A54="","",(COUNTIF(Suivi!$G$2684:$G$2701,"Réalisé")+COUNTIF(Suivi!$G$2684:$G$2701,"Clôturé"))/ROWS(Suivi!$G$2684:$G$2701))</f>
        <v/>
      </c>
      <c r="I54" s="11">
        <f>IF($A54="","",(COUNTIF(Suivi!$G$2703:$G$2703,"Réalisé")+COUNTIF(Suivi!$G$2703:$G$2703,"Clôturé"))/ROWS(Suivi!$G$2703:$G$2703))</f>
        <v/>
      </c>
      <c r="J54" s="11">
        <f>IF($A54="","",SUMPRODUCT(ISNUMBER(SEARCH(".",Suivi!$B$2651:$B$2703))*((Suivi!$G$2651:$G$2703="Réalisé")+(Suivi!$G$2651:$G$2703="Clôturé")))/SUMPRODUCT(--ISNUMBER(SEARCH(".",Suivi!$B$2651:$B$2703))))</f>
        <v/>
      </c>
      <c r="K54">
        <f>IF($A54="","",SUMPRODUCT(ISNUMBER(SEARCH(".",Suivi!$B$2651:$B$2703))*ISNUMBER(Suivi!$F$2651:$F$2703)*(Suivi!$F$2651:$F$2703&lt;TODAY())*(Suivi!$G$2651:$G$2703&lt;&gt;"Réalisé")*(Suivi!$G$2651:$G$2703&lt;&gt;"Clôturé")))</f>
        <v/>
      </c>
    </row>
    <row r="55">
      <c r="A55" s="10">
        <f>IF(ISNUMBER(Dossiers!$D$54),HYPERLINK("#Suivi!A2704",Dossiers!$E$54),"")</f>
        <v/>
      </c>
      <c r="B55" s="5">
        <f>IF($A55="","",Dossiers!$D$54)</f>
        <v/>
      </c>
      <c r="C55" s="5">
        <f>IF($A55="","",MAX(Suivi!$F$2705:$F$2757))</f>
        <v/>
      </c>
      <c r="D55" s="11">
        <f>IF($A55="","",(COUNTIF(Suivi!$G$2706:$G$2709,"Réalisé")+COUNTIF(Suivi!$G$2706:$G$2709,"Clôturé"))/ROWS(Suivi!$G$2706:$G$2709))</f>
        <v/>
      </c>
      <c r="E55" s="11">
        <f>IF($A55="","",(COUNTIF(Suivi!$G$2711:$G$2714,"Réalisé")+COUNTIF(Suivi!$G$2711:$G$2714,"Clôturé"))/ROWS(Suivi!$G$2711:$G$2714))</f>
        <v/>
      </c>
      <c r="F55" s="11">
        <f>IF($A55="","",(COUNTIF(Suivi!$G$2716:$G$2731,"Réalisé")+COUNTIF(Suivi!$G$2716:$G$2731,"Clôturé"))/ROWS(Suivi!$G$2716:$G$2731))</f>
        <v/>
      </c>
      <c r="G55" s="11">
        <f>IF($A55="","",(COUNTIF(Suivi!$G$2733:$G$2736,"Réalisé")+COUNTIF(Suivi!$G$2733:$G$2736,"Clôturé"))/ROWS(Suivi!$G$2733:$G$2736))</f>
        <v/>
      </c>
      <c r="H55" s="11">
        <f>IF($A55="","",(COUNTIF(Suivi!$G$2738:$G$2755,"Réalisé")+COUNTIF(Suivi!$G$2738:$G$2755,"Clôturé"))/ROWS(Suivi!$G$2738:$G$2755))</f>
        <v/>
      </c>
      <c r="I55" s="11">
        <f>IF($A55="","",(COUNTIF(Suivi!$G$2757:$G$2757,"Réalisé")+COUNTIF(Suivi!$G$2757:$G$2757,"Clôturé"))/ROWS(Suivi!$G$2757:$G$2757))</f>
        <v/>
      </c>
      <c r="J55" s="11">
        <f>IF($A55="","",SUMPRODUCT(ISNUMBER(SEARCH(".",Suivi!$B$2705:$B$2757))*((Suivi!$G$2705:$G$2757="Réalisé")+(Suivi!$G$2705:$G$2757="Clôturé")))/SUMPRODUCT(--ISNUMBER(SEARCH(".",Suivi!$B$2705:$B$2757))))</f>
        <v/>
      </c>
      <c r="K55">
        <f>IF($A55="","",SUMPRODUCT(ISNUMBER(SEARCH(".",Suivi!$B$2705:$B$2757))*ISNUMBER(Suivi!$F$2705:$F$2757)*(Suivi!$F$2705:$F$2757&lt;TODAY())*(Suivi!$G$2705:$G$2757&lt;&gt;"Réalisé")*(Suivi!$G$2705:$G$2757&lt;&gt;"Clôturé")))</f>
        <v/>
      </c>
    </row>
    <row r="56">
      <c r="A56" s="10">
        <f>IF(ISNUMBER(Dossiers!$D$55),HYPERLINK("#Suivi!A2758",Dossiers!$E$55),"")</f>
        <v/>
      </c>
      <c r="B56" s="5">
        <f>IF($A56="","",Dossiers!$D$55)</f>
        <v/>
      </c>
      <c r="C56" s="5">
        <f>IF($A56="","",MAX(Suivi!$F$2759:$F$2811))</f>
        <v/>
      </c>
      <c r="D56" s="11">
        <f>IF($A56="","",(COUNTIF(Suivi!$G$2760:$G$2763,"Réalisé")+COUNTIF(Suivi!$G$2760:$G$2763,"Clôturé"))/ROWS(Suivi!$G$2760:$G$2763))</f>
        <v/>
      </c>
      <c r="E56" s="11">
        <f>IF($A56="","",(COUNTIF(Suivi!$G$2765:$G$2768,"Réalisé")+COUNTIF(Suivi!$G$2765:$G$2768,"Clôturé"))/ROWS(Suivi!$G$2765:$G$2768))</f>
        <v/>
      </c>
      <c r="F56" s="11">
        <f>IF($A56="","",(COUNTIF(Suivi!$G$2770:$G$2785,"Réalisé")+COUNTIF(Suivi!$G$2770:$G$2785,"Clôturé"))/ROWS(Suivi!$G$2770:$G$2785))</f>
        <v/>
      </c>
      <c r="G56" s="11">
        <f>IF($A56="","",(COUNTIF(Suivi!$G$2787:$G$2790,"Réalisé")+COUNTIF(Suivi!$G$2787:$G$2790,"Clôturé"))/ROWS(Suivi!$G$2787:$G$2790))</f>
        <v/>
      </c>
      <c r="H56" s="11">
        <f>IF($A56="","",(COUNTIF(Suivi!$G$2792:$G$2809,"Réalisé")+COUNTIF(Suivi!$G$2792:$G$2809,"Clôturé"))/ROWS(Suivi!$G$2792:$G$2809))</f>
        <v/>
      </c>
      <c r="I56" s="11">
        <f>IF($A56="","",(COUNTIF(Suivi!$G$2811:$G$2811,"Réalisé")+COUNTIF(Suivi!$G$2811:$G$2811,"Clôturé"))/ROWS(Suivi!$G$2811:$G$2811))</f>
        <v/>
      </c>
      <c r="J56" s="11">
        <f>IF($A56="","",SUMPRODUCT(ISNUMBER(SEARCH(".",Suivi!$B$2759:$B$2811))*((Suivi!$G$2759:$G$2811="Réalisé")+(Suivi!$G$2759:$G$2811="Clôturé")))/SUMPRODUCT(--ISNUMBER(SEARCH(".",Suivi!$B$2759:$B$2811))))</f>
        <v/>
      </c>
      <c r="K56">
        <f>IF($A56="","",SUMPRODUCT(ISNUMBER(SEARCH(".",Suivi!$B$2759:$B$2811))*ISNUMBER(Suivi!$F$2759:$F$2811)*(Suivi!$F$2759:$F$2811&lt;TODAY())*(Suivi!$G$2759:$G$2811&lt;&gt;"Réalisé")*(Suivi!$G$2759:$G$2811&lt;&gt;"Clôturé")))</f>
        <v/>
      </c>
    </row>
    <row r="57">
      <c r="A57" s="10">
        <f>IF(ISNUMBER(Dossiers!$D$56),HYPERLINK("#Suivi!A2812",Dossiers!$E$56),"")</f>
        <v/>
      </c>
      <c r="B57" s="5">
        <f>IF($A57="","",Dossiers!$D$56)</f>
        <v/>
      </c>
      <c r="C57" s="5">
        <f>IF($A57="","",MAX(Suivi!$F$2813:$F$2865))</f>
        <v/>
      </c>
      <c r="D57" s="11">
        <f>IF($A57="","",(COUNTIF(Suivi!$G$2814:$G$2817,"Réalisé")+COUNTIF(Suivi!$G$2814:$G$2817,"Clôturé"))/ROWS(Suivi!$G$2814:$G$2817))</f>
        <v/>
      </c>
      <c r="E57" s="11">
        <f>IF($A57="","",(COUNTIF(Suivi!$G$2819:$G$2822,"Réalisé")+COUNTIF(Suivi!$G$2819:$G$2822,"Clôturé"))/ROWS(Suivi!$G$2819:$G$2822))</f>
        <v/>
      </c>
      <c r="F57" s="11">
        <f>IF($A57="","",(COUNTIF(Suivi!$G$2824:$G$2839,"Réalisé")+COUNTIF(Suivi!$G$2824:$G$2839,"Clôturé"))/ROWS(Suivi!$G$2824:$G$2839))</f>
        <v/>
      </c>
      <c r="G57" s="11">
        <f>IF($A57="","",(COUNTIF(Suivi!$G$2841:$G$2844,"Réalisé")+COUNTIF(Suivi!$G$2841:$G$2844,"Clôturé"))/ROWS(Suivi!$G$2841:$G$2844))</f>
        <v/>
      </c>
      <c r="H57" s="11">
        <f>IF($A57="","",(COUNTIF(Suivi!$G$2846:$G$2863,"Réalisé")+COUNTIF(Suivi!$G$2846:$G$2863,"Clôturé"))/ROWS(Suivi!$G$2846:$G$2863))</f>
        <v/>
      </c>
      <c r="I57" s="11">
        <f>IF($A57="","",(COUNTIF(Suivi!$G$2865:$G$2865,"Réalisé")+COUNTIF(Suivi!$G$2865:$G$2865,"Clôturé"))/ROWS(Suivi!$G$2865:$G$2865))</f>
        <v/>
      </c>
      <c r="J57" s="11">
        <f>IF($A57="","",SUMPRODUCT(ISNUMBER(SEARCH(".",Suivi!$B$2813:$B$2865))*((Suivi!$G$2813:$G$2865="Réalisé")+(Suivi!$G$2813:$G$2865="Clôturé")))/SUMPRODUCT(--ISNUMBER(SEARCH(".",Suivi!$B$2813:$B$2865))))</f>
        <v/>
      </c>
      <c r="K57">
        <f>IF($A57="","",SUMPRODUCT(ISNUMBER(SEARCH(".",Suivi!$B$2813:$B$2865))*ISNUMBER(Suivi!$F$2813:$F$2865)*(Suivi!$F$2813:$F$2865&lt;TODAY())*(Suivi!$G$2813:$G$2865&lt;&gt;"Réalisé")*(Suivi!$G$2813:$G$2865&lt;&gt;"Clôturé")))</f>
        <v/>
      </c>
    </row>
    <row r="58">
      <c r="A58" s="10">
        <f>IF(ISNUMBER(Dossiers!$D$57),HYPERLINK("#Suivi!A2866",Dossiers!$E$57),"")</f>
        <v/>
      </c>
      <c r="B58" s="5">
        <f>IF($A58="","",Dossiers!$D$57)</f>
        <v/>
      </c>
      <c r="C58" s="5">
        <f>IF($A58="","",MAX(Suivi!$F$2867:$F$2919))</f>
        <v/>
      </c>
      <c r="D58" s="11">
        <f>IF($A58="","",(COUNTIF(Suivi!$G$2868:$G$2871,"Réalisé")+COUNTIF(Suivi!$G$2868:$G$2871,"Clôturé"))/ROWS(Suivi!$G$2868:$G$2871))</f>
        <v/>
      </c>
      <c r="E58" s="11">
        <f>IF($A58="","",(COUNTIF(Suivi!$G$2873:$G$2876,"Réalisé")+COUNTIF(Suivi!$G$2873:$G$2876,"Clôturé"))/ROWS(Suivi!$G$2873:$G$2876))</f>
        <v/>
      </c>
      <c r="F58" s="11">
        <f>IF($A58="","",(COUNTIF(Suivi!$G$2878:$G$2893,"Réalisé")+COUNTIF(Suivi!$G$2878:$G$2893,"Clôturé"))/ROWS(Suivi!$G$2878:$G$2893))</f>
        <v/>
      </c>
      <c r="G58" s="11">
        <f>IF($A58="","",(COUNTIF(Suivi!$G$2895:$G$2898,"Réalisé")+COUNTIF(Suivi!$G$2895:$G$2898,"Clôturé"))/ROWS(Suivi!$G$2895:$G$2898))</f>
        <v/>
      </c>
      <c r="H58" s="11">
        <f>IF($A58="","",(COUNTIF(Suivi!$G$2900:$G$2917,"Réalisé")+COUNTIF(Suivi!$G$2900:$G$2917,"Clôturé"))/ROWS(Suivi!$G$2900:$G$2917))</f>
        <v/>
      </c>
      <c r="I58" s="11">
        <f>IF($A58="","",(COUNTIF(Suivi!$G$2919:$G$2919,"Réalisé")+COUNTIF(Suivi!$G$2919:$G$2919,"Clôturé"))/ROWS(Suivi!$G$2919:$G$2919))</f>
        <v/>
      </c>
      <c r="J58" s="11">
        <f>IF($A58="","",SUMPRODUCT(ISNUMBER(SEARCH(".",Suivi!$B$2867:$B$2919))*((Suivi!$G$2867:$G$2919="Réalisé")+(Suivi!$G$2867:$G$2919="Clôturé")))/SUMPRODUCT(--ISNUMBER(SEARCH(".",Suivi!$B$2867:$B$2919))))</f>
        <v/>
      </c>
      <c r="K58">
        <f>IF($A58="","",SUMPRODUCT(ISNUMBER(SEARCH(".",Suivi!$B$2867:$B$2919))*ISNUMBER(Suivi!$F$2867:$F$2919)*(Suivi!$F$2867:$F$2919&lt;TODAY())*(Suivi!$G$2867:$G$2919&lt;&gt;"Réalisé")*(Suivi!$G$2867:$G$2919&lt;&gt;"Clôturé")))</f>
        <v/>
      </c>
    </row>
    <row r="59">
      <c r="A59" s="10">
        <f>IF(ISNUMBER(Dossiers!$D$58),HYPERLINK("#Suivi!A2920",Dossiers!$E$58),"")</f>
        <v/>
      </c>
      <c r="B59" s="5">
        <f>IF($A59="","",Dossiers!$D$58)</f>
        <v/>
      </c>
      <c r="C59" s="5">
        <f>IF($A59="","",MAX(Suivi!$F$2921:$F$2973))</f>
        <v/>
      </c>
      <c r="D59" s="11">
        <f>IF($A59="","",(COUNTIF(Suivi!$G$2922:$G$2925,"Réalisé")+COUNTIF(Suivi!$G$2922:$G$2925,"Clôturé"))/ROWS(Suivi!$G$2922:$G$2925))</f>
        <v/>
      </c>
      <c r="E59" s="11">
        <f>IF($A59="","",(COUNTIF(Suivi!$G$2927:$G$2930,"Réalisé")+COUNTIF(Suivi!$G$2927:$G$2930,"Clôturé"))/ROWS(Suivi!$G$2927:$G$2930))</f>
        <v/>
      </c>
      <c r="F59" s="11">
        <f>IF($A59="","",(COUNTIF(Suivi!$G$2932:$G$2947,"Réalisé")+COUNTIF(Suivi!$G$2932:$G$2947,"Clôturé"))/ROWS(Suivi!$G$2932:$G$2947))</f>
        <v/>
      </c>
      <c r="G59" s="11">
        <f>IF($A59="","",(COUNTIF(Suivi!$G$2949:$G$2952,"Réalisé")+COUNTIF(Suivi!$G$2949:$G$2952,"Clôturé"))/ROWS(Suivi!$G$2949:$G$2952))</f>
        <v/>
      </c>
      <c r="H59" s="11">
        <f>IF($A59="","",(COUNTIF(Suivi!$G$2954:$G$2971,"Réalisé")+COUNTIF(Suivi!$G$2954:$G$2971,"Clôturé"))/ROWS(Suivi!$G$2954:$G$2971))</f>
        <v/>
      </c>
      <c r="I59" s="11">
        <f>IF($A59="","",(COUNTIF(Suivi!$G$2973:$G$2973,"Réalisé")+COUNTIF(Suivi!$G$2973:$G$2973,"Clôturé"))/ROWS(Suivi!$G$2973:$G$2973))</f>
        <v/>
      </c>
      <c r="J59" s="11">
        <f>IF($A59="","",SUMPRODUCT(ISNUMBER(SEARCH(".",Suivi!$B$2921:$B$2973))*((Suivi!$G$2921:$G$2973="Réalisé")+(Suivi!$G$2921:$G$2973="Clôturé")))/SUMPRODUCT(--ISNUMBER(SEARCH(".",Suivi!$B$2921:$B$2973))))</f>
        <v/>
      </c>
      <c r="K59">
        <f>IF($A59="","",SUMPRODUCT(ISNUMBER(SEARCH(".",Suivi!$B$2921:$B$2973))*ISNUMBER(Suivi!$F$2921:$F$2973)*(Suivi!$F$2921:$F$2973&lt;TODAY())*(Suivi!$G$2921:$G$2973&lt;&gt;"Réalisé")*(Suivi!$G$2921:$G$2973&lt;&gt;"Clôturé")))</f>
        <v/>
      </c>
    </row>
    <row r="60">
      <c r="A60" s="10">
        <f>IF(ISNUMBER(Dossiers!$D$59),HYPERLINK("#Suivi!A2974",Dossiers!$E$59),"")</f>
        <v/>
      </c>
      <c r="B60" s="5">
        <f>IF($A60="","",Dossiers!$D$59)</f>
        <v/>
      </c>
      <c r="C60" s="5">
        <f>IF($A60="","",MAX(Suivi!$F$2975:$F$3027))</f>
        <v/>
      </c>
      <c r="D60" s="11">
        <f>IF($A60="","",(COUNTIF(Suivi!$G$2976:$G$2979,"Réalisé")+COUNTIF(Suivi!$G$2976:$G$2979,"Clôturé"))/ROWS(Suivi!$G$2976:$G$2979))</f>
        <v/>
      </c>
      <c r="E60" s="11">
        <f>IF($A60="","",(COUNTIF(Suivi!$G$2981:$G$2984,"Réalisé")+COUNTIF(Suivi!$G$2981:$G$2984,"Clôturé"))/ROWS(Suivi!$G$2981:$G$2984))</f>
        <v/>
      </c>
      <c r="F60" s="11">
        <f>IF($A60="","",(COUNTIF(Suivi!$G$2986:$G$3001,"Réalisé")+COUNTIF(Suivi!$G$2986:$G$3001,"Clôturé"))/ROWS(Suivi!$G$2986:$G$3001))</f>
        <v/>
      </c>
      <c r="G60" s="11">
        <f>IF($A60="","",(COUNTIF(Suivi!$G$3003:$G$3006,"Réalisé")+COUNTIF(Suivi!$G$3003:$G$3006,"Clôturé"))/ROWS(Suivi!$G$3003:$G$3006))</f>
        <v/>
      </c>
      <c r="H60" s="11">
        <f>IF($A60="","",(COUNTIF(Suivi!$G$3008:$G$3025,"Réalisé")+COUNTIF(Suivi!$G$3008:$G$3025,"Clôturé"))/ROWS(Suivi!$G$3008:$G$3025))</f>
        <v/>
      </c>
      <c r="I60" s="11">
        <f>IF($A60="","",(COUNTIF(Suivi!$G$3027:$G$3027,"Réalisé")+COUNTIF(Suivi!$G$3027:$G$3027,"Clôturé"))/ROWS(Suivi!$G$3027:$G$3027))</f>
        <v/>
      </c>
      <c r="J60" s="11">
        <f>IF($A60="","",SUMPRODUCT(ISNUMBER(SEARCH(".",Suivi!$B$2975:$B$3027))*((Suivi!$G$2975:$G$3027="Réalisé")+(Suivi!$G$2975:$G$3027="Clôturé")))/SUMPRODUCT(--ISNUMBER(SEARCH(".",Suivi!$B$2975:$B$3027))))</f>
        <v/>
      </c>
      <c r="K60">
        <f>IF($A60="","",SUMPRODUCT(ISNUMBER(SEARCH(".",Suivi!$B$2975:$B$3027))*ISNUMBER(Suivi!$F$2975:$F$3027)*(Suivi!$F$2975:$F$3027&lt;TODAY())*(Suivi!$G$2975:$G$3027&lt;&gt;"Réalisé")*(Suivi!$G$2975:$G$3027&lt;&gt;"Clôturé")))</f>
        <v/>
      </c>
    </row>
    <row r="61">
      <c r="A61" s="10">
        <f>IF(ISNUMBER(Dossiers!$D$60),HYPERLINK("#Suivi!A3028",Dossiers!$E$60),"")</f>
        <v/>
      </c>
      <c r="B61" s="5">
        <f>IF($A61="","",Dossiers!$D$60)</f>
        <v/>
      </c>
      <c r="C61" s="5">
        <f>IF($A61="","",MAX(Suivi!$F$3029:$F$3081))</f>
        <v/>
      </c>
      <c r="D61" s="11">
        <f>IF($A61="","",(COUNTIF(Suivi!$G$3030:$G$3033,"Réalisé")+COUNTIF(Suivi!$G$3030:$G$3033,"Clôturé"))/ROWS(Suivi!$G$3030:$G$3033))</f>
        <v/>
      </c>
      <c r="E61" s="11">
        <f>IF($A61="","",(COUNTIF(Suivi!$G$3035:$G$3038,"Réalisé")+COUNTIF(Suivi!$G$3035:$G$3038,"Clôturé"))/ROWS(Suivi!$G$3035:$G$3038))</f>
        <v/>
      </c>
      <c r="F61" s="11">
        <f>IF($A61="","",(COUNTIF(Suivi!$G$3040:$G$3055,"Réalisé")+COUNTIF(Suivi!$G$3040:$G$3055,"Clôturé"))/ROWS(Suivi!$G$3040:$G$3055))</f>
        <v/>
      </c>
      <c r="G61" s="11">
        <f>IF($A61="","",(COUNTIF(Suivi!$G$3057:$G$3060,"Réalisé")+COUNTIF(Suivi!$G$3057:$G$3060,"Clôturé"))/ROWS(Suivi!$G$3057:$G$3060))</f>
        <v/>
      </c>
      <c r="H61" s="11">
        <f>IF($A61="","",(COUNTIF(Suivi!$G$3062:$G$3079,"Réalisé")+COUNTIF(Suivi!$G$3062:$G$3079,"Clôturé"))/ROWS(Suivi!$G$3062:$G$3079))</f>
        <v/>
      </c>
      <c r="I61" s="11">
        <f>IF($A61="","",(COUNTIF(Suivi!$G$3081:$G$3081,"Réalisé")+COUNTIF(Suivi!$G$3081:$G$3081,"Clôturé"))/ROWS(Suivi!$G$3081:$G$3081))</f>
        <v/>
      </c>
      <c r="J61" s="11">
        <f>IF($A61="","",SUMPRODUCT(ISNUMBER(SEARCH(".",Suivi!$B$3029:$B$3081))*((Suivi!$G$3029:$G$3081="Réalisé")+(Suivi!$G$3029:$G$3081="Clôturé")))/SUMPRODUCT(--ISNUMBER(SEARCH(".",Suivi!$B$3029:$B$3081))))</f>
        <v/>
      </c>
      <c r="K61">
        <f>IF($A61="","",SUMPRODUCT(ISNUMBER(SEARCH(".",Suivi!$B$3029:$B$3081))*ISNUMBER(Suivi!$F$3029:$F$3081)*(Suivi!$F$3029:$F$3081&lt;TODAY())*(Suivi!$G$3029:$G$3081&lt;&gt;"Réalisé")*(Suivi!$G$3029:$G$3081&lt;&gt;"Clôturé")))</f>
        <v/>
      </c>
    </row>
    <row r="62">
      <c r="A62" s="10">
        <f>IF(ISNUMBER(Dossiers!$D$61),HYPERLINK("#Suivi!A3082",Dossiers!$E$61),"")</f>
        <v/>
      </c>
      <c r="B62" s="5">
        <f>IF($A62="","",Dossiers!$D$61)</f>
        <v/>
      </c>
      <c r="C62" s="5">
        <f>IF($A62="","",MAX(Suivi!$F$3083:$F$3135))</f>
        <v/>
      </c>
      <c r="D62" s="11">
        <f>IF($A62="","",(COUNTIF(Suivi!$G$3084:$G$3087,"Réalisé")+COUNTIF(Suivi!$G$3084:$G$3087,"Clôturé"))/ROWS(Suivi!$G$3084:$G$3087))</f>
        <v/>
      </c>
      <c r="E62" s="11">
        <f>IF($A62="","",(COUNTIF(Suivi!$G$3089:$G$3092,"Réalisé")+COUNTIF(Suivi!$G$3089:$G$3092,"Clôturé"))/ROWS(Suivi!$G$3089:$G$3092))</f>
        <v/>
      </c>
      <c r="F62" s="11">
        <f>IF($A62="","",(COUNTIF(Suivi!$G$3094:$G$3109,"Réalisé")+COUNTIF(Suivi!$G$3094:$G$3109,"Clôturé"))/ROWS(Suivi!$G$3094:$G$3109))</f>
        <v/>
      </c>
      <c r="G62" s="11">
        <f>IF($A62="","",(COUNTIF(Suivi!$G$3111:$G$3114,"Réalisé")+COUNTIF(Suivi!$G$3111:$G$3114,"Clôturé"))/ROWS(Suivi!$G$3111:$G$3114))</f>
        <v/>
      </c>
      <c r="H62" s="11">
        <f>IF($A62="","",(COUNTIF(Suivi!$G$3116:$G$3133,"Réalisé")+COUNTIF(Suivi!$G$3116:$G$3133,"Clôturé"))/ROWS(Suivi!$G$3116:$G$3133))</f>
        <v/>
      </c>
      <c r="I62" s="11">
        <f>IF($A62="","",(COUNTIF(Suivi!$G$3135:$G$3135,"Réalisé")+COUNTIF(Suivi!$G$3135:$G$3135,"Clôturé"))/ROWS(Suivi!$G$3135:$G$3135))</f>
        <v/>
      </c>
      <c r="J62" s="11">
        <f>IF($A62="","",SUMPRODUCT(ISNUMBER(SEARCH(".",Suivi!$B$3083:$B$3135))*((Suivi!$G$3083:$G$3135="Réalisé")+(Suivi!$G$3083:$G$3135="Clôturé")))/SUMPRODUCT(--ISNUMBER(SEARCH(".",Suivi!$B$3083:$B$3135))))</f>
        <v/>
      </c>
      <c r="K62">
        <f>IF($A62="","",SUMPRODUCT(ISNUMBER(SEARCH(".",Suivi!$B$3083:$B$3135))*ISNUMBER(Suivi!$F$3083:$F$3135)*(Suivi!$F$3083:$F$3135&lt;TODAY())*(Suivi!$G$3083:$G$3135&lt;&gt;"Réalisé")*(Suivi!$G$3083:$G$3135&lt;&gt;"Clôturé")))</f>
        <v/>
      </c>
    </row>
    <row r="63">
      <c r="A63" s="10">
        <f>IF(ISNUMBER(Dossiers!$D$62),HYPERLINK("#Suivi!A3136",Dossiers!$E$62),"")</f>
        <v/>
      </c>
      <c r="B63" s="5">
        <f>IF($A63="","",Dossiers!$D$62)</f>
        <v/>
      </c>
      <c r="C63" s="5">
        <f>IF($A63="","",MAX(Suivi!$F$3137:$F$3189))</f>
        <v/>
      </c>
      <c r="D63" s="11">
        <f>IF($A63="","",(COUNTIF(Suivi!$G$3138:$G$3141,"Réalisé")+COUNTIF(Suivi!$G$3138:$G$3141,"Clôturé"))/ROWS(Suivi!$G$3138:$G$3141))</f>
        <v/>
      </c>
      <c r="E63" s="11">
        <f>IF($A63="","",(COUNTIF(Suivi!$G$3143:$G$3146,"Réalisé")+COUNTIF(Suivi!$G$3143:$G$3146,"Clôturé"))/ROWS(Suivi!$G$3143:$G$3146))</f>
        <v/>
      </c>
      <c r="F63" s="11">
        <f>IF($A63="","",(COUNTIF(Suivi!$G$3148:$G$3163,"Réalisé")+COUNTIF(Suivi!$G$3148:$G$3163,"Clôturé"))/ROWS(Suivi!$G$3148:$G$3163))</f>
        <v/>
      </c>
      <c r="G63" s="11">
        <f>IF($A63="","",(COUNTIF(Suivi!$G$3165:$G$3168,"Réalisé")+COUNTIF(Suivi!$G$3165:$G$3168,"Clôturé"))/ROWS(Suivi!$G$3165:$G$3168))</f>
        <v/>
      </c>
      <c r="H63" s="11">
        <f>IF($A63="","",(COUNTIF(Suivi!$G$3170:$G$3187,"Réalisé")+COUNTIF(Suivi!$G$3170:$G$3187,"Clôturé"))/ROWS(Suivi!$G$3170:$G$3187))</f>
        <v/>
      </c>
      <c r="I63" s="11">
        <f>IF($A63="","",(COUNTIF(Suivi!$G$3189:$G$3189,"Réalisé")+COUNTIF(Suivi!$G$3189:$G$3189,"Clôturé"))/ROWS(Suivi!$G$3189:$G$3189))</f>
        <v/>
      </c>
      <c r="J63" s="11">
        <f>IF($A63="","",SUMPRODUCT(ISNUMBER(SEARCH(".",Suivi!$B$3137:$B$3189))*((Suivi!$G$3137:$G$3189="Réalisé")+(Suivi!$G$3137:$G$3189="Clôturé")))/SUMPRODUCT(--ISNUMBER(SEARCH(".",Suivi!$B$3137:$B$3189))))</f>
        <v/>
      </c>
      <c r="K63">
        <f>IF($A63="","",SUMPRODUCT(ISNUMBER(SEARCH(".",Suivi!$B$3137:$B$3189))*ISNUMBER(Suivi!$F$3137:$F$3189)*(Suivi!$F$3137:$F$3189&lt;TODAY())*(Suivi!$G$3137:$G$3189&lt;&gt;"Réalisé")*(Suivi!$G$3137:$G$3189&lt;&gt;"Clôturé")))</f>
        <v/>
      </c>
    </row>
    <row r="64">
      <c r="A64" s="10">
        <f>IF(ISNUMBER(Dossiers!$D$63),HYPERLINK("#Suivi!A3190",Dossiers!$E$63),"")</f>
        <v/>
      </c>
      <c r="B64" s="5">
        <f>IF($A64="","",Dossiers!$D$63)</f>
        <v/>
      </c>
      <c r="C64" s="5">
        <f>IF($A64="","",MAX(Suivi!$F$3191:$F$3243))</f>
        <v/>
      </c>
      <c r="D64" s="11">
        <f>IF($A64="","",(COUNTIF(Suivi!$G$3192:$G$3195,"Réalisé")+COUNTIF(Suivi!$G$3192:$G$3195,"Clôturé"))/ROWS(Suivi!$G$3192:$G$3195))</f>
        <v/>
      </c>
      <c r="E64" s="11">
        <f>IF($A64="","",(COUNTIF(Suivi!$G$3197:$G$3200,"Réalisé")+COUNTIF(Suivi!$G$3197:$G$3200,"Clôturé"))/ROWS(Suivi!$G$3197:$G$3200))</f>
        <v/>
      </c>
      <c r="F64" s="11">
        <f>IF($A64="","",(COUNTIF(Suivi!$G$3202:$G$3217,"Réalisé")+COUNTIF(Suivi!$G$3202:$G$3217,"Clôturé"))/ROWS(Suivi!$G$3202:$G$3217))</f>
        <v/>
      </c>
      <c r="G64" s="11">
        <f>IF($A64="","",(COUNTIF(Suivi!$G$3219:$G$3222,"Réalisé")+COUNTIF(Suivi!$G$3219:$G$3222,"Clôturé"))/ROWS(Suivi!$G$3219:$G$3222))</f>
        <v/>
      </c>
      <c r="H64" s="11">
        <f>IF($A64="","",(COUNTIF(Suivi!$G$3224:$G$3241,"Réalisé")+COUNTIF(Suivi!$G$3224:$G$3241,"Clôturé"))/ROWS(Suivi!$G$3224:$G$3241))</f>
        <v/>
      </c>
      <c r="I64" s="11">
        <f>IF($A64="","",(COUNTIF(Suivi!$G$3243:$G$3243,"Réalisé")+COUNTIF(Suivi!$G$3243:$G$3243,"Clôturé"))/ROWS(Suivi!$G$3243:$G$3243))</f>
        <v/>
      </c>
      <c r="J64" s="11">
        <f>IF($A64="","",SUMPRODUCT(ISNUMBER(SEARCH(".",Suivi!$B$3191:$B$3243))*((Suivi!$G$3191:$G$3243="Réalisé")+(Suivi!$G$3191:$G$3243="Clôturé")))/SUMPRODUCT(--ISNUMBER(SEARCH(".",Suivi!$B$3191:$B$3243))))</f>
        <v/>
      </c>
      <c r="K64">
        <f>IF($A64="","",SUMPRODUCT(ISNUMBER(SEARCH(".",Suivi!$B$3191:$B$3243))*ISNUMBER(Suivi!$F$3191:$F$3243)*(Suivi!$F$3191:$F$3243&lt;TODAY())*(Suivi!$G$3191:$G$3243&lt;&gt;"Réalisé")*(Suivi!$G$3191:$G$3243&lt;&gt;"Clôturé")))</f>
        <v/>
      </c>
    </row>
  </sheetData>
  <conditionalFormatting sqref="D5:J64">
    <cfRule type="dataBar" priority="2">
      <dataBar>
        <cfvo type="num" val="0"/>
        <cfvo type="num" val="1"/>
        <color rgb="FF8FD19E"/>
      </dataBar>
    </cfRule>
  </conditionalFormatting>
  <conditionalFormatting sqref="K5:K64"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landscape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243"/>
  <sheetViews>
    <sheetView zoomScaleNormal="100" workbookViewId="0">
      <pane ySplit="3" topLeftCell="A4" activePane="bottomLeft" state="frozen"/>
      <selection pane="bottomLeft" activeCell="G40" sqref="G40"/>
    </sheetView>
  </sheetViews>
  <sheetFormatPr baseColWidth="10" defaultColWidth="8.6640625" defaultRowHeight="14.4"/>
  <cols>
    <col width="44" customWidth="1" min="1" max="1"/>
    <col width="11" customWidth="1" min="2" max="2"/>
    <col width="28" customWidth="1" min="3" max="3"/>
    <col width="36" customWidth="1" min="4" max="4"/>
    <col width="12" customWidth="1" min="5" max="5"/>
    <col width="13" customWidth="1" min="6" max="6"/>
    <col width="16" customWidth="1" min="7" max="7"/>
    <col width="15" customWidth="1" min="8" max="8"/>
    <col width="17" customWidth="1" min="9" max="9"/>
    <col width="20" customWidth="1" min="10" max="10"/>
  </cols>
  <sheetData>
    <row r="1">
      <c r="A1" s="15" t="inlineStr">
        <is>
          <t>SUIVI DES DOSSIERS</t>
        </is>
      </c>
    </row>
    <row r="2">
      <c r="A2" s="2" t="inlineStr">
        <is>
          <t>Saisir le statut (colonne G) et, si besoin, une durée particulière (colonne I). Ne pas insérer ni supprimer de lignes.</t>
        </is>
      </c>
      <c r="B2" s="2" t="n"/>
      <c r="C2" s="2" t="n"/>
      <c r="D2" s="2" t="n"/>
    </row>
    <row r="3">
      <c r="A3" s="15" t="inlineStr">
        <is>
          <t>Dossier</t>
        </is>
      </c>
      <c r="B3" s="15" t="inlineStr">
        <is>
          <t>Identifiant</t>
        </is>
      </c>
      <c r="C3" s="15" t="inlineStr">
        <is>
          <t>Macro Etape</t>
        </is>
      </c>
      <c r="D3" s="15" t="inlineStr">
        <is>
          <t>Etape</t>
        </is>
      </c>
      <c r="E3" s="15" t="inlineStr">
        <is>
          <t>Début le</t>
        </is>
      </c>
      <c r="F3" s="15" t="inlineStr">
        <is>
          <t>Fin prévue le</t>
        </is>
      </c>
      <c r="G3" s="15" t="inlineStr">
        <is>
          <t>Statut</t>
        </is>
      </c>
      <c r="H3" s="15" t="inlineStr">
        <is>
          <t>Durée (jours)</t>
        </is>
      </c>
      <c r="I3" s="15" t="inlineStr">
        <is>
          <t>Durée particulière</t>
        </is>
      </c>
      <c r="J3" s="12">
        <f>HYPERLINK("#'Tableau de bord'!A1","↑ Tableau de bord")</f>
        <v/>
      </c>
    </row>
    <row r="4">
      <c r="A4" s="16">
        <f>IF(ISNUMBER(Dossiers!$D$4),Dossiers!$E$4,"")</f>
        <v/>
      </c>
      <c r="B4" s="16">
        <f>IF($A4="","","Identifiant")</f>
        <v/>
      </c>
      <c r="C4" s="16">
        <f>IF($A4="","","Macro Etape")</f>
        <v/>
      </c>
      <c r="D4" s="16">
        <f>IF($A4="","","Etape")</f>
        <v/>
      </c>
      <c r="E4" s="17">
        <f>IF($A4="","","Début le")</f>
        <v/>
      </c>
      <c r="F4" s="17">
        <f>IF($A4="","","Fin prévue le")</f>
        <v/>
      </c>
      <c r="G4" s="16">
        <f>IF($A4="","","Statut")</f>
        <v/>
      </c>
      <c r="H4" s="16">
        <f>IF($A4="","","Durée (jours)")</f>
        <v/>
      </c>
      <c r="I4" s="16">
        <f>IF($A4="","","Durée particulière")</f>
        <v/>
      </c>
      <c r="J4" s="10">
        <f>IF($A4="","",HYPERLINK("#'Tableau de bord'!A1","↑ Tableau de bord"))</f>
        <v/>
      </c>
    </row>
    <row r="5">
      <c r="A5" s="18">
        <f>IF(ISNUMBER(Dossiers!$D$4),Dossiers!$A$4&amp;" · "&amp;Dossiers!$B$4,"")</f>
        <v/>
      </c>
      <c r="B5" s="18">
        <f>IF($A5="","",Paramètres!G5)</f>
        <v/>
      </c>
      <c r="C5" s="18">
        <f>IF($A5="","",IF(Paramètres!H5="","",Paramètres!H5))</f>
        <v/>
      </c>
      <c r="D5" s="18">
        <f>IF($A5="","",IF(Paramètres!I5="","",Paramètres!I5))</f>
        <v/>
      </c>
      <c r="E5" s="19">
        <f>IF($A5="","",MIN(E6:E9))</f>
        <v/>
      </c>
      <c r="F5" s="19">
        <f>IF($A5="","",MAX(F6:F9))</f>
        <v/>
      </c>
      <c r="G5" s="18" t="inlineStr">
        <is>
          <t>En attente</t>
        </is>
      </c>
      <c r="H5" s="18">
        <f>IF($A5="","",F5-E5+1)</f>
        <v/>
      </c>
      <c r="I5" s="18" t="n"/>
    </row>
    <row r="6">
      <c r="A6" s="18">
        <f>IF(ISNUMBER(Dossiers!$D$4),Dossiers!$A$4&amp;" · "&amp;Dossiers!$B$4,"")</f>
        <v/>
      </c>
      <c r="B6" s="18">
        <f>IF($A6="","",Paramètres!G6)</f>
        <v/>
      </c>
      <c r="C6" s="18">
        <f>IF($A6="","",IF(Paramètres!H6="","",Paramètres!H6))</f>
        <v/>
      </c>
      <c r="D6" s="18">
        <f>IF($A6="","",IF(Paramètres!I6="","",Paramètres!I6))</f>
        <v/>
      </c>
      <c r="E6" s="19">
        <f>IF($A6="","",IF(Paramètres!J6&amp;Paramètres!L6&amp;Paramètres!N6="",Dossiers!$D$4,MAX(IF(Paramètres!J6="",0,IF(Paramètres!K6="",NA(),IF(LEFT(TRIM(Paramètres!K6),1)="F",INDEX($F$5:$F$57,MATCH(Paramètres!J6,Paramètres!$G$5:$G$57,0)),INDEX($E$5:$E$57,MATCH(Paramètres!J6,Paramètres!$G$5:$G$57,0)))+IF(RIGHT(TRIM(Paramètres!K6),3)="Fin",1-$H6,IF(LEFT(TRIM(Paramètres!K6),1)="F",1,0)))),IF(Paramètres!L6="",0,IF(Paramètres!M6="",NA(),IF(LEFT(TRIM(Paramètres!M6),1)="F",INDEX($F$5:$F$57,MATCH(Paramètres!L6,Paramètres!$G$5:$G$57,0)),INDEX($E$5:$E$57,MATCH(Paramètres!L6,Paramètres!$G$5:$G$57,0)))+IF(RIGHT(TRIM(Paramètres!M6),3)="Fin",1-$H6,IF(LEFT(TRIM(Paramètres!M6),1)="F",1,0)))),IF(Paramètres!N6="",0,IF(Paramètres!O6="",NA(),IF(LEFT(TRIM(Paramètres!O6),1)="F",INDEX($F$5:$F$57,MATCH(Paramètres!N6,Paramètres!$G$5:$G$57,0)),INDEX($E$5:$E$57,MATCH(Paramètres!N6,Paramètres!$G$5:$G$57,0)))+IF(RIGHT(TRIM(Paramètres!O6),3)="Fin",1-$H6,IF(LEFT(TRIM(Paramètres!O6),1)="F",1,0)))))))</f>
        <v/>
      </c>
      <c r="F6" s="19">
        <f>IF($A6="","",E6+$H6-1)</f>
        <v/>
      </c>
      <c r="G6" s="18" t="n"/>
      <c r="H6" s="18">
        <f>IF($A6="","",IF(I6&lt;&gt;"",I6,Paramètres!B6))</f>
        <v/>
      </c>
      <c r="I6" s="18" t="n">
        <v>2</v>
      </c>
    </row>
    <row r="7">
      <c r="A7" s="18">
        <f>IF(ISNUMBER(Dossiers!$D$4),Dossiers!$A$4&amp;" · "&amp;Dossiers!$B$4,"")</f>
        <v/>
      </c>
      <c r="B7" s="18">
        <f>IF($A7="","",Paramètres!G7)</f>
        <v/>
      </c>
      <c r="C7" s="18">
        <f>IF($A7="","",IF(Paramètres!H7="","",Paramètres!H7))</f>
        <v/>
      </c>
      <c r="D7" s="18">
        <f>IF($A7="","",IF(Paramètres!I7="","",Paramètres!I7))</f>
        <v/>
      </c>
      <c r="E7" s="19">
        <f>IF($A7="","",IF(Paramètres!J7&amp;Paramètres!L7&amp;Paramètres!N7="",Dossiers!$D$4,MAX(IF(Paramètres!J7="",0,IF(Paramètres!K7="",NA(),IF(LEFT(TRIM(Paramètres!K7),1)="F",INDEX($F$5:$F$57,MATCH(Paramètres!J7,Paramètres!$G$5:$G$57,0)),INDEX($E$5:$E$57,MATCH(Paramètres!J7,Paramètres!$G$5:$G$57,0)))+IF(RIGHT(TRIM(Paramètres!K7),3)="Fin",1-$H7,IF(LEFT(TRIM(Paramètres!K7),1)="F",1,0)))),IF(Paramètres!L7="",0,IF(Paramètres!M7="",NA(),IF(LEFT(TRIM(Paramètres!M7),1)="F",INDEX($F$5:$F$57,MATCH(Paramètres!L7,Paramètres!$G$5:$G$57,0)),INDEX($E$5:$E$57,MATCH(Paramètres!L7,Paramètres!$G$5:$G$57,0)))+IF(RIGHT(TRIM(Paramètres!M7),3)="Fin",1-$H7,IF(LEFT(TRIM(Paramètres!M7),1)="F",1,0)))),IF(Paramètres!N7="",0,IF(Paramètres!O7="",NA(),IF(LEFT(TRIM(Paramètres!O7),1)="F",INDEX($F$5:$F$57,MATCH(Paramètres!N7,Paramètres!$G$5:$G$57,0)),INDEX($E$5:$E$57,MATCH(Paramètres!N7,Paramètres!$G$5:$G$57,0)))+IF(RIGHT(TRIM(Paramètres!O7),3)="Fin",1-$H7,IF(LEFT(TRIM(Paramètres!O7),1)="F",1,0)))))))</f>
        <v/>
      </c>
      <c r="F7" s="19">
        <f>IF($A7="","",E7+$H7-1)</f>
        <v/>
      </c>
      <c r="G7" s="18" t="n"/>
      <c r="H7" s="18">
        <f>IF($A7="","",IF(I7&lt;&gt;"",I7,Paramètres!B7))</f>
        <v/>
      </c>
      <c r="I7" s="18" t="n"/>
    </row>
    <row r="8">
      <c r="A8" s="18">
        <f>IF(ISNUMBER(Dossiers!$D$4),Dossiers!$A$4&amp;" · "&amp;Dossiers!$B$4,"")</f>
        <v/>
      </c>
      <c r="B8" s="18">
        <f>IF($A8="","",Paramètres!G8)</f>
        <v/>
      </c>
      <c r="C8" s="18">
        <f>IF($A8="","",IF(Paramètres!H8="","",Paramètres!H8))</f>
        <v/>
      </c>
      <c r="D8" s="18">
        <f>IF($A8="","",IF(Paramètres!I8="","",Paramètres!I8))</f>
        <v/>
      </c>
      <c r="E8" s="19">
        <f>IF($A8="","",IF(Paramètres!J8&amp;Paramètres!L8&amp;Paramètres!N8="",Dossiers!$D$4,MAX(IF(Paramètres!J8="",0,IF(Paramètres!K8="",NA(),IF(LEFT(TRIM(Paramètres!K8),1)="F",INDEX($F$5:$F$57,MATCH(Paramètres!J8,Paramètres!$G$5:$G$57,0)),INDEX($E$5:$E$57,MATCH(Paramètres!J8,Paramètres!$G$5:$G$57,0)))+IF(RIGHT(TRIM(Paramètres!K8),3)="Fin",1-$H8,IF(LEFT(TRIM(Paramètres!K8),1)="F",1,0)))),IF(Paramètres!L8="",0,IF(Paramètres!M8="",NA(),IF(LEFT(TRIM(Paramètres!M8),1)="F",INDEX($F$5:$F$57,MATCH(Paramètres!L8,Paramètres!$G$5:$G$57,0)),INDEX($E$5:$E$57,MATCH(Paramètres!L8,Paramètres!$G$5:$G$57,0)))+IF(RIGHT(TRIM(Paramètres!M8),3)="Fin",1-$H8,IF(LEFT(TRIM(Paramètres!M8),1)="F",1,0)))),IF(Paramètres!N8="",0,IF(Paramètres!O8="",NA(),IF(LEFT(TRIM(Paramètres!O8),1)="F",INDEX($F$5:$F$57,MATCH(Paramètres!N8,Paramètres!$G$5:$G$57,0)),INDEX($E$5:$E$57,MATCH(Paramètres!N8,Paramètres!$G$5:$G$57,0)))+IF(RIGHT(TRIM(Paramètres!O8),3)="Fin",1-$H8,IF(LEFT(TRIM(Paramètres!O8),1)="F",1,0)))))))</f>
        <v/>
      </c>
      <c r="F8" s="19">
        <f>IF($A8="","",E8+$H8-1)</f>
        <v/>
      </c>
      <c r="G8" s="18" t="n"/>
      <c r="H8" s="18">
        <f>IF($A8="","",IF(I8&lt;&gt;"",I8,Paramètres!B8))</f>
        <v/>
      </c>
      <c r="I8" s="18" t="n"/>
    </row>
    <row r="9">
      <c r="A9" s="18">
        <f>IF(ISNUMBER(Dossiers!$D$4),Dossiers!$A$4&amp;" · "&amp;Dossiers!$B$4,"")</f>
        <v/>
      </c>
      <c r="B9" s="18">
        <f>IF($A9="","",Paramètres!G9)</f>
        <v/>
      </c>
      <c r="C9" s="18">
        <f>IF($A9="","",IF(Paramètres!H9="","",Paramètres!H9))</f>
        <v/>
      </c>
      <c r="D9" s="18">
        <f>IF($A9="","",IF(Paramètres!I9="","",Paramètres!I9))</f>
        <v/>
      </c>
      <c r="E9" s="19">
        <f>IF($A9="","",IF(Paramètres!J9&amp;Paramètres!L9&amp;Paramètres!N9="",Dossiers!$D$4,MAX(IF(Paramètres!J9="",0,IF(Paramètres!K9="",NA(),IF(LEFT(TRIM(Paramètres!K9),1)="F",INDEX($F$5:$F$57,MATCH(Paramètres!J9,Paramètres!$G$5:$G$57,0)),INDEX($E$5:$E$57,MATCH(Paramètres!J9,Paramètres!$G$5:$G$57,0)))+IF(RIGHT(TRIM(Paramètres!K9),3)="Fin",1-$H9,IF(LEFT(TRIM(Paramètres!K9),1)="F",1,0)))),IF(Paramètres!L9="",0,IF(Paramètres!M9="",NA(),IF(LEFT(TRIM(Paramètres!M9),1)="F",INDEX($F$5:$F$57,MATCH(Paramètres!L9,Paramètres!$G$5:$G$57,0)),INDEX($E$5:$E$57,MATCH(Paramètres!L9,Paramètres!$G$5:$G$57,0)))+IF(RIGHT(TRIM(Paramètres!M9),3)="Fin",1-$H9,IF(LEFT(TRIM(Paramètres!M9),1)="F",1,0)))),IF(Paramètres!N9="",0,IF(Paramètres!O9="",NA(),IF(LEFT(TRIM(Paramètres!O9),1)="F",INDEX($F$5:$F$57,MATCH(Paramètres!N9,Paramètres!$G$5:$G$57,0)),INDEX($E$5:$E$57,MATCH(Paramètres!N9,Paramètres!$G$5:$G$57,0)))+IF(RIGHT(TRIM(Paramètres!O9),3)="Fin",1-$H9,IF(LEFT(TRIM(Paramètres!O9),1)="F",1,0)))))))</f>
        <v/>
      </c>
      <c r="F9" s="19">
        <f>IF($A9="","",E9+$H9-1)</f>
        <v/>
      </c>
      <c r="G9" s="18" t="n"/>
      <c r="H9" s="18">
        <f>IF($A9="","",IF(I9&lt;&gt;"",I9,Paramètres!B9))</f>
        <v/>
      </c>
      <c r="I9" s="18" t="n"/>
    </row>
    <row r="10">
      <c r="A10" s="18">
        <f>IF(ISNUMBER(Dossiers!$D$4),Dossiers!$A$4&amp;" · "&amp;Dossiers!$B$4,"")</f>
        <v/>
      </c>
      <c r="B10" s="18">
        <f>IF($A10="","",Paramètres!G10)</f>
        <v/>
      </c>
      <c r="C10" s="18">
        <f>IF($A10="","",IF(Paramètres!H10="","",Paramètres!H10))</f>
        <v/>
      </c>
      <c r="D10" s="18">
        <f>IF($A10="","",IF(Paramètres!I10="","",Paramètres!I10))</f>
        <v/>
      </c>
      <c r="E10" s="19">
        <f>IF($A10="","",MIN(E11:E14))</f>
        <v/>
      </c>
      <c r="F10" s="19">
        <f>IF($A10="","",MAX(F11:F14))</f>
        <v/>
      </c>
      <c r="G10" s="18" t="n"/>
      <c r="H10" s="18">
        <f>IF($A10="","",F10-E10+1)</f>
        <v/>
      </c>
      <c r="I10" s="18" t="n"/>
    </row>
    <row r="11">
      <c r="A11" s="18">
        <f>IF(ISNUMBER(Dossiers!$D$4),Dossiers!$A$4&amp;" · "&amp;Dossiers!$B$4,"")</f>
        <v/>
      </c>
      <c r="B11" s="18">
        <f>IF($A11="","",Paramètres!G11)</f>
        <v/>
      </c>
      <c r="C11" s="18">
        <f>IF($A11="","",IF(Paramètres!H11="","",Paramètres!H11))</f>
        <v/>
      </c>
      <c r="D11" s="18">
        <f>IF($A11="","",IF(Paramètres!I11="","",Paramètres!I11))</f>
        <v/>
      </c>
      <c r="E11" s="19">
        <f>IF($A11="","",IF(Paramètres!J11&amp;Paramètres!L11&amp;Paramètres!N11="",Dossiers!$D$4,MAX(IF(Paramètres!J11="",0,IF(Paramètres!K11="",NA(),IF(LEFT(TRIM(Paramètres!K11),1)="F",INDEX($F$5:$F$57,MATCH(Paramètres!J11,Paramètres!$G$5:$G$57,0)),INDEX($E$5:$E$57,MATCH(Paramètres!J11,Paramètres!$G$5:$G$57,0)))+IF(RIGHT(TRIM(Paramètres!K11),3)="Fin",1-$H11,IF(LEFT(TRIM(Paramètres!K11),1)="F",1,0)))),IF(Paramètres!L11="",0,IF(Paramètres!M11="",NA(),IF(LEFT(TRIM(Paramètres!M11),1)="F",INDEX($F$5:$F$57,MATCH(Paramètres!L11,Paramètres!$G$5:$G$57,0)),INDEX($E$5:$E$57,MATCH(Paramètres!L11,Paramètres!$G$5:$G$57,0)))+IF(RIGHT(TRIM(Paramètres!M11),3)="Fin",1-$H11,IF(LEFT(TRIM(Paramètres!M11),1)="F",1,0)))),IF(Paramètres!N11="",0,IF(Paramètres!O11="",NA(),IF(LEFT(TRIM(Paramètres!O11),1)="F",INDEX($F$5:$F$57,MATCH(Paramètres!N11,Paramètres!$G$5:$G$57,0)),INDEX($E$5:$E$57,MATCH(Paramètres!N11,Paramètres!$G$5:$G$57,0)))+IF(RIGHT(TRIM(Paramètres!O11),3)="Fin",1-$H11,IF(LEFT(TRIM(Paramètres!O11),1)="F",1,0)))))))</f>
        <v/>
      </c>
      <c r="F11" s="19">
        <f>IF($A11="","",E11+$H11-1)</f>
        <v/>
      </c>
      <c r="G11" s="18" t="n"/>
      <c r="H11" s="18">
        <f>IF($A11="","",IF(I11&lt;&gt;"",I11,Paramètres!B11))</f>
        <v/>
      </c>
      <c r="I11" s="18" t="n"/>
    </row>
    <row r="12">
      <c r="A12" s="18">
        <f>IF(ISNUMBER(Dossiers!$D$4),Dossiers!$A$4&amp;" · "&amp;Dossiers!$B$4,"")</f>
        <v/>
      </c>
      <c r="B12" s="18">
        <f>IF($A12="","",Paramètres!G12)</f>
        <v/>
      </c>
      <c r="C12" s="18">
        <f>IF($A12="","",IF(Paramètres!H12="","",Paramètres!H12))</f>
        <v/>
      </c>
      <c r="D12" s="18">
        <f>IF($A12="","",IF(Paramètres!I12="","",Paramètres!I12))</f>
        <v/>
      </c>
      <c r="E12" s="19">
        <f>IF($A12="","",IF(Paramètres!J12&amp;Paramètres!L12&amp;Paramètres!N12="",Dossiers!$D$4,MAX(IF(Paramètres!J12="",0,IF(Paramètres!K12="",NA(),IF(LEFT(TRIM(Paramètres!K12),1)="F",INDEX($F$5:$F$57,MATCH(Paramètres!J12,Paramètres!$G$5:$G$57,0)),INDEX($E$5:$E$57,MATCH(Paramètres!J12,Paramètres!$G$5:$G$57,0)))+IF(RIGHT(TRIM(Paramètres!K12),3)="Fin",1-$H12,IF(LEFT(TRIM(Paramètres!K12),1)="F",1,0)))),IF(Paramètres!L12="",0,IF(Paramètres!M12="",NA(),IF(LEFT(TRIM(Paramètres!M12),1)="F",INDEX($F$5:$F$57,MATCH(Paramètres!L12,Paramètres!$G$5:$G$57,0)),INDEX($E$5:$E$57,MATCH(Paramètres!L12,Paramètres!$G$5:$G$57,0)))+IF(RIGHT(TRIM(Paramètres!M12),3)="Fin",1-$H12,IF(LEFT(TRIM(Paramètres!M12),1)="F",1,0)))),IF(Paramètres!N12="",0,IF(Paramètres!O12="",NA(),IF(LEFT(TRIM(Paramètres!O12),1)="F",INDEX($F$5:$F$57,MATCH(Paramètres!N12,Paramètres!$G$5:$G$57,0)),INDEX($E$5:$E$57,MATCH(Paramètres!N12,Paramètres!$G$5:$G$57,0)))+IF(RIGHT(TRIM(Paramètres!O12),3)="Fin",1-$H12,IF(LEFT(TRIM(Paramètres!O12),1)="F",1,0)))))))</f>
        <v/>
      </c>
      <c r="F12" s="19">
        <f>IF($A12="","",E12+$H12-1)</f>
        <v/>
      </c>
      <c r="G12" s="18" t="n"/>
      <c r="H12" s="18">
        <f>IF($A12="","",IF(I12&lt;&gt;"",I12,Paramètres!B12))</f>
        <v/>
      </c>
      <c r="I12" s="18" t="n">
        <v>0</v>
      </c>
    </row>
    <row r="13">
      <c r="A13" s="18">
        <f>IF(ISNUMBER(Dossiers!$D$4),Dossiers!$A$4&amp;" · "&amp;Dossiers!$B$4,"")</f>
        <v/>
      </c>
      <c r="B13" s="18">
        <f>IF($A13="","",Paramètres!G13)</f>
        <v/>
      </c>
      <c r="C13" s="18">
        <f>IF($A13="","",IF(Paramètres!H13="","",Paramètres!H13))</f>
        <v/>
      </c>
      <c r="D13" s="18">
        <f>IF($A13="","",IF(Paramètres!I13="","",Paramètres!I13))</f>
        <v/>
      </c>
      <c r="E13" s="19">
        <f>IF($A13="","",IF(Paramètres!J13&amp;Paramètres!L13&amp;Paramètres!N13="",Dossiers!$D$4,MAX(IF(Paramètres!J13="",0,IF(Paramètres!K13="",NA(),IF(LEFT(TRIM(Paramètres!K13),1)="F",INDEX($F$5:$F$57,MATCH(Paramètres!J13,Paramètres!$G$5:$G$57,0)),INDEX($E$5:$E$57,MATCH(Paramètres!J13,Paramètres!$G$5:$G$57,0)))+IF(RIGHT(TRIM(Paramètres!K13),3)="Fin",1-$H13,IF(LEFT(TRIM(Paramètres!K13),1)="F",1,0)))),IF(Paramètres!L13="",0,IF(Paramètres!M13="",NA(),IF(LEFT(TRIM(Paramètres!M13),1)="F",INDEX($F$5:$F$57,MATCH(Paramètres!L13,Paramètres!$G$5:$G$57,0)),INDEX($E$5:$E$57,MATCH(Paramètres!L13,Paramètres!$G$5:$G$57,0)))+IF(RIGHT(TRIM(Paramètres!M13),3)="Fin",1-$H13,IF(LEFT(TRIM(Paramètres!M13),1)="F",1,0)))),IF(Paramètres!N13="",0,IF(Paramètres!O13="",NA(),IF(LEFT(TRIM(Paramètres!O13),1)="F",INDEX($F$5:$F$57,MATCH(Paramètres!N13,Paramètres!$G$5:$G$57,0)),INDEX($E$5:$E$57,MATCH(Paramètres!N13,Paramètres!$G$5:$G$57,0)))+IF(RIGHT(TRIM(Paramètres!O13),3)="Fin",1-$H13,IF(LEFT(TRIM(Paramètres!O13),1)="F",1,0)))))))</f>
        <v/>
      </c>
      <c r="F13" s="19">
        <f>IF($A13="","",E13+$H13-1)</f>
        <v/>
      </c>
      <c r="G13" s="18" t="n"/>
      <c r="H13" s="18">
        <f>IF($A13="","",IF(I13&lt;&gt;"",I13,Paramètres!B13))</f>
        <v/>
      </c>
      <c r="I13" s="18" t="n"/>
    </row>
    <row r="14">
      <c r="A14" s="18">
        <f>IF(ISNUMBER(Dossiers!$D$4),Dossiers!$A$4&amp;" · "&amp;Dossiers!$B$4,"")</f>
        <v/>
      </c>
      <c r="B14" s="18">
        <f>IF($A14="","",Paramètres!G14)</f>
        <v/>
      </c>
      <c r="C14" s="18">
        <f>IF($A14="","",IF(Paramètres!H14="","",Paramètres!H14))</f>
        <v/>
      </c>
      <c r="D14" s="18">
        <f>IF($A14="","",IF(Paramètres!I14="","",Paramètres!I14))</f>
        <v/>
      </c>
      <c r="E14" s="19">
        <f>IF($A14="","",IF(Paramètres!J14&amp;Paramètres!L14&amp;Paramètres!N14="",Dossiers!$D$4,MAX(IF(Paramètres!J14="",0,IF(Paramètres!K14="",NA(),IF(LEFT(TRIM(Paramètres!K14),1)="F",INDEX($F$5:$F$57,MATCH(Paramètres!J14,Paramètres!$G$5:$G$57,0)),INDEX($E$5:$E$57,MATCH(Paramètres!J14,Paramètres!$G$5:$G$57,0)))+IF(RIGHT(TRIM(Paramètres!K14),3)="Fin",1-$H14,IF(LEFT(TRIM(Paramètres!K14),1)="F",1,0)))),IF(Paramètres!L14="",0,IF(Paramètres!M14="",NA(),IF(LEFT(TRIM(Paramètres!M14),1)="F",INDEX($F$5:$F$57,MATCH(Paramètres!L14,Paramètres!$G$5:$G$57,0)),INDEX($E$5:$E$57,MATCH(Paramètres!L14,Paramètres!$G$5:$G$57,0)))+IF(RIGHT(TRIM(Paramètres!M14),3)="Fin",1-$H14,IF(LEFT(TRIM(Paramètres!M14),1)="F",1,0)))),IF(Paramètres!N14="",0,IF(Paramètres!O14="",NA(),IF(LEFT(TRIM(Paramètres!O14),1)="F",INDEX($F$5:$F$57,MATCH(Paramètres!N14,Paramètres!$G$5:$G$57,0)),INDEX($E$5:$E$57,MATCH(Paramètres!N14,Paramètres!$G$5:$G$57,0)))+IF(RIGHT(TRIM(Paramètres!O14),3)="Fin",1-$H14,IF(LEFT(TRIM(Paramètres!O14),1)="F",1,0)))))))</f>
        <v/>
      </c>
      <c r="F14" s="19">
        <f>IF($A14="","",E14+$H14-1)</f>
        <v/>
      </c>
      <c r="G14" s="18" t="n"/>
      <c r="H14" s="18">
        <f>IF($A14="","",IF(I14&lt;&gt;"",I14,Paramètres!B14))</f>
        <v/>
      </c>
      <c r="I14" s="18" t="n">
        <v>0</v>
      </c>
    </row>
    <row r="15">
      <c r="A15" s="18">
        <f>IF(ISNUMBER(Dossiers!$D$4),Dossiers!$A$4&amp;" · "&amp;Dossiers!$B$4,"")</f>
        <v/>
      </c>
      <c r="B15" s="18">
        <f>IF($A15="","",Paramètres!G15)</f>
        <v/>
      </c>
      <c r="C15" s="18">
        <f>IF($A15="","",IF(Paramètres!H15="","",Paramètres!H15))</f>
        <v/>
      </c>
      <c r="D15" s="18">
        <f>IF($A15="","",IF(Paramètres!I15="","",Paramètres!I15))</f>
        <v/>
      </c>
      <c r="E15" s="19">
        <f>IF($A15="","",MIN(E16:E31))</f>
        <v/>
      </c>
      <c r="F15" s="19">
        <f>IF($A15="","",MAX(F16:F31))</f>
        <v/>
      </c>
      <c r="G15" s="18" t="n"/>
      <c r="H15" s="18">
        <f>IF($A15="","",F15-E15+1)</f>
        <v/>
      </c>
      <c r="I15" s="18" t="n"/>
    </row>
    <row r="16">
      <c r="A16" s="18">
        <f>IF(ISNUMBER(Dossiers!$D$4),Dossiers!$A$4&amp;" · "&amp;Dossiers!$B$4,"")</f>
        <v/>
      </c>
      <c r="B16" s="18">
        <f>IF($A16="","",Paramètres!G16)</f>
        <v/>
      </c>
      <c r="C16" s="18">
        <f>IF($A16="","",IF(Paramètres!H16="","",Paramètres!H16))</f>
        <v/>
      </c>
      <c r="D16" s="18">
        <f>IF($A16="","",IF(Paramètres!I16="","",Paramètres!I16))</f>
        <v/>
      </c>
      <c r="E16" s="19">
        <f>IF($A16="","",IF(Paramètres!J16&amp;Paramètres!L16&amp;Paramètres!N16="",Dossiers!$D$4,MAX(IF(Paramètres!J16="",0,IF(Paramètres!K16="",NA(),IF(LEFT(TRIM(Paramètres!K16),1)="F",INDEX($F$5:$F$57,MATCH(Paramètres!J16,Paramètres!$G$5:$G$57,0)),INDEX($E$5:$E$57,MATCH(Paramètres!J16,Paramètres!$G$5:$G$57,0)))+IF(RIGHT(TRIM(Paramètres!K16),3)="Fin",1-$H16,IF(LEFT(TRIM(Paramètres!K16),1)="F",1,0)))),IF(Paramètres!L16="",0,IF(Paramètres!M16="",NA(),IF(LEFT(TRIM(Paramètres!M16),1)="F",INDEX($F$5:$F$57,MATCH(Paramètres!L16,Paramètres!$G$5:$G$57,0)),INDEX($E$5:$E$57,MATCH(Paramètres!L16,Paramètres!$G$5:$G$57,0)))+IF(RIGHT(TRIM(Paramètres!M16),3)="Fin",1-$H16,IF(LEFT(TRIM(Paramètres!M16),1)="F",1,0)))),IF(Paramètres!N16="",0,IF(Paramètres!O16="",NA(),IF(LEFT(TRIM(Paramètres!O16),1)="F",INDEX($F$5:$F$57,MATCH(Paramètres!N16,Paramètres!$G$5:$G$57,0)),INDEX($E$5:$E$57,MATCH(Paramètres!N16,Paramètres!$G$5:$G$57,0)))+IF(RIGHT(TRIM(Paramètres!O16),3)="Fin",1-$H16,IF(LEFT(TRIM(Paramètres!O16),1)="F",1,0)))))))</f>
        <v/>
      </c>
      <c r="F16" s="19">
        <f>IF($A16="","",E16+$H16-1)</f>
        <v/>
      </c>
      <c r="G16" s="18" t="n"/>
      <c r="H16" s="18">
        <f>IF($A16="","",IF(I16&lt;&gt;"",I16,Paramètres!B16))</f>
        <v/>
      </c>
      <c r="I16" s="18" t="n"/>
    </row>
    <row r="17">
      <c r="A17" s="18">
        <f>IF(ISNUMBER(Dossiers!$D$4),Dossiers!$A$4&amp;" · "&amp;Dossiers!$B$4,"")</f>
        <v/>
      </c>
      <c r="B17" s="18">
        <f>IF($A17="","",Paramètres!G17)</f>
        <v/>
      </c>
      <c r="C17" s="18">
        <f>IF($A17="","",IF(Paramètres!H17="","",Paramètres!H17))</f>
        <v/>
      </c>
      <c r="D17" s="18">
        <f>IF($A17="","",IF(Paramètres!I17="","",Paramètres!I17))</f>
        <v/>
      </c>
      <c r="E17" s="19">
        <f>IF($A17="","",IF(Paramètres!J17&amp;Paramètres!L17&amp;Paramètres!N17="",Dossiers!$D$4,MAX(IF(Paramètres!J17="",0,IF(Paramètres!K17="",NA(),IF(LEFT(TRIM(Paramètres!K17),1)="F",INDEX($F$5:$F$57,MATCH(Paramètres!J17,Paramètres!$G$5:$G$57,0)),INDEX($E$5:$E$57,MATCH(Paramètres!J17,Paramètres!$G$5:$G$57,0)))+IF(RIGHT(TRIM(Paramètres!K17),3)="Fin",1-$H17,IF(LEFT(TRIM(Paramètres!K17),1)="F",1,0)))),IF(Paramètres!L17="",0,IF(Paramètres!M17="",NA(),IF(LEFT(TRIM(Paramètres!M17),1)="F",INDEX($F$5:$F$57,MATCH(Paramètres!L17,Paramètres!$G$5:$G$57,0)),INDEX($E$5:$E$57,MATCH(Paramètres!L17,Paramètres!$G$5:$G$57,0)))+IF(RIGHT(TRIM(Paramètres!M17),3)="Fin",1-$H17,IF(LEFT(TRIM(Paramètres!M17),1)="F",1,0)))),IF(Paramètres!N17="",0,IF(Paramètres!O17="",NA(),IF(LEFT(TRIM(Paramètres!O17),1)="F",INDEX($F$5:$F$57,MATCH(Paramètres!N17,Paramètres!$G$5:$G$57,0)),INDEX($E$5:$E$57,MATCH(Paramètres!N17,Paramètres!$G$5:$G$57,0)))+IF(RIGHT(TRIM(Paramètres!O17),3)="Fin",1-$H17,IF(LEFT(TRIM(Paramètres!O17),1)="F",1,0)))))))</f>
        <v/>
      </c>
      <c r="F17" s="19">
        <f>IF($A17="","",E17+$H17-1)</f>
        <v/>
      </c>
      <c r="G17" s="18" t="n"/>
      <c r="H17" s="18">
        <f>IF($A17="","",IF(I17&lt;&gt;"",I17,Paramètres!B17))</f>
        <v/>
      </c>
      <c r="I17" s="18" t="n"/>
    </row>
    <row r="18">
      <c r="A18" s="18">
        <f>IF(ISNUMBER(Dossiers!$D$4),Dossiers!$A$4&amp;" · "&amp;Dossiers!$B$4,"")</f>
        <v/>
      </c>
      <c r="B18" s="18">
        <f>IF($A18="","",Paramètres!G18)</f>
        <v/>
      </c>
      <c r="C18" s="18">
        <f>IF($A18="","",IF(Paramètres!H18="","",Paramètres!H18))</f>
        <v/>
      </c>
      <c r="D18" s="18">
        <f>IF($A18="","",IF(Paramètres!I18="","",Paramètres!I18))</f>
        <v/>
      </c>
      <c r="E18" s="19">
        <f>IF($A18="","",IF(Paramètres!J18&amp;Paramètres!L18&amp;Paramètres!N18="",Dossiers!$D$4,MAX(IF(Paramètres!J18="",0,IF(Paramètres!K18="",NA(),IF(LEFT(TRIM(Paramètres!K18),1)="F",INDEX($F$5:$F$57,MATCH(Paramètres!J18,Paramètres!$G$5:$G$57,0)),INDEX($E$5:$E$57,MATCH(Paramètres!J18,Paramètres!$G$5:$G$57,0)))+IF(RIGHT(TRIM(Paramètres!K18),3)="Fin",1-$H18,IF(LEFT(TRIM(Paramètres!K18),1)="F",1,0)))),IF(Paramètres!L18="",0,IF(Paramètres!M18="",NA(),IF(LEFT(TRIM(Paramètres!M18),1)="F",INDEX($F$5:$F$57,MATCH(Paramètres!L18,Paramètres!$G$5:$G$57,0)),INDEX($E$5:$E$57,MATCH(Paramètres!L18,Paramètres!$G$5:$G$57,0)))+IF(RIGHT(TRIM(Paramètres!M18),3)="Fin",1-$H18,IF(LEFT(TRIM(Paramètres!M18),1)="F",1,0)))),IF(Paramètres!N18="",0,IF(Paramètres!O18="",NA(),IF(LEFT(TRIM(Paramètres!O18),1)="F",INDEX($F$5:$F$57,MATCH(Paramètres!N18,Paramètres!$G$5:$G$57,0)),INDEX($E$5:$E$57,MATCH(Paramètres!N18,Paramètres!$G$5:$G$57,0)))+IF(RIGHT(TRIM(Paramètres!O18),3)="Fin",1-$H18,IF(LEFT(TRIM(Paramètres!O18),1)="F",1,0)))))))</f>
        <v/>
      </c>
      <c r="F18" s="19">
        <f>IF($A18="","",E18+$H18-1)</f>
        <v/>
      </c>
      <c r="G18" s="18" t="n"/>
      <c r="H18" s="18">
        <f>IF($A18="","",IF(I18&lt;&gt;"",I18,Paramètres!B18))</f>
        <v/>
      </c>
      <c r="I18" s="18" t="n"/>
    </row>
    <row r="19">
      <c r="A19" s="18">
        <f>IF(ISNUMBER(Dossiers!$D$4),Dossiers!$A$4&amp;" · "&amp;Dossiers!$B$4,"")</f>
        <v/>
      </c>
      <c r="B19" s="18">
        <f>IF($A19="","",Paramètres!G19)</f>
        <v/>
      </c>
      <c r="C19" s="18">
        <f>IF($A19="","",IF(Paramètres!H19="","",Paramètres!H19))</f>
        <v/>
      </c>
      <c r="D19" s="18">
        <f>IF($A19="","",IF(Paramètres!I19="","",Paramètres!I19))</f>
        <v/>
      </c>
      <c r="E19" s="19">
        <f>IF($A19="","",IF(Paramètres!J19&amp;Paramètres!L19&amp;Paramètres!N19="",Dossiers!$D$4,MAX(IF(Paramètres!J19="",0,IF(Paramètres!K19="",NA(),IF(LEFT(TRIM(Paramètres!K19),1)="F",INDEX($F$5:$F$57,MATCH(Paramètres!J19,Paramètres!$G$5:$G$57,0)),INDEX($E$5:$E$57,MATCH(Paramètres!J19,Paramètres!$G$5:$G$57,0)))+IF(RIGHT(TRIM(Paramètres!K19),3)="Fin",1-$H19,IF(LEFT(TRIM(Paramètres!K19),1)="F",1,0)))),IF(Paramètres!L19="",0,IF(Paramètres!M19="",NA(),IF(LEFT(TRIM(Paramètres!M19),1)="F",INDEX($F$5:$F$57,MATCH(Paramètres!L19,Paramètres!$G$5:$G$57,0)),INDEX($E$5:$E$57,MATCH(Paramètres!L19,Paramètres!$G$5:$G$57,0)))+IF(RIGHT(TRIM(Paramètres!M19),3)="Fin",1-$H19,IF(LEFT(TRIM(Paramètres!M19),1)="F",1,0)))),IF(Paramètres!N19="",0,IF(Paramètres!O19="",NA(),IF(LEFT(TRIM(Paramètres!O19),1)="F",INDEX($F$5:$F$57,MATCH(Paramètres!N19,Paramètres!$G$5:$G$57,0)),INDEX($E$5:$E$57,MATCH(Paramètres!N19,Paramètres!$G$5:$G$57,0)))+IF(RIGHT(TRIM(Paramètres!O19),3)="Fin",1-$H19,IF(LEFT(TRIM(Paramètres!O19),1)="F",1,0)))))))</f>
        <v/>
      </c>
      <c r="F19" s="19">
        <f>IF($A19="","",E19+$H19-1)</f>
        <v/>
      </c>
      <c r="G19" s="18" t="n"/>
      <c r="H19" s="18">
        <f>IF($A19="","",IF(I19&lt;&gt;"",I19,Paramètres!B19))</f>
        <v/>
      </c>
      <c r="I19" s="18" t="n"/>
    </row>
    <row r="20">
      <c r="A20" s="18">
        <f>IF(ISNUMBER(Dossiers!$D$4),Dossiers!$A$4&amp;" · "&amp;Dossiers!$B$4,"")</f>
        <v/>
      </c>
      <c r="B20" s="18">
        <f>IF($A20="","",Paramètres!G20)</f>
        <v/>
      </c>
      <c r="C20" s="18">
        <f>IF($A20="","",IF(Paramètres!H20="","",Paramètres!H20))</f>
        <v/>
      </c>
      <c r="D20" s="18">
        <f>IF($A20="","",IF(Paramètres!I20="","",Paramètres!I20))</f>
        <v/>
      </c>
      <c r="E20" s="19">
        <f>IF($A20="","",IF(Paramètres!J20&amp;Paramètres!L20&amp;Paramètres!N20="",Dossiers!$D$4,MAX(IF(Paramètres!J20="",0,IF(Paramètres!K20="",NA(),IF(LEFT(TRIM(Paramètres!K20),1)="F",INDEX($F$5:$F$57,MATCH(Paramètres!J20,Paramètres!$G$5:$G$57,0)),INDEX($E$5:$E$57,MATCH(Paramètres!J20,Paramètres!$G$5:$G$57,0)))+IF(RIGHT(TRIM(Paramètres!K20),3)="Fin",1-$H20,IF(LEFT(TRIM(Paramètres!K20),1)="F",1,0)))),IF(Paramètres!L20="",0,IF(Paramètres!M20="",NA(),IF(LEFT(TRIM(Paramètres!M20),1)="F",INDEX($F$5:$F$57,MATCH(Paramètres!L20,Paramètres!$G$5:$G$57,0)),INDEX($E$5:$E$57,MATCH(Paramètres!L20,Paramètres!$G$5:$G$57,0)))+IF(RIGHT(TRIM(Paramètres!M20),3)="Fin",1-$H20,IF(LEFT(TRIM(Paramètres!M20),1)="F",1,0)))),IF(Paramètres!N20="",0,IF(Paramètres!O20="",NA(),IF(LEFT(TRIM(Paramètres!O20),1)="F",INDEX($F$5:$F$57,MATCH(Paramètres!N20,Paramètres!$G$5:$G$57,0)),INDEX($E$5:$E$57,MATCH(Paramètres!N20,Paramètres!$G$5:$G$57,0)))+IF(RIGHT(TRIM(Paramètres!O20),3)="Fin",1-$H20,IF(LEFT(TRIM(Paramètres!O20),1)="F",1,0)))))))</f>
        <v/>
      </c>
      <c r="F20" s="19">
        <f>IF($A20="","",E20+$H20-1)</f>
        <v/>
      </c>
      <c r="G20" s="18" t="n"/>
      <c r="H20" s="18">
        <f>IF($A20="","",IF(I20&lt;&gt;"",I20,Paramètres!B20))</f>
        <v/>
      </c>
      <c r="I20" s="18" t="n"/>
    </row>
    <row r="21">
      <c r="A21" s="18">
        <f>IF(ISNUMBER(Dossiers!$D$4),Dossiers!$A$4&amp;" · "&amp;Dossiers!$B$4,"")</f>
        <v/>
      </c>
      <c r="B21" s="18">
        <f>IF($A21="","",Paramètres!G21)</f>
        <v/>
      </c>
      <c r="C21" s="18">
        <f>IF($A21="","",IF(Paramètres!H21="","",Paramètres!H21))</f>
        <v/>
      </c>
      <c r="D21" s="18">
        <f>IF($A21="","",IF(Paramètres!I21="","",Paramètres!I21))</f>
        <v/>
      </c>
      <c r="E21" s="19">
        <f>IF($A21="","",IF(Paramètres!J21&amp;Paramètres!L21&amp;Paramètres!N21="",Dossiers!$D$4,MAX(IF(Paramètres!J21="",0,IF(Paramètres!K21="",NA(),IF(LEFT(TRIM(Paramètres!K21),1)="F",INDEX($F$5:$F$57,MATCH(Paramètres!J21,Paramètres!$G$5:$G$57,0)),INDEX($E$5:$E$57,MATCH(Paramètres!J21,Paramètres!$G$5:$G$57,0)))+IF(RIGHT(TRIM(Paramètres!K21),3)="Fin",1-$H21,IF(LEFT(TRIM(Paramètres!K21),1)="F",1,0)))),IF(Paramètres!L21="",0,IF(Paramètres!M21="",NA(),IF(LEFT(TRIM(Paramètres!M21),1)="F",INDEX($F$5:$F$57,MATCH(Paramètres!L21,Paramètres!$G$5:$G$57,0)),INDEX($E$5:$E$57,MATCH(Paramètres!L21,Paramètres!$G$5:$G$57,0)))+IF(RIGHT(TRIM(Paramètres!M21),3)="Fin",1-$H21,IF(LEFT(TRIM(Paramètres!M21),1)="F",1,0)))),IF(Paramètres!N21="",0,IF(Paramètres!O21="",NA(),IF(LEFT(TRIM(Paramètres!O21),1)="F",INDEX($F$5:$F$57,MATCH(Paramètres!N21,Paramètres!$G$5:$G$57,0)),INDEX($E$5:$E$57,MATCH(Paramètres!N21,Paramètres!$G$5:$G$57,0)))+IF(RIGHT(TRIM(Paramètres!O21),3)="Fin",1-$H21,IF(LEFT(TRIM(Paramètres!O21),1)="F",1,0)))))))</f>
        <v/>
      </c>
      <c r="F21" s="19">
        <f>IF($A21="","",E21+$H21-1)</f>
        <v/>
      </c>
      <c r="G21" s="18" t="n"/>
      <c r="H21" s="18">
        <f>IF($A21="","",IF(I21&lt;&gt;"",I21,Paramètres!B21))</f>
        <v/>
      </c>
      <c r="I21" s="18" t="n"/>
    </row>
    <row r="22">
      <c r="A22" s="18">
        <f>IF(ISNUMBER(Dossiers!$D$4),Dossiers!$A$4&amp;" · "&amp;Dossiers!$B$4,"")</f>
        <v/>
      </c>
      <c r="B22" s="18">
        <f>IF($A22="","",Paramètres!G22)</f>
        <v/>
      </c>
      <c r="C22" s="18">
        <f>IF($A22="","",IF(Paramètres!H22="","",Paramètres!H22))</f>
        <v/>
      </c>
      <c r="D22" s="18">
        <f>IF($A22="","",IF(Paramètres!I22="","",Paramètres!I22))</f>
        <v/>
      </c>
      <c r="E22" s="19">
        <f>IF($A22="","",IF(Paramètres!J22&amp;Paramètres!L22&amp;Paramètres!N22="",Dossiers!$D$4,MAX(IF(Paramètres!J22="",0,IF(Paramètres!K22="",NA(),IF(LEFT(TRIM(Paramètres!K22),1)="F",INDEX($F$5:$F$57,MATCH(Paramètres!J22,Paramètres!$G$5:$G$57,0)),INDEX($E$5:$E$57,MATCH(Paramètres!J22,Paramètres!$G$5:$G$57,0)))+IF(RIGHT(TRIM(Paramètres!K22),3)="Fin",1-$H22,IF(LEFT(TRIM(Paramètres!K22),1)="F",1,0)))),IF(Paramètres!L22="",0,IF(Paramètres!M22="",NA(),IF(LEFT(TRIM(Paramètres!M22),1)="F",INDEX($F$5:$F$57,MATCH(Paramètres!L22,Paramètres!$G$5:$G$57,0)),INDEX($E$5:$E$57,MATCH(Paramètres!L22,Paramètres!$G$5:$G$57,0)))+IF(RIGHT(TRIM(Paramètres!M22),3)="Fin",1-$H22,IF(LEFT(TRIM(Paramètres!M22),1)="F",1,0)))),IF(Paramètres!N22="",0,IF(Paramètres!O22="",NA(),IF(LEFT(TRIM(Paramètres!O22),1)="F",INDEX($F$5:$F$57,MATCH(Paramètres!N22,Paramètres!$G$5:$G$57,0)),INDEX($E$5:$E$57,MATCH(Paramètres!N22,Paramètres!$G$5:$G$57,0)))+IF(RIGHT(TRIM(Paramètres!O22),3)="Fin",1-$H22,IF(LEFT(TRIM(Paramètres!O22),1)="F",1,0)))))))</f>
        <v/>
      </c>
      <c r="F22" s="19">
        <f>IF($A22="","",E22+$H22-1)</f>
        <v/>
      </c>
      <c r="G22" s="18" t="n"/>
      <c r="H22" s="18">
        <f>IF($A22="","",IF(I22&lt;&gt;"",I22,Paramètres!B22))</f>
        <v/>
      </c>
      <c r="I22" s="18" t="n"/>
    </row>
    <row r="23">
      <c r="A23" s="18">
        <f>IF(ISNUMBER(Dossiers!$D$4),Dossiers!$A$4&amp;" · "&amp;Dossiers!$B$4,"")</f>
        <v/>
      </c>
      <c r="B23" s="18">
        <f>IF($A23="","",Paramètres!G23)</f>
        <v/>
      </c>
      <c r="C23" s="18">
        <f>IF($A23="","",IF(Paramètres!H23="","",Paramètres!H23))</f>
        <v/>
      </c>
      <c r="D23" s="18">
        <f>IF($A23="","",IF(Paramètres!I23="","",Paramètres!I23))</f>
        <v/>
      </c>
      <c r="E23" s="19">
        <f>IF($A23="","",IF(Paramètres!J23&amp;Paramètres!L23&amp;Paramètres!N23="",Dossiers!$D$4,MAX(IF(Paramètres!J23="",0,IF(Paramètres!K23="",NA(),IF(LEFT(TRIM(Paramètres!K23),1)="F",INDEX($F$5:$F$57,MATCH(Paramètres!J23,Paramètres!$G$5:$G$57,0)),INDEX($E$5:$E$57,MATCH(Paramètres!J23,Paramètres!$G$5:$G$57,0)))+IF(RIGHT(TRIM(Paramètres!K23),3)="Fin",1-$H23,IF(LEFT(TRIM(Paramètres!K23),1)="F",1,0)))),IF(Paramètres!L23="",0,IF(Paramètres!M23="",NA(),IF(LEFT(TRIM(Paramètres!M23),1)="F",INDEX($F$5:$F$57,MATCH(Paramètres!L23,Paramètres!$G$5:$G$57,0)),INDEX($E$5:$E$57,MATCH(Paramètres!L23,Paramètres!$G$5:$G$57,0)))+IF(RIGHT(TRIM(Paramètres!M23),3)="Fin",1-$H23,IF(LEFT(TRIM(Paramètres!M23),1)="F",1,0)))),IF(Paramètres!N23="",0,IF(Paramètres!O23="",NA(),IF(LEFT(TRIM(Paramètres!O23),1)="F",INDEX($F$5:$F$57,MATCH(Paramètres!N23,Paramètres!$G$5:$G$57,0)),INDEX($E$5:$E$57,MATCH(Paramètres!N23,Paramètres!$G$5:$G$57,0)))+IF(RIGHT(TRIM(Paramètres!O23),3)="Fin",1-$H23,IF(LEFT(TRIM(Paramètres!O23),1)="F",1,0)))))))</f>
        <v/>
      </c>
      <c r="F23" s="19">
        <f>IF($A23="","",E23+$H23-1)</f>
        <v/>
      </c>
      <c r="G23" s="18" t="n"/>
      <c r="H23" s="18">
        <f>IF($A23="","",IF(I23&lt;&gt;"",I23,Paramètres!B23))</f>
        <v/>
      </c>
      <c r="I23" s="18" t="n">
        <v>3</v>
      </c>
    </row>
    <row r="24">
      <c r="A24" s="18">
        <f>IF(ISNUMBER(Dossiers!$D$4),Dossiers!$A$4&amp;" · "&amp;Dossiers!$B$4,"")</f>
        <v/>
      </c>
      <c r="B24" s="18">
        <f>IF($A24="","",Paramètres!G24)</f>
        <v/>
      </c>
      <c r="C24" s="18">
        <f>IF($A24="","",IF(Paramètres!H24="","",Paramètres!H24))</f>
        <v/>
      </c>
      <c r="D24" s="18">
        <f>IF($A24="","",IF(Paramètres!I24="","",Paramètres!I24))</f>
        <v/>
      </c>
      <c r="E24" s="19">
        <f>IF($A24="","",IF(Paramètres!J24&amp;Paramètres!L24&amp;Paramètres!N24="",Dossiers!$D$4,MAX(IF(Paramètres!J24="",0,IF(Paramètres!K24="",NA(),IF(LEFT(TRIM(Paramètres!K24),1)="F",INDEX($F$5:$F$57,MATCH(Paramètres!J24,Paramètres!$G$5:$G$57,0)),INDEX($E$5:$E$57,MATCH(Paramètres!J24,Paramètres!$G$5:$G$57,0)))+IF(RIGHT(TRIM(Paramètres!K24),3)="Fin",1-$H24,IF(LEFT(TRIM(Paramètres!K24),1)="F",1,0)))),IF(Paramètres!L24="",0,IF(Paramètres!M24="",NA(),IF(LEFT(TRIM(Paramètres!M24),1)="F",INDEX($F$5:$F$57,MATCH(Paramètres!L24,Paramètres!$G$5:$G$57,0)),INDEX($E$5:$E$57,MATCH(Paramètres!L24,Paramètres!$G$5:$G$57,0)))+IF(RIGHT(TRIM(Paramètres!M24),3)="Fin",1-$H24,IF(LEFT(TRIM(Paramètres!M24),1)="F",1,0)))),IF(Paramètres!N24="",0,IF(Paramètres!O24="",NA(),IF(LEFT(TRIM(Paramètres!O24),1)="F",INDEX($F$5:$F$57,MATCH(Paramètres!N24,Paramètres!$G$5:$G$57,0)),INDEX($E$5:$E$57,MATCH(Paramètres!N24,Paramètres!$G$5:$G$57,0)))+IF(RIGHT(TRIM(Paramètres!O24),3)="Fin",1-$H24,IF(LEFT(TRIM(Paramètres!O24),1)="F",1,0)))))))</f>
        <v/>
      </c>
      <c r="F24" s="19">
        <f>IF($A24="","",E24+$H24-1)</f>
        <v/>
      </c>
      <c r="G24" s="18" t="n"/>
      <c r="H24" s="18">
        <f>IF($A24="","",IF(I24&lt;&gt;"",I24,Paramètres!B24))</f>
        <v/>
      </c>
      <c r="I24" s="18" t="n"/>
    </row>
    <row r="25">
      <c r="A25" s="18">
        <f>IF(ISNUMBER(Dossiers!$D$4),Dossiers!$A$4&amp;" · "&amp;Dossiers!$B$4,"")</f>
        <v/>
      </c>
      <c r="B25" s="18">
        <f>IF($A25="","",Paramètres!G25)</f>
        <v/>
      </c>
      <c r="C25" s="18">
        <f>IF($A25="","",IF(Paramètres!H25="","",Paramètres!H25))</f>
        <v/>
      </c>
      <c r="D25" s="18">
        <f>IF($A25="","",IF(Paramètres!I25="","",Paramètres!I25))</f>
        <v/>
      </c>
      <c r="E25" s="19">
        <f>IF($A25="","",IF(Paramètres!J25&amp;Paramètres!L25&amp;Paramètres!N25="",Dossiers!$D$4,MAX(IF(Paramètres!J25="",0,IF(Paramètres!K25="",NA(),IF(LEFT(TRIM(Paramètres!K25),1)="F",INDEX($F$5:$F$57,MATCH(Paramètres!J25,Paramètres!$G$5:$G$57,0)),INDEX($E$5:$E$57,MATCH(Paramètres!J25,Paramètres!$G$5:$G$57,0)))+IF(RIGHT(TRIM(Paramètres!K25),3)="Fin",1-$H25,IF(LEFT(TRIM(Paramètres!K25),1)="F",1,0)))),IF(Paramètres!L25="",0,IF(Paramètres!M25="",NA(),IF(LEFT(TRIM(Paramètres!M25),1)="F",INDEX($F$5:$F$57,MATCH(Paramètres!L25,Paramètres!$G$5:$G$57,0)),INDEX($E$5:$E$57,MATCH(Paramètres!L25,Paramètres!$G$5:$G$57,0)))+IF(RIGHT(TRIM(Paramètres!M25),3)="Fin",1-$H25,IF(LEFT(TRIM(Paramètres!M25),1)="F",1,0)))),IF(Paramètres!N25="",0,IF(Paramètres!O25="",NA(),IF(LEFT(TRIM(Paramètres!O25),1)="F",INDEX($F$5:$F$57,MATCH(Paramètres!N25,Paramètres!$G$5:$G$57,0)),INDEX($E$5:$E$57,MATCH(Paramètres!N25,Paramètres!$G$5:$G$57,0)))+IF(RIGHT(TRIM(Paramètres!O25),3)="Fin",1-$H25,IF(LEFT(TRIM(Paramètres!O25),1)="F",1,0)))))))</f>
        <v/>
      </c>
      <c r="F25" s="19">
        <f>IF($A25="","",E25+$H25-1)</f>
        <v/>
      </c>
      <c r="G25" s="18" t="n"/>
      <c r="H25" s="18">
        <f>IF($A25="","",IF(I25&lt;&gt;"",I25,Paramètres!B25))</f>
        <v/>
      </c>
      <c r="I25" s="18" t="n"/>
    </row>
    <row r="26">
      <c r="A26" s="18">
        <f>IF(ISNUMBER(Dossiers!$D$4),Dossiers!$A$4&amp;" · "&amp;Dossiers!$B$4,"")</f>
        <v/>
      </c>
      <c r="B26" s="18">
        <f>IF($A26="","",Paramètres!G26)</f>
        <v/>
      </c>
      <c r="C26" s="18">
        <f>IF($A26="","",IF(Paramètres!H26="","",Paramètres!H26))</f>
        <v/>
      </c>
      <c r="D26" s="18">
        <f>IF($A26="","",IF(Paramètres!I26="","",Paramètres!I26))</f>
        <v/>
      </c>
      <c r="E26" s="19">
        <f>IF($A26="","",IF(Paramètres!J26&amp;Paramètres!L26&amp;Paramètres!N26="",Dossiers!$D$4,MAX(IF(Paramètres!J26="",0,IF(Paramètres!K26="",NA(),IF(LEFT(TRIM(Paramètres!K26),1)="F",INDEX($F$5:$F$57,MATCH(Paramètres!J26,Paramètres!$G$5:$G$57,0)),INDEX($E$5:$E$57,MATCH(Paramètres!J26,Paramètres!$G$5:$G$57,0)))+IF(RIGHT(TRIM(Paramètres!K26),3)="Fin",1-$H26,IF(LEFT(TRIM(Paramètres!K26),1)="F",1,0)))),IF(Paramètres!L26="",0,IF(Paramètres!M26="",NA(),IF(LEFT(TRIM(Paramètres!M26),1)="F",INDEX($F$5:$F$57,MATCH(Paramètres!L26,Paramètres!$G$5:$G$57,0)),INDEX($E$5:$E$57,MATCH(Paramètres!L26,Paramètres!$G$5:$G$57,0)))+IF(RIGHT(TRIM(Paramètres!M26),3)="Fin",1-$H26,IF(LEFT(TRIM(Paramètres!M26),1)="F",1,0)))),IF(Paramètres!N26="",0,IF(Paramètres!O26="",NA(),IF(LEFT(TRIM(Paramètres!O26),1)="F",INDEX($F$5:$F$57,MATCH(Paramètres!N26,Paramètres!$G$5:$G$57,0)),INDEX($E$5:$E$57,MATCH(Paramètres!N26,Paramètres!$G$5:$G$57,0)))+IF(RIGHT(TRIM(Paramètres!O26),3)="Fin",1-$H26,IF(LEFT(TRIM(Paramètres!O26),1)="F",1,0)))))))</f>
        <v/>
      </c>
      <c r="F26" s="19">
        <f>IF($A26="","",E26+$H26-1)</f>
        <v/>
      </c>
      <c r="G26" s="18" t="n"/>
      <c r="H26" s="18">
        <f>IF($A26="","",IF(I26&lt;&gt;"",I26,Paramètres!B26))</f>
        <v/>
      </c>
      <c r="I26" s="18" t="n"/>
    </row>
    <row r="27">
      <c r="A27" s="18">
        <f>IF(ISNUMBER(Dossiers!$D$4),Dossiers!$A$4&amp;" · "&amp;Dossiers!$B$4,"")</f>
        <v/>
      </c>
      <c r="B27" s="18">
        <f>IF($A27="","",Paramètres!G27)</f>
        <v/>
      </c>
      <c r="C27" s="18">
        <f>IF($A27="","",IF(Paramètres!H27="","",Paramètres!H27))</f>
        <v/>
      </c>
      <c r="D27" s="18">
        <f>IF($A27="","",IF(Paramètres!I27="","",Paramètres!I27))</f>
        <v/>
      </c>
      <c r="E27" s="19">
        <f>IF($A27="","",IF(Paramètres!J27&amp;Paramètres!L27&amp;Paramètres!N27="",Dossiers!$D$4,MAX(IF(Paramètres!J27="",0,IF(Paramètres!K27="",NA(),IF(LEFT(TRIM(Paramètres!K27),1)="F",INDEX($F$5:$F$57,MATCH(Paramètres!J27,Paramètres!$G$5:$G$57,0)),INDEX($E$5:$E$57,MATCH(Paramètres!J27,Paramètres!$G$5:$G$57,0)))+IF(RIGHT(TRIM(Paramètres!K27),3)="Fin",1-$H27,IF(LEFT(TRIM(Paramètres!K27),1)="F",1,0)))),IF(Paramètres!L27="",0,IF(Paramètres!M27="",NA(),IF(LEFT(TRIM(Paramètres!M27),1)="F",INDEX($F$5:$F$57,MATCH(Paramètres!L27,Paramètres!$G$5:$G$57,0)),INDEX($E$5:$E$57,MATCH(Paramètres!L27,Paramètres!$G$5:$G$57,0)))+IF(RIGHT(TRIM(Paramètres!M27),3)="Fin",1-$H27,IF(LEFT(TRIM(Paramètres!M27),1)="F",1,0)))),IF(Paramètres!N27="",0,IF(Paramètres!O27="",NA(),IF(LEFT(TRIM(Paramètres!O27),1)="F",INDEX($F$5:$F$57,MATCH(Paramètres!N27,Paramètres!$G$5:$G$57,0)),INDEX($E$5:$E$57,MATCH(Paramètres!N27,Paramètres!$G$5:$G$57,0)))+IF(RIGHT(TRIM(Paramètres!O27),3)="Fin",1-$H27,IF(LEFT(TRIM(Paramètres!O27),1)="F",1,0)))))))</f>
        <v/>
      </c>
      <c r="F27" s="19">
        <f>IF($A27="","",E27+$H27-1)</f>
        <v/>
      </c>
      <c r="G27" s="18" t="n"/>
      <c r="H27" s="18">
        <f>IF($A27="","",IF(I27&lt;&gt;"",I27,Paramètres!B27))</f>
        <v/>
      </c>
      <c r="I27" s="18" t="n"/>
    </row>
    <row r="28">
      <c r="A28" s="18">
        <f>IF(ISNUMBER(Dossiers!$D$4),Dossiers!$A$4&amp;" · "&amp;Dossiers!$B$4,"")</f>
        <v/>
      </c>
      <c r="B28" s="18">
        <f>IF($A28="","",Paramètres!G28)</f>
        <v/>
      </c>
      <c r="C28" s="18">
        <f>IF($A28="","",IF(Paramètres!H28="","",Paramètres!H28))</f>
        <v/>
      </c>
      <c r="D28" s="18">
        <f>IF($A28="","",IF(Paramètres!I28="","",Paramètres!I28))</f>
        <v/>
      </c>
      <c r="E28" s="19">
        <f>IF($A28="","",IF(Paramètres!J28&amp;Paramètres!L28&amp;Paramètres!N28="",Dossiers!$D$4,MAX(IF(Paramètres!J28="",0,IF(Paramètres!K28="",NA(),IF(LEFT(TRIM(Paramètres!K28),1)="F",INDEX($F$5:$F$57,MATCH(Paramètres!J28,Paramètres!$G$5:$G$57,0)),INDEX($E$5:$E$57,MATCH(Paramètres!J28,Paramètres!$G$5:$G$57,0)))+IF(RIGHT(TRIM(Paramètres!K28),3)="Fin",1-$H28,IF(LEFT(TRIM(Paramètres!K28),1)="F",1,0)))),IF(Paramètres!L28="",0,IF(Paramètres!M28="",NA(),IF(LEFT(TRIM(Paramètres!M28),1)="F",INDEX($F$5:$F$57,MATCH(Paramètres!L28,Paramètres!$G$5:$G$57,0)),INDEX($E$5:$E$57,MATCH(Paramètres!L28,Paramètres!$G$5:$G$57,0)))+IF(RIGHT(TRIM(Paramètres!M28),3)="Fin",1-$H28,IF(LEFT(TRIM(Paramètres!M28),1)="F",1,0)))),IF(Paramètres!N28="",0,IF(Paramètres!O28="",NA(),IF(LEFT(TRIM(Paramètres!O28),1)="F",INDEX($F$5:$F$57,MATCH(Paramètres!N28,Paramètres!$G$5:$G$57,0)),INDEX($E$5:$E$57,MATCH(Paramètres!N28,Paramètres!$G$5:$G$57,0)))+IF(RIGHT(TRIM(Paramètres!O28),3)="Fin",1-$H28,IF(LEFT(TRIM(Paramètres!O28),1)="F",1,0)))))))</f>
        <v/>
      </c>
      <c r="F28" s="19">
        <f>IF($A28="","",E28+$H28-1)</f>
        <v/>
      </c>
      <c r="G28" s="18" t="n"/>
      <c r="H28" s="18">
        <f>IF($A28="","",IF(I28&lt;&gt;"",I28,Paramètres!B28))</f>
        <v/>
      </c>
      <c r="I28" s="18" t="n"/>
    </row>
    <row r="29">
      <c r="A29" s="18">
        <f>IF(ISNUMBER(Dossiers!$D$4),Dossiers!$A$4&amp;" · "&amp;Dossiers!$B$4,"")</f>
        <v/>
      </c>
      <c r="B29" s="18">
        <f>IF($A29="","",Paramètres!G29)</f>
        <v/>
      </c>
      <c r="C29" s="18">
        <f>IF($A29="","",IF(Paramètres!H29="","",Paramètres!H29))</f>
        <v/>
      </c>
      <c r="D29" s="18">
        <f>IF($A29="","",IF(Paramètres!I29="","",Paramètres!I29))</f>
        <v/>
      </c>
      <c r="E29" s="19">
        <f>IF($A29="","",IF(Paramètres!J29&amp;Paramètres!L29&amp;Paramètres!N29="",Dossiers!$D$4,MAX(IF(Paramètres!J29="",0,IF(Paramètres!K29="",NA(),IF(LEFT(TRIM(Paramètres!K29),1)="F",INDEX($F$5:$F$57,MATCH(Paramètres!J29,Paramètres!$G$5:$G$57,0)),INDEX($E$5:$E$57,MATCH(Paramètres!J29,Paramètres!$G$5:$G$57,0)))+IF(RIGHT(TRIM(Paramètres!K29),3)="Fin",1-$H29,IF(LEFT(TRIM(Paramètres!K29),1)="F",1,0)))),IF(Paramètres!L29="",0,IF(Paramètres!M29="",NA(),IF(LEFT(TRIM(Paramètres!M29),1)="F",INDEX($F$5:$F$57,MATCH(Paramètres!L29,Paramètres!$G$5:$G$57,0)),INDEX($E$5:$E$57,MATCH(Paramètres!L29,Paramètres!$G$5:$G$57,0)))+IF(RIGHT(TRIM(Paramètres!M29),3)="Fin",1-$H29,IF(LEFT(TRIM(Paramètres!M29),1)="F",1,0)))),IF(Paramètres!N29="",0,IF(Paramètres!O29="",NA(),IF(LEFT(TRIM(Paramètres!O29),1)="F",INDEX($F$5:$F$57,MATCH(Paramètres!N29,Paramètres!$G$5:$G$57,0)),INDEX($E$5:$E$57,MATCH(Paramètres!N29,Paramètres!$G$5:$G$57,0)))+IF(RIGHT(TRIM(Paramètres!O29),3)="Fin",1-$H29,IF(LEFT(TRIM(Paramètres!O29),1)="F",1,0)))))))</f>
        <v/>
      </c>
      <c r="F29" s="19">
        <f>IF($A29="","",E29+$H29-1)</f>
        <v/>
      </c>
      <c r="G29" s="18" t="n"/>
      <c r="H29" s="18">
        <f>IF($A29="","",IF(I29&lt;&gt;"",I29,Paramètres!B29))</f>
        <v/>
      </c>
      <c r="I29" s="18" t="n"/>
    </row>
    <row r="30">
      <c r="A30" s="18">
        <f>IF(ISNUMBER(Dossiers!$D$4),Dossiers!$A$4&amp;" · "&amp;Dossiers!$B$4,"")</f>
        <v/>
      </c>
      <c r="B30" s="18">
        <f>IF($A30="","",Paramètres!G30)</f>
        <v/>
      </c>
      <c r="C30" s="18">
        <f>IF($A30="","",IF(Paramètres!H30="","",Paramètres!H30))</f>
        <v/>
      </c>
      <c r="D30" s="18">
        <f>IF($A30="","",IF(Paramètres!I30="","",Paramètres!I30))</f>
        <v/>
      </c>
      <c r="E30" s="19">
        <f>IF($A30="","",IF(Paramètres!J30&amp;Paramètres!L30&amp;Paramètres!N30="",Dossiers!$D$4,MAX(IF(Paramètres!J30="",0,IF(Paramètres!K30="",NA(),IF(LEFT(TRIM(Paramètres!K30),1)="F",INDEX($F$5:$F$57,MATCH(Paramètres!J30,Paramètres!$G$5:$G$57,0)),INDEX($E$5:$E$57,MATCH(Paramètres!J30,Paramètres!$G$5:$G$57,0)))+IF(RIGHT(TRIM(Paramètres!K30),3)="Fin",1-$H30,IF(LEFT(TRIM(Paramètres!K30),1)="F",1,0)))),IF(Paramètres!L30="",0,IF(Paramètres!M30="",NA(),IF(LEFT(TRIM(Paramètres!M30),1)="F",INDEX($F$5:$F$57,MATCH(Paramètres!L30,Paramètres!$G$5:$G$57,0)),INDEX($E$5:$E$57,MATCH(Paramètres!L30,Paramètres!$G$5:$G$57,0)))+IF(RIGHT(TRIM(Paramètres!M30),3)="Fin",1-$H30,IF(LEFT(TRIM(Paramètres!M30),1)="F",1,0)))),IF(Paramètres!N30="",0,IF(Paramètres!O30="",NA(),IF(LEFT(TRIM(Paramètres!O30),1)="F",INDEX($F$5:$F$57,MATCH(Paramètres!N30,Paramètres!$G$5:$G$57,0)),INDEX($E$5:$E$57,MATCH(Paramètres!N30,Paramètres!$G$5:$G$57,0)))+IF(RIGHT(TRIM(Paramètres!O30),3)="Fin",1-$H30,IF(LEFT(TRIM(Paramètres!O30),1)="F",1,0)))))))</f>
        <v/>
      </c>
      <c r="F30" s="19">
        <f>IF($A30="","",E30+$H30-1)</f>
        <v/>
      </c>
      <c r="G30" s="18" t="n"/>
      <c r="H30" s="18">
        <f>IF($A30="","",IF(I30&lt;&gt;"",I30,Paramètres!B30))</f>
        <v/>
      </c>
      <c r="I30" s="18" t="n"/>
    </row>
    <row r="31">
      <c r="A31" s="18">
        <f>IF(ISNUMBER(Dossiers!$D$4),Dossiers!$A$4&amp;" · "&amp;Dossiers!$B$4,"")</f>
        <v/>
      </c>
      <c r="B31" s="18">
        <f>IF($A31="","",Paramètres!G31)</f>
        <v/>
      </c>
      <c r="C31" s="20">
        <f>IF($A31="","",IF(Dossiers!$F$4="","",Dossiers!$F$4))</f>
        <v/>
      </c>
      <c r="D31" s="18">
        <f>IF($A31="","",IF(Paramètres!I31="","",Paramètres!I31))</f>
        <v/>
      </c>
      <c r="E31" s="19">
        <f>IF($A31="","",IF(Paramètres!J31&amp;Paramètres!L31&amp;Paramètres!N31="",Dossiers!$D$4,MAX(IF(Paramètres!J31="",0,IF(Paramètres!K31="",NA(),IF(LEFT(TRIM(Paramètres!K31),1)="F",INDEX($F$5:$F$57,MATCH(Paramètres!J31,Paramètres!$G$5:$G$57,0)),INDEX($E$5:$E$57,MATCH(Paramètres!J31,Paramètres!$G$5:$G$57,0)))+IF(RIGHT(TRIM(Paramètres!K31),3)="Fin",1-$H31,IF(LEFT(TRIM(Paramètres!K31),1)="F",1,0)))),IF(Paramètres!L31="",0,IF(Paramètres!M31="",NA(),IF(LEFT(TRIM(Paramètres!M31),1)="F",INDEX($F$5:$F$57,MATCH(Paramètres!L31,Paramètres!$G$5:$G$57,0)),INDEX($E$5:$E$57,MATCH(Paramètres!L31,Paramètres!$G$5:$G$57,0)))+IF(RIGHT(TRIM(Paramètres!M31),3)="Fin",1-$H31,IF(LEFT(TRIM(Paramètres!M31),1)="F",1,0)))),IF(Paramètres!N31="",0,IF(Paramètres!O31="",NA(),IF(LEFT(TRIM(Paramètres!O31),1)="F",INDEX($F$5:$F$57,MATCH(Paramètres!N31,Paramètres!$G$5:$G$57,0)),INDEX($E$5:$E$57,MATCH(Paramètres!N31,Paramètres!$G$5:$G$57,0)))+IF(RIGHT(TRIM(Paramètres!O31),3)="Fin",1-$H31,IF(LEFT(TRIM(Paramètres!O31),1)="F",1,0)))))))</f>
        <v/>
      </c>
      <c r="F31" s="19">
        <f>IF($A31="","",E31+$H31-1)</f>
        <v/>
      </c>
      <c r="G31" s="18" t="inlineStr">
        <is>
          <t>Alerte retard</t>
        </is>
      </c>
      <c r="H31" s="18">
        <f>IF($A31="","",IF(I31&lt;&gt;"",I31,Paramètres!B31))</f>
        <v/>
      </c>
      <c r="I31" s="18" t="n"/>
    </row>
    <row r="32">
      <c r="A32" s="18">
        <f>IF(ISNUMBER(Dossiers!$D$4),Dossiers!$A$4&amp;" · "&amp;Dossiers!$B$4,"")</f>
        <v/>
      </c>
      <c r="B32" s="18">
        <f>IF($A32="","",Paramètres!G32)</f>
        <v/>
      </c>
      <c r="C32" s="18">
        <f>IF($A32="","",IF(Paramètres!H32="","",Paramètres!H32))</f>
        <v/>
      </c>
      <c r="D32" s="18">
        <f>IF($A32="","",IF(Paramètres!I32="","",Paramètres!I32))</f>
        <v/>
      </c>
      <c r="E32" s="19">
        <f>IF($A32="","",MIN(E33:E36))</f>
        <v/>
      </c>
      <c r="F32" s="19">
        <f>IF($A32="","",MAX(F33:F36))</f>
        <v/>
      </c>
      <c r="G32" s="18" t="n"/>
      <c r="H32" s="18">
        <f>IF($A32="","",F32-E32+1)</f>
        <v/>
      </c>
      <c r="I32" s="18" t="n"/>
    </row>
    <row r="33">
      <c r="A33" s="18">
        <f>IF(ISNUMBER(Dossiers!$D$4),Dossiers!$A$4&amp;" · "&amp;Dossiers!$B$4,"")</f>
        <v/>
      </c>
      <c r="B33" s="18">
        <f>IF($A33="","",Paramètres!G33)</f>
        <v/>
      </c>
      <c r="C33" s="18">
        <f>IF($A33="","",IF(Paramètres!H33="","",Paramètres!H33))</f>
        <v/>
      </c>
      <c r="D33" s="18">
        <f>IF($A33="","",IF(Paramètres!I33="","",Paramètres!I33))</f>
        <v/>
      </c>
      <c r="E33" s="19">
        <f>IF($A33="","",IF(Paramètres!J33&amp;Paramètres!L33&amp;Paramètres!N33="",Dossiers!$D$4,MAX(IF(Paramètres!J33="",0,IF(Paramètres!K33="",NA(),IF(LEFT(TRIM(Paramètres!K33),1)="F",INDEX($F$5:$F$57,MATCH(Paramètres!J33,Paramètres!$G$5:$G$57,0)),INDEX($E$5:$E$57,MATCH(Paramètres!J33,Paramètres!$G$5:$G$57,0)))+IF(RIGHT(TRIM(Paramètres!K33),3)="Fin",1-$H33,IF(LEFT(TRIM(Paramètres!K33),1)="F",1,0)))),IF(Paramètres!L33="",0,IF(Paramètres!M33="",NA(),IF(LEFT(TRIM(Paramètres!M33),1)="F",INDEX($F$5:$F$57,MATCH(Paramètres!L33,Paramètres!$G$5:$G$57,0)),INDEX($E$5:$E$57,MATCH(Paramètres!L33,Paramètres!$G$5:$G$57,0)))+IF(RIGHT(TRIM(Paramètres!M33),3)="Fin",1-$H33,IF(LEFT(TRIM(Paramètres!M33),1)="F",1,0)))),IF(Paramètres!N33="",0,IF(Paramètres!O33="",NA(),IF(LEFT(TRIM(Paramètres!O33),1)="F",INDEX($F$5:$F$57,MATCH(Paramètres!N33,Paramètres!$G$5:$G$57,0)),INDEX($E$5:$E$57,MATCH(Paramètres!N33,Paramètres!$G$5:$G$57,0)))+IF(RIGHT(TRIM(Paramètres!O33),3)="Fin",1-$H33,IF(LEFT(TRIM(Paramètres!O33),1)="F",1,0)))))))</f>
        <v/>
      </c>
      <c r="F33" s="19">
        <f>IF($A33="","",E33+$H33-1)</f>
        <v/>
      </c>
      <c r="G33" s="18" t="n"/>
      <c r="H33" s="18">
        <f>IF($A33="","",IF(I33&lt;&gt;"",I33,Paramètres!B33))</f>
        <v/>
      </c>
      <c r="I33" s="18" t="n"/>
    </row>
    <row r="34">
      <c r="A34" s="18">
        <f>IF(ISNUMBER(Dossiers!$D$4),Dossiers!$A$4&amp;" · "&amp;Dossiers!$B$4,"")</f>
        <v/>
      </c>
      <c r="B34" s="18">
        <f>IF($A34="","",Paramètres!G34)</f>
        <v/>
      </c>
      <c r="C34" s="18">
        <f>IF($A34="","",IF(Paramètres!H34="","",Paramètres!H34))</f>
        <v/>
      </c>
      <c r="D34" s="18">
        <f>IF($A34="","",IF(Paramètres!I34="","",Paramètres!I34))</f>
        <v/>
      </c>
      <c r="E34" s="19">
        <f>IF($A34="","",IF(Paramètres!J34&amp;Paramètres!L34&amp;Paramètres!N34="",Dossiers!$D$4,MAX(IF(Paramètres!J34="",0,IF(Paramètres!K34="",NA(),IF(LEFT(TRIM(Paramètres!K34),1)="F",INDEX($F$5:$F$57,MATCH(Paramètres!J34,Paramètres!$G$5:$G$57,0)),INDEX($E$5:$E$57,MATCH(Paramètres!J34,Paramètres!$G$5:$G$57,0)))+IF(RIGHT(TRIM(Paramètres!K34),3)="Fin",1-$H34,IF(LEFT(TRIM(Paramètres!K34),1)="F",1,0)))),IF(Paramètres!L34="",0,IF(Paramètres!M34="",NA(),IF(LEFT(TRIM(Paramètres!M34),1)="F",INDEX($F$5:$F$57,MATCH(Paramètres!L34,Paramètres!$G$5:$G$57,0)),INDEX($E$5:$E$57,MATCH(Paramètres!L34,Paramètres!$G$5:$G$57,0)))+IF(RIGHT(TRIM(Paramètres!M34),3)="Fin",1-$H34,IF(LEFT(TRIM(Paramètres!M34),1)="F",1,0)))),IF(Paramètres!N34="",0,IF(Paramètres!O34="",NA(),IF(LEFT(TRIM(Paramètres!O34),1)="F",INDEX($F$5:$F$57,MATCH(Paramètres!N34,Paramètres!$G$5:$G$57,0)),INDEX($E$5:$E$57,MATCH(Paramètres!N34,Paramètres!$G$5:$G$57,0)))+IF(RIGHT(TRIM(Paramètres!O34),3)="Fin",1-$H34,IF(LEFT(TRIM(Paramètres!O34),1)="F",1,0)))))))</f>
        <v/>
      </c>
      <c r="F34" s="19">
        <f>IF($A34="","",E34+$H34-1)</f>
        <v/>
      </c>
      <c r="G34" s="18" t="n"/>
      <c r="H34" s="18">
        <f>IF($A34="","",IF(I34&lt;&gt;"",I34,Paramètres!B34))</f>
        <v/>
      </c>
      <c r="I34" s="18" t="n"/>
    </row>
    <row r="35">
      <c r="A35" s="18">
        <f>IF(ISNUMBER(Dossiers!$D$4),Dossiers!$A$4&amp;" · "&amp;Dossiers!$B$4,"")</f>
        <v/>
      </c>
      <c r="B35" s="18">
        <f>IF($A35="","",Paramètres!G35)</f>
        <v/>
      </c>
      <c r="C35" s="18">
        <f>IF($A35="","",IF(Paramètres!H35="","",Paramètres!H35))</f>
        <v/>
      </c>
      <c r="D35" s="18">
        <f>IF($A35="","",IF(Paramètres!I35="","",Paramètres!I35))</f>
        <v/>
      </c>
      <c r="E35" s="19">
        <f>IF($A35="","",IF(Paramètres!J35&amp;Paramètres!L35&amp;Paramètres!N35="",Dossiers!$D$4,MAX(IF(Paramètres!J35="",0,IF(Paramètres!K35="",NA(),IF(LEFT(TRIM(Paramètres!K35),1)="F",INDEX($F$5:$F$57,MATCH(Paramètres!J35,Paramètres!$G$5:$G$57,0)),INDEX($E$5:$E$57,MATCH(Paramètres!J35,Paramètres!$G$5:$G$57,0)))+IF(RIGHT(TRIM(Paramètres!K35),3)="Fin",1-$H35,IF(LEFT(TRIM(Paramètres!K35),1)="F",1,0)))),IF(Paramètres!L35="",0,IF(Paramètres!M35="",NA(),IF(LEFT(TRIM(Paramètres!M35),1)="F",INDEX($F$5:$F$57,MATCH(Paramètres!L35,Paramètres!$G$5:$G$57,0)),INDEX($E$5:$E$57,MATCH(Paramètres!L35,Paramètres!$G$5:$G$57,0)))+IF(RIGHT(TRIM(Paramètres!M35),3)="Fin",1-$H35,IF(LEFT(TRIM(Paramètres!M35),1)="F",1,0)))),IF(Paramètres!N35="",0,IF(Paramètres!O35="",NA(),IF(LEFT(TRIM(Paramètres!O35),1)="F",INDEX($F$5:$F$57,MATCH(Paramètres!N35,Paramètres!$G$5:$G$57,0)),INDEX($E$5:$E$57,MATCH(Paramètres!N35,Paramètres!$G$5:$G$57,0)))+IF(RIGHT(TRIM(Paramètres!O35),3)="Fin",1-$H35,IF(LEFT(TRIM(Paramètres!O35),1)="F",1,0)))))))</f>
        <v/>
      </c>
      <c r="F35" s="19">
        <f>IF($A35="","",E35+$H35-1)</f>
        <v/>
      </c>
      <c r="G35" s="18" t="n"/>
      <c r="H35" s="18">
        <f>IF($A35="","",IF(I35&lt;&gt;"",I35,Paramètres!B35))</f>
        <v/>
      </c>
      <c r="I35" s="18" t="n"/>
    </row>
    <row r="36">
      <c r="A36" s="18">
        <f>IF(ISNUMBER(Dossiers!$D$4),Dossiers!$A$4&amp;" · "&amp;Dossiers!$B$4,"")</f>
        <v/>
      </c>
      <c r="B36" s="18">
        <f>IF($A36="","",Paramètres!G36)</f>
        <v/>
      </c>
      <c r="C36" s="18">
        <f>IF($A36="","",IF(Paramètres!H36="","",Paramètres!H36))</f>
        <v/>
      </c>
      <c r="D36" s="18">
        <f>IF($A36="","",IF(Paramètres!I36="","",Paramètres!I36))</f>
        <v/>
      </c>
      <c r="E36" s="19">
        <f>IF($A36="","",IF(Paramètres!J36&amp;Paramètres!L36&amp;Paramètres!N36="",Dossiers!$D$4,MAX(IF(Paramètres!J36="",0,IF(Paramètres!K36="",NA(),IF(LEFT(TRIM(Paramètres!K36),1)="F",INDEX($F$5:$F$57,MATCH(Paramètres!J36,Paramètres!$G$5:$G$57,0)),INDEX($E$5:$E$57,MATCH(Paramètres!J36,Paramètres!$G$5:$G$57,0)))+IF(RIGHT(TRIM(Paramètres!K36),3)="Fin",1-$H36,IF(LEFT(TRIM(Paramètres!K36),1)="F",1,0)))),IF(Paramètres!L36="",0,IF(Paramètres!M36="",NA(),IF(LEFT(TRIM(Paramètres!M36),1)="F",INDEX($F$5:$F$57,MATCH(Paramètres!L36,Paramètres!$G$5:$G$57,0)),INDEX($E$5:$E$57,MATCH(Paramètres!L36,Paramètres!$G$5:$G$57,0)))+IF(RIGHT(TRIM(Paramètres!M36),3)="Fin",1-$H36,IF(LEFT(TRIM(Paramètres!M36),1)="F",1,0)))),IF(Paramètres!N36="",0,IF(Paramètres!O36="",NA(),IF(LEFT(TRIM(Paramètres!O36),1)="F",INDEX($F$5:$F$57,MATCH(Paramètres!N36,Paramètres!$G$5:$G$57,0)),INDEX($E$5:$E$57,MATCH(Paramètres!N36,Paramètres!$G$5:$G$57,0)))+IF(RIGHT(TRIM(Paramètres!O36),3)="Fin",1-$H36,IF(LEFT(TRIM(Paramètres!O36),1)="F",1,0)))))))</f>
        <v/>
      </c>
      <c r="F36" s="19">
        <f>IF($A36="","",E36+$H36-1)</f>
        <v/>
      </c>
      <c r="G36" s="18" t="n"/>
      <c r="H36" s="18">
        <f>IF($A36="","",IF(I36&lt;&gt;"",I36,Paramètres!B36))</f>
        <v/>
      </c>
      <c r="I36" s="18" t="n"/>
    </row>
    <row r="37">
      <c r="A37" s="18">
        <f>IF(ISNUMBER(Dossiers!$D$4),Dossiers!$A$4&amp;" · "&amp;Dossiers!$B$4,"")</f>
        <v/>
      </c>
      <c r="B37" s="18">
        <f>IF($A37="","",Paramètres!G37)</f>
        <v/>
      </c>
      <c r="C37" s="18">
        <f>IF($A37="","",IF(Paramètres!H37="","",Paramètres!H37))</f>
        <v/>
      </c>
      <c r="D37" s="18">
        <f>IF($A37="","",IF(Paramètres!I37="","",Paramètres!I37))</f>
        <v/>
      </c>
      <c r="E37" s="19">
        <f>IF($A37="","",MIN(E38:E55))</f>
        <v/>
      </c>
      <c r="F37" s="19">
        <f>IF($A37="","",MAX(F38:F55))</f>
        <v/>
      </c>
      <c r="G37" s="18" t="n"/>
      <c r="H37" s="18">
        <f>IF($A37="","",F37-E37+1)</f>
        <v/>
      </c>
      <c r="I37" s="18" t="n"/>
    </row>
    <row r="38">
      <c r="A38" s="18">
        <f>IF(ISNUMBER(Dossiers!$D$4),Dossiers!$A$4&amp;" · "&amp;Dossiers!$B$4,"")</f>
        <v/>
      </c>
      <c r="B38" s="18">
        <f>IF($A38="","",Paramètres!G38)</f>
        <v/>
      </c>
      <c r="C38" s="18">
        <f>IF($A38="","",IF(Paramètres!H38="","",Paramètres!H38))</f>
        <v/>
      </c>
      <c r="D38" s="18">
        <f>IF($A38="","",IF(Paramètres!I38="","",Paramètres!I38))</f>
        <v/>
      </c>
      <c r="E38" s="19">
        <f>IF($A38="","",IF(Paramètres!J38&amp;Paramètres!L38&amp;Paramètres!N38="",Dossiers!$D$4,MAX(IF(Paramètres!J38="",0,IF(Paramètres!K38="",NA(),IF(LEFT(TRIM(Paramètres!K38),1)="F",INDEX($F$5:$F$57,MATCH(Paramètres!J38,Paramètres!$G$5:$G$57,0)),INDEX($E$5:$E$57,MATCH(Paramètres!J38,Paramètres!$G$5:$G$57,0)))+IF(RIGHT(TRIM(Paramètres!K38),3)="Fin",1-$H38,IF(LEFT(TRIM(Paramètres!K38),1)="F",1,0)))),IF(Paramètres!L38="",0,IF(Paramètres!M38="",NA(),IF(LEFT(TRIM(Paramètres!M38),1)="F",INDEX($F$5:$F$57,MATCH(Paramètres!L38,Paramètres!$G$5:$G$57,0)),INDEX($E$5:$E$57,MATCH(Paramètres!L38,Paramètres!$G$5:$G$57,0)))+IF(RIGHT(TRIM(Paramètres!M38),3)="Fin",1-$H38,IF(LEFT(TRIM(Paramètres!M38),1)="F",1,0)))),IF(Paramètres!N38="",0,IF(Paramètres!O38="",NA(),IF(LEFT(TRIM(Paramètres!O38),1)="F",INDEX($F$5:$F$57,MATCH(Paramètres!N38,Paramètres!$G$5:$G$57,0)),INDEX($E$5:$E$57,MATCH(Paramètres!N38,Paramètres!$G$5:$G$57,0)))+IF(RIGHT(TRIM(Paramètres!O38),3)="Fin",1-$H38,IF(LEFT(TRIM(Paramètres!O38),1)="F",1,0)))))))</f>
        <v/>
      </c>
      <c r="F38" s="19">
        <f>IF($A38="","",E38+$H38-1)</f>
        <v/>
      </c>
      <c r="G38" s="18" t="n"/>
      <c r="H38" s="18">
        <f>IF($A38="","",IF(I38&lt;&gt;"",I38,Paramètres!B38))</f>
        <v/>
      </c>
      <c r="I38" s="18" t="n"/>
    </row>
    <row r="39">
      <c r="A39" s="18">
        <f>IF(ISNUMBER(Dossiers!$D$4),Dossiers!$A$4&amp;" · "&amp;Dossiers!$B$4,"")</f>
        <v/>
      </c>
      <c r="B39" s="18">
        <f>IF($A39="","",Paramètres!G39)</f>
        <v/>
      </c>
      <c r="C39" s="18">
        <f>IF($A39="","",IF(Paramètres!H39="","",Paramètres!H39))</f>
        <v/>
      </c>
      <c r="D39" s="18">
        <f>IF($A39="","",IF(Paramètres!I39="","",Paramètres!I39))</f>
        <v/>
      </c>
      <c r="E39" s="19">
        <f>IF($A39="","",IF(Paramètres!J39&amp;Paramètres!L39&amp;Paramètres!N39="",Dossiers!$D$4,MAX(IF(Paramètres!J39="",0,IF(Paramètres!K39="",NA(),IF(LEFT(TRIM(Paramètres!K39),1)="F",INDEX($F$5:$F$57,MATCH(Paramètres!J39,Paramètres!$G$5:$G$57,0)),INDEX($E$5:$E$57,MATCH(Paramètres!J39,Paramètres!$G$5:$G$57,0)))+IF(RIGHT(TRIM(Paramètres!K39),3)="Fin",1-$H39,IF(LEFT(TRIM(Paramètres!K39),1)="F",1,0)))),IF(Paramètres!L39="",0,IF(Paramètres!M39="",NA(),IF(LEFT(TRIM(Paramètres!M39),1)="F",INDEX($F$5:$F$57,MATCH(Paramètres!L39,Paramètres!$G$5:$G$57,0)),INDEX($E$5:$E$57,MATCH(Paramètres!L39,Paramètres!$G$5:$G$57,0)))+IF(RIGHT(TRIM(Paramètres!M39),3)="Fin",1-$H39,IF(LEFT(TRIM(Paramètres!M39),1)="F",1,0)))),IF(Paramètres!N39="",0,IF(Paramètres!O39="",NA(),IF(LEFT(TRIM(Paramètres!O39),1)="F",INDEX($F$5:$F$57,MATCH(Paramètres!N39,Paramètres!$G$5:$G$57,0)),INDEX($E$5:$E$57,MATCH(Paramètres!N39,Paramètres!$G$5:$G$57,0)))+IF(RIGHT(TRIM(Paramètres!O39),3)="Fin",1-$H39,IF(LEFT(TRIM(Paramètres!O39),1)="F",1,0)))))))</f>
        <v/>
      </c>
      <c r="F39" s="19">
        <f>IF($A39="","",E39+$H39-1)</f>
        <v/>
      </c>
      <c r="G39" s="18" t="n"/>
      <c r="H39" s="18">
        <f>IF($A39="","",IF(I39&lt;&gt;"",I39,Paramètres!B39))</f>
        <v/>
      </c>
      <c r="I39" s="18" t="n"/>
    </row>
    <row r="40">
      <c r="A40" s="18">
        <f>IF(ISNUMBER(Dossiers!$D$4),Dossiers!$A$4&amp;" · "&amp;Dossiers!$B$4,"")</f>
        <v/>
      </c>
      <c r="B40" s="18">
        <f>IF($A40="","",Paramètres!G40)</f>
        <v/>
      </c>
      <c r="C40" s="18">
        <f>IF($A40="","",IF(Paramètres!H40="","",Paramètres!H40))</f>
        <v/>
      </c>
      <c r="D40" s="18">
        <f>IF($A40="","",IF(Paramètres!I40="","",Paramètres!I40))</f>
        <v/>
      </c>
      <c r="E40" s="19">
        <f>IF($A40="","",IF(Paramètres!J40&amp;Paramètres!L40&amp;Paramètres!N40="",Dossiers!$D$4,MAX(IF(Paramètres!J40="",0,IF(Paramètres!K40="",NA(),IF(LEFT(TRIM(Paramètres!K40),1)="F",INDEX($F$5:$F$57,MATCH(Paramètres!J40,Paramètres!$G$5:$G$57,0)),INDEX($E$5:$E$57,MATCH(Paramètres!J40,Paramètres!$G$5:$G$57,0)))+IF(RIGHT(TRIM(Paramètres!K40),3)="Fin",1-$H40,IF(LEFT(TRIM(Paramètres!K40),1)="F",1,0)))),IF(Paramètres!L40="",0,IF(Paramètres!M40="",NA(),IF(LEFT(TRIM(Paramètres!M40),1)="F",INDEX($F$5:$F$57,MATCH(Paramètres!L40,Paramètres!$G$5:$G$57,0)),INDEX($E$5:$E$57,MATCH(Paramètres!L40,Paramètres!$G$5:$G$57,0)))+IF(RIGHT(TRIM(Paramètres!M40),3)="Fin",1-$H40,IF(LEFT(TRIM(Paramètres!M40),1)="F",1,0)))),IF(Paramètres!N40="",0,IF(Paramètres!O40="",NA(),IF(LEFT(TRIM(Paramètres!O40),1)="F",INDEX($F$5:$F$57,MATCH(Paramètres!N40,Paramètres!$G$5:$G$57,0)),INDEX($E$5:$E$57,MATCH(Paramètres!N40,Paramètres!$G$5:$G$57,0)))+IF(RIGHT(TRIM(Paramètres!O40),3)="Fin",1-$H40,IF(LEFT(TRIM(Paramètres!O40),1)="F",1,0)))))))</f>
        <v/>
      </c>
      <c r="F40" s="19">
        <f>IF($A40="","",E40+$H40-1)</f>
        <v/>
      </c>
      <c r="G40" s="18" t="n"/>
      <c r="H40" s="18">
        <f>IF($A40="","",IF(I40&lt;&gt;"",I40,Paramètres!B40))</f>
        <v/>
      </c>
      <c r="I40" s="18" t="n">
        <v>2</v>
      </c>
    </row>
    <row r="41">
      <c r="A41" s="18">
        <f>IF(ISNUMBER(Dossiers!$D$4),Dossiers!$A$4&amp;" · "&amp;Dossiers!$B$4,"")</f>
        <v/>
      </c>
      <c r="B41" s="18">
        <f>IF($A41="","",Paramètres!G41)</f>
        <v/>
      </c>
      <c r="C41" s="18">
        <f>IF($A41="","",IF(Paramètres!H41="","",Paramètres!H41))</f>
        <v/>
      </c>
      <c r="D41" s="18">
        <f>IF($A41="","",IF(Paramètres!I41="","",Paramètres!I41))</f>
        <v/>
      </c>
      <c r="E41" s="19">
        <f>IF($A41="","",IF(Paramètres!J41&amp;Paramètres!L41&amp;Paramètres!N41="",Dossiers!$D$4,MAX(IF(Paramètres!J41="",0,IF(Paramètres!K41="",NA(),IF(LEFT(TRIM(Paramètres!K41),1)="F",INDEX($F$5:$F$57,MATCH(Paramètres!J41,Paramètres!$G$5:$G$57,0)),INDEX($E$5:$E$57,MATCH(Paramètres!J41,Paramètres!$G$5:$G$57,0)))+IF(RIGHT(TRIM(Paramètres!K41),3)="Fin",1-$H41,IF(LEFT(TRIM(Paramètres!K41),1)="F",1,0)))),IF(Paramètres!L41="",0,IF(Paramètres!M41="",NA(),IF(LEFT(TRIM(Paramètres!M41),1)="F",INDEX($F$5:$F$57,MATCH(Paramètres!L41,Paramètres!$G$5:$G$57,0)),INDEX($E$5:$E$57,MATCH(Paramètres!L41,Paramètres!$G$5:$G$57,0)))+IF(RIGHT(TRIM(Paramètres!M41),3)="Fin",1-$H41,IF(LEFT(TRIM(Paramètres!M41),1)="F",1,0)))),IF(Paramètres!N41="",0,IF(Paramètres!O41="",NA(),IF(LEFT(TRIM(Paramètres!O41),1)="F",INDEX($F$5:$F$57,MATCH(Paramètres!N41,Paramètres!$G$5:$G$57,0)),INDEX($E$5:$E$57,MATCH(Paramètres!N41,Paramètres!$G$5:$G$57,0)))+IF(RIGHT(TRIM(Paramètres!O41),3)="Fin",1-$H41,IF(LEFT(TRIM(Paramètres!O41),1)="F",1,0)))))))</f>
        <v/>
      </c>
      <c r="F41" s="19">
        <f>IF($A41="","",E41+$H41-1)</f>
        <v/>
      </c>
      <c r="G41" s="18" t="n"/>
      <c r="H41" s="18">
        <f>IF($A41="","",IF(I41&lt;&gt;"",I41,Paramètres!B41))</f>
        <v/>
      </c>
      <c r="I41" s="18" t="n">
        <v>1</v>
      </c>
    </row>
    <row r="42">
      <c r="A42" s="18">
        <f>IF(ISNUMBER(Dossiers!$D$4),Dossiers!$A$4&amp;" · "&amp;Dossiers!$B$4,"")</f>
        <v/>
      </c>
      <c r="B42" s="18">
        <f>IF($A42="","",Paramètres!G42)</f>
        <v/>
      </c>
      <c r="C42" s="18">
        <f>IF($A42="","",IF(Paramètres!H42="","",Paramètres!H42))</f>
        <v/>
      </c>
      <c r="D42" s="18">
        <f>IF($A42="","",IF(Paramètres!I42="","",Paramètres!I42))</f>
        <v/>
      </c>
      <c r="E42" s="19">
        <f>IF($A42="","",IF(Paramètres!J42&amp;Paramètres!L42&amp;Paramètres!N42="",Dossiers!$D$4,MAX(IF(Paramètres!J42="",0,IF(Paramètres!K42="",NA(),IF(LEFT(TRIM(Paramètres!K42),1)="F",INDEX($F$5:$F$57,MATCH(Paramètres!J42,Paramètres!$G$5:$G$57,0)),INDEX($E$5:$E$57,MATCH(Paramètres!J42,Paramètres!$G$5:$G$57,0)))+IF(RIGHT(TRIM(Paramètres!K42),3)="Fin",1-$H42,IF(LEFT(TRIM(Paramètres!K42),1)="F",1,0)))),IF(Paramètres!L42="",0,IF(Paramètres!M42="",NA(),IF(LEFT(TRIM(Paramètres!M42),1)="F",INDEX($F$5:$F$57,MATCH(Paramètres!L42,Paramètres!$G$5:$G$57,0)),INDEX($E$5:$E$57,MATCH(Paramètres!L42,Paramètres!$G$5:$G$57,0)))+IF(RIGHT(TRIM(Paramètres!M42),3)="Fin",1-$H42,IF(LEFT(TRIM(Paramètres!M42),1)="F",1,0)))),IF(Paramètres!N42="",0,IF(Paramètres!O42="",NA(),IF(LEFT(TRIM(Paramètres!O42),1)="F",INDEX($F$5:$F$57,MATCH(Paramètres!N42,Paramètres!$G$5:$G$57,0)),INDEX($E$5:$E$57,MATCH(Paramètres!N42,Paramètres!$G$5:$G$57,0)))+IF(RIGHT(TRIM(Paramètres!O42),3)="Fin",1-$H42,IF(LEFT(TRIM(Paramètres!O42),1)="F",1,0)))))))</f>
        <v/>
      </c>
      <c r="F42" s="19">
        <f>IF($A42="","",E42+$H42-1)</f>
        <v/>
      </c>
      <c r="G42" s="18" t="n"/>
      <c r="H42" s="18">
        <f>IF($A42="","",IF(I42&lt;&gt;"",I42,Paramètres!B42))</f>
        <v/>
      </c>
      <c r="I42" s="18" t="n"/>
    </row>
    <row r="43">
      <c r="A43" s="18">
        <f>IF(ISNUMBER(Dossiers!$D$4),Dossiers!$A$4&amp;" · "&amp;Dossiers!$B$4,"")</f>
        <v/>
      </c>
      <c r="B43" s="18">
        <f>IF($A43="","",Paramètres!G43)</f>
        <v/>
      </c>
      <c r="C43" s="18">
        <f>IF($A43="","",IF(Paramètres!H43="","",Paramètres!H43))</f>
        <v/>
      </c>
      <c r="D43" s="18">
        <f>IF($A43="","",IF(Paramètres!I43="","",Paramètres!I43))</f>
        <v/>
      </c>
      <c r="E43" s="19">
        <f>IF($A43="","",IF(Paramètres!J43&amp;Paramètres!L43&amp;Paramètres!N43="",Dossiers!$D$4,MAX(IF(Paramètres!J43="",0,IF(Paramètres!K43="",NA(),IF(LEFT(TRIM(Paramètres!K43),1)="F",INDEX($F$5:$F$57,MATCH(Paramètres!J43,Paramètres!$G$5:$G$57,0)),INDEX($E$5:$E$57,MATCH(Paramètres!J43,Paramètres!$G$5:$G$57,0)))+IF(RIGHT(TRIM(Paramètres!K43),3)="Fin",1-$H43,IF(LEFT(TRIM(Paramètres!K43),1)="F",1,0)))),IF(Paramètres!L43="",0,IF(Paramètres!M43="",NA(),IF(LEFT(TRIM(Paramètres!M43),1)="F",INDEX($F$5:$F$57,MATCH(Paramètres!L43,Paramètres!$G$5:$G$57,0)),INDEX($E$5:$E$57,MATCH(Paramètres!L43,Paramètres!$G$5:$G$57,0)))+IF(RIGHT(TRIM(Paramètres!M43),3)="Fin",1-$H43,IF(LEFT(TRIM(Paramètres!M43),1)="F",1,0)))),IF(Paramètres!N43="",0,IF(Paramètres!O43="",NA(),IF(LEFT(TRIM(Paramètres!O43),1)="F",INDEX($F$5:$F$57,MATCH(Paramètres!N43,Paramètres!$G$5:$G$57,0)),INDEX($E$5:$E$57,MATCH(Paramètres!N43,Paramètres!$G$5:$G$57,0)))+IF(RIGHT(TRIM(Paramètres!O43),3)="Fin",1-$H43,IF(LEFT(TRIM(Paramètres!O43),1)="F",1,0)))))))</f>
        <v/>
      </c>
      <c r="F43" s="19">
        <f>IF($A43="","",E43+$H43-1)</f>
        <v/>
      </c>
      <c r="G43" s="18" t="n"/>
      <c r="H43" s="18">
        <f>IF($A43="","",IF(I43&lt;&gt;"",I43,Paramètres!B43))</f>
        <v/>
      </c>
      <c r="I43" s="18" t="n"/>
    </row>
    <row r="44">
      <c r="A44" s="18">
        <f>IF(ISNUMBER(Dossiers!$D$4),Dossiers!$A$4&amp;" · "&amp;Dossiers!$B$4,"")</f>
        <v/>
      </c>
      <c r="B44" s="18">
        <f>IF($A44="","",Paramètres!G44)</f>
        <v/>
      </c>
      <c r="C44" s="18">
        <f>IF($A44="","",IF(Paramètres!H44="","",Paramètres!H44))</f>
        <v/>
      </c>
      <c r="D44" s="18">
        <f>IF($A44="","",IF(Paramètres!I44="","",Paramètres!I44))</f>
        <v/>
      </c>
      <c r="E44" s="19">
        <f>IF($A44="","",IF(Paramètres!J44&amp;Paramètres!L44&amp;Paramètres!N44="",Dossiers!$D$4,MAX(IF(Paramètres!J44="",0,IF(Paramètres!K44="",NA(),IF(LEFT(TRIM(Paramètres!K44),1)="F",INDEX($F$5:$F$57,MATCH(Paramètres!J44,Paramètres!$G$5:$G$57,0)),INDEX($E$5:$E$57,MATCH(Paramètres!J44,Paramètres!$G$5:$G$57,0)))+IF(RIGHT(TRIM(Paramètres!K44),3)="Fin",1-$H44,IF(LEFT(TRIM(Paramètres!K44),1)="F",1,0)))),IF(Paramètres!L44="",0,IF(Paramètres!M44="",NA(),IF(LEFT(TRIM(Paramètres!M44),1)="F",INDEX($F$5:$F$57,MATCH(Paramètres!L44,Paramètres!$G$5:$G$57,0)),INDEX($E$5:$E$57,MATCH(Paramètres!L44,Paramètres!$G$5:$G$57,0)))+IF(RIGHT(TRIM(Paramètres!M44),3)="Fin",1-$H44,IF(LEFT(TRIM(Paramètres!M44),1)="F",1,0)))),IF(Paramètres!N44="",0,IF(Paramètres!O44="",NA(),IF(LEFT(TRIM(Paramètres!O44),1)="F",INDEX($F$5:$F$57,MATCH(Paramètres!N44,Paramètres!$G$5:$G$57,0)),INDEX($E$5:$E$57,MATCH(Paramètres!N44,Paramètres!$G$5:$G$57,0)))+IF(RIGHT(TRIM(Paramètres!O44),3)="Fin",1-$H44,IF(LEFT(TRIM(Paramètres!O44),1)="F",1,0)))))))</f>
        <v/>
      </c>
      <c r="F44" s="19">
        <f>IF($A44="","",E44+$H44-1)</f>
        <v/>
      </c>
      <c r="G44" s="18" t="n"/>
      <c r="H44" s="18">
        <f>IF($A44="","",IF(I44&lt;&gt;"",I44,Paramètres!B44))</f>
        <v/>
      </c>
      <c r="I44" s="18" t="n"/>
    </row>
    <row r="45">
      <c r="A45" s="18">
        <f>IF(ISNUMBER(Dossiers!$D$4),Dossiers!$A$4&amp;" · "&amp;Dossiers!$B$4,"")</f>
        <v/>
      </c>
      <c r="B45" s="18">
        <f>IF($A45="","",Paramètres!G45)</f>
        <v/>
      </c>
      <c r="C45" s="20">
        <f>IF($A45="","",IF(Dossiers!$G$4="","",Dossiers!$G$4))</f>
        <v/>
      </c>
      <c r="D45" s="18">
        <f>IF($A45="","",IF(Paramètres!I45="","",Paramètres!I45))</f>
        <v/>
      </c>
      <c r="E45" s="19">
        <f>IF($A45="","",IF(Paramètres!J45&amp;Paramètres!L45&amp;Paramètres!N45="",Dossiers!$D$4,MAX(IF(Paramètres!J45="",0,IF(Paramètres!K45="",NA(),IF(LEFT(TRIM(Paramètres!K45),1)="F",INDEX($F$5:$F$57,MATCH(Paramètres!J45,Paramètres!$G$5:$G$57,0)),INDEX($E$5:$E$57,MATCH(Paramètres!J45,Paramètres!$G$5:$G$57,0)))+IF(RIGHT(TRIM(Paramètres!K45),3)="Fin",1-$H45,IF(LEFT(TRIM(Paramètres!K45),1)="F",1,0)))),IF(Paramètres!L45="",0,IF(Paramètres!M45="",NA(),IF(LEFT(TRIM(Paramètres!M45),1)="F",INDEX($F$5:$F$57,MATCH(Paramètres!L45,Paramètres!$G$5:$G$57,0)),INDEX($E$5:$E$57,MATCH(Paramètres!L45,Paramètres!$G$5:$G$57,0)))+IF(RIGHT(TRIM(Paramètres!M45),3)="Fin",1-$H45,IF(LEFT(TRIM(Paramètres!M45),1)="F",1,0)))),IF(Paramètres!N45="",0,IF(Paramètres!O45="",NA(),IF(LEFT(TRIM(Paramètres!O45),1)="F",INDEX($F$5:$F$57,MATCH(Paramètres!N45,Paramètres!$G$5:$G$57,0)),INDEX($E$5:$E$57,MATCH(Paramètres!N45,Paramètres!$G$5:$G$57,0)))+IF(RIGHT(TRIM(Paramètres!O45),3)="Fin",1-$H45,IF(LEFT(TRIM(Paramètres!O45),1)="F",1,0)))))))</f>
        <v/>
      </c>
      <c r="F45" s="19">
        <f>IF($A45="","",E45+$H45-1)</f>
        <v/>
      </c>
      <c r="G45" s="18" t="inlineStr">
        <is>
          <t>Alerte retard</t>
        </is>
      </c>
      <c r="H45" s="18">
        <f>IF($A45="","",IF(I45&lt;&gt;"",I45,Paramètres!B45))</f>
        <v/>
      </c>
      <c r="I45" s="18" t="n"/>
    </row>
    <row r="46">
      <c r="A46" s="18">
        <f>IF(ISNUMBER(Dossiers!$D$4),Dossiers!$A$4&amp;" · "&amp;Dossiers!$B$4,"")</f>
        <v/>
      </c>
      <c r="B46" s="18">
        <f>IF($A46="","",Paramètres!G46)</f>
        <v/>
      </c>
      <c r="C46" s="18">
        <f>IF($A46="","",IF(Paramètres!H46="","",Paramètres!H46))</f>
        <v/>
      </c>
      <c r="D46" s="18">
        <f>IF($A46="","",IF(Paramètres!I46="","",Paramètres!I46))</f>
        <v/>
      </c>
      <c r="E46" s="19">
        <f>IF($A46="","",IF(Paramètres!J46&amp;Paramètres!L46&amp;Paramètres!N46="",Dossiers!$D$4,MAX(IF(Paramètres!J46="",0,IF(Paramètres!K46="",NA(),IF(LEFT(TRIM(Paramètres!K46),1)="F",INDEX($F$5:$F$57,MATCH(Paramètres!J46,Paramètres!$G$5:$G$57,0)),INDEX($E$5:$E$57,MATCH(Paramètres!J46,Paramètres!$G$5:$G$57,0)))+IF(RIGHT(TRIM(Paramètres!K46),3)="Fin",1-$H46,IF(LEFT(TRIM(Paramètres!K46),1)="F",1,0)))),IF(Paramètres!L46="",0,IF(Paramètres!M46="",NA(),IF(LEFT(TRIM(Paramètres!M46),1)="F",INDEX($F$5:$F$57,MATCH(Paramètres!L46,Paramètres!$G$5:$G$57,0)),INDEX($E$5:$E$57,MATCH(Paramètres!L46,Paramètres!$G$5:$G$57,0)))+IF(RIGHT(TRIM(Paramètres!M46),3)="Fin",1-$H46,IF(LEFT(TRIM(Paramètres!M46),1)="F",1,0)))),IF(Paramètres!N46="",0,IF(Paramètres!O46="",NA(),IF(LEFT(TRIM(Paramètres!O46),1)="F",INDEX($F$5:$F$57,MATCH(Paramètres!N46,Paramètres!$G$5:$G$57,0)),INDEX($E$5:$E$57,MATCH(Paramètres!N46,Paramètres!$G$5:$G$57,0)))+IF(RIGHT(TRIM(Paramètres!O46),3)="Fin",1-$H46,IF(LEFT(TRIM(Paramètres!O46),1)="F",1,0)))))))</f>
        <v/>
      </c>
      <c r="F46" s="19">
        <f>IF($A46="","",E46+$H46-1)</f>
        <v/>
      </c>
      <c r="G46" s="18" t="n"/>
      <c r="H46" s="18">
        <f>IF($A46="","",IF(I46&lt;&gt;"",I46,Paramètres!B46))</f>
        <v/>
      </c>
      <c r="I46" s="18" t="n"/>
    </row>
    <row r="47">
      <c r="A47" s="18">
        <f>IF(ISNUMBER(Dossiers!$D$4),Dossiers!$A$4&amp;" · "&amp;Dossiers!$B$4,"")</f>
        <v/>
      </c>
      <c r="B47" s="18">
        <f>IF($A47="","",Paramètres!G47)</f>
        <v/>
      </c>
      <c r="C47" s="18">
        <f>IF($A47="","",IF(Paramètres!H47="","",Paramètres!H47))</f>
        <v/>
      </c>
      <c r="D47" s="18">
        <f>IF($A47="","",IF(Paramètres!I47="","",Paramètres!I47))</f>
        <v/>
      </c>
      <c r="E47" s="19">
        <f>IF($A47="","",IF(Paramètres!J47&amp;Paramètres!L47&amp;Paramètres!N47="",Dossiers!$D$4,MAX(IF(Paramètres!J47="",0,IF(Paramètres!K47="",NA(),IF(LEFT(TRIM(Paramètres!K47),1)="F",INDEX($F$5:$F$57,MATCH(Paramètres!J47,Paramètres!$G$5:$G$57,0)),INDEX($E$5:$E$57,MATCH(Paramètres!J47,Paramètres!$G$5:$G$57,0)))+IF(RIGHT(TRIM(Paramètres!K47),3)="Fin",1-$H47,IF(LEFT(TRIM(Paramètres!K47),1)="F",1,0)))),IF(Paramètres!L47="",0,IF(Paramètres!M47="",NA(),IF(LEFT(TRIM(Paramètres!M47),1)="F",INDEX($F$5:$F$57,MATCH(Paramètres!L47,Paramètres!$G$5:$G$57,0)),INDEX($E$5:$E$57,MATCH(Paramètres!L47,Paramètres!$G$5:$G$57,0)))+IF(RIGHT(TRIM(Paramètres!M47),3)="Fin",1-$H47,IF(LEFT(TRIM(Paramètres!M47),1)="F",1,0)))),IF(Paramètres!N47="",0,IF(Paramètres!O47="",NA(),IF(LEFT(TRIM(Paramètres!O47),1)="F",INDEX($F$5:$F$57,MATCH(Paramètres!N47,Paramètres!$G$5:$G$57,0)),INDEX($E$5:$E$57,MATCH(Paramètres!N47,Paramètres!$G$5:$G$57,0)))+IF(RIGHT(TRIM(Paramètres!O47),3)="Fin",1-$H47,IF(LEFT(TRIM(Paramètres!O47),1)="F",1,0)))))))</f>
        <v/>
      </c>
      <c r="F47" s="19">
        <f>IF($A47="","",E47+$H47-1)</f>
        <v/>
      </c>
      <c r="G47" s="18" t="n"/>
      <c r="H47" s="18">
        <f>IF($A47="","",IF(I47&lt;&gt;"",I47,Paramètres!B47))</f>
        <v/>
      </c>
      <c r="I47" s="18" t="n"/>
    </row>
    <row r="48">
      <c r="A48" s="18">
        <f>IF(ISNUMBER(Dossiers!$D$4),Dossiers!$A$4&amp;" · "&amp;Dossiers!$B$4,"")</f>
        <v/>
      </c>
      <c r="B48" s="18">
        <f>IF($A48="","",Paramètres!G48)</f>
        <v/>
      </c>
      <c r="C48" s="18">
        <f>IF($A48="","",IF(Paramètres!H48="","",Paramètres!H48))</f>
        <v/>
      </c>
      <c r="D48" s="18">
        <f>IF($A48="","",IF(Paramètres!I48="","",Paramètres!I48))</f>
        <v/>
      </c>
      <c r="E48" s="19">
        <f>IF($A48="","",IF(Paramètres!J48&amp;Paramètres!L48&amp;Paramètres!N48="",Dossiers!$D$4,MAX(IF(Paramètres!J48="",0,IF(Paramètres!K48="",NA(),IF(LEFT(TRIM(Paramètres!K48),1)="F",INDEX($F$5:$F$57,MATCH(Paramètres!J48,Paramètres!$G$5:$G$57,0)),INDEX($E$5:$E$57,MATCH(Paramètres!J48,Paramètres!$G$5:$G$57,0)))+IF(RIGHT(TRIM(Paramètres!K48),3)="Fin",1-$H48,IF(LEFT(TRIM(Paramètres!K48),1)="F",1,0)))),IF(Paramètres!L48="",0,IF(Paramètres!M48="",NA(),IF(LEFT(TRIM(Paramètres!M48),1)="F",INDEX($F$5:$F$57,MATCH(Paramètres!L48,Paramètres!$G$5:$G$57,0)),INDEX($E$5:$E$57,MATCH(Paramètres!L48,Paramètres!$G$5:$G$57,0)))+IF(RIGHT(TRIM(Paramètres!M48),3)="Fin",1-$H48,IF(LEFT(TRIM(Paramètres!M48),1)="F",1,0)))),IF(Paramètres!N48="",0,IF(Paramètres!O48="",NA(),IF(LEFT(TRIM(Paramètres!O48),1)="F",INDEX($F$5:$F$57,MATCH(Paramètres!N48,Paramètres!$G$5:$G$57,0)),INDEX($E$5:$E$57,MATCH(Paramètres!N48,Paramètres!$G$5:$G$57,0)))+IF(RIGHT(TRIM(Paramètres!O48),3)="Fin",1-$H48,IF(LEFT(TRIM(Paramètres!O48),1)="F",1,0)))))))</f>
        <v/>
      </c>
      <c r="F48" s="19">
        <f>IF($A48="","",E48+$H48-1)</f>
        <v/>
      </c>
      <c r="G48" s="18" t="n"/>
      <c r="H48" s="18">
        <f>IF($A48="","",IF(I48&lt;&gt;"",I48,Paramètres!B48))</f>
        <v/>
      </c>
      <c r="I48" s="18" t="n"/>
    </row>
    <row r="49">
      <c r="A49" s="18">
        <f>IF(ISNUMBER(Dossiers!$D$4),Dossiers!$A$4&amp;" · "&amp;Dossiers!$B$4,"")</f>
        <v/>
      </c>
      <c r="B49" s="18">
        <f>IF($A49="","",Paramètres!G49)</f>
        <v/>
      </c>
      <c r="C49" s="18">
        <f>IF($A49="","",IF(Paramètres!H49="","",Paramètres!H49))</f>
        <v/>
      </c>
      <c r="D49" s="18">
        <f>IF($A49="","",IF(Paramètres!I49="","",Paramètres!I49))</f>
        <v/>
      </c>
      <c r="E49" s="19">
        <f>IF($A49="","",IF(Paramètres!J49&amp;Paramètres!L49&amp;Paramètres!N49="",Dossiers!$D$4,MAX(IF(Paramètres!J49="",0,IF(Paramètres!K49="",NA(),IF(LEFT(TRIM(Paramètres!K49),1)="F",INDEX($F$5:$F$57,MATCH(Paramètres!J49,Paramètres!$G$5:$G$57,0)),INDEX($E$5:$E$57,MATCH(Paramètres!J49,Paramètres!$G$5:$G$57,0)))+IF(RIGHT(TRIM(Paramètres!K49),3)="Fin",1-$H49,IF(LEFT(TRIM(Paramètres!K49),1)="F",1,0)))),IF(Paramètres!L49="",0,IF(Paramètres!M49="",NA(),IF(LEFT(TRIM(Paramètres!M49),1)="F",INDEX($F$5:$F$57,MATCH(Paramètres!L49,Paramètres!$G$5:$G$57,0)),INDEX($E$5:$E$57,MATCH(Paramètres!L49,Paramètres!$G$5:$G$57,0)))+IF(RIGHT(TRIM(Paramètres!M49),3)="Fin",1-$H49,IF(LEFT(TRIM(Paramètres!M49),1)="F",1,0)))),IF(Paramètres!N49="",0,IF(Paramètres!O49="",NA(),IF(LEFT(TRIM(Paramètres!O49),1)="F",INDEX($F$5:$F$57,MATCH(Paramètres!N49,Paramètres!$G$5:$G$57,0)),INDEX($E$5:$E$57,MATCH(Paramètres!N49,Paramètres!$G$5:$G$57,0)))+IF(RIGHT(TRIM(Paramètres!O49),3)="Fin",1-$H49,IF(LEFT(TRIM(Paramètres!O49),1)="F",1,0)))))))</f>
        <v/>
      </c>
      <c r="F49" s="19">
        <f>IF($A49="","",E49+$H49-1)</f>
        <v/>
      </c>
      <c r="G49" s="18" t="n"/>
      <c r="H49" s="18">
        <f>IF($A49="","",IF(I49&lt;&gt;"",I49,Paramètres!B49))</f>
        <v/>
      </c>
      <c r="I49" s="18" t="n"/>
    </row>
    <row r="50">
      <c r="A50" s="18">
        <f>IF(ISNUMBER(Dossiers!$D$4),Dossiers!$A$4&amp;" · "&amp;Dossiers!$B$4,"")</f>
        <v/>
      </c>
      <c r="B50" s="18">
        <f>IF($A50="","",Paramètres!G50)</f>
        <v/>
      </c>
      <c r="C50" s="18">
        <f>IF($A50="","",IF(Paramètres!H50="","",Paramètres!H50))</f>
        <v/>
      </c>
      <c r="D50" s="18">
        <f>IF($A50="","",IF(Paramètres!I50="","",Paramètres!I50))</f>
        <v/>
      </c>
      <c r="E50" s="19">
        <f>IF($A50="","",IF(Paramètres!J50&amp;Paramètres!L50&amp;Paramètres!N50="",Dossiers!$D$4,MAX(IF(Paramètres!J50="",0,IF(Paramètres!K50="",NA(),IF(LEFT(TRIM(Paramètres!K50),1)="F",INDEX($F$5:$F$57,MATCH(Paramètres!J50,Paramètres!$G$5:$G$57,0)),INDEX($E$5:$E$57,MATCH(Paramètres!J50,Paramètres!$G$5:$G$57,0)))+IF(RIGHT(TRIM(Paramètres!K50),3)="Fin",1-$H50,IF(LEFT(TRIM(Paramètres!K50),1)="F",1,0)))),IF(Paramètres!L50="",0,IF(Paramètres!M50="",NA(),IF(LEFT(TRIM(Paramètres!M50),1)="F",INDEX($F$5:$F$57,MATCH(Paramètres!L50,Paramètres!$G$5:$G$57,0)),INDEX($E$5:$E$57,MATCH(Paramètres!L50,Paramètres!$G$5:$G$57,0)))+IF(RIGHT(TRIM(Paramètres!M50),3)="Fin",1-$H50,IF(LEFT(TRIM(Paramètres!M50),1)="F",1,0)))),IF(Paramètres!N50="",0,IF(Paramètres!O50="",NA(),IF(LEFT(TRIM(Paramètres!O50),1)="F",INDEX($F$5:$F$57,MATCH(Paramètres!N50,Paramètres!$G$5:$G$57,0)),INDEX($E$5:$E$57,MATCH(Paramètres!N50,Paramètres!$G$5:$G$57,0)))+IF(RIGHT(TRIM(Paramètres!O50),3)="Fin",1-$H50,IF(LEFT(TRIM(Paramètres!O50),1)="F",1,0)))))))</f>
        <v/>
      </c>
      <c r="F50" s="19">
        <f>IF($A50="","",E50+$H50-1)</f>
        <v/>
      </c>
      <c r="G50" s="18" t="n"/>
      <c r="H50" s="18">
        <f>IF($A50="","",IF(I50&lt;&gt;"",I50,Paramètres!B50))</f>
        <v/>
      </c>
      <c r="I50" s="18" t="n"/>
    </row>
    <row r="51">
      <c r="A51" s="18">
        <f>IF(ISNUMBER(Dossiers!$D$4),Dossiers!$A$4&amp;" · "&amp;Dossiers!$B$4,"")</f>
        <v/>
      </c>
      <c r="B51" s="18">
        <f>IF($A51="","",Paramètres!G51)</f>
        <v/>
      </c>
      <c r="C51" s="18">
        <f>IF($A51="","",IF(Paramètres!H51="","",Paramètres!H51))</f>
        <v/>
      </c>
      <c r="D51" s="18">
        <f>IF($A51="","",IF(Paramètres!I51="","",Paramètres!I51))</f>
        <v/>
      </c>
      <c r="E51" s="19">
        <f>IF($A51="","",IF(Paramètres!J51&amp;Paramètres!L51&amp;Paramètres!N51="",Dossiers!$D$4,MAX(IF(Paramètres!J51="",0,IF(Paramètres!K51="",NA(),IF(LEFT(TRIM(Paramètres!K51),1)="F",INDEX($F$5:$F$57,MATCH(Paramètres!J51,Paramètres!$G$5:$G$57,0)),INDEX($E$5:$E$57,MATCH(Paramètres!J51,Paramètres!$G$5:$G$57,0)))+IF(RIGHT(TRIM(Paramètres!K51),3)="Fin",1-$H51,IF(LEFT(TRIM(Paramètres!K51),1)="F",1,0)))),IF(Paramètres!L51="",0,IF(Paramètres!M51="",NA(),IF(LEFT(TRIM(Paramètres!M51),1)="F",INDEX($F$5:$F$57,MATCH(Paramètres!L51,Paramètres!$G$5:$G$57,0)),INDEX($E$5:$E$57,MATCH(Paramètres!L51,Paramètres!$G$5:$G$57,0)))+IF(RIGHT(TRIM(Paramètres!M51),3)="Fin",1-$H51,IF(LEFT(TRIM(Paramètres!M51),1)="F",1,0)))),IF(Paramètres!N51="",0,IF(Paramètres!O51="",NA(),IF(LEFT(TRIM(Paramètres!O51),1)="F",INDEX($F$5:$F$57,MATCH(Paramètres!N51,Paramètres!$G$5:$G$57,0)),INDEX($E$5:$E$57,MATCH(Paramètres!N51,Paramètres!$G$5:$G$57,0)))+IF(RIGHT(TRIM(Paramètres!O51),3)="Fin",1-$H51,IF(LEFT(TRIM(Paramètres!O51),1)="F",1,0)))))))</f>
        <v/>
      </c>
      <c r="F51" s="19">
        <f>IF($A51="","",E51+$H51-1)</f>
        <v/>
      </c>
      <c r="G51" s="18" t="n"/>
      <c r="H51" s="18">
        <f>IF($A51="","",IF(I51&lt;&gt;"",I51,Paramètres!B51))</f>
        <v/>
      </c>
      <c r="I51" s="18" t="n"/>
    </row>
    <row r="52">
      <c r="A52" s="18">
        <f>IF(ISNUMBER(Dossiers!$D$4),Dossiers!$A$4&amp;" · "&amp;Dossiers!$B$4,"")</f>
        <v/>
      </c>
      <c r="B52" s="18">
        <f>IF($A52="","",Paramètres!G52)</f>
        <v/>
      </c>
      <c r="C52" s="18">
        <f>IF($A52="","",IF(Paramètres!H52="","",Paramètres!H52))</f>
        <v/>
      </c>
      <c r="D52" s="18">
        <f>IF($A52="","",IF(Paramètres!I52="","",Paramètres!I52))</f>
        <v/>
      </c>
      <c r="E52" s="19">
        <f>IF($A52="","",IF(Paramètres!J52&amp;Paramètres!L52&amp;Paramètres!N52="",Dossiers!$D$4,MAX(IF(Paramètres!J52="",0,IF(Paramètres!K52="",NA(),IF(LEFT(TRIM(Paramètres!K52),1)="F",INDEX($F$5:$F$57,MATCH(Paramètres!J52,Paramètres!$G$5:$G$57,0)),INDEX($E$5:$E$57,MATCH(Paramètres!J52,Paramètres!$G$5:$G$57,0)))+IF(RIGHT(TRIM(Paramètres!K52),3)="Fin",1-$H52,IF(LEFT(TRIM(Paramètres!K52),1)="F",1,0)))),IF(Paramètres!L52="",0,IF(Paramètres!M52="",NA(),IF(LEFT(TRIM(Paramètres!M52),1)="F",INDEX($F$5:$F$57,MATCH(Paramètres!L52,Paramètres!$G$5:$G$57,0)),INDEX($E$5:$E$57,MATCH(Paramètres!L52,Paramètres!$G$5:$G$57,0)))+IF(RIGHT(TRIM(Paramètres!M52),3)="Fin",1-$H52,IF(LEFT(TRIM(Paramètres!M52),1)="F",1,0)))),IF(Paramètres!N52="",0,IF(Paramètres!O52="",NA(),IF(LEFT(TRIM(Paramètres!O52),1)="F",INDEX($F$5:$F$57,MATCH(Paramètres!N52,Paramètres!$G$5:$G$57,0)),INDEX($E$5:$E$57,MATCH(Paramètres!N52,Paramètres!$G$5:$G$57,0)))+IF(RIGHT(TRIM(Paramètres!O52),3)="Fin",1-$H52,IF(LEFT(TRIM(Paramètres!O52),1)="F",1,0)))))))</f>
        <v/>
      </c>
      <c r="F52" s="19">
        <f>IF($A52="","",E52+$H52-1)</f>
        <v/>
      </c>
      <c r="G52" s="18" t="n"/>
      <c r="H52" s="18">
        <f>IF($A52="","",IF(I52&lt;&gt;"",I52,Paramètres!B52))</f>
        <v/>
      </c>
      <c r="I52" s="18" t="n"/>
    </row>
    <row r="53">
      <c r="A53" s="18">
        <f>IF(ISNUMBER(Dossiers!$D$4),Dossiers!$A$4&amp;" · "&amp;Dossiers!$B$4,"")</f>
        <v/>
      </c>
      <c r="B53" s="18">
        <f>IF($A53="","",Paramètres!G53)</f>
        <v/>
      </c>
      <c r="C53" s="18">
        <f>IF($A53="","",IF(Paramètres!H53="","",Paramètres!H53))</f>
        <v/>
      </c>
      <c r="D53" s="18">
        <f>IF($A53="","",IF(Paramètres!I53="","",Paramètres!I53))</f>
        <v/>
      </c>
      <c r="E53" s="19">
        <f>IF($A53="","",IF(Paramètres!J53&amp;Paramètres!L53&amp;Paramètres!N53="",Dossiers!$D$4,MAX(IF(Paramètres!J53="",0,IF(Paramètres!K53="",NA(),IF(LEFT(TRIM(Paramètres!K53),1)="F",INDEX($F$5:$F$57,MATCH(Paramètres!J53,Paramètres!$G$5:$G$57,0)),INDEX($E$5:$E$57,MATCH(Paramètres!J53,Paramètres!$G$5:$G$57,0)))+IF(RIGHT(TRIM(Paramètres!K53),3)="Fin",1-$H53,IF(LEFT(TRIM(Paramètres!K53),1)="F",1,0)))),IF(Paramètres!L53="",0,IF(Paramètres!M53="",NA(),IF(LEFT(TRIM(Paramètres!M53),1)="F",INDEX($F$5:$F$57,MATCH(Paramètres!L53,Paramètres!$G$5:$G$57,0)),INDEX($E$5:$E$57,MATCH(Paramètres!L53,Paramètres!$G$5:$G$57,0)))+IF(RIGHT(TRIM(Paramètres!M53),3)="Fin",1-$H53,IF(LEFT(TRIM(Paramètres!M53),1)="F",1,0)))),IF(Paramètres!N53="",0,IF(Paramètres!O53="",NA(),IF(LEFT(TRIM(Paramètres!O53),1)="F",INDEX($F$5:$F$57,MATCH(Paramètres!N53,Paramètres!$G$5:$G$57,0)),INDEX($E$5:$E$57,MATCH(Paramètres!N53,Paramètres!$G$5:$G$57,0)))+IF(RIGHT(TRIM(Paramètres!O53),3)="Fin",1-$H53,IF(LEFT(TRIM(Paramètres!O53),1)="F",1,0)))))))</f>
        <v/>
      </c>
      <c r="F53" s="19">
        <f>IF($A53="","",E53+$H53-1)</f>
        <v/>
      </c>
      <c r="G53" s="18" t="n"/>
      <c r="H53" s="18">
        <f>IF($A53="","",IF(I53&lt;&gt;"",I53,Paramètres!B53))</f>
        <v/>
      </c>
      <c r="I53" s="18" t="n"/>
    </row>
    <row r="54">
      <c r="A54" s="18">
        <f>IF(ISNUMBER(Dossiers!$D$4),Dossiers!$A$4&amp;" · "&amp;Dossiers!$B$4,"")</f>
        <v/>
      </c>
      <c r="B54" s="18">
        <f>IF($A54="","",Paramètres!G54)</f>
        <v/>
      </c>
      <c r="C54" s="18">
        <f>IF($A54="","",IF(Paramètres!H54="","",Paramètres!H54))</f>
        <v/>
      </c>
      <c r="D54" s="18">
        <f>IF($A54="","",IF(Paramètres!I54="","",Paramètres!I54))</f>
        <v/>
      </c>
      <c r="E54" s="19">
        <f>IF($A54="","",IF(Paramètres!J54&amp;Paramètres!L54&amp;Paramètres!N54="",Dossiers!$D$4,MAX(IF(Paramètres!J54="",0,IF(Paramètres!K54="",NA(),IF(LEFT(TRIM(Paramètres!K54),1)="F",INDEX($F$5:$F$57,MATCH(Paramètres!J54,Paramètres!$G$5:$G$57,0)),INDEX($E$5:$E$57,MATCH(Paramètres!J54,Paramètres!$G$5:$G$57,0)))+IF(RIGHT(TRIM(Paramètres!K54),3)="Fin",1-$H54,IF(LEFT(TRIM(Paramètres!K54),1)="F",1,0)))),IF(Paramètres!L54="",0,IF(Paramètres!M54="",NA(),IF(LEFT(TRIM(Paramètres!M54),1)="F",INDEX($F$5:$F$57,MATCH(Paramètres!L54,Paramètres!$G$5:$G$57,0)),INDEX($E$5:$E$57,MATCH(Paramètres!L54,Paramètres!$G$5:$G$57,0)))+IF(RIGHT(TRIM(Paramètres!M54),3)="Fin",1-$H54,IF(LEFT(TRIM(Paramètres!M54),1)="F",1,0)))),IF(Paramètres!N54="",0,IF(Paramètres!O54="",NA(),IF(LEFT(TRIM(Paramètres!O54),1)="F",INDEX($F$5:$F$57,MATCH(Paramètres!N54,Paramètres!$G$5:$G$57,0)),INDEX($E$5:$E$57,MATCH(Paramètres!N54,Paramètres!$G$5:$G$57,0)))+IF(RIGHT(TRIM(Paramètres!O54),3)="Fin",1-$H54,IF(LEFT(TRIM(Paramètres!O54),1)="F",1,0)))))))</f>
        <v/>
      </c>
      <c r="F54" s="19">
        <f>IF($A54="","",E54+$H54-1)</f>
        <v/>
      </c>
      <c r="G54" s="18" t="n"/>
      <c r="H54" s="18">
        <f>IF($A54="","",IF(I54&lt;&gt;"",I54,Paramètres!B54))</f>
        <v/>
      </c>
      <c r="I54" s="18" t="n"/>
    </row>
    <row r="55">
      <c r="A55" s="18">
        <f>IF(ISNUMBER(Dossiers!$D$4),Dossiers!$A$4&amp;" · "&amp;Dossiers!$B$4,"")</f>
        <v/>
      </c>
      <c r="B55" s="18">
        <f>IF($A55="","",Paramètres!G55)</f>
        <v/>
      </c>
      <c r="C55" s="18">
        <f>IF($A55="","",IF(Paramètres!H55="","",Paramètres!H55))</f>
        <v/>
      </c>
      <c r="D55" s="18">
        <f>IF($A55="","",IF(Paramètres!I55="","",Paramètres!I55))</f>
        <v/>
      </c>
      <c r="E55" s="19">
        <f>IF($A55="","",IF(Paramètres!J55&amp;Paramètres!L55&amp;Paramètres!N55="",Dossiers!$D$4,MAX(IF(Paramètres!J55="",0,IF(Paramètres!K55="",NA(),IF(LEFT(TRIM(Paramètres!K55),1)="F",INDEX($F$5:$F$57,MATCH(Paramètres!J55,Paramètres!$G$5:$G$57,0)),INDEX($E$5:$E$57,MATCH(Paramètres!J55,Paramètres!$G$5:$G$57,0)))+IF(RIGHT(TRIM(Paramètres!K55),3)="Fin",1-$H55,IF(LEFT(TRIM(Paramètres!K55),1)="F",1,0)))),IF(Paramètres!L55="",0,IF(Paramètres!M55="",NA(),IF(LEFT(TRIM(Paramètres!M55),1)="F",INDEX($F$5:$F$57,MATCH(Paramètres!L55,Paramètres!$G$5:$G$57,0)),INDEX($E$5:$E$57,MATCH(Paramètres!L55,Paramètres!$G$5:$G$57,0)))+IF(RIGHT(TRIM(Paramètres!M55),3)="Fin",1-$H55,IF(LEFT(TRIM(Paramètres!M55),1)="F",1,0)))),IF(Paramètres!N55="",0,IF(Paramètres!O55="",NA(),IF(LEFT(TRIM(Paramètres!O55),1)="F",INDEX($F$5:$F$57,MATCH(Paramètres!N55,Paramètres!$G$5:$G$57,0)),INDEX($E$5:$E$57,MATCH(Paramètres!N55,Paramètres!$G$5:$G$57,0)))+IF(RIGHT(TRIM(Paramètres!O55),3)="Fin",1-$H55,IF(LEFT(TRIM(Paramètres!O55),1)="F",1,0)))))))</f>
        <v/>
      </c>
      <c r="F55" s="19">
        <f>IF($A55="","",E55+$H55-1)</f>
        <v/>
      </c>
      <c r="G55" s="18" t="n"/>
      <c r="H55" s="18">
        <f>IF($A55="","",IF(I55&lt;&gt;"",I55,Paramètres!B55))</f>
        <v/>
      </c>
      <c r="I55" s="18" t="n"/>
    </row>
    <row r="56">
      <c r="A56" s="18">
        <f>IF(ISNUMBER(Dossiers!$D$4),Dossiers!$A$4&amp;" · "&amp;Dossiers!$B$4,"")</f>
        <v/>
      </c>
      <c r="B56" s="18">
        <f>IF($A56="","",Paramètres!G56)</f>
        <v/>
      </c>
      <c r="C56" s="18">
        <f>IF($A56="","",IF(Paramètres!H56="","",Paramètres!H56))</f>
        <v/>
      </c>
      <c r="D56" s="18">
        <f>IF($A56="","",IF(Paramètres!I56="","",Paramètres!I56))</f>
        <v/>
      </c>
      <c r="E56" s="19">
        <f>IF($A56="","",MIN(E57:E57))</f>
        <v/>
      </c>
      <c r="F56" s="19">
        <f>IF($A56="","",MAX(F57:F57))</f>
        <v/>
      </c>
      <c r="G56" s="18" t="n"/>
      <c r="H56" s="18">
        <f>IF($A56="","",F56-E56+1)</f>
        <v/>
      </c>
      <c r="I56" s="18" t="n"/>
    </row>
    <row r="57">
      <c r="A57" s="18">
        <f>IF(ISNUMBER(Dossiers!$D$4),Dossiers!$A$4&amp;" · "&amp;Dossiers!$B$4,"")</f>
        <v/>
      </c>
      <c r="B57" s="18">
        <f>IF($A57="","",Paramètres!G57)</f>
        <v/>
      </c>
      <c r="C57" s="18">
        <f>IF($A57="","",IF(Paramètres!H57="","",Paramètres!H57))</f>
        <v/>
      </c>
      <c r="D57" s="18">
        <f>IF($A57="","",IF(Paramètres!I57="","",Paramètres!I57))</f>
        <v/>
      </c>
      <c r="E57" s="19">
        <f>IF($A57="","",IF(Paramètres!J57&amp;Paramètres!L57&amp;Paramètres!N57="",Dossiers!$D$4,MAX(IF(Paramètres!J57="",0,IF(Paramètres!K57="",NA(),IF(LEFT(TRIM(Paramètres!K57),1)="F",INDEX($F$5:$F$57,MATCH(Paramètres!J57,Paramètres!$G$5:$G$57,0)),INDEX($E$5:$E$57,MATCH(Paramètres!J57,Paramètres!$G$5:$G$57,0)))+IF(RIGHT(TRIM(Paramètres!K57),3)="Fin",1-$H57,IF(LEFT(TRIM(Paramètres!K57),1)="F",1,0)))),IF(Paramètres!L57="",0,IF(Paramètres!M57="",NA(),IF(LEFT(TRIM(Paramètres!M57),1)="F",INDEX($F$5:$F$57,MATCH(Paramètres!L57,Paramètres!$G$5:$G$57,0)),INDEX($E$5:$E$57,MATCH(Paramètres!L57,Paramètres!$G$5:$G$57,0)))+IF(RIGHT(TRIM(Paramètres!M57),3)="Fin",1-$H57,IF(LEFT(TRIM(Paramètres!M57),1)="F",1,0)))),IF(Paramètres!N57="",0,IF(Paramètres!O57="",NA(),IF(LEFT(TRIM(Paramètres!O57),1)="F",INDEX($F$5:$F$57,MATCH(Paramètres!N57,Paramètres!$G$5:$G$57,0)),INDEX($E$5:$E$57,MATCH(Paramètres!N57,Paramètres!$G$5:$G$57,0)))+IF(RIGHT(TRIM(Paramètres!O57),3)="Fin",1-$H57,IF(LEFT(TRIM(Paramètres!O57),1)="F",1,0)))))))</f>
        <v/>
      </c>
      <c r="F57" s="19">
        <f>IF($A57="","",E57+$H57-1)</f>
        <v/>
      </c>
      <c r="G57" s="18" t="n"/>
      <c r="H57" s="18">
        <f>IF($A57="","",IF(I57&lt;&gt;"",I57,Paramètres!B57))</f>
        <v/>
      </c>
      <c r="I57" s="18" t="n"/>
    </row>
    <row r="58">
      <c r="A58" s="16">
        <f>IF(ISNUMBER(Dossiers!$D$5),Dossiers!$E$5,"")</f>
        <v/>
      </c>
      <c r="B58" s="16">
        <f>IF($A58="","","Identifiant")</f>
        <v/>
      </c>
      <c r="C58" s="16">
        <f>IF($A58="","","Macro Etape")</f>
        <v/>
      </c>
      <c r="D58" s="16">
        <f>IF($A58="","","Etape")</f>
        <v/>
      </c>
      <c r="E58" s="17">
        <f>IF($A58="","","Début le")</f>
        <v/>
      </c>
      <c r="F58" s="17">
        <f>IF($A58="","","Fin prévue le")</f>
        <v/>
      </c>
      <c r="G58" s="16">
        <f>IF($A58="","","Statut")</f>
        <v/>
      </c>
      <c r="H58" s="16">
        <f>IF($A58="","","Durée (jours)")</f>
        <v/>
      </c>
      <c r="I58" s="16">
        <f>IF($A58="","","Durée particulière")</f>
        <v/>
      </c>
      <c r="J58" s="10">
        <f>IF($A58="","",HYPERLINK("#'Tableau de bord'!A1","↑ Tableau de bord"))</f>
        <v/>
      </c>
    </row>
    <row r="59">
      <c r="A59" s="18">
        <f>IF(ISNUMBER(Dossiers!$D$5),Dossiers!$A$5&amp;" · "&amp;Dossiers!$B$5,"")</f>
        <v/>
      </c>
      <c r="B59" s="18">
        <f>IF($A59="","",Paramètres!G5)</f>
        <v/>
      </c>
      <c r="C59" s="18">
        <f>IF($A59="","",IF(Paramètres!H5="","",Paramètres!H5))</f>
        <v/>
      </c>
      <c r="D59" s="18">
        <f>IF($A59="","",IF(Paramètres!I5="","",Paramètres!I5))</f>
        <v/>
      </c>
      <c r="E59" s="19">
        <f>IF($A59="","",MIN(E60:E63))</f>
        <v/>
      </c>
      <c r="F59" s="19">
        <f>IF($A59="","",MAX(F60:F63))</f>
        <v/>
      </c>
      <c r="G59" s="18" t="n"/>
      <c r="H59" s="18">
        <f>IF($A59="","",F59-E59+1)</f>
        <v/>
      </c>
      <c r="I59" s="18" t="n"/>
    </row>
    <row r="60">
      <c r="A60" s="18">
        <f>IF(ISNUMBER(Dossiers!$D$5),Dossiers!$A$5&amp;" · "&amp;Dossiers!$B$5,"")</f>
        <v/>
      </c>
      <c r="B60" s="18">
        <f>IF($A60="","",Paramètres!G6)</f>
        <v/>
      </c>
      <c r="C60" s="18">
        <f>IF($A60="","",IF(Paramètres!H6="","",Paramètres!H6))</f>
        <v/>
      </c>
      <c r="D60" s="18">
        <f>IF($A60="","",IF(Paramètres!I6="","",Paramètres!I6))</f>
        <v/>
      </c>
      <c r="E60" s="19">
        <f>IF($A60="","",IF(Paramètres!J6&amp;Paramètres!L6&amp;Paramètres!N6="",Dossiers!$D$5,MAX(IF(Paramètres!J6="",0,IF(Paramètres!K6="",NA(),IF(LEFT(TRIM(Paramètres!K6),1)="F",INDEX($F$59:$F$111,MATCH(Paramètres!J6,Paramètres!$G$5:$G$57,0)),INDEX($E$59:$E$111,MATCH(Paramètres!J6,Paramètres!$G$5:$G$57,0)))+IF(RIGHT(TRIM(Paramètres!K6),3)="Fin",1-$H60,IF(LEFT(TRIM(Paramètres!K6),1)="F",1,0)))),IF(Paramètres!L6="",0,IF(Paramètres!M6="",NA(),IF(LEFT(TRIM(Paramètres!M6),1)="F",INDEX($F$59:$F$111,MATCH(Paramètres!L6,Paramètres!$G$5:$G$57,0)),INDEX($E$59:$E$111,MATCH(Paramètres!L6,Paramètres!$G$5:$G$57,0)))+IF(RIGHT(TRIM(Paramètres!M6),3)="Fin",1-$H60,IF(LEFT(TRIM(Paramètres!M6),1)="F",1,0)))),IF(Paramètres!N6="",0,IF(Paramètres!O6="",NA(),IF(LEFT(TRIM(Paramètres!O6),1)="F",INDEX($F$59:$F$111,MATCH(Paramètres!N6,Paramètres!$G$5:$G$57,0)),INDEX($E$59:$E$111,MATCH(Paramètres!N6,Paramètres!$G$5:$G$57,0)))+IF(RIGHT(TRIM(Paramètres!O6),3)="Fin",1-$H60,IF(LEFT(TRIM(Paramètres!O6),1)="F",1,0)))))))</f>
        <v/>
      </c>
      <c r="F60" s="19">
        <f>IF($A60="","",E60+$H60-1)</f>
        <v/>
      </c>
      <c r="G60" s="18" t="n"/>
      <c r="H60" s="18">
        <f>IF($A60="","",IF(I60&lt;&gt;"",I60,Paramètres!B6))</f>
        <v/>
      </c>
      <c r="I60" s="18" t="n">
        <v>2</v>
      </c>
    </row>
    <row r="61">
      <c r="A61" s="18">
        <f>IF(ISNUMBER(Dossiers!$D$5),Dossiers!$A$5&amp;" · "&amp;Dossiers!$B$5,"")</f>
        <v/>
      </c>
      <c r="B61" s="18">
        <f>IF($A61="","",Paramètres!G7)</f>
        <v/>
      </c>
      <c r="C61" s="18">
        <f>IF($A61="","",IF(Paramètres!H7="","",Paramètres!H7))</f>
        <v/>
      </c>
      <c r="D61" s="18">
        <f>IF($A61="","",IF(Paramètres!I7="","",Paramètres!I7))</f>
        <v/>
      </c>
      <c r="E61" s="19">
        <f>IF($A61="","",IF(Paramètres!J7&amp;Paramètres!L7&amp;Paramètres!N7="",Dossiers!$D$5,MAX(IF(Paramètres!J7="",0,IF(Paramètres!K7="",NA(),IF(LEFT(TRIM(Paramètres!K7),1)="F",INDEX($F$59:$F$111,MATCH(Paramètres!J7,Paramètres!$G$5:$G$57,0)),INDEX($E$59:$E$111,MATCH(Paramètres!J7,Paramètres!$G$5:$G$57,0)))+IF(RIGHT(TRIM(Paramètres!K7),3)="Fin",1-$H61,IF(LEFT(TRIM(Paramètres!K7),1)="F",1,0)))),IF(Paramètres!L7="",0,IF(Paramètres!M7="",NA(),IF(LEFT(TRIM(Paramètres!M7),1)="F",INDEX($F$59:$F$111,MATCH(Paramètres!L7,Paramètres!$G$5:$G$57,0)),INDEX($E$59:$E$111,MATCH(Paramètres!L7,Paramètres!$G$5:$G$57,0)))+IF(RIGHT(TRIM(Paramètres!M7),3)="Fin",1-$H61,IF(LEFT(TRIM(Paramètres!M7),1)="F",1,0)))),IF(Paramètres!N7="",0,IF(Paramètres!O7="",NA(),IF(LEFT(TRIM(Paramètres!O7),1)="F",INDEX($F$59:$F$111,MATCH(Paramètres!N7,Paramètres!$G$5:$G$57,0)),INDEX($E$59:$E$111,MATCH(Paramètres!N7,Paramètres!$G$5:$G$57,0)))+IF(RIGHT(TRIM(Paramètres!O7),3)="Fin",1-$H61,IF(LEFT(TRIM(Paramètres!O7),1)="F",1,0)))))))</f>
        <v/>
      </c>
      <c r="F61" s="19">
        <f>IF($A61="","",E61+$H61-1)</f>
        <v/>
      </c>
      <c r="G61" s="18" t="n"/>
      <c r="H61" s="18">
        <f>IF($A61="","",IF(I61&lt;&gt;"",I61,Paramètres!B7))</f>
        <v/>
      </c>
      <c r="I61" s="18" t="n"/>
    </row>
    <row r="62">
      <c r="A62" s="18">
        <f>IF(ISNUMBER(Dossiers!$D$5),Dossiers!$A$5&amp;" · "&amp;Dossiers!$B$5,"")</f>
        <v/>
      </c>
      <c r="B62" s="18">
        <f>IF($A62="","",Paramètres!G8)</f>
        <v/>
      </c>
      <c r="C62" s="18">
        <f>IF($A62="","",IF(Paramètres!H8="","",Paramètres!H8))</f>
        <v/>
      </c>
      <c r="D62" s="18">
        <f>IF($A62="","",IF(Paramètres!I8="","",Paramètres!I8))</f>
        <v/>
      </c>
      <c r="E62" s="19">
        <f>IF($A62="","",IF(Paramètres!J8&amp;Paramètres!L8&amp;Paramètres!N8="",Dossiers!$D$5,MAX(IF(Paramètres!J8="",0,IF(Paramètres!K8="",NA(),IF(LEFT(TRIM(Paramètres!K8),1)="F",INDEX($F$59:$F$111,MATCH(Paramètres!J8,Paramètres!$G$5:$G$57,0)),INDEX($E$59:$E$111,MATCH(Paramètres!J8,Paramètres!$G$5:$G$57,0)))+IF(RIGHT(TRIM(Paramètres!K8),3)="Fin",1-$H62,IF(LEFT(TRIM(Paramètres!K8),1)="F",1,0)))),IF(Paramètres!L8="",0,IF(Paramètres!M8="",NA(),IF(LEFT(TRIM(Paramètres!M8),1)="F",INDEX($F$59:$F$111,MATCH(Paramètres!L8,Paramètres!$G$5:$G$57,0)),INDEX($E$59:$E$111,MATCH(Paramètres!L8,Paramètres!$G$5:$G$57,0)))+IF(RIGHT(TRIM(Paramètres!M8),3)="Fin",1-$H62,IF(LEFT(TRIM(Paramètres!M8),1)="F",1,0)))),IF(Paramètres!N8="",0,IF(Paramètres!O8="",NA(),IF(LEFT(TRIM(Paramètres!O8),1)="F",INDEX($F$59:$F$111,MATCH(Paramètres!N8,Paramètres!$G$5:$G$57,0)),INDEX($E$59:$E$111,MATCH(Paramètres!N8,Paramètres!$G$5:$G$57,0)))+IF(RIGHT(TRIM(Paramètres!O8),3)="Fin",1-$H62,IF(LEFT(TRIM(Paramètres!O8),1)="F",1,0)))))))</f>
        <v/>
      </c>
      <c r="F62" s="19">
        <f>IF($A62="","",E62+$H62-1)</f>
        <v/>
      </c>
      <c r="G62" s="18" t="n"/>
      <c r="H62" s="18">
        <f>IF($A62="","",IF(I62&lt;&gt;"",I62,Paramètres!B8))</f>
        <v/>
      </c>
      <c r="I62" s="18" t="n"/>
    </row>
    <row r="63">
      <c r="A63" s="18">
        <f>IF(ISNUMBER(Dossiers!$D$5),Dossiers!$A$5&amp;" · "&amp;Dossiers!$B$5,"")</f>
        <v/>
      </c>
      <c r="B63" s="18">
        <f>IF($A63="","",Paramètres!G9)</f>
        <v/>
      </c>
      <c r="C63" s="18">
        <f>IF($A63="","",IF(Paramètres!H9="","",Paramètres!H9))</f>
        <v/>
      </c>
      <c r="D63" s="18">
        <f>IF($A63="","",IF(Paramètres!I9="","",Paramètres!I9))</f>
        <v/>
      </c>
      <c r="E63" s="19">
        <f>IF($A63="","",IF(Paramètres!J9&amp;Paramètres!L9&amp;Paramètres!N9="",Dossiers!$D$5,MAX(IF(Paramètres!J9="",0,IF(Paramètres!K9="",NA(),IF(LEFT(TRIM(Paramètres!K9),1)="F",INDEX($F$59:$F$111,MATCH(Paramètres!J9,Paramètres!$G$5:$G$57,0)),INDEX($E$59:$E$111,MATCH(Paramètres!J9,Paramètres!$G$5:$G$57,0)))+IF(RIGHT(TRIM(Paramètres!K9),3)="Fin",1-$H63,IF(LEFT(TRIM(Paramètres!K9),1)="F",1,0)))),IF(Paramètres!L9="",0,IF(Paramètres!M9="",NA(),IF(LEFT(TRIM(Paramètres!M9),1)="F",INDEX($F$59:$F$111,MATCH(Paramètres!L9,Paramètres!$G$5:$G$57,0)),INDEX($E$59:$E$111,MATCH(Paramètres!L9,Paramètres!$G$5:$G$57,0)))+IF(RIGHT(TRIM(Paramètres!M9),3)="Fin",1-$H63,IF(LEFT(TRIM(Paramètres!M9),1)="F",1,0)))),IF(Paramètres!N9="",0,IF(Paramètres!O9="",NA(),IF(LEFT(TRIM(Paramètres!O9),1)="F",INDEX($F$59:$F$111,MATCH(Paramètres!N9,Paramètres!$G$5:$G$57,0)),INDEX($E$59:$E$111,MATCH(Paramètres!N9,Paramètres!$G$5:$G$57,0)))+IF(RIGHT(TRIM(Paramètres!O9),3)="Fin",1-$H63,IF(LEFT(TRIM(Paramètres!O9),1)="F",1,0)))))))</f>
        <v/>
      </c>
      <c r="F63" s="19">
        <f>IF($A63="","",E63+$H63-1)</f>
        <v/>
      </c>
      <c r="G63" s="18" t="n"/>
      <c r="H63" s="18">
        <f>IF($A63="","",IF(I63&lt;&gt;"",I63,Paramètres!B9))</f>
        <v/>
      </c>
      <c r="I63" s="18" t="n"/>
    </row>
    <row r="64">
      <c r="A64" s="18">
        <f>IF(ISNUMBER(Dossiers!$D$5),Dossiers!$A$5&amp;" · "&amp;Dossiers!$B$5,"")</f>
        <v/>
      </c>
      <c r="B64" s="18">
        <f>IF($A64="","",Paramètres!G10)</f>
        <v/>
      </c>
      <c r="C64" s="18">
        <f>IF($A64="","",IF(Paramètres!H10="","",Paramètres!H10))</f>
        <v/>
      </c>
      <c r="D64" s="18">
        <f>IF($A64="","",IF(Paramètres!I10="","",Paramètres!I10))</f>
        <v/>
      </c>
      <c r="E64" s="19">
        <f>IF($A64="","",MIN(E65:E68))</f>
        <v/>
      </c>
      <c r="F64" s="19">
        <f>IF($A64="","",MAX(F65:F68))</f>
        <v/>
      </c>
      <c r="G64" s="18" t="n"/>
      <c r="H64" s="18">
        <f>IF($A64="","",F64-E64+1)</f>
        <v/>
      </c>
      <c r="I64" s="18" t="n"/>
    </row>
    <row r="65">
      <c r="A65" s="18">
        <f>IF(ISNUMBER(Dossiers!$D$5),Dossiers!$A$5&amp;" · "&amp;Dossiers!$B$5,"")</f>
        <v/>
      </c>
      <c r="B65" s="18">
        <f>IF($A65="","",Paramètres!G11)</f>
        <v/>
      </c>
      <c r="C65" s="18">
        <f>IF($A65="","",IF(Paramètres!H11="","",Paramètres!H11))</f>
        <v/>
      </c>
      <c r="D65" s="18">
        <f>IF($A65="","",IF(Paramètres!I11="","",Paramètres!I11))</f>
        <v/>
      </c>
      <c r="E65" s="19">
        <f>IF($A65="","",IF(Paramètres!J11&amp;Paramètres!L11&amp;Paramètres!N11="",Dossiers!$D$5,MAX(IF(Paramètres!J11="",0,IF(Paramètres!K11="",NA(),IF(LEFT(TRIM(Paramètres!K11),1)="F",INDEX($F$59:$F$111,MATCH(Paramètres!J11,Paramètres!$G$5:$G$57,0)),INDEX($E$59:$E$111,MATCH(Paramètres!J11,Paramètres!$G$5:$G$57,0)))+IF(RIGHT(TRIM(Paramètres!K11),3)="Fin",1-$H65,IF(LEFT(TRIM(Paramètres!K11),1)="F",1,0)))),IF(Paramètres!L11="",0,IF(Paramètres!M11="",NA(),IF(LEFT(TRIM(Paramètres!M11),1)="F",INDEX($F$59:$F$111,MATCH(Paramètres!L11,Paramètres!$G$5:$G$57,0)),INDEX($E$59:$E$111,MATCH(Paramètres!L11,Paramètres!$G$5:$G$57,0)))+IF(RIGHT(TRIM(Paramètres!M11),3)="Fin",1-$H65,IF(LEFT(TRIM(Paramètres!M11),1)="F",1,0)))),IF(Paramètres!N11="",0,IF(Paramètres!O11="",NA(),IF(LEFT(TRIM(Paramètres!O11),1)="F",INDEX($F$59:$F$111,MATCH(Paramètres!N11,Paramètres!$G$5:$G$57,0)),INDEX($E$59:$E$111,MATCH(Paramètres!N11,Paramètres!$G$5:$G$57,0)))+IF(RIGHT(TRIM(Paramètres!O11),3)="Fin",1-$H65,IF(LEFT(TRIM(Paramètres!O11),1)="F",1,0)))))))</f>
        <v/>
      </c>
      <c r="F65" s="19">
        <f>IF($A65="","",E65+$H65-1)</f>
        <v/>
      </c>
      <c r="G65" s="18" t="n"/>
      <c r="H65" s="18">
        <f>IF($A65="","",IF(I65&lt;&gt;"",I65,Paramètres!B11))</f>
        <v/>
      </c>
      <c r="I65" s="18" t="n"/>
    </row>
    <row r="66">
      <c r="A66" s="18">
        <f>IF(ISNUMBER(Dossiers!$D$5),Dossiers!$A$5&amp;" · "&amp;Dossiers!$B$5,"")</f>
        <v/>
      </c>
      <c r="B66" s="18">
        <f>IF($A66="","",Paramètres!G12)</f>
        <v/>
      </c>
      <c r="C66" s="18">
        <f>IF($A66="","",IF(Paramètres!H12="","",Paramètres!H12))</f>
        <v/>
      </c>
      <c r="D66" s="18">
        <f>IF($A66="","",IF(Paramètres!I12="","",Paramètres!I12))</f>
        <v/>
      </c>
      <c r="E66" s="19">
        <f>IF($A66="","",IF(Paramètres!J12&amp;Paramètres!L12&amp;Paramètres!N12="",Dossiers!$D$5,MAX(IF(Paramètres!J12="",0,IF(Paramètres!K12="",NA(),IF(LEFT(TRIM(Paramètres!K12),1)="F",INDEX($F$59:$F$111,MATCH(Paramètres!J12,Paramètres!$G$5:$G$57,0)),INDEX($E$59:$E$111,MATCH(Paramètres!J12,Paramètres!$G$5:$G$57,0)))+IF(RIGHT(TRIM(Paramètres!K12),3)="Fin",1-$H66,IF(LEFT(TRIM(Paramètres!K12),1)="F",1,0)))),IF(Paramètres!L12="",0,IF(Paramètres!M12="",NA(),IF(LEFT(TRIM(Paramètres!M12),1)="F",INDEX($F$59:$F$111,MATCH(Paramètres!L12,Paramètres!$G$5:$G$57,0)),INDEX($E$59:$E$111,MATCH(Paramètres!L12,Paramètres!$G$5:$G$57,0)))+IF(RIGHT(TRIM(Paramètres!M12),3)="Fin",1-$H66,IF(LEFT(TRIM(Paramètres!M12),1)="F",1,0)))),IF(Paramètres!N12="",0,IF(Paramètres!O12="",NA(),IF(LEFT(TRIM(Paramètres!O12),1)="F",INDEX($F$59:$F$111,MATCH(Paramètres!N12,Paramètres!$G$5:$G$57,0)),INDEX($E$59:$E$111,MATCH(Paramètres!N12,Paramètres!$G$5:$G$57,0)))+IF(RIGHT(TRIM(Paramètres!O12),3)="Fin",1-$H66,IF(LEFT(TRIM(Paramètres!O12),1)="F",1,0)))))))</f>
        <v/>
      </c>
      <c r="F66" s="19">
        <f>IF($A66="","",E66+$H66-1)</f>
        <v/>
      </c>
      <c r="G66" s="18" t="n"/>
      <c r="H66" s="18">
        <f>IF($A66="","",IF(I66&lt;&gt;"",I66,Paramètres!B12))</f>
        <v/>
      </c>
      <c r="I66" s="18" t="n">
        <v>0</v>
      </c>
    </row>
    <row r="67">
      <c r="A67" s="18">
        <f>IF(ISNUMBER(Dossiers!$D$5),Dossiers!$A$5&amp;" · "&amp;Dossiers!$B$5,"")</f>
        <v/>
      </c>
      <c r="B67" s="18">
        <f>IF($A67="","",Paramètres!G13)</f>
        <v/>
      </c>
      <c r="C67" s="18">
        <f>IF($A67="","",IF(Paramètres!H13="","",Paramètres!H13))</f>
        <v/>
      </c>
      <c r="D67" s="18">
        <f>IF($A67="","",IF(Paramètres!I13="","",Paramètres!I13))</f>
        <v/>
      </c>
      <c r="E67" s="19">
        <f>IF($A67="","",IF(Paramètres!J13&amp;Paramètres!L13&amp;Paramètres!N13="",Dossiers!$D$5,MAX(IF(Paramètres!J13="",0,IF(Paramètres!K13="",NA(),IF(LEFT(TRIM(Paramètres!K13),1)="F",INDEX($F$59:$F$111,MATCH(Paramètres!J13,Paramètres!$G$5:$G$57,0)),INDEX($E$59:$E$111,MATCH(Paramètres!J13,Paramètres!$G$5:$G$57,0)))+IF(RIGHT(TRIM(Paramètres!K13),3)="Fin",1-$H67,IF(LEFT(TRIM(Paramètres!K13),1)="F",1,0)))),IF(Paramètres!L13="",0,IF(Paramètres!M13="",NA(),IF(LEFT(TRIM(Paramètres!M13),1)="F",INDEX($F$59:$F$111,MATCH(Paramètres!L13,Paramètres!$G$5:$G$57,0)),INDEX($E$59:$E$111,MATCH(Paramètres!L13,Paramètres!$G$5:$G$57,0)))+IF(RIGHT(TRIM(Paramètres!M13),3)="Fin",1-$H67,IF(LEFT(TRIM(Paramètres!M13),1)="F",1,0)))),IF(Paramètres!N13="",0,IF(Paramètres!O13="",NA(),IF(LEFT(TRIM(Paramètres!O13),1)="F",INDEX($F$59:$F$111,MATCH(Paramètres!N13,Paramètres!$G$5:$G$57,0)),INDEX($E$59:$E$111,MATCH(Paramètres!N13,Paramètres!$G$5:$G$57,0)))+IF(RIGHT(TRIM(Paramètres!O13),3)="Fin",1-$H67,IF(LEFT(TRIM(Paramètres!O13),1)="F",1,0)))))))</f>
        <v/>
      </c>
      <c r="F67" s="19">
        <f>IF($A67="","",E67+$H67-1)</f>
        <v/>
      </c>
      <c r="G67" s="18" t="n"/>
      <c r="H67" s="18">
        <f>IF($A67="","",IF(I67&lt;&gt;"",I67,Paramètres!B13))</f>
        <v/>
      </c>
      <c r="I67" s="18" t="n"/>
    </row>
    <row r="68">
      <c r="A68" s="18">
        <f>IF(ISNUMBER(Dossiers!$D$5),Dossiers!$A$5&amp;" · "&amp;Dossiers!$B$5,"")</f>
        <v/>
      </c>
      <c r="B68" s="18">
        <f>IF($A68="","",Paramètres!G14)</f>
        <v/>
      </c>
      <c r="C68" s="18">
        <f>IF($A68="","",IF(Paramètres!H14="","",Paramètres!H14))</f>
        <v/>
      </c>
      <c r="D68" s="18">
        <f>IF($A68="","",IF(Paramètres!I14="","",Paramètres!I14))</f>
        <v/>
      </c>
      <c r="E68" s="19">
        <f>IF($A68="","",IF(Paramètres!J14&amp;Paramètres!L14&amp;Paramètres!N14="",Dossiers!$D$5,MAX(IF(Paramètres!J14="",0,IF(Paramètres!K14="",NA(),IF(LEFT(TRIM(Paramètres!K14),1)="F",INDEX($F$59:$F$111,MATCH(Paramètres!J14,Paramètres!$G$5:$G$57,0)),INDEX($E$59:$E$111,MATCH(Paramètres!J14,Paramètres!$G$5:$G$57,0)))+IF(RIGHT(TRIM(Paramètres!K14),3)="Fin",1-$H68,IF(LEFT(TRIM(Paramètres!K14),1)="F",1,0)))),IF(Paramètres!L14="",0,IF(Paramètres!M14="",NA(),IF(LEFT(TRIM(Paramètres!M14),1)="F",INDEX($F$59:$F$111,MATCH(Paramètres!L14,Paramètres!$G$5:$G$57,0)),INDEX($E$59:$E$111,MATCH(Paramètres!L14,Paramètres!$G$5:$G$57,0)))+IF(RIGHT(TRIM(Paramètres!M14),3)="Fin",1-$H68,IF(LEFT(TRIM(Paramètres!M14),1)="F",1,0)))),IF(Paramètres!N14="",0,IF(Paramètres!O14="",NA(),IF(LEFT(TRIM(Paramètres!O14),1)="F",INDEX($F$59:$F$111,MATCH(Paramètres!N14,Paramètres!$G$5:$G$57,0)),INDEX($E$59:$E$111,MATCH(Paramètres!N14,Paramètres!$G$5:$G$57,0)))+IF(RIGHT(TRIM(Paramètres!O14),3)="Fin",1-$H68,IF(LEFT(TRIM(Paramètres!O14),1)="F",1,0)))))))</f>
        <v/>
      </c>
      <c r="F68" s="19">
        <f>IF($A68="","",E68+$H68-1)</f>
        <v/>
      </c>
      <c r="G68" s="18" t="n"/>
      <c r="H68" s="18">
        <f>IF($A68="","",IF(I68&lt;&gt;"",I68,Paramètres!B14))</f>
        <v/>
      </c>
      <c r="I68" s="18" t="n"/>
    </row>
    <row r="69">
      <c r="A69" s="18">
        <f>IF(ISNUMBER(Dossiers!$D$5),Dossiers!$A$5&amp;" · "&amp;Dossiers!$B$5,"")</f>
        <v/>
      </c>
      <c r="B69" s="18">
        <f>IF($A69="","",Paramètres!G15)</f>
        <v/>
      </c>
      <c r="C69" s="18">
        <f>IF($A69="","",IF(Paramètres!H15="","",Paramètres!H15))</f>
        <v/>
      </c>
      <c r="D69" s="18">
        <f>IF($A69="","",IF(Paramètres!I15="","",Paramètres!I15))</f>
        <v/>
      </c>
      <c r="E69" s="19">
        <f>IF($A69="","",MIN(E70:E85))</f>
        <v/>
      </c>
      <c r="F69" s="19">
        <f>IF($A69="","",MAX(F70:F85))</f>
        <v/>
      </c>
      <c r="G69" s="18" t="n"/>
      <c r="H69" s="18">
        <f>IF($A69="","",F69-E69+1)</f>
        <v/>
      </c>
      <c r="I69" s="18" t="n"/>
    </row>
    <row r="70">
      <c r="A70" s="18">
        <f>IF(ISNUMBER(Dossiers!$D$5),Dossiers!$A$5&amp;" · "&amp;Dossiers!$B$5,"")</f>
        <v/>
      </c>
      <c r="B70" s="18">
        <f>IF($A70="","",Paramètres!G16)</f>
        <v/>
      </c>
      <c r="C70" s="18">
        <f>IF($A70="","",IF(Paramètres!H16="","",Paramètres!H16))</f>
        <v/>
      </c>
      <c r="D70" s="18">
        <f>IF($A70="","",IF(Paramètres!I16="","",Paramètres!I16))</f>
        <v/>
      </c>
      <c r="E70" s="19">
        <f>IF($A70="","",IF(Paramètres!J16&amp;Paramètres!L16&amp;Paramètres!N16="",Dossiers!$D$5,MAX(IF(Paramètres!J16="",0,IF(Paramètres!K16="",NA(),IF(LEFT(TRIM(Paramètres!K16),1)="F",INDEX($F$59:$F$111,MATCH(Paramètres!J16,Paramètres!$G$5:$G$57,0)),INDEX($E$59:$E$111,MATCH(Paramètres!J16,Paramètres!$G$5:$G$57,0)))+IF(RIGHT(TRIM(Paramètres!K16),3)="Fin",1-$H70,IF(LEFT(TRIM(Paramètres!K16),1)="F",1,0)))),IF(Paramètres!L16="",0,IF(Paramètres!M16="",NA(),IF(LEFT(TRIM(Paramètres!M16),1)="F",INDEX($F$59:$F$111,MATCH(Paramètres!L16,Paramètres!$G$5:$G$57,0)),INDEX($E$59:$E$111,MATCH(Paramètres!L16,Paramètres!$G$5:$G$57,0)))+IF(RIGHT(TRIM(Paramètres!M16),3)="Fin",1-$H70,IF(LEFT(TRIM(Paramètres!M16),1)="F",1,0)))),IF(Paramètres!N16="",0,IF(Paramètres!O16="",NA(),IF(LEFT(TRIM(Paramètres!O16),1)="F",INDEX($F$59:$F$111,MATCH(Paramètres!N16,Paramètres!$G$5:$G$57,0)),INDEX($E$59:$E$111,MATCH(Paramètres!N16,Paramètres!$G$5:$G$57,0)))+IF(RIGHT(TRIM(Paramètres!O16),3)="Fin",1-$H70,IF(LEFT(TRIM(Paramètres!O16),1)="F",1,0)))))))</f>
        <v/>
      </c>
      <c r="F70" s="19">
        <f>IF($A70="","",E70+$H70-1)</f>
        <v/>
      </c>
      <c r="G70" s="18" t="n"/>
      <c r="H70" s="18">
        <f>IF($A70="","",IF(I70&lt;&gt;"",I70,Paramètres!B16))</f>
        <v/>
      </c>
      <c r="I70" s="18" t="n"/>
    </row>
    <row r="71">
      <c r="A71" s="18">
        <f>IF(ISNUMBER(Dossiers!$D$5),Dossiers!$A$5&amp;" · "&amp;Dossiers!$B$5,"")</f>
        <v/>
      </c>
      <c r="B71" s="18">
        <f>IF($A71="","",Paramètres!G17)</f>
        <v/>
      </c>
      <c r="C71" s="18">
        <f>IF($A71="","",IF(Paramètres!H17="","",Paramètres!H17))</f>
        <v/>
      </c>
      <c r="D71" s="18">
        <f>IF($A71="","",IF(Paramètres!I17="","",Paramètres!I17))</f>
        <v/>
      </c>
      <c r="E71" s="19">
        <f>IF($A71="","",IF(Paramètres!J17&amp;Paramètres!L17&amp;Paramètres!N17="",Dossiers!$D$5,MAX(IF(Paramètres!J17="",0,IF(Paramètres!K17="",NA(),IF(LEFT(TRIM(Paramètres!K17),1)="F",INDEX($F$59:$F$111,MATCH(Paramètres!J17,Paramètres!$G$5:$G$57,0)),INDEX($E$59:$E$111,MATCH(Paramètres!J17,Paramètres!$G$5:$G$57,0)))+IF(RIGHT(TRIM(Paramètres!K17),3)="Fin",1-$H71,IF(LEFT(TRIM(Paramètres!K17),1)="F",1,0)))),IF(Paramètres!L17="",0,IF(Paramètres!M17="",NA(),IF(LEFT(TRIM(Paramètres!M17),1)="F",INDEX($F$59:$F$111,MATCH(Paramètres!L17,Paramètres!$G$5:$G$57,0)),INDEX($E$59:$E$111,MATCH(Paramètres!L17,Paramètres!$G$5:$G$57,0)))+IF(RIGHT(TRIM(Paramètres!M17),3)="Fin",1-$H71,IF(LEFT(TRIM(Paramètres!M17),1)="F",1,0)))),IF(Paramètres!N17="",0,IF(Paramètres!O17="",NA(),IF(LEFT(TRIM(Paramètres!O17),1)="F",INDEX($F$59:$F$111,MATCH(Paramètres!N17,Paramètres!$G$5:$G$57,0)),INDEX($E$59:$E$111,MATCH(Paramètres!N17,Paramètres!$G$5:$G$57,0)))+IF(RIGHT(TRIM(Paramètres!O17),3)="Fin",1-$H71,IF(LEFT(TRIM(Paramètres!O17),1)="F",1,0)))))))</f>
        <v/>
      </c>
      <c r="F71" s="19">
        <f>IF($A71="","",E71+$H71-1)</f>
        <v/>
      </c>
      <c r="G71" s="18" t="n"/>
      <c r="H71" s="18">
        <f>IF($A71="","",IF(I71&lt;&gt;"",I71,Paramètres!B17))</f>
        <v/>
      </c>
      <c r="I71" s="18" t="n"/>
    </row>
    <row r="72">
      <c r="A72" s="18">
        <f>IF(ISNUMBER(Dossiers!$D$5),Dossiers!$A$5&amp;" · "&amp;Dossiers!$B$5,"")</f>
        <v/>
      </c>
      <c r="B72" s="18">
        <f>IF($A72="","",Paramètres!G18)</f>
        <v/>
      </c>
      <c r="C72" s="18">
        <f>IF($A72="","",IF(Paramètres!H18="","",Paramètres!H18))</f>
        <v/>
      </c>
      <c r="D72" s="18">
        <f>IF($A72="","",IF(Paramètres!I18="","",Paramètres!I18))</f>
        <v/>
      </c>
      <c r="E72" s="19">
        <f>IF($A72="","",IF(Paramètres!J18&amp;Paramètres!L18&amp;Paramètres!N18="",Dossiers!$D$5,MAX(IF(Paramètres!J18="",0,IF(Paramètres!K18="",NA(),IF(LEFT(TRIM(Paramètres!K18),1)="F",INDEX($F$59:$F$111,MATCH(Paramètres!J18,Paramètres!$G$5:$G$57,0)),INDEX($E$59:$E$111,MATCH(Paramètres!J18,Paramètres!$G$5:$G$57,0)))+IF(RIGHT(TRIM(Paramètres!K18),3)="Fin",1-$H72,IF(LEFT(TRIM(Paramètres!K18),1)="F",1,0)))),IF(Paramètres!L18="",0,IF(Paramètres!M18="",NA(),IF(LEFT(TRIM(Paramètres!M18),1)="F",INDEX($F$59:$F$111,MATCH(Paramètres!L18,Paramètres!$G$5:$G$57,0)),INDEX($E$59:$E$111,MATCH(Paramètres!L18,Paramètres!$G$5:$G$57,0)))+IF(RIGHT(TRIM(Paramètres!M18),3)="Fin",1-$H72,IF(LEFT(TRIM(Paramètres!M18),1)="F",1,0)))),IF(Paramètres!N18="",0,IF(Paramètres!O18="",NA(),IF(LEFT(TRIM(Paramètres!O18),1)="F",INDEX($F$59:$F$111,MATCH(Paramètres!N18,Paramètres!$G$5:$G$57,0)),INDEX($E$59:$E$111,MATCH(Paramètres!N18,Paramètres!$G$5:$G$57,0)))+IF(RIGHT(TRIM(Paramètres!O18),3)="Fin",1-$H72,IF(LEFT(TRIM(Paramètres!O18),1)="F",1,0)))))))</f>
        <v/>
      </c>
      <c r="F72" s="19">
        <f>IF($A72="","",E72+$H72-1)</f>
        <v/>
      </c>
      <c r="G72" s="18" t="n"/>
      <c r="H72" s="18">
        <f>IF($A72="","",IF(I72&lt;&gt;"",I72,Paramètres!B18))</f>
        <v/>
      </c>
      <c r="I72" s="18" t="n"/>
    </row>
    <row r="73">
      <c r="A73" s="18">
        <f>IF(ISNUMBER(Dossiers!$D$5),Dossiers!$A$5&amp;" · "&amp;Dossiers!$B$5,"")</f>
        <v/>
      </c>
      <c r="B73" s="18">
        <f>IF($A73="","",Paramètres!G19)</f>
        <v/>
      </c>
      <c r="C73" s="18">
        <f>IF($A73="","",IF(Paramètres!H19="","",Paramètres!H19))</f>
        <v/>
      </c>
      <c r="D73" s="18">
        <f>IF($A73="","",IF(Paramètres!I19="","",Paramètres!I19))</f>
        <v/>
      </c>
      <c r="E73" s="19">
        <f>IF($A73="","",IF(Paramètres!J19&amp;Paramètres!L19&amp;Paramètres!N19="",Dossiers!$D$5,MAX(IF(Paramètres!J19="",0,IF(Paramètres!K19="",NA(),IF(LEFT(TRIM(Paramètres!K19),1)="F",INDEX($F$59:$F$111,MATCH(Paramètres!J19,Paramètres!$G$5:$G$57,0)),INDEX($E$59:$E$111,MATCH(Paramètres!J19,Paramètres!$G$5:$G$57,0)))+IF(RIGHT(TRIM(Paramètres!K19),3)="Fin",1-$H73,IF(LEFT(TRIM(Paramètres!K19),1)="F",1,0)))),IF(Paramètres!L19="",0,IF(Paramètres!M19="",NA(),IF(LEFT(TRIM(Paramètres!M19),1)="F",INDEX($F$59:$F$111,MATCH(Paramètres!L19,Paramètres!$G$5:$G$57,0)),INDEX($E$59:$E$111,MATCH(Paramètres!L19,Paramètres!$G$5:$G$57,0)))+IF(RIGHT(TRIM(Paramètres!M19),3)="Fin",1-$H73,IF(LEFT(TRIM(Paramètres!M19),1)="F",1,0)))),IF(Paramètres!N19="",0,IF(Paramètres!O19="",NA(),IF(LEFT(TRIM(Paramètres!O19),1)="F",INDEX($F$59:$F$111,MATCH(Paramètres!N19,Paramètres!$G$5:$G$57,0)),INDEX($E$59:$E$111,MATCH(Paramètres!N19,Paramètres!$G$5:$G$57,0)))+IF(RIGHT(TRIM(Paramètres!O19),3)="Fin",1-$H73,IF(LEFT(TRIM(Paramètres!O19),1)="F",1,0)))))))</f>
        <v/>
      </c>
      <c r="F73" s="19">
        <f>IF($A73="","",E73+$H73-1)</f>
        <v/>
      </c>
      <c r="G73" s="18" t="n"/>
      <c r="H73" s="18">
        <f>IF($A73="","",IF(I73&lt;&gt;"",I73,Paramètres!B19))</f>
        <v/>
      </c>
      <c r="I73" s="18" t="n"/>
    </row>
    <row r="74">
      <c r="A74" s="18">
        <f>IF(ISNUMBER(Dossiers!$D$5),Dossiers!$A$5&amp;" · "&amp;Dossiers!$B$5,"")</f>
        <v/>
      </c>
      <c r="B74" s="18">
        <f>IF($A74="","",Paramètres!G20)</f>
        <v/>
      </c>
      <c r="C74" s="18">
        <f>IF($A74="","",IF(Paramètres!H20="","",Paramètres!H20))</f>
        <v/>
      </c>
      <c r="D74" s="18">
        <f>IF($A74="","",IF(Paramètres!I20="","",Paramètres!I20))</f>
        <v/>
      </c>
      <c r="E74" s="19">
        <f>IF($A74="","",IF(Paramètres!J20&amp;Paramètres!L20&amp;Paramètres!N20="",Dossiers!$D$5,MAX(IF(Paramètres!J20="",0,IF(Paramètres!K20="",NA(),IF(LEFT(TRIM(Paramètres!K20),1)="F",INDEX($F$59:$F$111,MATCH(Paramètres!J20,Paramètres!$G$5:$G$57,0)),INDEX($E$59:$E$111,MATCH(Paramètres!J20,Paramètres!$G$5:$G$57,0)))+IF(RIGHT(TRIM(Paramètres!K20),3)="Fin",1-$H74,IF(LEFT(TRIM(Paramètres!K20),1)="F",1,0)))),IF(Paramètres!L20="",0,IF(Paramètres!M20="",NA(),IF(LEFT(TRIM(Paramètres!M20),1)="F",INDEX($F$59:$F$111,MATCH(Paramètres!L20,Paramètres!$G$5:$G$57,0)),INDEX($E$59:$E$111,MATCH(Paramètres!L20,Paramètres!$G$5:$G$57,0)))+IF(RIGHT(TRIM(Paramètres!M20),3)="Fin",1-$H74,IF(LEFT(TRIM(Paramètres!M20),1)="F",1,0)))),IF(Paramètres!N20="",0,IF(Paramètres!O20="",NA(),IF(LEFT(TRIM(Paramètres!O20),1)="F",INDEX($F$59:$F$111,MATCH(Paramètres!N20,Paramètres!$G$5:$G$57,0)),INDEX($E$59:$E$111,MATCH(Paramètres!N20,Paramètres!$G$5:$G$57,0)))+IF(RIGHT(TRIM(Paramètres!O20),3)="Fin",1-$H74,IF(LEFT(TRIM(Paramètres!O20),1)="F",1,0)))))))</f>
        <v/>
      </c>
      <c r="F74" s="19">
        <f>IF($A74="","",E74+$H74-1)</f>
        <v/>
      </c>
      <c r="G74" s="18" t="n"/>
      <c r="H74" s="18">
        <f>IF($A74="","",IF(I74&lt;&gt;"",I74,Paramètres!B20))</f>
        <v/>
      </c>
      <c r="I74" s="18" t="n"/>
    </row>
    <row r="75">
      <c r="A75" s="18">
        <f>IF(ISNUMBER(Dossiers!$D$5),Dossiers!$A$5&amp;" · "&amp;Dossiers!$B$5,"")</f>
        <v/>
      </c>
      <c r="B75" s="18">
        <f>IF($A75="","",Paramètres!G21)</f>
        <v/>
      </c>
      <c r="C75" s="18">
        <f>IF($A75="","",IF(Paramètres!H21="","",Paramètres!H21))</f>
        <v/>
      </c>
      <c r="D75" s="18">
        <f>IF($A75="","",IF(Paramètres!I21="","",Paramètres!I21))</f>
        <v/>
      </c>
      <c r="E75" s="19">
        <f>IF($A75="","",IF(Paramètres!J21&amp;Paramètres!L21&amp;Paramètres!N21="",Dossiers!$D$5,MAX(IF(Paramètres!J21="",0,IF(Paramètres!K21="",NA(),IF(LEFT(TRIM(Paramètres!K21),1)="F",INDEX($F$59:$F$111,MATCH(Paramètres!J21,Paramètres!$G$5:$G$57,0)),INDEX($E$59:$E$111,MATCH(Paramètres!J21,Paramètres!$G$5:$G$57,0)))+IF(RIGHT(TRIM(Paramètres!K21),3)="Fin",1-$H75,IF(LEFT(TRIM(Paramètres!K21),1)="F",1,0)))),IF(Paramètres!L21="",0,IF(Paramètres!M21="",NA(),IF(LEFT(TRIM(Paramètres!M21),1)="F",INDEX($F$59:$F$111,MATCH(Paramètres!L21,Paramètres!$G$5:$G$57,0)),INDEX($E$59:$E$111,MATCH(Paramètres!L21,Paramètres!$G$5:$G$57,0)))+IF(RIGHT(TRIM(Paramètres!M21),3)="Fin",1-$H75,IF(LEFT(TRIM(Paramètres!M21),1)="F",1,0)))),IF(Paramètres!N21="",0,IF(Paramètres!O21="",NA(),IF(LEFT(TRIM(Paramètres!O21),1)="F",INDEX($F$59:$F$111,MATCH(Paramètres!N21,Paramètres!$G$5:$G$57,0)),INDEX($E$59:$E$111,MATCH(Paramètres!N21,Paramètres!$G$5:$G$57,0)))+IF(RIGHT(TRIM(Paramètres!O21),3)="Fin",1-$H75,IF(LEFT(TRIM(Paramètres!O21),1)="F",1,0)))))))</f>
        <v/>
      </c>
      <c r="F75" s="19">
        <f>IF($A75="","",E75+$H75-1)</f>
        <v/>
      </c>
      <c r="G75" s="18" t="n"/>
      <c r="H75" s="18">
        <f>IF($A75="","",IF(I75&lt;&gt;"",I75,Paramètres!B21))</f>
        <v/>
      </c>
      <c r="I75" s="18" t="n"/>
    </row>
    <row r="76">
      <c r="A76" s="18">
        <f>IF(ISNUMBER(Dossiers!$D$5),Dossiers!$A$5&amp;" · "&amp;Dossiers!$B$5,"")</f>
        <v/>
      </c>
      <c r="B76" s="18">
        <f>IF($A76="","",Paramètres!G22)</f>
        <v/>
      </c>
      <c r="C76" s="18">
        <f>IF($A76="","",IF(Paramètres!H22="","",Paramètres!H22))</f>
        <v/>
      </c>
      <c r="D76" s="18">
        <f>IF($A76="","",IF(Paramètres!I22="","",Paramètres!I22))</f>
        <v/>
      </c>
      <c r="E76" s="19">
        <f>IF($A76="","",IF(Paramètres!J22&amp;Paramètres!L22&amp;Paramètres!N22="",Dossiers!$D$5,MAX(IF(Paramètres!J22="",0,IF(Paramètres!K22="",NA(),IF(LEFT(TRIM(Paramètres!K22),1)="F",INDEX($F$59:$F$111,MATCH(Paramètres!J22,Paramètres!$G$5:$G$57,0)),INDEX($E$59:$E$111,MATCH(Paramètres!J22,Paramètres!$G$5:$G$57,0)))+IF(RIGHT(TRIM(Paramètres!K22),3)="Fin",1-$H76,IF(LEFT(TRIM(Paramètres!K22),1)="F",1,0)))),IF(Paramètres!L22="",0,IF(Paramètres!M22="",NA(),IF(LEFT(TRIM(Paramètres!M22),1)="F",INDEX($F$59:$F$111,MATCH(Paramètres!L22,Paramètres!$G$5:$G$57,0)),INDEX($E$59:$E$111,MATCH(Paramètres!L22,Paramètres!$G$5:$G$57,0)))+IF(RIGHT(TRIM(Paramètres!M22),3)="Fin",1-$H76,IF(LEFT(TRIM(Paramètres!M22),1)="F",1,0)))),IF(Paramètres!N22="",0,IF(Paramètres!O22="",NA(),IF(LEFT(TRIM(Paramètres!O22),1)="F",INDEX($F$59:$F$111,MATCH(Paramètres!N22,Paramètres!$G$5:$G$57,0)),INDEX($E$59:$E$111,MATCH(Paramètres!N22,Paramètres!$G$5:$G$57,0)))+IF(RIGHT(TRIM(Paramètres!O22),3)="Fin",1-$H76,IF(LEFT(TRIM(Paramètres!O22),1)="F",1,0)))))))</f>
        <v/>
      </c>
      <c r="F76" s="19">
        <f>IF($A76="","",E76+$H76-1)</f>
        <v/>
      </c>
      <c r="G76" s="18" t="n"/>
      <c r="H76" s="18">
        <f>IF($A76="","",IF(I76&lt;&gt;"",I76,Paramètres!B22))</f>
        <v/>
      </c>
      <c r="I76" s="18" t="n"/>
    </row>
    <row r="77">
      <c r="A77" s="18">
        <f>IF(ISNUMBER(Dossiers!$D$5),Dossiers!$A$5&amp;" · "&amp;Dossiers!$B$5,"")</f>
        <v/>
      </c>
      <c r="B77" s="18">
        <f>IF($A77="","",Paramètres!G23)</f>
        <v/>
      </c>
      <c r="C77" s="18">
        <f>IF($A77="","",IF(Paramètres!H23="","",Paramètres!H23))</f>
        <v/>
      </c>
      <c r="D77" s="18">
        <f>IF($A77="","",IF(Paramètres!I23="","",Paramètres!I23))</f>
        <v/>
      </c>
      <c r="E77" s="19">
        <f>IF($A77="","",IF(Paramètres!J23&amp;Paramètres!L23&amp;Paramètres!N23="",Dossiers!$D$5,MAX(IF(Paramètres!J23="",0,IF(Paramètres!K23="",NA(),IF(LEFT(TRIM(Paramètres!K23),1)="F",INDEX($F$59:$F$111,MATCH(Paramètres!J23,Paramètres!$G$5:$G$57,0)),INDEX($E$59:$E$111,MATCH(Paramètres!J23,Paramètres!$G$5:$G$57,0)))+IF(RIGHT(TRIM(Paramètres!K23),3)="Fin",1-$H77,IF(LEFT(TRIM(Paramètres!K23),1)="F",1,0)))),IF(Paramètres!L23="",0,IF(Paramètres!M23="",NA(),IF(LEFT(TRIM(Paramètres!M23),1)="F",INDEX($F$59:$F$111,MATCH(Paramètres!L23,Paramètres!$G$5:$G$57,0)),INDEX($E$59:$E$111,MATCH(Paramètres!L23,Paramètres!$G$5:$G$57,0)))+IF(RIGHT(TRIM(Paramètres!M23),3)="Fin",1-$H77,IF(LEFT(TRIM(Paramètres!M23),1)="F",1,0)))),IF(Paramètres!N23="",0,IF(Paramètres!O23="",NA(),IF(LEFT(TRIM(Paramètres!O23),1)="F",INDEX($F$59:$F$111,MATCH(Paramètres!N23,Paramètres!$G$5:$G$57,0)),INDEX($E$59:$E$111,MATCH(Paramètres!N23,Paramètres!$G$5:$G$57,0)))+IF(RIGHT(TRIM(Paramètres!O23),3)="Fin",1-$H77,IF(LEFT(TRIM(Paramètres!O23),1)="F",1,0)))))))</f>
        <v/>
      </c>
      <c r="F77" s="19">
        <f>IF($A77="","",E77+$H77-1)</f>
        <v/>
      </c>
      <c r="G77" s="18" t="n"/>
      <c r="H77" s="18">
        <f>IF($A77="","",IF(I77&lt;&gt;"",I77,Paramètres!B23))</f>
        <v/>
      </c>
      <c r="I77" s="18" t="n">
        <v>3</v>
      </c>
    </row>
    <row r="78">
      <c r="A78" s="18">
        <f>IF(ISNUMBER(Dossiers!$D$5),Dossiers!$A$5&amp;" · "&amp;Dossiers!$B$5,"")</f>
        <v/>
      </c>
      <c r="B78" s="18">
        <f>IF($A78="","",Paramètres!G24)</f>
        <v/>
      </c>
      <c r="C78" s="18">
        <f>IF($A78="","",IF(Paramètres!H24="","",Paramètres!H24))</f>
        <v/>
      </c>
      <c r="D78" s="18">
        <f>IF($A78="","",IF(Paramètres!I24="","",Paramètres!I24))</f>
        <v/>
      </c>
      <c r="E78" s="19">
        <f>IF($A78="","",IF(Paramètres!J24&amp;Paramètres!L24&amp;Paramètres!N24="",Dossiers!$D$5,MAX(IF(Paramètres!J24="",0,IF(Paramètres!K24="",NA(),IF(LEFT(TRIM(Paramètres!K24),1)="F",INDEX($F$59:$F$111,MATCH(Paramètres!J24,Paramètres!$G$5:$G$57,0)),INDEX($E$59:$E$111,MATCH(Paramètres!J24,Paramètres!$G$5:$G$57,0)))+IF(RIGHT(TRIM(Paramètres!K24),3)="Fin",1-$H78,IF(LEFT(TRIM(Paramètres!K24),1)="F",1,0)))),IF(Paramètres!L24="",0,IF(Paramètres!M24="",NA(),IF(LEFT(TRIM(Paramètres!M24),1)="F",INDEX($F$59:$F$111,MATCH(Paramètres!L24,Paramètres!$G$5:$G$57,0)),INDEX($E$59:$E$111,MATCH(Paramètres!L24,Paramètres!$G$5:$G$57,0)))+IF(RIGHT(TRIM(Paramètres!M24),3)="Fin",1-$H78,IF(LEFT(TRIM(Paramètres!M24),1)="F",1,0)))),IF(Paramètres!N24="",0,IF(Paramètres!O24="",NA(),IF(LEFT(TRIM(Paramètres!O24),1)="F",INDEX($F$59:$F$111,MATCH(Paramètres!N24,Paramètres!$G$5:$G$57,0)),INDEX($E$59:$E$111,MATCH(Paramètres!N24,Paramètres!$G$5:$G$57,0)))+IF(RIGHT(TRIM(Paramètres!O24),3)="Fin",1-$H78,IF(LEFT(TRIM(Paramètres!O24),1)="F",1,0)))))))</f>
        <v/>
      </c>
      <c r="F78" s="19">
        <f>IF($A78="","",E78+$H78-1)</f>
        <v/>
      </c>
      <c r="G78" s="18" t="n"/>
      <c r="H78" s="18">
        <f>IF($A78="","",IF(I78&lt;&gt;"",I78,Paramètres!B24))</f>
        <v/>
      </c>
      <c r="I78" s="18" t="n"/>
    </row>
    <row r="79">
      <c r="A79" s="18">
        <f>IF(ISNUMBER(Dossiers!$D$5),Dossiers!$A$5&amp;" · "&amp;Dossiers!$B$5,"")</f>
        <v/>
      </c>
      <c r="B79" s="18">
        <f>IF($A79="","",Paramètres!G25)</f>
        <v/>
      </c>
      <c r="C79" s="18">
        <f>IF($A79="","",IF(Paramètres!H25="","",Paramètres!H25))</f>
        <v/>
      </c>
      <c r="D79" s="18">
        <f>IF($A79="","",IF(Paramètres!I25="","",Paramètres!I25))</f>
        <v/>
      </c>
      <c r="E79" s="19">
        <f>IF($A79="","",IF(Paramètres!J25&amp;Paramètres!L25&amp;Paramètres!N25="",Dossiers!$D$5,MAX(IF(Paramètres!J25="",0,IF(Paramètres!K25="",NA(),IF(LEFT(TRIM(Paramètres!K25),1)="F",INDEX($F$59:$F$111,MATCH(Paramètres!J25,Paramètres!$G$5:$G$57,0)),INDEX($E$59:$E$111,MATCH(Paramètres!J25,Paramètres!$G$5:$G$57,0)))+IF(RIGHT(TRIM(Paramètres!K25),3)="Fin",1-$H79,IF(LEFT(TRIM(Paramètres!K25),1)="F",1,0)))),IF(Paramètres!L25="",0,IF(Paramètres!M25="",NA(),IF(LEFT(TRIM(Paramètres!M25),1)="F",INDEX($F$59:$F$111,MATCH(Paramètres!L25,Paramètres!$G$5:$G$57,0)),INDEX($E$59:$E$111,MATCH(Paramètres!L25,Paramètres!$G$5:$G$57,0)))+IF(RIGHT(TRIM(Paramètres!M25),3)="Fin",1-$H79,IF(LEFT(TRIM(Paramètres!M25),1)="F",1,0)))),IF(Paramètres!N25="",0,IF(Paramètres!O25="",NA(),IF(LEFT(TRIM(Paramètres!O25),1)="F",INDEX($F$59:$F$111,MATCH(Paramètres!N25,Paramètres!$G$5:$G$57,0)),INDEX($E$59:$E$111,MATCH(Paramètres!N25,Paramètres!$G$5:$G$57,0)))+IF(RIGHT(TRIM(Paramètres!O25),3)="Fin",1-$H79,IF(LEFT(TRIM(Paramètres!O25),1)="F",1,0)))))))</f>
        <v/>
      </c>
      <c r="F79" s="19">
        <f>IF($A79="","",E79+$H79-1)</f>
        <v/>
      </c>
      <c r="G79" s="18" t="n"/>
      <c r="H79" s="18">
        <f>IF($A79="","",IF(I79&lt;&gt;"",I79,Paramètres!B25))</f>
        <v/>
      </c>
      <c r="I79" s="18" t="n"/>
    </row>
    <row r="80">
      <c r="A80" s="18">
        <f>IF(ISNUMBER(Dossiers!$D$5),Dossiers!$A$5&amp;" · "&amp;Dossiers!$B$5,"")</f>
        <v/>
      </c>
      <c r="B80" s="18">
        <f>IF($A80="","",Paramètres!G26)</f>
        <v/>
      </c>
      <c r="C80" s="18">
        <f>IF($A80="","",IF(Paramètres!H26="","",Paramètres!H26))</f>
        <v/>
      </c>
      <c r="D80" s="18">
        <f>IF($A80="","",IF(Paramètres!I26="","",Paramètres!I26))</f>
        <v/>
      </c>
      <c r="E80" s="19">
        <f>IF($A80="","",IF(Paramètres!J26&amp;Paramètres!L26&amp;Paramètres!N26="",Dossiers!$D$5,MAX(IF(Paramètres!J26="",0,IF(Paramètres!K26="",NA(),IF(LEFT(TRIM(Paramètres!K26),1)="F",INDEX($F$59:$F$111,MATCH(Paramètres!J26,Paramètres!$G$5:$G$57,0)),INDEX($E$59:$E$111,MATCH(Paramètres!J26,Paramètres!$G$5:$G$57,0)))+IF(RIGHT(TRIM(Paramètres!K26),3)="Fin",1-$H80,IF(LEFT(TRIM(Paramètres!K26),1)="F",1,0)))),IF(Paramètres!L26="",0,IF(Paramètres!M26="",NA(),IF(LEFT(TRIM(Paramètres!M26),1)="F",INDEX($F$59:$F$111,MATCH(Paramètres!L26,Paramètres!$G$5:$G$57,0)),INDEX($E$59:$E$111,MATCH(Paramètres!L26,Paramètres!$G$5:$G$57,0)))+IF(RIGHT(TRIM(Paramètres!M26),3)="Fin",1-$H80,IF(LEFT(TRIM(Paramètres!M26),1)="F",1,0)))),IF(Paramètres!N26="",0,IF(Paramètres!O26="",NA(),IF(LEFT(TRIM(Paramètres!O26),1)="F",INDEX($F$59:$F$111,MATCH(Paramètres!N26,Paramètres!$G$5:$G$57,0)),INDEX($E$59:$E$111,MATCH(Paramètres!N26,Paramètres!$G$5:$G$57,0)))+IF(RIGHT(TRIM(Paramètres!O26),3)="Fin",1-$H80,IF(LEFT(TRIM(Paramètres!O26),1)="F",1,0)))))))</f>
        <v/>
      </c>
      <c r="F80" s="19">
        <f>IF($A80="","",E80+$H80-1)</f>
        <v/>
      </c>
      <c r="G80" s="18" t="n"/>
      <c r="H80" s="18">
        <f>IF($A80="","",IF(I80&lt;&gt;"",I80,Paramètres!B26))</f>
        <v/>
      </c>
      <c r="I80" s="18" t="n"/>
    </row>
    <row r="81">
      <c r="A81" s="18">
        <f>IF(ISNUMBER(Dossiers!$D$5),Dossiers!$A$5&amp;" · "&amp;Dossiers!$B$5,"")</f>
        <v/>
      </c>
      <c r="B81" s="18">
        <f>IF($A81="","",Paramètres!G27)</f>
        <v/>
      </c>
      <c r="C81" s="18">
        <f>IF($A81="","",IF(Paramètres!H27="","",Paramètres!H27))</f>
        <v/>
      </c>
      <c r="D81" s="18">
        <f>IF($A81="","",IF(Paramètres!I27="","",Paramètres!I27))</f>
        <v/>
      </c>
      <c r="E81" s="19">
        <f>IF($A81="","",IF(Paramètres!J27&amp;Paramètres!L27&amp;Paramètres!N27="",Dossiers!$D$5,MAX(IF(Paramètres!J27="",0,IF(Paramètres!K27="",NA(),IF(LEFT(TRIM(Paramètres!K27),1)="F",INDEX($F$59:$F$111,MATCH(Paramètres!J27,Paramètres!$G$5:$G$57,0)),INDEX($E$59:$E$111,MATCH(Paramètres!J27,Paramètres!$G$5:$G$57,0)))+IF(RIGHT(TRIM(Paramètres!K27),3)="Fin",1-$H81,IF(LEFT(TRIM(Paramètres!K27),1)="F",1,0)))),IF(Paramètres!L27="",0,IF(Paramètres!M27="",NA(),IF(LEFT(TRIM(Paramètres!M27),1)="F",INDEX($F$59:$F$111,MATCH(Paramètres!L27,Paramètres!$G$5:$G$57,0)),INDEX($E$59:$E$111,MATCH(Paramètres!L27,Paramètres!$G$5:$G$57,0)))+IF(RIGHT(TRIM(Paramètres!M27),3)="Fin",1-$H81,IF(LEFT(TRIM(Paramètres!M27),1)="F",1,0)))),IF(Paramètres!N27="",0,IF(Paramètres!O27="",NA(),IF(LEFT(TRIM(Paramètres!O27),1)="F",INDEX($F$59:$F$111,MATCH(Paramètres!N27,Paramètres!$G$5:$G$57,0)),INDEX($E$59:$E$111,MATCH(Paramètres!N27,Paramètres!$G$5:$G$57,0)))+IF(RIGHT(TRIM(Paramètres!O27),3)="Fin",1-$H81,IF(LEFT(TRIM(Paramètres!O27),1)="F",1,0)))))))</f>
        <v/>
      </c>
      <c r="F81" s="19">
        <f>IF($A81="","",E81+$H81-1)</f>
        <v/>
      </c>
      <c r="G81" s="18" t="n"/>
      <c r="H81" s="18">
        <f>IF($A81="","",IF(I81&lt;&gt;"",I81,Paramètres!B27))</f>
        <v/>
      </c>
      <c r="I81" s="18" t="n"/>
    </row>
    <row r="82">
      <c r="A82" s="18">
        <f>IF(ISNUMBER(Dossiers!$D$5),Dossiers!$A$5&amp;" · "&amp;Dossiers!$B$5,"")</f>
        <v/>
      </c>
      <c r="B82" s="18">
        <f>IF($A82="","",Paramètres!G28)</f>
        <v/>
      </c>
      <c r="C82" s="18">
        <f>IF($A82="","",IF(Paramètres!H28="","",Paramètres!H28))</f>
        <v/>
      </c>
      <c r="D82" s="18">
        <f>IF($A82="","",IF(Paramètres!I28="","",Paramètres!I28))</f>
        <v/>
      </c>
      <c r="E82" s="19">
        <f>IF($A82="","",IF(Paramètres!J28&amp;Paramètres!L28&amp;Paramètres!N28="",Dossiers!$D$5,MAX(IF(Paramètres!J28="",0,IF(Paramètres!K28="",NA(),IF(LEFT(TRIM(Paramètres!K28),1)="F",INDEX($F$59:$F$111,MATCH(Paramètres!J28,Paramètres!$G$5:$G$57,0)),INDEX($E$59:$E$111,MATCH(Paramètres!J28,Paramètres!$G$5:$G$57,0)))+IF(RIGHT(TRIM(Paramètres!K28),3)="Fin",1-$H82,IF(LEFT(TRIM(Paramètres!K28),1)="F",1,0)))),IF(Paramètres!L28="",0,IF(Paramètres!M28="",NA(),IF(LEFT(TRIM(Paramètres!M28),1)="F",INDEX($F$59:$F$111,MATCH(Paramètres!L28,Paramètres!$G$5:$G$57,0)),INDEX($E$59:$E$111,MATCH(Paramètres!L28,Paramètres!$G$5:$G$57,0)))+IF(RIGHT(TRIM(Paramètres!M28),3)="Fin",1-$H82,IF(LEFT(TRIM(Paramètres!M28),1)="F",1,0)))),IF(Paramètres!N28="",0,IF(Paramètres!O28="",NA(),IF(LEFT(TRIM(Paramètres!O28),1)="F",INDEX($F$59:$F$111,MATCH(Paramètres!N28,Paramètres!$G$5:$G$57,0)),INDEX($E$59:$E$111,MATCH(Paramètres!N28,Paramètres!$G$5:$G$57,0)))+IF(RIGHT(TRIM(Paramètres!O28),3)="Fin",1-$H82,IF(LEFT(TRIM(Paramètres!O28),1)="F",1,0)))))))</f>
        <v/>
      </c>
      <c r="F82" s="19">
        <f>IF($A82="","",E82+$H82-1)</f>
        <v/>
      </c>
      <c r="G82" s="18" t="n"/>
      <c r="H82" s="18">
        <f>IF($A82="","",IF(I82&lt;&gt;"",I82,Paramètres!B28))</f>
        <v/>
      </c>
      <c r="I82" s="18" t="n"/>
    </row>
    <row r="83">
      <c r="A83" s="18">
        <f>IF(ISNUMBER(Dossiers!$D$5),Dossiers!$A$5&amp;" · "&amp;Dossiers!$B$5,"")</f>
        <v/>
      </c>
      <c r="B83" s="18">
        <f>IF($A83="","",Paramètres!G29)</f>
        <v/>
      </c>
      <c r="C83" s="18">
        <f>IF($A83="","",IF(Paramètres!H29="","",Paramètres!H29))</f>
        <v/>
      </c>
      <c r="D83" s="18">
        <f>IF($A83="","",IF(Paramètres!I29="","",Paramètres!I29))</f>
        <v/>
      </c>
      <c r="E83" s="19">
        <f>IF($A83="","",IF(Paramètres!J29&amp;Paramètres!L29&amp;Paramètres!N29="",Dossiers!$D$5,MAX(IF(Paramètres!J29="",0,IF(Paramètres!K29="",NA(),IF(LEFT(TRIM(Paramètres!K29),1)="F",INDEX($F$59:$F$111,MATCH(Paramètres!J29,Paramètres!$G$5:$G$57,0)),INDEX($E$59:$E$111,MATCH(Paramètres!J29,Paramètres!$G$5:$G$57,0)))+IF(RIGHT(TRIM(Paramètres!K29),3)="Fin",1-$H83,IF(LEFT(TRIM(Paramètres!K29),1)="F",1,0)))),IF(Paramètres!L29="",0,IF(Paramètres!M29="",NA(),IF(LEFT(TRIM(Paramètres!M29),1)="F",INDEX($F$59:$F$111,MATCH(Paramètres!L29,Paramètres!$G$5:$G$57,0)),INDEX($E$59:$E$111,MATCH(Paramètres!L29,Paramètres!$G$5:$G$57,0)))+IF(RIGHT(TRIM(Paramètres!M29),3)="Fin",1-$H83,IF(LEFT(TRIM(Paramètres!M29),1)="F",1,0)))),IF(Paramètres!N29="",0,IF(Paramètres!O29="",NA(),IF(LEFT(TRIM(Paramètres!O29),1)="F",INDEX($F$59:$F$111,MATCH(Paramètres!N29,Paramètres!$G$5:$G$57,0)),INDEX($E$59:$E$111,MATCH(Paramètres!N29,Paramètres!$G$5:$G$57,0)))+IF(RIGHT(TRIM(Paramètres!O29),3)="Fin",1-$H83,IF(LEFT(TRIM(Paramètres!O29),1)="F",1,0)))))))</f>
        <v/>
      </c>
      <c r="F83" s="19">
        <f>IF($A83="","",E83+$H83-1)</f>
        <v/>
      </c>
      <c r="G83" s="18" t="n"/>
      <c r="H83" s="18">
        <f>IF($A83="","",IF(I83&lt;&gt;"",I83,Paramètres!B29))</f>
        <v/>
      </c>
      <c r="I83" s="18" t="n"/>
    </row>
    <row r="84">
      <c r="A84" s="18">
        <f>IF(ISNUMBER(Dossiers!$D$5),Dossiers!$A$5&amp;" · "&amp;Dossiers!$B$5,"")</f>
        <v/>
      </c>
      <c r="B84" s="18">
        <f>IF($A84="","",Paramètres!G30)</f>
        <v/>
      </c>
      <c r="C84" s="18">
        <f>IF($A84="","",IF(Paramètres!H30="","",Paramètres!H30))</f>
        <v/>
      </c>
      <c r="D84" s="18">
        <f>IF($A84="","",IF(Paramètres!I30="","",Paramètres!I30))</f>
        <v/>
      </c>
      <c r="E84" s="19">
        <f>IF($A84="","",IF(Paramètres!J30&amp;Paramètres!L30&amp;Paramètres!N30="",Dossiers!$D$5,MAX(IF(Paramètres!J30="",0,IF(Paramètres!K30="",NA(),IF(LEFT(TRIM(Paramètres!K30),1)="F",INDEX($F$59:$F$111,MATCH(Paramètres!J30,Paramètres!$G$5:$G$57,0)),INDEX($E$59:$E$111,MATCH(Paramètres!J30,Paramètres!$G$5:$G$57,0)))+IF(RIGHT(TRIM(Paramètres!K30),3)="Fin",1-$H84,IF(LEFT(TRIM(Paramètres!K30),1)="F",1,0)))),IF(Paramètres!L30="",0,IF(Paramètres!M30="",NA(),IF(LEFT(TRIM(Paramètres!M30),1)="F",INDEX($F$59:$F$111,MATCH(Paramètres!L30,Paramètres!$G$5:$G$57,0)),INDEX($E$59:$E$111,MATCH(Paramètres!L30,Paramètres!$G$5:$G$57,0)))+IF(RIGHT(TRIM(Paramètres!M30),3)="Fin",1-$H84,IF(LEFT(TRIM(Paramètres!M30),1)="F",1,0)))),IF(Paramètres!N30="",0,IF(Paramètres!O30="",NA(),IF(LEFT(TRIM(Paramètres!O30),1)="F",INDEX($F$59:$F$111,MATCH(Paramètres!N30,Paramètres!$G$5:$G$57,0)),INDEX($E$59:$E$111,MATCH(Paramètres!N30,Paramètres!$G$5:$G$57,0)))+IF(RIGHT(TRIM(Paramètres!O30),3)="Fin",1-$H84,IF(LEFT(TRIM(Paramètres!O30),1)="F",1,0)))))))</f>
        <v/>
      </c>
      <c r="F84" s="19">
        <f>IF($A84="","",E84+$H84-1)</f>
        <v/>
      </c>
      <c r="G84" s="18" t="n"/>
      <c r="H84" s="18">
        <f>IF($A84="","",IF(I84&lt;&gt;"",I84,Paramètres!B30))</f>
        <v/>
      </c>
      <c r="I84" s="18" t="n"/>
    </row>
    <row r="85">
      <c r="A85" s="18">
        <f>IF(ISNUMBER(Dossiers!$D$5),Dossiers!$A$5&amp;" · "&amp;Dossiers!$B$5,"")</f>
        <v/>
      </c>
      <c r="B85" s="18">
        <f>IF($A85="","",Paramètres!G31)</f>
        <v/>
      </c>
      <c r="C85" s="20">
        <f>IF($A85="","",IF(Dossiers!$F$5="","",Dossiers!$F$5))</f>
        <v/>
      </c>
      <c r="D85" s="18">
        <f>IF($A85="","",IF(Paramètres!I31="","",Paramètres!I31))</f>
        <v/>
      </c>
      <c r="E85" s="19">
        <f>IF($A85="","",IF(Paramètres!J31&amp;Paramètres!L31&amp;Paramètres!N31="",Dossiers!$D$5,MAX(IF(Paramètres!J31="",0,IF(Paramètres!K31="",NA(),IF(LEFT(TRIM(Paramètres!K31),1)="F",INDEX($F$59:$F$111,MATCH(Paramètres!J31,Paramètres!$G$5:$G$57,0)),INDEX($E$59:$E$111,MATCH(Paramètres!J31,Paramètres!$G$5:$G$57,0)))+IF(RIGHT(TRIM(Paramètres!K31),3)="Fin",1-$H85,IF(LEFT(TRIM(Paramètres!K31),1)="F",1,0)))),IF(Paramètres!L31="",0,IF(Paramètres!M31="",NA(),IF(LEFT(TRIM(Paramètres!M31),1)="F",INDEX($F$59:$F$111,MATCH(Paramètres!L31,Paramètres!$G$5:$G$57,0)),INDEX($E$59:$E$111,MATCH(Paramètres!L31,Paramètres!$G$5:$G$57,0)))+IF(RIGHT(TRIM(Paramètres!M31),3)="Fin",1-$H85,IF(LEFT(TRIM(Paramètres!M31),1)="F",1,0)))),IF(Paramètres!N31="",0,IF(Paramètres!O31="",NA(),IF(LEFT(TRIM(Paramètres!O31),1)="F",INDEX($F$59:$F$111,MATCH(Paramètres!N31,Paramètres!$G$5:$G$57,0)),INDEX($E$59:$E$111,MATCH(Paramètres!N31,Paramètres!$G$5:$G$57,0)))+IF(RIGHT(TRIM(Paramètres!O31),3)="Fin",1-$H85,IF(LEFT(TRIM(Paramètres!O31),1)="F",1,0)))))))</f>
        <v/>
      </c>
      <c r="F85" s="19">
        <f>IF($A85="","",E85+$H85-1)</f>
        <v/>
      </c>
      <c r="G85" s="18" t="n"/>
      <c r="H85" s="18">
        <f>IF($A85="","",IF(I85&lt;&gt;"",I85,Paramètres!B31))</f>
        <v/>
      </c>
      <c r="I85" s="18" t="n"/>
    </row>
    <row r="86">
      <c r="A86" s="18">
        <f>IF(ISNUMBER(Dossiers!$D$5),Dossiers!$A$5&amp;" · "&amp;Dossiers!$B$5,"")</f>
        <v/>
      </c>
      <c r="B86" s="18">
        <f>IF($A86="","",Paramètres!G32)</f>
        <v/>
      </c>
      <c r="C86" s="18">
        <f>IF($A86="","",IF(Paramètres!H32="","",Paramètres!H32))</f>
        <v/>
      </c>
      <c r="D86" s="18">
        <f>IF($A86="","",IF(Paramètres!I32="","",Paramètres!I32))</f>
        <v/>
      </c>
      <c r="E86" s="19">
        <f>IF($A86="","",MIN(E87:E90))</f>
        <v/>
      </c>
      <c r="F86" s="19">
        <f>IF($A86="","",MAX(F87:F90))</f>
        <v/>
      </c>
      <c r="G86" s="18" t="n"/>
      <c r="H86" s="18">
        <f>IF($A86="","",F86-E86+1)</f>
        <v/>
      </c>
      <c r="I86" s="18" t="n"/>
    </row>
    <row r="87">
      <c r="A87" s="18">
        <f>IF(ISNUMBER(Dossiers!$D$5),Dossiers!$A$5&amp;" · "&amp;Dossiers!$B$5,"")</f>
        <v/>
      </c>
      <c r="B87" s="18">
        <f>IF($A87="","",Paramètres!G33)</f>
        <v/>
      </c>
      <c r="C87" s="18">
        <f>IF($A87="","",IF(Paramètres!H33="","",Paramètres!H33))</f>
        <v/>
      </c>
      <c r="D87" s="18">
        <f>IF($A87="","",IF(Paramètres!I33="","",Paramètres!I33))</f>
        <v/>
      </c>
      <c r="E87" s="19">
        <f>IF($A87="","",IF(Paramètres!J33&amp;Paramètres!L33&amp;Paramètres!N33="",Dossiers!$D$5,MAX(IF(Paramètres!J33="",0,IF(Paramètres!K33="",NA(),IF(LEFT(TRIM(Paramètres!K33),1)="F",INDEX($F$59:$F$111,MATCH(Paramètres!J33,Paramètres!$G$5:$G$57,0)),INDEX($E$59:$E$111,MATCH(Paramètres!J33,Paramètres!$G$5:$G$57,0)))+IF(RIGHT(TRIM(Paramètres!K33),3)="Fin",1-$H87,IF(LEFT(TRIM(Paramètres!K33),1)="F",1,0)))),IF(Paramètres!L33="",0,IF(Paramètres!M33="",NA(),IF(LEFT(TRIM(Paramètres!M33),1)="F",INDEX($F$59:$F$111,MATCH(Paramètres!L33,Paramètres!$G$5:$G$57,0)),INDEX($E$59:$E$111,MATCH(Paramètres!L33,Paramètres!$G$5:$G$57,0)))+IF(RIGHT(TRIM(Paramètres!M33),3)="Fin",1-$H87,IF(LEFT(TRIM(Paramètres!M33),1)="F",1,0)))),IF(Paramètres!N33="",0,IF(Paramètres!O33="",NA(),IF(LEFT(TRIM(Paramètres!O33),1)="F",INDEX($F$59:$F$111,MATCH(Paramètres!N33,Paramètres!$G$5:$G$57,0)),INDEX($E$59:$E$111,MATCH(Paramètres!N33,Paramètres!$G$5:$G$57,0)))+IF(RIGHT(TRIM(Paramètres!O33),3)="Fin",1-$H87,IF(LEFT(TRIM(Paramètres!O33),1)="F",1,0)))))))</f>
        <v/>
      </c>
      <c r="F87" s="19">
        <f>IF($A87="","",E87+$H87-1)</f>
        <v/>
      </c>
      <c r="G87" s="18" t="n"/>
      <c r="H87" s="18">
        <f>IF($A87="","",IF(I87&lt;&gt;"",I87,Paramètres!B33))</f>
        <v/>
      </c>
      <c r="I87" s="18" t="n"/>
    </row>
    <row r="88">
      <c r="A88" s="18">
        <f>IF(ISNUMBER(Dossiers!$D$5),Dossiers!$A$5&amp;" · "&amp;Dossiers!$B$5,"")</f>
        <v/>
      </c>
      <c r="B88" s="18">
        <f>IF($A88="","",Paramètres!G34)</f>
        <v/>
      </c>
      <c r="C88" s="18">
        <f>IF($A88="","",IF(Paramètres!H34="","",Paramètres!H34))</f>
        <v/>
      </c>
      <c r="D88" s="18">
        <f>IF($A88="","",IF(Paramètres!I34="","",Paramètres!I34))</f>
        <v/>
      </c>
      <c r="E88" s="19">
        <f>IF($A88="","",IF(Paramètres!J34&amp;Paramètres!L34&amp;Paramètres!N34="",Dossiers!$D$5,MAX(IF(Paramètres!J34="",0,IF(Paramètres!K34="",NA(),IF(LEFT(TRIM(Paramètres!K34),1)="F",INDEX($F$59:$F$111,MATCH(Paramètres!J34,Paramètres!$G$5:$G$57,0)),INDEX($E$59:$E$111,MATCH(Paramètres!J34,Paramètres!$G$5:$G$57,0)))+IF(RIGHT(TRIM(Paramètres!K34),3)="Fin",1-$H88,IF(LEFT(TRIM(Paramètres!K34),1)="F",1,0)))),IF(Paramètres!L34="",0,IF(Paramètres!M34="",NA(),IF(LEFT(TRIM(Paramètres!M34),1)="F",INDEX($F$59:$F$111,MATCH(Paramètres!L34,Paramètres!$G$5:$G$57,0)),INDEX($E$59:$E$111,MATCH(Paramètres!L34,Paramètres!$G$5:$G$57,0)))+IF(RIGHT(TRIM(Paramètres!M34),3)="Fin",1-$H88,IF(LEFT(TRIM(Paramètres!M34),1)="F",1,0)))),IF(Paramètres!N34="",0,IF(Paramètres!O34="",NA(),IF(LEFT(TRIM(Paramètres!O34),1)="F",INDEX($F$59:$F$111,MATCH(Paramètres!N34,Paramètres!$G$5:$G$57,0)),INDEX($E$59:$E$111,MATCH(Paramètres!N34,Paramètres!$G$5:$G$57,0)))+IF(RIGHT(TRIM(Paramètres!O34),3)="Fin",1-$H88,IF(LEFT(TRIM(Paramètres!O34),1)="F",1,0)))))))</f>
        <v/>
      </c>
      <c r="F88" s="19">
        <f>IF($A88="","",E88+$H88-1)</f>
        <v/>
      </c>
      <c r="G88" s="18" t="n"/>
      <c r="H88" s="18">
        <f>IF($A88="","",IF(I88&lt;&gt;"",I88,Paramètres!B34))</f>
        <v/>
      </c>
      <c r="I88" s="18" t="n"/>
    </row>
    <row r="89">
      <c r="A89" s="18">
        <f>IF(ISNUMBER(Dossiers!$D$5),Dossiers!$A$5&amp;" · "&amp;Dossiers!$B$5,"")</f>
        <v/>
      </c>
      <c r="B89" s="18">
        <f>IF($A89="","",Paramètres!G35)</f>
        <v/>
      </c>
      <c r="C89" s="18">
        <f>IF($A89="","",IF(Paramètres!H35="","",Paramètres!H35))</f>
        <v/>
      </c>
      <c r="D89" s="18">
        <f>IF($A89="","",IF(Paramètres!I35="","",Paramètres!I35))</f>
        <v/>
      </c>
      <c r="E89" s="19">
        <f>IF($A89="","",IF(Paramètres!J35&amp;Paramètres!L35&amp;Paramètres!N35="",Dossiers!$D$5,MAX(IF(Paramètres!J35="",0,IF(Paramètres!K35="",NA(),IF(LEFT(TRIM(Paramètres!K35),1)="F",INDEX($F$59:$F$111,MATCH(Paramètres!J35,Paramètres!$G$5:$G$57,0)),INDEX($E$59:$E$111,MATCH(Paramètres!J35,Paramètres!$G$5:$G$57,0)))+IF(RIGHT(TRIM(Paramètres!K35),3)="Fin",1-$H89,IF(LEFT(TRIM(Paramètres!K35),1)="F",1,0)))),IF(Paramètres!L35="",0,IF(Paramètres!M35="",NA(),IF(LEFT(TRIM(Paramètres!M35),1)="F",INDEX($F$59:$F$111,MATCH(Paramètres!L35,Paramètres!$G$5:$G$57,0)),INDEX($E$59:$E$111,MATCH(Paramètres!L35,Paramètres!$G$5:$G$57,0)))+IF(RIGHT(TRIM(Paramètres!M35),3)="Fin",1-$H89,IF(LEFT(TRIM(Paramètres!M35),1)="F",1,0)))),IF(Paramètres!N35="",0,IF(Paramètres!O35="",NA(),IF(LEFT(TRIM(Paramètres!O35),1)="F",INDEX($F$59:$F$111,MATCH(Paramètres!N35,Paramètres!$G$5:$G$57,0)),INDEX($E$59:$E$111,MATCH(Paramètres!N35,Paramètres!$G$5:$G$57,0)))+IF(RIGHT(TRIM(Paramètres!O35),3)="Fin",1-$H89,IF(LEFT(TRIM(Paramètres!O35),1)="F",1,0)))))))</f>
        <v/>
      </c>
      <c r="F89" s="19">
        <f>IF($A89="","",E89+$H89-1)</f>
        <v/>
      </c>
      <c r="G89" s="18" t="n"/>
      <c r="H89" s="18">
        <f>IF($A89="","",IF(I89&lt;&gt;"",I89,Paramètres!B35))</f>
        <v/>
      </c>
      <c r="I89" s="18" t="n"/>
    </row>
    <row r="90">
      <c r="A90" s="18">
        <f>IF(ISNUMBER(Dossiers!$D$5),Dossiers!$A$5&amp;" · "&amp;Dossiers!$B$5,"")</f>
        <v/>
      </c>
      <c r="B90" s="18">
        <f>IF($A90="","",Paramètres!G36)</f>
        <v/>
      </c>
      <c r="C90" s="18">
        <f>IF($A90="","",IF(Paramètres!H36="","",Paramètres!H36))</f>
        <v/>
      </c>
      <c r="D90" s="18">
        <f>IF($A90="","",IF(Paramètres!I36="","",Paramètres!I36))</f>
        <v/>
      </c>
      <c r="E90" s="19">
        <f>IF($A90="","",IF(Paramètres!J36&amp;Paramètres!L36&amp;Paramètres!N36="",Dossiers!$D$5,MAX(IF(Paramètres!J36="",0,IF(Paramètres!K36="",NA(),IF(LEFT(TRIM(Paramètres!K36),1)="F",INDEX($F$59:$F$111,MATCH(Paramètres!J36,Paramètres!$G$5:$G$57,0)),INDEX($E$59:$E$111,MATCH(Paramètres!J36,Paramètres!$G$5:$G$57,0)))+IF(RIGHT(TRIM(Paramètres!K36),3)="Fin",1-$H90,IF(LEFT(TRIM(Paramètres!K36),1)="F",1,0)))),IF(Paramètres!L36="",0,IF(Paramètres!M36="",NA(),IF(LEFT(TRIM(Paramètres!M36),1)="F",INDEX($F$59:$F$111,MATCH(Paramètres!L36,Paramètres!$G$5:$G$57,0)),INDEX($E$59:$E$111,MATCH(Paramètres!L36,Paramètres!$G$5:$G$57,0)))+IF(RIGHT(TRIM(Paramètres!M36),3)="Fin",1-$H90,IF(LEFT(TRIM(Paramètres!M36),1)="F",1,0)))),IF(Paramètres!N36="",0,IF(Paramètres!O36="",NA(),IF(LEFT(TRIM(Paramètres!O36),1)="F",INDEX($F$59:$F$111,MATCH(Paramètres!N36,Paramètres!$G$5:$G$57,0)),INDEX($E$59:$E$111,MATCH(Paramètres!N36,Paramètres!$G$5:$G$57,0)))+IF(RIGHT(TRIM(Paramètres!O36),3)="Fin",1-$H90,IF(LEFT(TRIM(Paramètres!O36),1)="F",1,0)))))))</f>
        <v/>
      </c>
      <c r="F90" s="19">
        <f>IF($A90="","",E90+$H90-1)</f>
        <v/>
      </c>
      <c r="G90" s="18" t="n"/>
      <c r="H90" s="18">
        <f>IF($A90="","",IF(I90&lt;&gt;"",I90,Paramètres!B36))</f>
        <v/>
      </c>
      <c r="I90" s="18" t="n"/>
    </row>
    <row r="91">
      <c r="A91" s="18">
        <f>IF(ISNUMBER(Dossiers!$D$5),Dossiers!$A$5&amp;" · "&amp;Dossiers!$B$5,"")</f>
        <v/>
      </c>
      <c r="B91" s="18">
        <f>IF($A91="","",Paramètres!G37)</f>
        <v/>
      </c>
      <c r="C91" s="18">
        <f>IF($A91="","",IF(Paramètres!H37="","",Paramètres!H37))</f>
        <v/>
      </c>
      <c r="D91" s="18">
        <f>IF($A91="","",IF(Paramètres!I37="","",Paramètres!I37))</f>
        <v/>
      </c>
      <c r="E91" s="19">
        <f>IF($A91="","",MIN(E92:E109))</f>
        <v/>
      </c>
      <c r="F91" s="19">
        <f>IF($A91="","",MAX(F92:F109))</f>
        <v/>
      </c>
      <c r="G91" s="18" t="n"/>
      <c r="H91" s="18">
        <f>IF($A91="","",F91-E91+1)</f>
        <v/>
      </c>
      <c r="I91" s="18" t="n"/>
    </row>
    <row r="92">
      <c r="A92" s="18">
        <f>IF(ISNUMBER(Dossiers!$D$5),Dossiers!$A$5&amp;" · "&amp;Dossiers!$B$5,"")</f>
        <v/>
      </c>
      <c r="B92" s="18">
        <f>IF($A92="","",Paramètres!G38)</f>
        <v/>
      </c>
      <c r="C92" s="18">
        <f>IF($A92="","",IF(Paramètres!H38="","",Paramètres!H38))</f>
        <v/>
      </c>
      <c r="D92" s="18">
        <f>IF($A92="","",IF(Paramètres!I38="","",Paramètres!I38))</f>
        <v/>
      </c>
      <c r="E92" s="19">
        <f>IF($A92="","",IF(Paramètres!J38&amp;Paramètres!L38&amp;Paramètres!N38="",Dossiers!$D$5,MAX(IF(Paramètres!J38="",0,IF(Paramètres!K38="",NA(),IF(LEFT(TRIM(Paramètres!K38),1)="F",INDEX($F$59:$F$111,MATCH(Paramètres!J38,Paramètres!$G$5:$G$57,0)),INDEX($E$59:$E$111,MATCH(Paramètres!J38,Paramètres!$G$5:$G$57,0)))+IF(RIGHT(TRIM(Paramètres!K38),3)="Fin",1-$H92,IF(LEFT(TRIM(Paramètres!K38),1)="F",1,0)))),IF(Paramètres!L38="",0,IF(Paramètres!M38="",NA(),IF(LEFT(TRIM(Paramètres!M38),1)="F",INDEX($F$59:$F$111,MATCH(Paramètres!L38,Paramètres!$G$5:$G$57,0)),INDEX($E$59:$E$111,MATCH(Paramètres!L38,Paramètres!$G$5:$G$57,0)))+IF(RIGHT(TRIM(Paramètres!M38),3)="Fin",1-$H92,IF(LEFT(TRIM(Paramètres!M38),1)="F",1,0)))),IF(Paramètres!N38="",0,IF(Paramètres!O38="",NA(),IF(LEFT(TRIM(Paramètres!O38),1)="F",INDEX($F$59:$F$111,MATCH(Paramètres!N38,Paramètres!$G$5:$G$57,0)),INDEX($E$59:$E$111,MATCH(Paramètres!N38,Paramètres!$G$5:$G$57,0)))+IF(RIGHT(TRIM(Paramètres!O38),3)="Fin",1-$H92,IF(LEFT(TRIM(Paramètres!O38),1)="F",1,0)))))))</f>
        <v/>
      </c>
      <c r="F92" s="19">
        <f>IF($A92="","",E92+$H92-1)</f>
        <v/>
      </c>
      <c r="G92" s="18" t="n"/>
      <c r="H92" s="18">
        <f>IF($A92="","",IF(I92&lt;&gt;"",I92,Paramètres!B38))</f>
        <v/>
      </c>
      <c r="I92" s="18" t="n">
        <v>1</v>
      </c>
    </row>
    <row r="93">
      <c r="A93" s="18">
        <f>IF(ISNUMBER(Dossiers!$D$5),Dossiers!$A$5&amp;" · "&amp;Dossiers!$B$5,"")</f>
        <v/>
      </c>
      <c r="B93" s="18">
        <f>IF($A93="","",Paramètres!G39)</f>
        <v/>
      </c>
      <c r="C93" s="18">
        <f>IF($A93="","",IF(Paramètres!H39="","",Paramètres!H39))</f>
        <v/>
      </c>
      <c r="D93" s="18">
        <f>IF($A93="","",IF(Paramètres!I39="","",Paramètres!I39))</f>
        <v/>
      </c>
      <c r="E93" s="19">
        <f>IF($A93="","",IF(Paramètres!J39&amp;Paramètres!L39&amp;Paramètres!N39="",Dossiers!$D$5,MAX(IF(Paramètres!J39="",0,IF(Paramètres!K39="",NA(),IF(LEFT(TRIM(Paramètres!K39),1)="F",INDEX($F$59:$F$111,MATCH(Paramètres!J39,Paramètres!$G$5:$G$57,0)),INDEX($E$59:$E$111,MATCH(Paramètres!J39,Paramètres!$G$5:$G$57,0)))+IF(RIGHT(TRIM(Paramètres!K39),3)="Fin",1-$H93,IF(LEFT(TRIM(Paramètres!K39),1)="F",1,0)))),IF(Paramètres!L39="",0,IF(Paramètres!M39="",NA(),IF(LEFT(TRIM(Paramètres!M39),1)="F",INDEX($F$59:$F$111,MATCH(Paramètres!L39,Paramètres!$G$5:$G$57,0)),INDEX($E$59:$E$111,MATCH(Paramètres!L39,Paramètres!$G$5:$G$57,0)))+IF(RIGHT(TRIM(Paramètres!M39),3)="Fin",1-$H93,IF(LEFT(TRIM(Paramètres!M39),1)="F",1,0)))),IF(Paramètres!N39="",0,IF(Paramètres!O39="",NA(),IF(LEFT(TRIM(Paramètres!O39),1)="F",INDEX($F$59:$F$111,MATCH(Paramètres!N39,Paramètres!$G$5:$G$57,0)),INDEX($E$59:$E$111,MATCH(Paramètres!N39,Paramètres!$G$5:$G$57,0)))+IF(RIGHT(TRIM(Paramètres!O39),3)="Fin",1-$H93,IF(LEFT(TRIM(Paramètres!O39),1)="F",1,0)))))))</f>
        <v/>
      </c>
      <c r="F93" s="19">
        <f>IF($A93="","",E93+$H93-1)</f>
        <v/>
      </c>
      <c r="G93" s="18" t="n"/>
      <c r="H93" s="18">
        <f>IF($A93="","",IF(I93&lt;&gt;"",I93,Paramètres!B39))</f>
        <v/>
      </c>
      <c r="I93" s="18" t="n"/>
    </row>
    <row r="94">
      <c r="A94" s="18">
        <f>IF(ISNUMBER(Dossiers!$D$5),Dossiers!$A$5&amp;" · "&amp;Dossiers!$B$5,"")</f>
        <v/>
      </c>
      <c r="B94" s="18">
        <f>IF($A94="","",Paramètres!G40)</f>
        <v/>
      </c>
      <c r="C94" s="18">
        <f>IF($A94="","",IF(Paramètres!H40="","",Paramètres!H40))</f>
        <v/>
      </c>
      <c r="D94" s="18">
        <f>IF($A94="","",IF(Paramètres!I40="","",Paramètres!I40))</f>
        <v/>
      </c>
      <c r="E94" s="19">
        <f>IF($A94="","",IF(Paramètres!J40&amp;Paramètres!L40&amp;Paramètres!N40="",Dossiers!$D$5,MAX(IF(Paramètres!J40="",0,IF(Paramètres!K40="",NA(),IF(LEFT(TRIM(Paramètres!K40),1)="F",INDEX($F$59:$F$111,MATCH(Paramètres!J40,Paramètres!$G$5:$G$57,0)),INDEX($E$59:$E$111,MATCH(Paramètres!J40,Paramètres!$G$5:$G$57,0)))+IF(RIGHT(TRIM(Paramètres!K40),3)="Fin",1-$H94,IF(LEFT(TRIM(Paramètres!K40),1)="F",1,0)))),IF(Paramètres!L40="",0,IF(Paramètres!M40="",NA(),IF(LEFT(TRIM(Paramètres!M40),1)="F",INDEX($F$59:$F$111,MATCH(Paramètres!L40,Paramètres!$G$5:$G$57,0)),INDEX($E$59:$E$111,MATCH(Paramètres!L40,Paramètres!$G$5:$G$57,0)))+IF(RIGHT(TRIM(Paramètres!M40),3)="Fin",1-$H94,IF(LEFT(TRIM(Paramètres!M40),1)="F",1,0)))),IF(Paramètres!N40="",0,IF(Paramètres!O40="",NA(),IF(LEFT(TRIM(Paramètres!O40),1)="F",INDEX($F$59:$F$111,MATCH(Paramètres!N40,Paramètres!$G$5:$G$57,0)),INDEX($E$59:$E$111,MATCH(Paramètres!N40,Paramètres!$G$5:$G$57,0)))+IF(RIGHT(TRIM(Paramètres!O40),3)="Fin",1-$H94,IF(LEFT(TRIM(Paramètres!O40),1)="F",1,0)))))))</f>
        <v/>
      </c>
      <c r="F94" s="19">
        <f>IF($A94="","",E94+$H94-1)</f>
        <v/>
      </c>
      <c r="G94" s="18" t="n"/>
      <c r="H94" s="18">
        <f>IF($A94="","",IF(I94&lt;&gt;"",I94,Paramètres!B40))</f>
        <v/>
      </c>
      <c r="I94" s="18" t="n"/>
    </row>
    <row r="95">
      <c r="A95" s="18">
        <f>IF(ISNUMBER(Dossiers!$D$5),Dossiers!$A$5&amp;" · "&amp;Dossiers!$B$5,"")</f>
        <v/>
      </c>
      <c r="B95" s="18">
        <f>IF($A95="","",Paramètres!G41)</f>
        <v/>
      </c>
      <c r="C95" s="18">
        <f>IF($A95="","",IF(Paramètres!H41="","",Paramètres!H41))</f>
        <v/>
      </c>
      <c r="D95" s="18">
        <f>IF($A95="","",IF(Paramètres!I41="","",Paramètres!I41))</f>
        <v/>
      </c>
      <c r="E95" s="19">
        <f>IF($A95="","",IF(Paramètres!J41&amp;Paramètres!L41&amp;Paramètres!N41="",Dossiers!$D$5,MAX(IF(Paramètres!J41="",0,IF(Paramètres!K41="",NA(),IF(LEFT(TRIM(Paramètres!K41),1)="F",INDEX($F$59:$F$111,MATCH(Paramètres!J41,Paramètres!$G$5:$G$57,0)),INDEX($E$59:$E$111,MATCH(Paramètres!J41,Paramètres!$G$5:$G$57,0)))+IF(RIGHT(TRIM(Paramètres!K41),3)="Fin",1-$H95,IF(LEFT(TRIM(Paramètres!K41),1)="F",1,0)))),IF(Paramètres!L41="",0,IF(Paramètres!M41="",NA(),IF(LEFT(TRIM(Paramètres!M41),1)="F",INDEX($F$59:$F$111,MATCH(Paramètres!L41,Paramètres!$G$5:$G$57,0)),INDEX($E$59:$E$111,MATCH(Paramètres!L41,Paramètres!$G$5:$G$57,0)))+IF(RIGHT(TRIM(Paramètres!M41),3)="Fin",1-$H95,IF(LEFT(TRIM(Paramètres!M41),1)="F",1,0)))),IF(Paramètres!N41="",0,IF(Paramètres!O41="",NA(),IF(LEFT(TRIM(Paramètres!O41),1)="F",INDEX($F$59:$F$111,MATCH(Paramètres!N41,Paramètres!$G$5:$G$57,0)),INDEX($E$59:$E$111,MATCH(Paramètres!N41,Paramètres!$G$5:$G$57,0)))+IF(RIGHT(TRIM(Paramètres!O41),3)="Fin",1-$H95,IF(LEFT(TRIM(Paramètres!O41),1)="F",1,0)))))))</f>
        <v/>
      </c>
      <c r="F95" s="19">
        <f>IF($A95="","",E95+$H95-1)</f>
        <v/>
      </c>
      <c r="G95" s="18" t="n"/>
      <c r="H95" s="18">
        <f>IF($A95="","",IF(I95&lt;&gt;"",I95,Paramètres!B41))</f>
        <v/>
      </c>
      <c r="I95" s="18" t="n">
        <v>1</v>
      </c>
    </row>
    <row r="96">
      <c r="A96" s="18">
        <f>IF(ISNUMBER(Dossiers!$D$5),Dossiers!$A$5&amp;" · "&amp;Dossiers!$B$5,"")</f>
        <v/>
      </c>
      <c r="B96" s="18">
        <f>IF($A96="","",Paramètres!G42)</f>
        <v/>
      </c>
      <c r="C96" s="18">
        <f>IF($A96="","",IF(Paramètres!H42="","",Paramètres!H42))</f>
        <v/>
      </c>
      <c r="D96" s="18">
        <f>IF($A96="","",IF(Paramètres!I42="","",Paramètres!I42))</f>
        <v/>
      </c>
      <c r="E96" s="19">
        <f>IF($A96="","",IF(Paramètres!J42&amp;Paramètres!L42&amp;Paramètres!N42="",Dossiers!$D$5,MAX(IF(Paramètres!J42="",0,IF(Paramètres!K42="",NA(),IF(LEFT(TRIM(Paramètres!K42),1)="F",INDEX($F$59:$F$111,MATCH(Paramètres!J42,Paramètres!$G$5:$G$57,0)),INDEX($E$59:$E$111,MATCH(Paramètres!J42,Paramètres!$G$5:$G$57,0)))+IF(RIGHT(TRIM(Paramètres!K42),3)="Fin",1-$H96,IF(LEFT(TRIM(Paramètres!K42),1)="F",1,0)))),IF(Paramètres!L42="",0,IF(Paramètres!M42="",NA(),IF(LEFT(TRIM(Paramètres!M42),1)="F",INDEX($F$59:$F$111,MATCH(Paramètres!L42,Paramètres!$G$5:$G$57,0)),INDEX($E$59:$E$111,MATCH(Paramètres!L42,Paramètres!$G$5:$G$57,0)))+IF(RIGHT(TRIM(Paramètres!M42),3)="Fin",1-$H96,IF(LEFT(TRIM(Paramètres!M42),1)="F",1,0)))),IF(Paramètres!N42="",0,IF(Paramètres!O42="",NA(),IF(LEFT(TRIM(Paramètres!O42),1)="F",INDEX($F$59:$F$111,MATCH(Paramètres!N42,Paramètres!$G$5:$G$57,0)),INDEX($E$59:$E$111,MATCH(Paramètres!N42,Paramètres!$G$5:$G$57,0)))+IF(RIGHT(TRIM(Paramètres!O42),3)="Fin",1-$H96,IF(LEFT(TRIM(Paramètres!O42),1)="F",1,0)))))))</f>
        <v/>
      </c>
      <c r="F96" s="19">
        <f>IF($A96="","",E96+$H96-1)</f>
        <v/>
      </c>
      <c r="G96" s="18" t="n"/>
      <c r="H96" s="18">
        <f>IF($A96="","",IF(I96&lt;&gt;"",I96,Paramètres!B42))</f>
        <v/>
      </c>
      <c r="I96" s="18" t="n"/>
    </row>
    <row r="97">
      <c r="A97" s="18">
        <f>IF(ISNUMBER(Dossiers!$D$5),Dossiers!$A$5&amp;" · "&amp;Dossiers!$B$5,"")</f>
        <v/>
      </c>
      <c r="B97" s="18">
        <f>IF($A97="","",Paramètres!G43)</f>
        <v/>
      </c>
      <c r="C97" s="18">
        <f>IF($A97="","",IF(Paramètres!H43="","",Paramètres!H43))</f>
        <v/>
      </c>
      <c r="D97" s="18">
        <f>IF($A97="","",IF(Paramètres!I43="","",Paramètres!I43))</f>
        <v/>
      </c>
      <c r="E97" s="19">
        <f>IF($A97="","",IF(Paramètres!J43&amp;Paramètres!L43&amp;Paramètres!N43="",Dossiers!$D$5,MAX(IF(Paramètres!J43="",0,IF(Paramètres!K43="",NA(),IF(LEFT(TRIM(Paramètres!K43),1)="F",INDEX($F$59:$F$111,MATCH(Paramètres!J43,Paramètres!$G$5:$G$57,0)),INDEX($E$59:$E$111,MATCH(Paramètres!J43,Paramètres!$G$5:$G$57,0)))+IF(RIGHT(TRIM(Paramètres!K43),3)="Fin",1-$H97,IF(LEFT(TRIM(Paramètres!K43),1)="F",1,0)))),IF(Paramètres!L43="",0,IF(Paramètres!M43="",NA(),IF(LEFT(TRIM(Paramètres!M43),1)="F",INDEX($F$59:$F$111,MATCH(Paramètres!L43,Paramètres!$G$5:$G$57,0)),INDEX($E$59:$E$111,MATCH(Paramètres!L43,Paramètres!$G$5:$G$57,0)))+IF(RIGHT(TRIM(Paramètres!M43),3)="Fin",1-$H97,IF(LEFT(TRIM(Paramètres!M43),1)="F",1,0)))),IF(Paramètres!N43="",0,IF(Paramètres!O43="",NA(),IF(LEFT(TRIM(Paramètres!O43),1)="F",INDEX($F$59:$F$111,MATCH(Paramètres!N43,Paramètres!$G$5:$G$57,0)),INDEX($E$59:$E$111,MATCH(Paramètres!N43,Paramètres!$G$5:$G$57,0)))+IF(RIGHT(TRIM(Paramètres!O43),3)="Fin",1-$H97,IF(LEFT(TRIM(Paramètres!O43),1)="F",1,0)))))))</f>
        <v/>
      </c>
      <c r="F97" s="19">
        <f>IF($A97="","",E97+$H97-1)</f>
        <v/>
      </c>
      <c r="G97" s="18" t="n"/>
      <c r="H97" s="18">
        <f>IF($A97="","",IF(I97&lt;&gt;"",I97,Paramètres!B43))</f>
        <v/>
      </c>
      <c r="I97" s="18" t="n"/>
    </row>
    <row r="98">
      <c r="A98" s="18">
        <f>IF(ISNUMBER(Dossiers!$D$5),Dossiers!$A$5&amp;" · "&amp;Dossiers!$B$5,"")</f>
        <v/>
      </c>
      <c r="B98" s="18">
        <f>IF($A98="","",Paramètres!G44)</f>
        <v/>
      </c>
      <c r="C98" s="18">
        <f>IF($A98="","",IF(Paramètres!H44="","",Paramètres!H44))</f>
        <v/>
      </c>
      <c r="D98" s="18">
        <f>IF($A98="","",IF(Paramètres!I44="","",Paramètres!I44))</f>
        <v/>
      </c>
      <c r="E98" s="19">
        <f>IF($A98="","",IF(Paramètres!J44&amp;Paramètres!L44&amp;Paramètres!N44="",Dossiers!$D$5,MAX(IF(Paramètres!J44="",0,IF(Paramètres!K44="",NA(),IF(LEFT(TRIM(Paramètres!K44),1)="F",INDEX($F$59:$F$111,MATCH(Paramètres!J44,Paramètres!$G$5:$G$57,0)),INDEX($E$59:$E$111,MATCH(Paramètres!J44,Paramètres!$G$5:$G$57,0)))+IF(RIGHT(TRIM(Paramètres!K44),3)="Fin",1-$H98,IF(LEFT(TRIM(Paramètres!K44),1)="F",1,0)))),IF(Paramètres!L44="",0,IF(Paramètres!M44="",NA(),IF(LEFT(TRIM(Paramètres!M44),1)="F",INDEX($F$59:$F$111,MATCH(Paramètres!L44,Paramètres!$G$5:$G$57,0)),INDEX($E$59:$E$111,MATCH(Paramètres!L44,Paramètres!$G$5:$G$57,0)))+IF(RIGHT(TRIM(Paramètres!M44),3)="Fin",1-$H98,IF(LEFT(TRIM(Paramètres!M44),1)="F",1,0)))),IF(Paramètres!N44="",0,IF(Paramètres!O44="",NA(),IF(LEFT(TRIM(Paramètres!O44),1)="F",INDEX($F$59:$F$111,MATCH(Paramètres!N44,Paramètres!$G$5:$G$57,0)),INDEX($E$59:$E$111,MATCH(Paramètres!N44,Paramètres!$G$5:$G$57,0)))+IF(RIGHT(TRIM(Paramètres!O44),3)="Fin",1-$H98,IF(LEFT(TRIM(Paramètres!O44),1)="F",1,0)))))))</f>
        <v/>
      </c>
      <c r="F98" s="19">
        <f>IF($A98="","",E98+$H98-1)</f>
        <v/>
      </c>
      <c r="G98" s="18" t="n"/>
      <c r="H98" s="18">
        <f>IF($A98="","",IF(I98&lt;&gt;"",I98,Paramètres!B44))</f>
        <v/>
      </c>
      <c r="I98" s="18" t="n"/>
    </row>
    <row r="99">
      <c r="A99" s="18">
        <f>IF(ISNUMBER(Dossiers!$D$5),Dossiers!$A$5&amp;" · "&amp;Dossiers!$B$5,"")</f>
        <v/>
      </c>
      <c r="B99" s="18">
        <f>IF($A99="","",Paramètres!G45)</f>
        <v/>
      </c>
      <c r="C99" s="20">
        <f>IF($A99="","",IF(Dossiers!$G$5="","",Dossiers!$G$5))</f>
        <v/>
      </c>
      <c r="D99" s="18">
        <f>IF($A99="","",IF(Paramètres!I45="","",Paramètres!I45))</f>
        <v/>
      </c>
      <c r="E99" s="19">
        <f>IF($A99="","",IF(Paramètres!J45&amp;Paramètres!L45&amp;Paramètres!N45="",Dossiers!$D$5,MAX(IF(Paramètres!J45="",0,IF(Paramètres!K45="",NA(),IF(LEFT(TRIM(Paramètres!K45),1)="F",INDEX($F$59:$F$111,MATCH(Paramètres!J45,Paramètres!$G$5:$G$57,0)),INDEX($E$59:$E$111,MATCH(Paramètres!J45,Paramètres!$G$5:$G$57,0)))+IF(RIGHT(TRIM(Paramètres!K45),3)="Fin",1-$H99,IF(LEFT(TRIM(Paramètres!K45),1)="F",1,0)))),IF(Paramètres!L45="",0,IF(Paramètres!M45="",NA(),IF(LEFT(TRIM(Paramètres!M45),1)="F",INDEX($F$59:$F$111,MATCH(Paramètres!L45,Paramètres!$G$5:$G$57,0)),INDEX($E$59:$E$111,MATCH(Paramètres!L45,Paramètres!$G$5:$G$57,0)))+IF(RIGHT(TRIM(Paramètres!M45),3)="Fin",1-$H99,IF(LEFT(TRIM(Paramètres!M45),1)="F",1,0)))),IF(Paramètres!N45="",0,IF(Paramètres!O45="",NA(),IF(LEFT(TRIM(Paramètres!O45),1)="F",INDEX($F$59:$F$111,MATCH(Paramètres!N45,Paramètres!$G$5:$G$57,0)),INDEX($E$59:$E$111,MATCH(Paramètres!N45,Paramètres!$G$5:$G$57,0)))+IF(RIGHT(TRIM(Paramètres!O45),3)="Fin",1-$H99,IF(LEFT(TRIM(Paramètres!O45),1)="F",1,0)))))))</f>
        <v/>
      </c>
      <c r="F99" s="19">
        <f>IF($A99="","",E99+$H99-1)</f>
        <v/>
      </c>
      <c r="G99" s="18" t="n"/>
      <c r="H99" s="18">
        <f>IF($A99="","",IF(I99&lt;&gt;"",I99,Paramètres!B45))</f>
        <v/>
      </c>
      <c r="I99" s="18" t="n"/>
    </row>
    <row r="100">
      <c r="A100" s="18">
        <f>IF(ISNUMBER(Dossiers!$D$5),Dossiers!$A$5&amp;" · "&amp;Dossiers!$B$5,"")</f>
        <v/>
      </c>
      <c r="B100" s="18">
        <f>IF($A100="","",Paramètres!G46)</f>
        <v/>
      </c>
      <c r="C100" s="18">
        <f>IF($A100="","",IF(Paramètres!H46="","",Paramètres!H46))</f>
        <v/>
      </c>
      <c r="D100" s="18">
        <f>IF($A100="","",IF(Paramètres!I46="","",Paramètres!I46))</f>
        <v/>
      </c>
      <c r="E100" s="19">
        <f>IF($A100="","",IF(Paramètres!J46&amp;Paramètres!L46&amp;Paramètres!N46="",Dossiers!$D$5,MAX(IF(Paramètres!J46="",0,IF(Paramètres!K46="",NA(),IF(LEFT(TRIM(Paramètres!K46),1)="F",INDEX($F$59:$F$111,MATCH(Paramètres!J46,Paramètres!$G$5:$G$57,0)),INDEX($E$59:$E$111,MATCH(Paramètres!J46,Paramètres!$G$5:$G$57,0)))+IF(RIGHT(TRIM(Paramètres!K46),3)="Fin",1-$H100,IF(LEFT(TRIM(Paramètres!K46),1)="F",1,0)))),IF(Paramètres!L46="",0,IF(Paramètres!M46="",NA(),IF(LEFT(TRIM(Paramètres!M46),1)="F",INDEX($F$59:$F$111,MATCH(Paramètres!L46,Paramètres!$G$5:$G$57,0)),INDEX($E$59:$E$111,MATCH(Paramètres!L46,Paramètres!$G$5:$G$57,0)))+IF(RIGHT(TRIM(Paramètres!M46),3)="Fin",1-$H100,IF(LEFT(TRIM(Paramètres!M46),1)="F",1,0)))),IF(Paramètres!N46="",0,IF(Paramètres!O46="",NA(),IF(LEFT(TRIM(Paramètres!O46),1)="F",INDEX($F$59:$F$111,MATCH(Paramètres!N46,Paramètres!$G$5:$G$57,0)),INDEX($E$59:$E$111,MATCH(Paramètres!N46,Paramètres!$G$5:$G$57,0)))+IF(RIGHT(TRIM(Paramètres!O46),3)="Fin",1-$H100,IF(LEFT(TRIM(Paramètres!O46),1)="F",1,0)))))))</f>
        <v/>
      </c>
      <c r="F100" s="19">
        <f>IF($A100="","",E100+$H100-1)</f>
        <v/>
      </c>
      <c r="G100" s="18" t="n"/>
      <c r="H100" s="18">
        <f>IF($A100="","",IF(I100&lt;&gt;"",I100,Paramètres!B46))</f>
        <v/>
      </c>
      <c r="I100" s="18" t="n"/>
    </row>
    <row r="101">
      <c r="A101" s="18">
        <f>IF(ISNUMBER(Dossiers!$D$5),Dossiers!$A$5&amp;" · "&amp;Dossiers!$B$5,"")</f>
        <v/>
      </c>
      <c r="B101" s="18">
        <f>IF($A101="","",Paramètres!G47)</f>
        <v/>
      </c>
      <c r="C101" s="18">
        <f>IF($A101="","",IF(Paramètres!H47="","",Paramètres!H47))</f>
        <v/>
      </c>
      <c r="D101" s="18">
        <f>IF($A101="","",IF(Paramètres!I47="","",Paramètres!I47))</f>
        <v/>
      </c>
      <c r="E101" s="19">
        <f>IF($A101="","",IF(Paramètres!J47&amp;Paramètres!L47&amp;Paramètres!N47="",Dossiers!$D$5,MAX(IF(Paramètres!J47="",0,IF(Paramètres!K47="",NA(),IF(LEFT(TRIM(Paramètres!K47),1)="F",INDEX($F$59:$F$111,MATCH(Paramètres!J47,Paramètres!$G$5:$G$57,0)),INDEX($E$59:$E$111,MATCH(Paramètres!J47,Paramètres!$G$5:$G$57,0)))+IF(RIGHT(TRIM(Paramètres!K47),3)="Fin",1-$H101,IF(LEFT(TRIM(Paramètres!K47),1)="F",1,0)))),IF(Paramètres!L47="",0,IF(Paramètres!M47="",NA(),IF(LEFT(TRIM(Paramètres!M47),1)="F",INDEX($F$59:$F$111,MATCH(Paramètres!L47,Paramètres!$G$5:$G$57,0)),INDEX($E$59:$E$111,MATCH(Paramètres!L47,Paramètres!$G$5:$G$57,0)))+IF(RIGHT(TRIM(Paramètres!M47),3)="Fin",1-$H101,IF(LEFT(TRIM(Paramètres!M47),1)="F",1,0)))),IF(Paramètres!N47="",0,IF(Paramètres!O47="",NA(),IF(LEFT(TRIM(Paramètres!O47),1)="F",INDEX($F$59:$F$111,MATCH(Paramètres!N47,Paramètres!$G$5:$G$57,0)),INDEX($E$59:$E$111,MATCH(Paramètres!N47,Paramètres!$G$5:$G$57,0)))+IF(RIGHT(TRIM(Paramètres!O47),3)="Fin",1-$H101,IF(LEFT(TRIM(Paramètres!O47),1)="F",1,0)))))))</f>
        <v/>
      </c>
      <c r="F101" s="19">
        <f>IF($A101="","",E101+$H101-1)</f>
        <v/>
      </c>
      <c r="G101" s="18" t="n"/>
      <c r="H101" s="18">
        <f>IF($A101="","",IF(I101&lt;&gt;"",I101,Paramètres!B47))</f>
        <v/>
      </c>
      <c r="I101" s="18" t="n"/>
    </row>
    <row r="102">
      <c r="A102" s="18">
        <f>IF(ISNUMBER(Dossiers!$D$5),Dossiers!$A$5&amp;" · "&amp;Dossiers!$B$5,"")</f>
        <v/>
      </c>
      <c r="B102" s="18">
        <f>IF($A102="","",Paramètres!G48)</f>
        <v/>
      </c>
      <c r="C102" s="18">
        <f>IF($A102="","",IF(Paramètres!H48="","",Paramètres!H48))</f>
        <v/>
      </c>
      <c r="D102" s="18">
        <f>IF($A102="","",IF(Paramètres!I48="","",Paramètres!I48))</f>
        <v/>
      </c>
      <c r="E102" s="19">
        <f>IF($A102="","",IF(Paramètres!J48&amp;Paramètres!L48&amp;Paramètres!N48="",Dossiers!$D$5,MAX(IF(Paramètres!J48="",0,IF(Paramètres!K48="",NA(),IF(LEFT(TRIM(Paramètres!K48),1)="F",INDEX($F$59:$F$111,MATCH(Paramètres!J48,Paramètres!$G$5:$G$57,0)),INDEX($E$59:$E$111,MATCH(Paramètres!J48,Paramètres!$G$5:$G$57,0)))+IF(RIGHT(TRIM(Paramètres!K48),3)="Fin",1-$H102,IF(LEFT(TRIM(Paramètres!K48),1)="F",1,0)))),IF(Paramètres!L48="",0,IF(Paramètres!M48="",NA(),IF(LEFT(TRIM(Paramètres!M48),1)="F",INDEX($F$59:$F$111,MATCH(Paramètres!L48,Paramètres!$G$5:$G$57,0)),INDEX($E$59:$E$111,MATCH(Paramètres!L48,Paramètres!$G$5:$G$57,0)))+IF(RIGHT(TRIM(Paramètres!M48),3)="Fin",1-$H102,IF(LEFT(TRIM(Paramètres!M48),1)="F",1,0)))),IF(Paramètres!N48="",0,IF(Paramètres!O48="",NA(),IF(LEFT(TRIM(Paramètres!O48),1)="F",INDEX($F$59:$F$111,MATCH(Paramètres!N48,Paramètres!$G$5:$G$57,0)),INDEX($E$59:$E$111,MATCH(Paramètres!N48,Paramètres!$G$5:$G$57,0)))+IF(RIGHT(TRIM(Paramètres!O48),3)="Fin",1-$H102,IF(LEFT(TRIM(Paramètres!O48),1)="F",1,0)))))))</f>
        <v/>
      </c>
      <c r="F102" s="19">
        <f>IF($A102="","",E102+$H102-1)</f>
        <v/>
      </c>
      <c r="G102" s="18" t="n"/>
      <c r="H102" s="18">
        <f>IF($A102="","",IF(I102&lt;&gt;"",I102,Paramètres!B48))</f>
        <v/>
      </c>
      <c r="I102" s="18" t="n"/>
    </row>
    <row r="103">
      <c r="A103" s="18">
        <f>IF(ISNUMBER(Dossiers!$D$5),Dossiers!$A$5&amp;" · "&amp;Dossiers!$B$5,"")</f>
        <v/>
      </c>
      <c r="B103" s="18">
        <f>IF($A103="","",Paramètres!G49)</f>
        <v/>
      </c>
      <c r="C103" s="18">
        <f>IF($A103="","",IF(Paramètres!H49="","",Paramètres!H49))</f>
        <v/>
      </c>
      <c r="D103" s="18">
        <f>IF($A103="","",IF(Paramètres!I49="","",Paramètres!I49))</f>
        <v/>
      </c>
      <c r="E103" s="19">
        <f>IF($A103="","",IF(Paramètres!J49&amp;Paramètres!L49&amp;Paramètres!N49="",Dossiers!$D$5,MAX(IF(Paramètres!J49="",0,IF(Paramètres!K49="",NA(),IF(LEFT(TRIM(Paramètres!K49),1)="F",INDEX($F$59:$F$111,MATCH(Paramètres!J49,Paramètres!$G$5:$G$57,0)),INDEX($E$59:$E$111,MATCH(Paramètres!J49,Paramètres!$G$5:$G$57,0)))+IF(RIGHT(TRIM(Paramètres!K49),3)="Fin",1-$H103,IF(LEFT(TRIM(Paramètres!K49),1)="F",1,0)))),IF(Paramètres!L49="",0,IF(Paramètres!M49="",NA(),IF(LEFT(TRIM(Paramètres!M49),1)="F",INDEX($F$59:$F$111,MATCH(Paramètres!L49,Paramètres!$G$5:$G$57,0)),INDEX($E$59:$E$111,MATCH(Paramètres!L49,Paramètres!$G$5:$G$57,0)))+IF(RIGHT(TRIM(Paramètres!M49),3)="Fin",1-$H103,IF(LEFT(TRIM(Paramètres!M49),1)="F",1,0)))),IF(Paramètres!N49="",0,IF(Paramètres!O49="",NA(),IF(LEFT(TRIM(Paramètres!O49),1)="F",INDEX($F$59:$F$111,MATCH(Paramètres!N49,Paramètres!$G$5:$G$57,0)),INDEX($E$59:$E$111,MATCH(Paramètres!N49,Paramètres!$G$5:$G$57,0)))+IF(RIGHT(TRIM(Paramètres!O49),3)="Fin",1-$H103,IF(LEFT(TRIM(Paramètres!O49),1)="F",1,0)))))))</f>
        <v/>
      </c>
      <c r="F103" s="19">
        <f>IF($A103="","",E103+$H103-1)</f>
        <v/>
      </c>
      <c r="G103" s="18" t="n"/>
      <c r="H103" s="18">
        <f>IF($A103="","",IF(I103&lt;&gt;"",I103,Paramètres!B49))</f>
        <v/>
      </c>
      <c r="I103" s="18" t="n"/>
    </row>
    <row r="104">
      <c r="A104" s="18">
        <f>IF(ISNUMBER(Dossiers!$D$5),Dossiers!$A$5&amp;" · "&amp;Dossiers!$B$5,"")</f>
        <v/>
      </c>
      <c r="B104" s="18">
        <f>IF($A104="","",Paramètres!G50)</f>
        <v/>
      </c>
      <c r="C104" s="18">
        <f>IF($A104="","",IF(Paramètres!H50="","",Paramètres!H50))</f>
        <v/>
      </c>
      <c r="D104" s="18">
        <f>IF($A104="","",IF(Paramètres!I50="","",Paramètres!I50))</f>
        <v/>
      </c>
      <c r="E104" s="19">
        <f>IF($A104="","",IF(Paramètres!J50&amp;Paramètres!L50&amp;Paramètres!N50="",Dossiers!$D$5,MAX(IF(Paramètres!J50="",0,IF(Paramètres!K50="",NA(),IF(LEFT(TRIM(Paramètres!K50),1)="F",INDEX($F$59:$F$111,MATCH(Paramètres!J50,Paramètres!$G$5:$G$57,0)),INDEX($E$59:$E$111,MATCH(Paramètres!J50,Paramètres!$G$5:$G$57,0)))+IF(RIGHT(TRIM(Paramètres!K50),3)="Fin",1-$H104,IF(LEFT(TRIM(Paramètres!K50),1)="F",1,0)))),IF(Paramètres!L50="",0,IF(Paramètres!M50="",NA(),IF(LEFT(TRIM(Paramètres!M50),1)="F",INDEX($F$59:$F$111,MATCH(Paramètres!L50,Paramètres!$G$5:$G$57,0)),INDEX($E$59:$E$111,MATCH(Paramètres!L50,Paramètres!$G$5:$G$57,0)))+IF(RIGHT(TRIM(Paramètres!M50),3)="Fin",1-$H104,IF(LEFT(TRIM(Paramètres!M50),1)="F",1,0)))),IF(Paramètres!N50="",0,IF(Paramètres!O50="",NA(),IF(LEFT(TRIM(Paramètres!O50),1)="F",INDEX($F$59:$F$111,MATCH(Paramètres!N50,Paramètres!$G$5:$G$57,0)),INDEX($E$59:$E$111,MATCH(Paramètres!N50,Paramètres!$G$5:$G$57,0)))+IF(RIGHT(TRIM(Paramètres!O50),3)="Fin",1-$H104,IF(LEFT(TRIM(Paramètres!O50),1)="F",1,0)))))))</f>
        <v/>
      </c>
      <c r="F104" s="19">
        <f>IF($A104="","",E104+$H104-1)</f>
        <v/>
      </c>
      <c r="G104" s="18" t="n"/>
      <c r="H104" s="18">
        <f>IF($A104="","",IF(I104&lt;&gt;"",I104,Paramètres!B50))</f>
        <v/>
      </c>
      <c r="I104" s="18" t="n"/>
    </row>
    <row r="105">
      <c r="A105" s="18">
        <f>IF(ISNUMBER(Dossiers!$D$5),Dossiers!$A$5&amp;" · "&amp;Dossiers!$B$5,"")</f>
        <v/>
      </c>
      <c r="B105" s="18">
        <f>IF($A105="","",Paramètres!G51)</f>
        <v/>
      </c>
      <c r="C105" s="18">
        <f>IF($A105="","",IF(Paramètres!H51="","",Paramètres!H51))</f>
        <v/>
      </c>
      <c r="D105" s="18">
        <f>IF($A105="","",IF(Paramètres!I51="","",Paramètres!I51))</f>
        <v/>
      </c>
      <c r="E105" s="19">
        <f>IF($A105="","",IF(Paramètres!J51&amp;Paramètres!L51&amp;Paramètres!N51="",Dossiers!$D$5,MAX(IF(Paramètres!J51="",0,IF(Paramètres!K51="",NA(),IF(LEFT(TRIM(Paramètres!K51),1)="F",INDEX($F$59:$F$111,MATCH(Paramètres!J51,Paramètres!$G$5:$G$57,0)),INDEX($E$59:$E$111,MATCH(Paramètres!J51,Paramètres!$G$5:$G$57,0)))+IF(RIGHT(TRIM(Paramètres!K51),3)="Fin",1-$H105,IF(LEFT(TRIM(Paramètres!K51),1)="F",1,0)))),IF(Paramètres!L51="",0,IF(Paramètres!M51="",NA(),IF(LEFT(TRIM(Paramètres!M51),1)="F",INDEX($F$59:$F$111,MATCH(Paramètres!L51,Paramètres!$G$5:$G$57,0)),INDEX($E$59:$E$111,MATCH(Paramètres!L51,Paramètres!$G$5:$G$57,0)))+IF(RIGHT(TRIM(Paramètres!M51),3)="Fin",1-$H105,IF(LEFT(TRIM(Paramètres!M51),1)="F",1,0)))),IF(Paramètres!N51="",0,IF(Paramètres!O51="",NA(),IF(LEFT(TRIM(Paramètres!O51),1)="F",INDEX($F$59:$F$111,MATCH(Paramètres!N51,Paramètres!$G$5:$G$57,0)),INDEX($E$59:$E$111,MATCH(Paramètres!N51,Paramètres!$G$5:$G$57,0)))+IF(RIGHT(TRIM(Paramètres!O51),3)="Fin",1-$H105,IF(LEFT(TRIM(Paramètres!O51),1)="F",1,0)))))))</f>
        <v/>
      </c>
      <c r="F105" s="19">
        <f>IF($A105="","",E105+$H105-1)</f>
        <v/>
      </c>
      <c r="G105" s="18" t="n"/>
      <c r="H105" s="18">
        <f>IF($A105="","",IF(I105&lt;&gt;"",I105,Paramètres!B51))</f>
        <v/>
      </c>
      <c r="I105" s="18" t="n"/>
    </row>
    <row r="106">
      <c r="A106" s="18">
        <f>IF(ISNUMBER(Dossiers!$D$5),Dossiers!$A$5&amp;" · "&amp;Dossiers!$B$5,"")</f>
        <v/>
      </c>
      <c r="B106" s="18">
        <f>IF($A106="","",Paramètres!G52)</f>
        <v/>
      </c>
      <c r="C106" s="18">
        <f>IF($A106="","",IF(Paramètres!H52="","",Paramètres!H52))</f>
        <v/>
      </c>
      <c r="D106" s="18">
        <f>IF($A106="","",IF(Paramètres!I52="","",Paramètres!I52))</f>
        <v/>
      </c>
      <c r="E106" s="19">
        <f>IF($A106="","",IF(Paramètres!J52&amp;Paramètres!L52&amp;Paramètres!N52="",Dossiers!$D$5,MAX(IF(Paramètres!J52="",0,IF(Paramètres!K52="",NA(),IF(LEFT(TRIM(Paramètres!K52),1)="F",INDEX($F$59:$F$111,MATCH(Paramètres!J52,Paramètres!$G$5:$G$57,0)),INDEX($E$59:$E$111,MATCH(Paramètres!J52,Paramètres!$G$5:$G$57,0)))+IF(RIGHT(TRIM(Paramètres!K52),3)="Fin",1-$H106,IF(LEFT(TRIM(Paramètres!K52),1)="F",1,0)))),IF(Paramètres!L52="",0,IF(Paramètres!M52="",NA(),IF(LEFT(TRIM(Paramètres!M52),1)="F",INDEX($F$59:$F$111,MATCH(Paramètres!L52,Paramètres!$G$5:$G$57,0)),INDEX($E$59:$E$111,MATCH(Paramètres!L52,Paramètres!$G$5:$G$57,0)))+IF(RIGHT(TRIM(Paramètres!M52),3)="Fin",1-$H106,IF(LEFT(TRIM(Paramètres!M52),1)="F",1,0)))),IF(Paramètres!N52="",0,IF(Paramètres!O52="",NA(),IF(LEFT(TRIM(Paramètres!O52),1)="F",INDEX($F$59:$F$111,MATCH(Paramètres!N52,Paramètres!$G$5:$G$57,0)),INDEX($E$59:$E$111,MATCH(Paramètres!N52,Paramètres!$G$5:$G$57,0)))+IF(RIGHT(TRIM(Paramètres!O52),3)="Fin",1-$H106,IF(LEFT(TRIM(Paramètres!O52),1)="F",1,0)))))))</f>
        <v/>
      </c>
      <c r="F106" s="19">
        <f>IF($A106="","",E106+$H106-1)</f>
        <v/>
      </c>
      <c r="G106" s="18" t="n"/>
      <c r="H106" s="18">
        <f>IF($A106="","",IF(I106&lt;&gt;"",I106,Paramètres!B52))</f>
        <v/>
      </c>
      <c r="I106" s="18" t="n"/>
    </row>
    <row r="107">
      <c r="A107" s="18">
        <f>IF(ISNUMBER(Dossiers!$D$5),Dossiers!$A$5&amp;" · "&amp;Dossiers!$B$5,"")</f>
        <v/>
      </c>
      <c r="B107" s="18">
        <f>IF($A107="","",Paramètres!G53)</f>
        <v/>
      </c>
      <c r="C107" s="18">
        <f>IF($A107="","",IF(Paramètres!H53="","",Paramètres!H53))</f>
        <v/>
      </c>
      <c r="D107" s="18">
        <f>IF($A107="","",IF(Paramètres!I53="","",Paramètres!I53))</f>
        <v/>
      </c>
      <c r="E107" s="19">
        <f>IF($A107="","",IF(Paramètres!J53&amp;Paramètres!L53&amp;Paramètres!N53="",Dossiers!$D$5,MAX(IF(Paramètres!J53="",0,IF(Paramètres!K53="",NA(),IF(LEFT(TRIM(Paramètres!K53),1)="F",INDEX($F$59:$F$111,MATCH(Paramètres!J53,Paramètres!$G$5:$G$57,0)),INDEX($E$59:$E$111,MATCH(Paramètres!J53,Paramètres!$G$5:$G$57,0)))+IF(RIGHT(TRIM(Paramètres!K53),3)="Fin",1-$H107,IF(LEFT(TRIM(Paramètres!K53),1)="F",1,0)))),IF(Paramètres!L53="",0,IF(Paramètres!M53="",NA(),IF(LEFT(TRIM(Paramètres!M53),1)="F",INDEX($F$59:$F$111,MATCH(Paramètres!L53,Paramètres!$G$5:$G$57,0)),INDEX($E$59:$E$111,MATCH(Paramètres!L53,Paramètres!$G$5:$G$57,0)))+IF(RIGHT(TRIM(Paramètres!M53),3)="Fin",1-$H107,IF(LEFT(TRIM(Paramètres!M53),1)="F",1,0)))),IF(Paramètres!N53="",0,IF(Paramètres!O53="",NA(),IF(LEFT(TRIM(Paramètres!O53),1)="F",INDEX($F$59:$F$111,MATCH(Paramètres!N53,Paramètres!$G$5:$G$57,0)),INDEX($E$59:$E$111,MATCH(Paramètres!N53,Paramètres!$G$5:$G$57,0)))+IF(RIGHT(TRIM(Paramètres!O53),3)="Fin",1-$H107,IF(LEFT(TRIM(Paramètres!O53),1)="F",1,0)))))))</f>
        <v/>
      </c>
      <c r="F107" s="19">
        <f>IF($A107="","",E107+$H107-1)</f>
        <v/>
      </c>
      <c r="G107" s="18" t="n"/>
      <c r="H107" s="18">
        <f>IF($A107="","",IF(I107&lt;&gt;"",I107,Paramètres!B53))</f>
        <v/>
      </c>
      <c r="I107" s="18" t="n"/>
    </row>
    <row r="108">
      <c r="A108" s="18">
        <f>IF(ISNUMBER(Dossiers!$D$5),Dossiers!$A$5&amp;" · "&amp;Dossiers!$B$5,"")</f>
        <v/>
      </c>
      <c r="B108" s="18">
        <f>IF($A108="","",Paramètres!G54)</f>
        <v/>
      </c>
      <c r="C108" s="18">
        <f>IF($A108="","",IF(Paramètres!H54="","",Paramètres!H54))</f>
        <v/>
      </c>
      <c r="D108" s="18">
        <f>IF($A108="","",IF(Paramètres!I54="","",Paramètres!I54))</f>
        <v/>
      </c>
      <c r="E108" s="19">
        <f>IF($A108="","",IF(Paramètres!J54&amp;Paramètres!L54&amp;Paramètres!N54="",Dossiers!$D$5,MAX(IF(Paramètres!J54="",0,IF(Paramètres!K54="",NA(),IF(LEFT(TRIM(Paramètres!K54),1)="F",INDEX($F$59:$F$111,MATCH(Paramètres!J54,Paramètres!$G$5:$G$57,0)),INDEX($E$59:$E$111,MATCH(Paramètres!J54,Paramètres!$G$5:$G$57,0)))+IF(RIGHT(TRIM(Paramètres!K54),3)="Fin",1-$H108,IF(LEFT(TRIM(Paramètres!K54),1)="F",1,0)))),IF(Paramètres!L54="",0,IF(Paramètres!M54="",NA(),IF(LEFT(TRIM(Paramètres!M54),1)="F",INDEX($F$59:$F$111,MATCH(Paramètres!L54,Paramètres!$G$5:$G$57,0)),INDEX($E$59:$E$111,MATCH(Paramètres!L54,Paramètres!$G$5:$G$57,0)))+IF(RIGHT(TRIM(Paramètres!M54),3)="Fin",1-$H108,IF(LEFT(TRIM(Paramètres!M54),1)="F",1,0)))),IF(Paramètres!N54="",0,IF(Paramètres!O54="",NA(),IF(LEFT(TRIM(Paramètres!O54),1)="F",INDEX($F$59:$F$111,MATCH(Paramètres!N54,Paramètres!$G$5:$G$57,0)),INDEX($E$59:$E$111,MATCH(Paramètres!N54,Paramètres!$G$5:$G$57,0)))+IF(RIGHT(TRIM(Paramètres!O54),3)="Fin",1-$H108,IF(LEFT(TRIM(Paramètres!O54),1)="F",1,0)))))))</f>
        <v/>
      </c>
      <c r="F108" s="19">
        <f>IF($A108="","",E108+$H108-1)</f>
        <v/>
      </c>
      <c r="G108" s="18" t="n"/>
      <c r="H108" s="18">
        <f>IF($A108="","",IF(I108&lt;&gt;"",I108,Paramètres!B54))</f>
        <v/>
      </c>
      <c r="I108" s="18" t="n"/>
    </row>
    <row r="109">
      <c r="A109" s="18">
        <f>IF(ISNUMBER(Dossiers!$D$5),Dossiers!$A$5&amp;" · "&amp;Dossiers!$B$5,"")</f>
        <v/>
      </c>
      <c r="B109" s="18">
        <f>IF($A109="","",Paramètres!G55)</f>
        <v/>
      </c>
      <c r="C109" s="18">
        <f>IF($A109="","",IF(Paramètres!H55="","",Paramètres!H55))</f>
        <v/>
      </c>
      <c r="D109" s="18">
        <f>IF($A109="","",IF(Paramètres!I55="","",Paramètres!I55))</f>
        <v/>
      </c>
      <c r="E109" s="19">
        <f>IF($A109="","",IF(Paramètres!J55&amp;Paramètres!L55&amp;Paramètres!N55="",Dossiers!$D$5,MAX(IF(Paramètres!J55="",0,IF(Paramètres!K55="",NA(),IF(LEFT(TRIM(Paramètres!K55),1)="F",INDEX($F$59:$F$111,MATCH(Paramètres!J55,Paramètres!$G$5:$G$57,0)),INDEX($E$59:$E$111,MATCH(Paramètres!J55,Paramètres!$G$5:$G$57,0)))+IF(RIGHT(TRIM(Paramètres!K55),3)="Fin",1-$H109,IF(LEFT(TRIM(Paramètres!K55),1)="F",1,0)))),IF(Paramètres!L55="",0,IF(Paramètres!M55="",NA(),IF(LEFT(TRIM(Paramètres!M55),1)="F",INDEX($F$59:$F$111,MATCH(Paramètres!L55,Paramètres!$G$5:$G$57,0)),INDEX($E$59:$E$111,MATCH(Paramètres!L55,Paramètres!$G$5:$G$57,0)))+IF(RIGHT(TRIM(Paramètres!M55),3)="Fin",1-$H109,IF(LEFT(TRIM(Paramètres!M55),1)="F",1,0)))),IF(Paramètres!N55="",0,IF(Paramètres!O55="",NA(),IF(LEFT(TRIM(Paramètres!O55),1)="F",INDEX($F$59:$F$111,MATCH(Paramètres!N55,Paramètres!$G$5:$G$57,0)),INDEX($E$59:$E$111,MATCH(Paramètres!N55,Paramètres!$G$5:$G$57,0)))+IF(RIGHT(TRIM(Paramètres!O55),3)="Fin",1-$H109,IF(LEFT(TRIM(Paramètres!O55),1)="F",1,0)))))))</f>
        <v/>
      </c>
      <c r="F109" s="19">
        <f>IF($A109="","",E109+$H109-1)</f>
        <v/>
      </c>
      <c r="G109" s="18" t="n"/>
      <c r="H109" s="18">
        <f>IF($A109="","",IF(I109&lt;&gt;"",I109,Paramètres!B55))</f>
        <v/>
      </c>
      <c r="I109" s="18" t="n"/>
    </row>
    <row r="110">
      <c r="A110" s="18">
        <f>IF(ISNUMBER(Dossiers!$D$5),Dossiers!$A$5&amp;" · "&amp;Dossiers!$B$5,"")</f>
        <v/>
      </c>
      <c r="B110" s="18">
        <f>IF($A110="","",Paramètres!G56)</f>
        <v/>
      </c>
      <c r="C110" s="18">
        <f>IF($A110="","",IF(Paramètres!H56="","",Paramètres!H56))</f>
        <v/>
      </c>
      <c r="D110" s="18">
        <f>IF($A110="","",IF(Paramètres!I56="","",Paramètres!I56))</f>
        <v/>
      </c>
      <c r="E110" s="19">
        <f>IF($A110="","",MIN(E111:E111))</f>
        <v/>
      </c>
      <c r="F110" s="19">
        <f>IF($A110="","",MAX(F111:F111))</f>
        <v/>
      </c>
      <c r="G110" s="18" t="n"/>
      <c r="H110" s="18">
        <f>IF($A110="","",F110-E110+1)</f>
        <v/>
      </c>
      <c r="I110" s="18" t="n"/>
    </row>
    <row r="111">
      <c r="A111" s="18">
        <f>IF(ISNUMBER(Dossiers!$D$5),Dossiers!$A$5&amp;" · "&amp;Dossiers!$B$5,"")</f>
        <v/>
      </c>
      <c r="B111" s="18">
        <f>IF($A111="","",Paramètres!G57)</f>
        <v/>
      </c>
      <c r="C111" s="18">
        <f>IF($A111="","",IF(Paramètres!H57="","",Paramètres!H57))</f>
        <v/>
      </c>
      <c r="D111" s="18">
        <f>IF($A111="","",IF(Paramètres!I57="","",Paramètres!I57))</f>
        <v/>
      </c>
      <c r="E111" s="19">
        <f>IF($A111="","",IF(Paramètres!J57&amp;Paramètres!L57&amp;Paramètres!N57="",Dossiers!$D$5,MAX(IF(Paramètres!J57="",0,IF(Paramètres!K57="",NA(),IF(LEFT(TRIM(Paramètres!K57),1)="F",INDEX($F$59:$F$111,MATCH(Paramètres!J57,Paramètres!$G$5:$G$57,0)),INDEX($E$59:$E$111,MATCH(Paramètres!J57,Paramètres!$G$5:$G$57,0)))+IF(RIGHT(TRIM(Paramètres!K57),3)="Fin",1-$H111,IF(LEFT(TRIM(Paramètres!K57),1)="F",1,0)))),IF(Paramètres!L57="",0,IF(Paramètres!M57="",NA(),IF(LEFT(TRIM(Paramètres!M57),1)="F",INDEX($F$59:$F$111,MATCH(Paramètres!L57,Paramètres!$G$5:$G$57,0)),INDEX($E$59:$E$111,MATCH(Paramètres!L57,Paramètres!$G$5:$G$57,0)))+IF(RIGHT(TRIM(Paramètres!M57),3)="Fin",1-$H111,IF(LEFT(TRIM(Paramètres!M57),1)="F",1,0)))),IF(Paramètres!N57="",0,IF(Paramètres!O57="",NA(),IF(LEFT(TRIM(Paramètres!O57),1)="F",INDEX($F$59:$F$111,MATCH(Paramètres!N57,Paramètres!$G$5:$G$57,0)),INDEX($E$59:$E$111,MATCH(Paramètres!N57,Paramètres!$G$5:$G$57,0)))+IF(RIGHT(TRIM(Paramètres!O57),3)="Fin",1-$H111,IF(LEFT(TRIM(Paramètres!O57),1)="F",1,0)))))))</f>
        <v/>
      </c>
      <c r="F111" s="19">
        <f>IF($A111="","",E111+$H111-1)</f>
        <v/>
      </c>
      <c r="G111" s="18" t="n"/>
      <c r="H111" s="18">
        <f>IF($A111="","",IF(I111&lt;&gt;"",I111,Paramètres!B57))</f>
        <v/>
      </c>
      <c r="I111" s="18" t="n"/>
    </row>
    <row r="112">
      <c r="A112" s="16">
        <f>IF(ISNUMBER(Dossiers!$D$6),Dossiers!$E$6,"")</f>
        <v/>
      </c>
      <c r="B112" s="16">
        <f>IF($A112="","","Identifiant")</f>
        <v/>
      </c>
      <c r="C112" s="16">
        <f>IF($A112="","","Macro Etape")</f>
        <v/>
      </c>
      <c r="D112" s="16">
        <f>IF($A112="","","Etape")</f>
        <v/>
      </c>
      <c r="E112" s="17">
        <f>IF($A112="","","Début le")</f>
        <v/>
      </c>
      <c r="F112" s="17">
        <f>IF($A112="","","Fin prévue le")</f>
        <v/>
      </c>
      <c r="G112" s="16">
        <f>IF($A112="","","Statut")</f>
        <v/>
      </c>
      <c r="H112" s="16">
        <f>IF($A112="","","Durée (jours)")</f>
        <v/>
      </c>
      <c r="I112" s="16">
        <f>IF($A112="","","Durée particulière")</f>
        <v/>
      </c>
      <c r="J112" s="10">
        <f>IF($A112="","",HYPERLINK("#'Tableau de bord'!A1","↑ Tableau de bord"))</f>
        <v/>
      </c>
    </row>
    <row r="113">
      <c r="A113" s="18">
        <f>IF(ISNUMBER(Dossiers!$D$6),Dossiers!$A$6&amp;" · "&amp;Dossiers!$B$6,"")</f>
        <v/>
      </c>
      <c r="B113" s="18">
        <f>IF($A113="","",Paramètres!G5)</f>
        <v/>
      </c>
      <c r="C113" s="18">
        <f>IF($A113="","",IF(Paramètres!H5="","",Paramètres!H5))</f>
        <v/>
      </c>
      <c r="D113" s="18">
        <f>IF($A113="","",IF(Paramètres!I5="","",Paramètres!I5))</f>
        <v/>
      </c>
      <c r="E113" s="19">
        <f>IF($A113="","",MIN(E114:E117))</f>
        <v/>
      </c>
      <c r="F113" s="19">
        <f>IF($A113="","",MAX(F114:F117))</f>
        <v/>
      </c>
      <c r="G113" s="18" t="n"/>
      <c r="H113" s="18">
        <f>IF($A113="","",F113-E113+1)</f>
        <v/>
      </c>
      <c r="I113" s="18" t="n"/>
    </row>
    <row r="114">
      <c r="A114" s="18">
        <f>IF(ISNUMBER(Dossiers!$D$6),Dossiers!$A$6&amp;" · "&amp;Dossiers!$B$6,"")</f>
        <v/>
      </c>
      <c r="B114" s="18">
        <f>IF($A114="","",Paramètres!G6)</f>
        <v/>
      </c>
      <c r="C114" s="18">
        <f>IF($A114="","",IF(Paramètres!H6="","",Paramètres!H6))</f>
        <v/>
      </c>
      <c r="D114" s="18">
        <f>IF($A114="","",IF(Paramètres!I6="","",Paramètres!I6))</f>
        <v/>
      </c>
      <c r="E114" s="19">
        <f>IF($A114="","",IF(Paramètres!J6&amp;Paramètres!L6&amp;Paramètres!N6="",Dossiers!$D$6,MAX(IF(Paramètres!J6="",0,IF(Paramètres!K6="",NA(),IF(LEFT(TRIM(Paramètres!K6),1)="F",INDEX($F$113:$F$165,MATCH(Paramètres!J6,Paramètres!$G$5:$G$57,0)),INDEX($E$113:$E$165,MATCH(Paramètres!J6,Paramètres!$G$5:$G$57,0)))+IF(RIGHT(TRIM(Paramètres!K6),3)="Fin",1-$H114,IF(LEFT(TRIM(Paramètres!K6),1)="F",1,0)))),IF(Paramètres!L6="",0,IF(Paramètres!M6="",NA(),IF(LEFT(TRIM(Paramètres!M6),1)="F",INDEX($F$113:$F$165,MATCH(Paramètres!L6,Paramètres!$G$5:$G$57,0)),INDEX($E$113:$E$165,MATCH(Paramètres!L6,Paramètres!$G$5:$G$57,0)))+IF(RIGHT(TRIM(Paramètres!M6),3)="Fin",1-$H114,IF(LEFT(TRIM(Paramètres!M6),1)="F",1,0)))),IF(Paramètres!N6="",0,IF(Paramètres!O6="",NA(),IF(LEFT(TRIM(Paramètres!O6),1)="F",INDEX($F$113:$F$165,MATCH(Paramètres!N6,Paramètres!$G$5:$G$57,0)),INDEX($E$113:$E$165,MATCH(Paramètres!N6,Paramètres!$G$5:$G$57,0)))+IF(RIGHT(TRIM(Paramètres!O6),3)="Fin",1-$H114,IF(LEFT(TRIM(Paramètres!O6),1)="F",1,0)))))))</f>
        <v/>
      </c>
      <c r="F114" s="19">
        <f>IF($A114="","",E114+$H114-1)</f>
        <v/>
      </c>
      <c r="G114" s="18" t="n"/>
      <c r="H114" s="18">
        <f>IF($A114="","",IF(I114&lt;&gt;"",I114,Paramètres!B6))</f>
        <v/>
      </c>
      <c r="I114" s="18" t="n"/>
    </row>
    <row r="115">
      <c r="A115" s="18">
        <f>IF(ISNUMBER(Dossiers!$D$6),Dossiers!$A$6&amp;" · "&amp;Dossiers!$B$6,"")</f>
        <v/>
      </c>
      <c r="B115" s="18">
        <f>IF($A115="","",Paramètres!G7)</f>
        <v/>
      </c>
      <c r="C115" s="18">
        <f>IF($A115="","",IF(Paramètres!H7="","",Paramètres!H7))</f>
        <v/>
      </c>
      <c r="D115" s="18">
        <f>IF($A115="","",IF(Paramètres!I7="","",Paramètres!I7))</f>
        <v/>
      </c>
      <c r="E115" s="19">
        <f>IF($A115="","",IF(Paramètres!J7&amp;Paramètres!L7&amp;Paramètres!N7="",Dossiers!$D$6,MAX(IF(Paramètres!J7="",0,IF(Paramètres!K7="",NA(),IF(LEFT(TRIM(Paramètres!K7),1)="F",INDEX($F$113:$F$165,MATCH(Paramètres!J7,Paramètres!$G$5:$G$57,0)),INDEX($E$113:$E$165,MATCH(Paramètres!J7,Paramètres!$G$5:$G$57,0)))+IF(RIGHT(TRIM(Paramètres!K7),3)="Fin",1-$H115,IF(LEFT(TRIM(Paramètres!K7),1)="F",1,0)))),IF(Paramètres!L7="",0,IF(Paramètres!M7="",NA(),IF(LEFT(TRIM(Paramètres!M7),1)="F",INDEX($F$113:$F$165,MATCH(Paramètres!L7,Paramètres!$G$5:$G$57,0)),INDEX($E$113:$E$165,MATCH(Paramètres!L7,Paramètres!$G$5:$G$57,0)))+IF(RIGHT(TRIM(Paramètres!M7),3)="Fin",1-$H115,IF(LEFT(TRIM(Paramètres!M7),1)="F",1,0)))),IF(Paramètres!N7="",0,IF(Paramètres!O7="",NA(),IF(LEFT(TRIM(Paramètres!O7),1)="F",INDEX($F$113:$F$165,MATCH(Paramètres!N7,Paramètres!$G$5:$G$57,0)),INDEX($E$113:$E$165,MATCH(Paramètres!N7,Paramètres!$G$5:$G$57,0)))+IF(RIGHT(TRIM(Paramètres!O7),3)="Fin",1-$H115,IF(LEFT(TRIM(Paramètres!O7),1)="F",1,0)))))))</f>
        <v/>
      </c>
      <c r="F115" s="19">
        <f>IF($A115="","",E115+$H115-1)</f>
        <v/>
      </c>
      <c r="G115" s="18" t="n"/>
      <c r="H115" s="18">
        <f>IF($A115="","",IF(I115&lt;&gt;"",I115,Paramètres!B7))</f>
        <v/>
      </c>
      <c r="I115" s="18" t="n"/>
    </row>
    <row r="116">
      <c r="A116" s="18">
        <f>IF(ISNUMBER(Dossiers!$D$6),Dossiers!$A$6&amp;" · "&amp;Dossiers!$B$6,"")</f>
        <v/>
      </c>
      <c r="B116" s="18">
        <f>IF($A116="","",Paramètres!G8)</f>
        <v/>
      </c>
      <c r="C116" s="18">
        <f>IF($A116="","",IF(Paramètres!H8="","",Paramètres!H8))</f>
        <v/>
      </c>
      <c r="D116" s="18">
        <f>IF($A116="","",IF(Paramètres!I8="","",Paramètres!I8))</f>
        <v/>
      </c>
      <c r="E116" s="19">
        <f>IF($A116="","",IF(Paramètres!J8&amp;Paramètres!L8&amp;Paramètres!N8="",Dossiers!$D$6,MAX(IF(Paramètres!J8="",0,IF(Paramètres!K8="",NA(),IF(LEFT(TRIM(Paramètres!K8),1)="F",INDEX($F$113:$F$165,MATCH(Paramètres!J8,Paramètres!$G$5:$G$57,0)),INDEX($E$113:$E$165,MATCH(Paramètres!J8,Paramètres!$G$5:$G$57,0)))+IF(RIGHT(TRIM(Paramètres!K8),3)="Fin",1-$H116,IF(LEFT(TRIM(Paramètres!K8),1)="F",1,0)))),IF(Paramètres!L8="",0,IF(Paramètres!M8="",NA(),IF(LEFT(TRIM(Paramètres!M8),1)="F",INDEX($F$113:$F$165,MATCH(Paramètres!L8,Paramètres!$G$5:$G$57,0)),INDEX($E$113:$E$165,MATCH(Paramètres!L8,Paramètres!$G$5:$G$57,0)))+IF(RIGHT(TRIM(Paramètres!M8),3)="Fin",1-$H116,IF(LEFT(TRIM(Paramètres!M8),1)="F",1,0)))),IF(Paramètres!N8="",0,IF(Paramètres!O8="",NA(),IF(LEFT(TRIM(Paramètres!O8),1)="F",INDEX($F$113:$F$165,MATCH(Paramètres!N8,Paramètres!$G$5:$G$57,0)),INDEX($E$113:$E$165,MATCH(Paramètres!N8,Paramètres!$G$5:$G$57,0)))+IF(RIGHT(TRIM(Paramètres!O8),3)="Fin",1-$H116,IF(LEFT(TRIM(Paramètres!O8),1)="F",1,0)))))))</f>
        <v/>
      </c>
      <c r="F116" s="19">
        <f>IF($A116="","",E116+$H116-1)</f>
        <v/>
      </c>
      <c r="G116" s="18" t="n"/>
      <c r="H116" s="18">
        <f>IF($A116="","",IF(I116&lt;&gt;"",I116,Paramètres!B8))</f>
        <v/>
      </c>
      <c r="I116" s="18" t="n"/>
    </row>
    <row r="117">
      <c r="A117" s="18">
        <f>IF(ISNUMBER(Dossiers!$D$6),Dossiers!$A$6&amp;" · "&amp;Dossiers!$B$6,"")</f>
        <v/>
      </c>
      <c r="B117" s="18">
        <f>IF($A117="","",Paramètres!G9)</f>
        <v/>
      </c>
      <c r="C117" s="18">
        <f>IF($A117="","",IF(Paramètres!H9="","",Paramètres!H9))</f>
        <v/>
      </c>
      <c r="D117" s="18">
        <f>IF($A117="","",IF(Paramètres!I9="","",Paramètres!I9))</f>
        <v/>
      </c>
      <c r="E117" s="19">
        <f>IF($A117="","",IF(Paramètres!J9&amp;Paramètres!L9&amp;Paramètres!N9="",Dossiers!$D$6,MAX(IF(Paramètres!J9="",0,IF(Paramètres!K9="",NA(),IF(LEFT(TRIM(Paramètres!K9),1)="F",INDEX($F$113:$F$165,MATCH(Paramètres!J9,Paramètres!$G$5:$G$57,0)),INDEX($E$113:$E$165,MATCH(Paramètres!J9,Paramètres!$G$5:$G$57,0)))+IF(RIGHT(TRIM(Paramètres!K9),3)="Fin",1-$H117,IF(LEFT(TRIM(Paramètres!K9),1)="F",1,0)))),IF(Paramètres!L9="",0,IF(Paramètres!M9="",NA(),IF(LEFT(TRIM(Paramètres!M9),1)="F",INDEX($F$113:$F$165,MATCH(Paramètres!L9,Paramètres!$G$5:$G$57,0)),INDEX($E$113:$E$165,MATCH(Paramètres!L9,Paramètres!$G$5:$G$57,0)))+IF(RIGHT(TRIM(Paramètres!M9),3)="Fin",1-$H117,IF(LEFT(TRIM(Paramètres!M9),1)="F",1,0)))),IF(Paramètres!N9="",0,IF(Paramètres!O9="",NA(),IF(LEFT(TRIM(Paramètres!O9),1)="F",INDEX($F$113:$F$165,MATCH(Paramètres!N9,Paramètres!$G$5:$G$57,0)),INDEX($E$113:$E$165,MATCH(Paramètres!N9,Paramètres!$G$5:$G$57,0)))+IF(RIGHT(TRIM(Paramètres!O9),3)="Fin",1-$H117,IF(LEFT(TRIM(Paramètres!O9),1)="F",1,0)))))))</f>
        <v/>
      </c>
      <c r="F117" s="19">
        <f>IF($A117="","",E117+$H117-1)</f>
        <v/>
      </c>
      <c r="G117" s="18" t="n"/>
      <c r="H117" s="18">
        <f>IF($A117="","",IF(I117&lt;&gt;"",I117,Paramètres!B9))</f>
        <v/>
      </c>
      <c r="I117" s="18" t="n"/>
    </row>
    <row r="118">
      <c r="A118" s="18">
        <f>IF(ISNUMBER(Dossiers!$D$6),Dossiers!$A$6&amp;" · "&amp;Dossiers!$B$6,"")</f>
        <v/>
      </c>
      <c r="B118" s="18">
        <f>IF($A118="","",Paramètres!G10)</f>
        <v/>
      </c>
      <c r="C118" s="18">
        <f>IF($A118="","",IF(Paramètres!H10="","",Paramètres!H10))</f>
        <v/>
      </c>
      <c r="D118" s="18">
        <f>IF($A118="","",IF(Paramètres!I10="","",Paramètres!I10))</f>
        <v/>
      </c>
      <c r="E118" s="19">
        <f>IF($A118="","",MIN(E119:E122))</f>
        <v/>
      </c>
      <c r="F118" s="19">
        <f>IF($A118="","",MAX(F119:F122))</f>
        <v/>
      </c>
      <c r="G118" s="18" t="n"/>
      <c r="H118" s="18">
        <f>IF($A118="","",F118-E118+1)</f>
        <v/>
      </c>
      <c r="I118" s="18" t="n"/>
    </row>
    <row r="119">
      <c r="A119" s="18">
        <f>IF(ISNUMBER(Dossiers!$D$6),Dossiers!$A$6&amp;" · "&amp;Dossiers!$B$6,"")</f>
        <v/>
      </c>
      <c r="B119" s="18">
        <f>IF($A119="","",Paramètres!G11)</f>
        <v/>
      </c>
      <c r="C119" s="18">
        <f>IF($A119="","",IF(Paramètres!H11="","",Paramètres!H11))</f>
        <v/>
      </c>
      <c r="D119" s="18">
        <f>IF($A119="","",IF(Paramètres!I11="","",Paramètres!I11))</f>
        <v/>
      </c>
      <c r="E119" s="19">
        <f>IF($A119="","",IF(Paramètres!J11&amp;Paramètres!L11&amp;Paramètres!N11="",Dossiers!$D$6,MAX(IF(Paramètres!J11="",0,IF(Paramètres!K11="",NA(),IF(LEFT(TRIM(Paramètres!K11),1)="F",INDEX($F$113:$F$165,MATCH(Paramètres!J11,Paramètres!$G$5:$G$57,0)),INDEX($E$113:$E$165,MATCH(Paramètres!J11,Paramètres!$G$5:$G$57,0)))+IF(RIGHT(TRIM(Paramètres!K11),3)="Fin",1-$H119,IF(LEFT(TRIM(Paramètres!K11),1)="F",1,0)))),IF(Paramètres!L11="",0,IF(Paramètres!M11="",NA(),IF(LEFT(TRIM(Paramètres!M11),1)="F",INDEX($F$113:$F$165,MATCH(Paramètres!L11,Paramètres!$G$5:$G$57,0)),INDEX($E$113:$E$165,MATCH(Paramètres!L11,Paramètres!$G$5:$G$57,0)))+IF(RIGHT(TRIM(Paramètres!M11),3)="Fin",1-$H119,IF(LEFT(TRIM(Paramètres!M11),1)="F",1,0)))),IF(Paramètres!N11="",0,IF(Paramètres!O11="",NA(),IF(LEFT(TRIM(Paramètres!O11),1)="F",INDEX($F$113:$F$165,MATCH(Paramètres!N11,Paramètres!$G$5:$G$57,0)),INDEX($E$113:$E$165,MATCH(Paramètres!N11,Paramètres!$G$5:$G$57,0)))+IF(RIGHT(TRIM(Paramètres!O11),3)="Fin",1-$H119,IF(LEFT(TRIM(Paramètres!O11),1)="F",1,0)))))))</f>
        <v/>
      </c>
      <c r="F119" s="19">
        <f>IF($A119="","",E119+$H119-1)</f>
        <v/>
      </c>
      <c r="G119" s="18" t="n"/>
      <c r="H119" s="18">
        <f>IF($A119="","",IF(I119&lt;&gt;"",I119,Paramètres!B11))</f>
        <v/>
      </c>
      <c r="I119" s="18" t="n"/>
    </row>
    <row r="120">
      <c r="A120" s="18">
        <f>IF(ISNUMBER(Dossiers!$D$6),Dossiers!$A$6&amp;" · "&amp;Dossiers!$B$6,"")</f>
        <v/>
      </c>
      <c r="B120" s="18">
        <f>IF($A120="","",Paramètres!G12)</f>
        <v/>
      </c>
      <c r="C120" s="18">
        <f>IF($A120="","",IF(Paramètres!H12="","",Paramètres!H12))</f>
        <v/>
      </c>
      <c r="D120" s="18">
        <f>IF($A120="","",IF(Paramètres!I12="","",Paramètres!I12))</f>
        <v/>
      </c>
      <c r="E120" s="19">
        <f>IF($A120="","",IF(Paramètres!J12&amp;Paramètres!L12&amp;Paramètres!N12="",Dossiers!$D$6,MAX(IF(Paramètres!J12="",0,IF(Paramètres!K12="",NA(),IF(LEFT(TRIM(Paramètres!K12),1)="F",INDEX($F$113:$F$165,MATCH(Paramètres!J12,Paramètres!$G$5:$G$57,0)),INDEX($E$113:$E$165,MATCH(Paramètres!J12,Paramètres!$G$5:$G$57,0)))+IF(RIGHT(TRIM(Paramètres!K12),3)="Fin",1-$H120,IF(LEFT(TRIM(Paramètres!K12),1)="F",1,0)))),IF(Paramètres!L12="",0,IF(Paramètres!M12="",NA(),IF(LEFT(TRIM(Paramètres!M12),1)="F",INDEX($F$113:$F$165,MATCH(Paramètres!L12,Paramètres!$G$5:$G$57,0)),INDEX($E$113:$E$165,MATCH(Paramètres!L12,Paramètres!$G$5:$G$57,0)))+IF(RIGHT(TRIM(Paramètres!M12),3)="Fin",1-$H120,IF(LEFT(TRIM(Paramètres!M12),1)="F",1,0)))),IF(Paramètres!N12="",0,IF(Paramètres!O12="",NA(),IF(LEFT(TRIM(Paramètres!O12),1)="F",INDEX($F$113:$F$165,MATCH(Paramètres!N12,Paramètres!$G$5:$G$57,0)),INDEX($E$113:$E$165,MATCH(Paramètres!N12,Paramètres!$G$5:$G$57,0)))+IF(RIGHT(TRIM(Paramètres!O12),3)="Fin",1-$H120,IF(LEFT(TRIM(Paramètres!O12),1)="F",1,0)))))))</f>
        <v/>
      </c>
      <c r="F120" s="19">
        <f>IF($A120="","",E120+$H120-1)</f>
        <v/>
      </c>
      <c r="G120" s="18" t="n"/>
      <c r="H120" s="18">
        <f>IF($A120="","",IF(I120&lt;&gt;"",I120,Paramètres!B12))</f>
        <v/>
      </c>
      <c r="I120" s="18" t="n"/>
    </row>
    <row r="121">
      <c r="A121" s="18">
        <f>IF(ISNUMBER(Dossiers!$D$6),Dossiers!$A$6&amp;" · "&amp;Dossiers!$B$6,"")</f>
        <v/>
      </c>
      <c r="B121" s="18">
        <f>IF($A121="","",Paramètres!G13)</f>
        <v/>
      </c>
      <c r="C121" s="18">
        <f>IF($A121="","",IF(Paramètres!H13="","",Paramètres!H13))</f>
        <v/>
      </c>
      <c r="D121" s="18">
        <f>IF($A121="","",IF(Paramètres!I13="","",Paramètres!I13))</f>
        <v/>
      </c>
      <c r="E121" s="19">
        <f>IF($A121="","",IF(Paramètres!J13&amp;Paramètres!L13&amp;Paramètres!N13="",Dossiers!$D$6,MAX(IF(Paramètres!J13="",0,IF(Paramètres!K13="",NA(),IF(LEFT(TRIM(Paramètres!K13),1)="F",INDEX($F$113:$F$165,MATCH(Paramètres!J13,Paramètres!$G$5:$G$57,0)),INDEX($E$113:$E$165,MATCH(Paramètres!J13,Paramètres!$G$5:$G$57,0)))+IF(RIGHT(TRIM(Paramètres!K13),3)="Fin",1-$H121,IF(LEFT(TRIM(Paramètres!K13),1)="F",1,0)))),IF(Paramètres!L13="",0,IF(Paramètres!M13="",NA(),IF(LEFT(TRIM(Paramètres!M13),1)="F",INDEX($F$113:$F$165,MATCH(Paramètres!L13,Paramètres!$G$5:$G$57,0)),INDEX($E$113:$E$165,MATCH(Paramètres!L13,Paramètres!$G$5:$G$57,0)))+IF(RIGHT(TRIM(Paramètres!M13),3)="Fin",1-$H121,IF(LEFT(TRIM(Paramètres!M13),1)="F",1,0)))),IF(Paramètres!N13="",0,IF(Paramètres!O13="",NA(),IF(LEFT(TRIM(Paramètres!O13),1)="F",INDEX($F$113:$F$165,MATCH(Paramètres!N13,Paramètres!$G$5:$G$57,0)),INDEX($E$113:$E$165,MATCH(Paramètres!N13,Paramètres!$G$5:$G$57,0)))+IF(RIGHT(TRIM(Paramètres!O13),3)="Fin",1-$H121,IF(LEFT(TRIM(Paramètres!O13),1)="F",1,0)))))))</f>
        <v/>
      </c>
      <c r="F121" s="19">
        <f>IF($A121="","",E121+$H121-1)</f>
        <v/>
      </c>
      <c r="G121" s="18" t="n"/>
      <c r="H121" s="18">
        <f>IF($A121="","",IF(I121&lt;&gt;"",I121,Paramètres!B13))</f>
        <v/>
      </c>
      <c r="I121" s="18" t="n"/>
    </row>
    <row r="122">
      <c r="A122" s="18">
        <f>IF(ISNUMBER(Dossiers!$D$6),Dossiers!$A$6&amp;" · "&amp;Dossiers!$B$6,"")</f>
        <v/>
      </c>
      <c r="B122" s="18">
        <f>IF($A122="","",Paramètres!G14)</f>
        <v/>
      </c>
      <c r="C122" s="18">
        <f>IF($A122="","",IF(Paramètres!H14="","",Paramètres!H14))</f>
        <v/>
      </c>
      <c r="D122" s="18">
        <f>IF($A122="","",IF(Paramètres!I14="","",Paramètres!I14))</f>
        <v/>
      </c>
      <c r="E122" s="19">
        <f>IF($A122="","",IF(Paramètres!J14&amp;Paramètres!L14&amp;Paramètres!N14="",Dossiers!$D$6,MAX(IF(Paramètres!J14="",0,IF(Paramètres!K14="",NA(),IF(LEFT(TRIM(Paramètres!K14),1)="F",INDEX($F$113:$F$165,MATCH(Paramètres!J14,Paramètres!$G$5:$G$57,0)),INDEX($E$113:$E$165,MATCH(Paramètres!J14,Paramètres!$G$5:$G$57,0)))+IF(RIGHT(TRIM(Paramètres!K14),3)="Fin",1-$H122,IF(LEFT(TRIM(Paramètres!K14),1)="F",1,0)))),IF(Paramètres!L14="",0,IF(Paramètres!M14="",NA(),IF(LEFT(TRIM(Paramètres!M14),1)="F",INDEX($F$113:$F$165,MATCH(Paramètres!L14,Paramètres!$G$5:$G$57,0)),INDEX($E$113:$E$165,MATCH(Paramètres!L14,Paramètres!$G$5:$G$57,0)))+IF(RIGHT(TRIM(Paramètres!M14),3)="Fin",1-$H122,IF(LEFT(TRIM(Paramètres!M14),1)="F",1,0)))),IF(Paramètres!N14="",0,IF(Paramètres!O14="",NA(),IF(LEFT(TRIM(Paramètres!O14),1)="F",INDEX($F$113:$F$165,MATCH(Paramètres!N14,Paramètres!$G$5:$G$57,0)),INDEX($E$113:$E$165,MATCH(Paramètres!N14,Paramètres!$G$5:$G$57,0)))+IF(RIGHT(TRIM(Paramètres!O14),3)="Fin",1-$H122,IF(LEFT(TRIM(Paramètres!O14),1)="F",1,0)))))))</f>
        <v/>
      </c>
      <c r="F122" s="19">
        <f>IF($A122="","",E122+$H122-1)</f>
        <v/>
      </c>
      <c r="G122" s="18" t="n"/>
      <c r="H122" s="18">
        <f>IF($A122="","",IF(I122&lt;&gt;"",I122,Paramètres!B14))</f>
        <v/>
      </c>
      <c r="I122" s="18" t="n"/>
    </row>
    <row r="123">
      <c r="A123" s="18">
        <f>IF(ISNUMBER(Dossiers!$D$6),Dossiers!$A$6&amp;" · "&amp;Dossiers!$B$6,"")</f>
        <v/>
      </c>
      <c r="B123" s="18">
        <f>IF($A123="","",Paramètres!G15)</f>
        <v/>
      </c>
      <c r="C123" s="18">
        <f>IF($A123="","",IF(Paramètres!H15="","",Paramètres!H15))</f>
        <v/>
      </c>
      <c r="D123" s="18">
        <f>IF($A123="","",IF(Paramètres!I15="","",Paramètres!I15))</f>
        <v/>
      </c>
      <c r="E123" s="19">
        <f>IF($A123="","",MIN(E124:E139))</f>
        <v/>
      </c>
      <c r="F123" s="19">
        <f>IF($A123="","",MAX(F124:F139))</f>
        <v/>
      </c>
      <c r="G123" s="18" t="n"/>
      <c r="H123" s="18">
        <f>IF($A123="","",F123-E123+1)</f>
        <v/>
      </c>
      <c r="I123" s="18" t="n"/>
    </row>
    <row r="124">
      <c r="A124" s="18">
        <f>IF(ISNUMBER(Dossiers!$D$6),Dossiers!$A$6&amp;" · "&amp;Dossiers!$B$6,"")</f>
        <v/>
      </c>
      <c r="B124" s="18">
        <f>IF($A124="","",Paramètres!G16)</f>
        <v/>
      </c>
      <c r="C124" s="18">
        <f>IF($A124="","",IF(Paramètres!H16="","",Paramètres!H16))</f>
        <v/>
      </c>
      <c r="D124" s="18">
        <f>IF($A124="","",IF(Paramètres!I16="","",Paramètres!I16))</f>
        <v/>
      </c>
      <c r="E124" s="19">
        <f>IF($A124="","",IF(Paramètres!J16&amp;Paramètres!L16&amp;Paramètres!N16="",Dossiers!$D$6,MAX(IF(Paramètres!J16="",0,IF(Paramètres!K16="",NA(),IF(LEFT(TRIM(Paramètres!K16),1)="F",INDEX($F$113:$F$165,MATCH(Paramètres!J16,Paramètres!$G$5:$G$57,0)),INDEX($E$113:$E$165,MATCH(Paramètres!J16,Paramètres!$G$5:$G$57,0)))+IF(RIGHT(TRIM(Paramètres!K16),3)="Fin",1-$H124,IF(LEFT(TRIM(Paramètres!K16),1)="F",1,0)))),IF(Paramètres!L16="",0,IF(Paramètres!M16="",NA(),IF(LEFT(TRIM(Paramètres!M16),1)="F",INDEX($F$113:$F$165,MATCH(Paramètres!L16,Paramètres!$G$5:$G$57,0)),INDEX($E$113:$E$165,MATCH(Paramètres!L16,Paramètres!$G$5:$G$57,0)))+IF(RIGHT(TRIM(Paramètres!M16),3)="Fin",1-$H124,IF(LEFT(TRIM(Paramètres!M16),1)="F",1,0)))),IF(Paramètres!N16="",0,IF(Paramètres!O16="",NA(),IF(LEFT(TRIM(Paramètres!O16),1)="F",INDEX($F$113:$F$165,MATCH(Paramètres!N16,Paramètres!$G$5:$G$57,0)),INDEX($E$113:$E$165,MATCH(Paramètres!N16,Paramètres!$G$5:$G$57,0)))+IF(RIGHT(TRIM(Paramètres!O16),3)="Fin",1-$H124,IF(LEFT(TRIM(Paramètres!O16),1)="F",1,0)))))))</f>
        <v/>
      </c>
      <c r="F124" s="19">
        <f>IF($A124="","",E124+$H124-1)</f>
        <v/>
      </c>
      <c r="G124" s="18" t="n"/>
      <c r="H124" s="18">
        <f>IF($A124="","",IF(I124&lt;&gt;"",I124,Paramètres!B16))</f>
        <v/>
      </c>
      <c r="I124" s="18" t="n"/>
    </row>
    <row r="125">
      <c r="A125" s="18">
        <f>IF(ISNUMBER(Dossiers!$D$6),Dossiers!$A$6&amp;" · "&amp;Dossiers!$B$6,"")</f>
        <v/>
      </c>
      <c r="B125" s="18">
        <f>IF($A125="","",Paramètres!G17)</f>
        <v/>
      </c>
      <c r="C125" s="18">
        <f>IF($A125="","",IF(Paramètres!H17="","",Paramètres!H17))</f>
        <v/>
      </c>
      <c r="D125" s="18">
        <f>IF($A125="","",IF(Paramètres!I17="","",Paramètres!I17))</f>
        <v/>
      </c>
      <c r="E125" s="19">
        <f>IF($A125="","",IF(Paramètres!J17&amp;Paramètres!L17&amp;Paramètres!N17="",Dossiers!$D$6,MAX(IF(Paramètres!J17="",0,IF(Paramètres!K17="",NA(),IF(LEFT(TRIM(Paramètres!K17),1)="F",INDEX($F$113:$F$165,MATCH(Paramètres!J17,Paramètres!$G$5:$G$57,0)),INDEX($E$113:$E$165,MATCH(Paramètres!J17,Paramètres!$G$5:$G$57,0)))+IF(RIGHT(TRIM(Paramètres!K17),3)="Fin",1-$H125,IF(LEFT(TRIM(Paramètres!K17),1)="F",1,0)))),IF(Paramètres!L17="",0,IF(Paramètres!M17="",NA(),IF(LEFT(TRIM(Paramètres!M17),1)="F",INDEX($F$113:$F$165,MATCH(Paramètres!L17,Paramètres!$G$5:$G$57,0)),INDEX($E$113:$E$165,MATCH(Paramètres!L17,Paramètres!$G$5:$G$57,0)))+IF(RIGHT(TRIM(Paramètres!M17),3)="Fin",1-$H125,IF(LEFT(TRIM(Paramètres!M17),1)="F",1,0)))),IF(Paramètres!N17="",0,IF(Paramètres!O17="",NA(),IF(LEFT(TRIM(Paramètres!O17),1)="F",INDEX($F$113:$F$165,MATCH(Paramètres!N17,Paramètres!$G$5:$G$57,0)),INDEX($E$113:$E$165,MATCH(Paramètres!N17,Paramètres!$G$5:$G$57,0)))+IF(RIGHT(TRIM(Paramètres!O17),3)="Fin",1-$H125,IF(LEFT(TRIM(Paramètres!O17),1)="F",1,0)))))))</f>
        <v/>
      </c>
      <c r="F125" s="19">
        <f>IF($A125="","",E125+$H125-1)</f>
        <v/>
      </c>
      <c r="G125" s="18" t="n"/>
      <c r="H125" s="18">
        <f>IF($A125="","",IF(I125&lt;&gt;"",I125,Paramètres!B17))</f>
        <v/>
      </c>
      <c r="I125" s="18" t="n"/>
    </row>
    <row r="126">
      <c r="A126" s="18">
        <f>IF(ISNUMBER(Dossiers!$D$6),Dossiers!$A$6&amp;" · "&amp;Dossiers!$B$6,"")</f>
        <v/>
      </c>
      <c r="B126" s="18">
        <f>IF($A126="","",Paramètres!G18)</f>
        <v/>
      </c>
      <c r="C126" s="18">
        <f>IF($A126="","",IF(Paramètres!H18="","",Paramètres!H18))</f>
        <v/>
      </c>
      <c r="D126" s="18">
        <f>IF($A126="","",IF(Paramètres!I18="","",Paramètres!I18))</f>
        <v/>
      </c>
      <c r="E126" s="19">
        <f>IF($A126="","",IF(Paramètres!J18&amp;Paramètres!L18&amp;Paramètres!N18="",Dossiers!$D$6,MAX(IF(Paramètres!J18="",0,IF(Paramètres!K18="",NA(),IF(LEFT(TRIM(Paramètres!K18),1)="F",INDEX($F$113:$F$165,MATCH(Paramètres!J18,Paramètres!$G$5:$G$57,0)),INDEX($E$113:$E$165,MATCH(Paramètres!J18,Paramètres!$G$5:$G$57,0)))+IF(RIGHT(TRIM(Paramètres!K18),3)="Fin",1-$H126,IF(LEFT(TRIM(Paramètres!K18),1)="F",1,0)))),IF(Paramètres!L18="",0,IF(Paramètres!M18="",NA(),IF(LEFT(TRIM(Paramètres!M18),1)="F",INDEX($F$113:$F$165,MATCH(Paramètres!L18,Paramètres!$G$5:$G$57,0)),INDEX($E$113:$E$165,MATCH(Paramètres!L18,Paramètres!$G$5:$G$57,0)))+IF(RIGHT(TRIM(Paramètres!M18),3)="Fin",1-$H126,IF(LEFT(TRIM(Paramètres!M18),1)="F",1,0)))),IF(Paramètres!N18="",0,IF(Paramètres!O18="",NA(),IF(LEFT(TRIM(Paramètres!O18),1)="F",INDEX($F$113:$F$165,MATCH(Paramètres!N18,Paramètres!$G$5:$G$57,0)),INDEX($E$113:$E$165,MATCH(Paramètres!N18,Paramètres!$G$5:$G$57,0)))+IF(RIGHT(TRIM(Paramètres!O18),3)="Fin",1-$H126,IF(LEFT(TRIM(Paramètres!O18),1)="F",1,0)))))))</f>
        <v/>
      </c>
      <c r="F126" s="19">
        <f>IF($A126="","",E126+$H126-1)</f>
        <v/>
      </c>
      <c r="G126" s="18" t="n"/>
      <c r="H126" s="18">
        <f>IF($A126="","",IF(I126&lt;&gt;"",I126,Paramètres!B18))</f>
        <v/>
      </c>
      <c r="I126" s="18" t="n"/>
    </row>
    <row r="127">
      <c r="A127" s="18">
        <f>IF(ISNUMBER(Dossiers!$D$6),Dossiers!$A$6&amp;" · "&amp;Dossiers!$B$6,"")</f>
        <v/>
      </c>
      <c r="B127" s="18">
        <f>IF($A127="","",Paramètres!G19)</f>
        <v/>
      </c>
      <c r="C127" s="18">
        <f>IF($A127="","",IF(Paramètres!H19="","",Paramètres!H19))</f>
        <v/>
      </c>
      <c r="D127" s="18">
        <f>IF($A127="","",IF(Paramètres!I19="","",Paramètres!I19))</f>
        <v/>
      </c>
      <c r="E127" s="19">
        <f>IF($A127="","",IF(Paramètres!J19&amp;Paramètres!L19&amp;Paramètres!N19="",Dossiers!$D$6,MAX(IF(Paramètres!J19="",0,IF(Paramètres!K19="",NA(),IF(LEFT(TRIM(Paramètres!K19),1)="F",INDEX($F$113:$F$165,MATCH(Paramètres!J19,Paramètres!$G$5:$G$57,0)),INDEX($E$113:$E$165,MATCH(Paramètres!J19,Paramètres!$G$5:$G$57,0)))+IF(RIGHT(TRIM(Paramètres!K19),3)="Fin",1-$H127,IF(LEFT(TRIM(Paramètres!K19),1)="F",1,0)))),IF(Paramètres!L19="",0,IF(Paramètres!M19="",NA(),IF(LEFT(TRIM(Paramètres!M19),1)="F",INDEX($F$113:$F$165,MATCH(Paramètres!L19,Paramètres!$G$5:$G$57,0)),INDEX($E$113:$E$165,MATCH(Paramètres!L19,Paramètres!$G$5:$G$57,0)))+IF(RIGHT(TRIM(Paramètres!M19),3)="Fin",1-$H127,IF(LEFT(TRIM(Paramètres!M19),1)="F",1,0)))),IF(Paramètres!N19="",0,IF(Paramètres!O19="",NA(),IF(LEFT(TRIM(Paramètres!O19),1)="F",INDEX($F$113:$F$165,MATCH(Paramètres!N19,Paramètres!$G$5:$G$57,0)),INDEX($E$113:$E$165,MATCH(Paramètres!N19,Paramètres!$G$5:$G$57,0)))+IF(RIGHT(TRIM(Paramètres!O19),3)="Fin",1-$H127,IF(LEFT(TRIM(Paramètres!O19),1)="F",1,0)))))))</f>
        <v/>
      </c>
      <c r="F127" s="19">
        <f>IF($A127="","",E127+$H127-1)</f>
        <v/>
      </c>
      <c r="G127" s="18" t="n"/>
      <c r="H127" s="18">
        <f>IF($A127="","",IF(I127&lt;&gt;"",I127,Paramètres!B19))</f>
        <v/>
      </c>
      <c r="I127" s="18" t="n"/>
    </row>
    <row r="128">
      <c r="A128" s="18">
        <f>IF(ISNUMBER(Dossiers!$D$6),Dossiers!$A$6&amp;" · "&amp;Dossiers!$B$6,"")</f>
        <v/>
      </c>
      <c r="B128" s="18">
        <f>IF($A128="","",Paramètres!G20)</f>
        <v/>
      </c>
      <c r="C128" s="18">
        <f>IF($A128="","",IF(Paramètres!H20="","",Paramètres!H20))</f>
        <v/>
      </c>
      <c r="D128" s="18">
        <f>IF($A128="","",IF(Paramètres!I20="","",Paramètres!I20))</f>
        <v/>
      </c>
      <c r="E128" s="19">
        <f>IF($A128="","",IF(Paramètres!J20&amp;Paramètres!L20&amp;Paramètres!N20="",Dossiers!$D$6,MAX(IF(Paramètres!J20="",0,IF(Paramètres!K20="",NA(),IF(LEFT(TRIM(Paramètres!K20),1)="F",INDEX($F$113:$F$165,MATCH(Paramètres!J20,Paramètres!$G$5:$G$57,0)),INDEX($E$113:$E$165,MATCH(Paramètres!J20,Paramètres!$G$5:$G$57,0)))+IF(RIGHT(TRIM(Paramètres!K20),3)="Fin",1-$H128,IF(LEFT(TRIM(Paramètres!K20),1)="F",1,0)))),IF(Paramètres!L20="",0,IF(Paramètres!M20="",NA(),IF(LEFT(TRIM(Paramètres!M20),1)="F",INDEX($F$113:$F$165,MATCH(Paramètres!L20,Paramètres!$G$5:$G$57,0)),INDEX($E$113:$E$165,MATCH(Paramètres!L20,Paramètres!$G$5:$G$57,0)))+IF(RIGHT(TRIM(Paramètres!M20),3)="Fin",1-$H128,IF(LEFT(TRIM(Paramètres!M20),1)="F",1,0)))),IF(Paramètres!N20="",0,IF(Paramètres!O20="",NA(),IF(LEFT(TRIM(Paramètres!O20),1)="F",INDEX($F$113:$F$165,MATCH(Paramètres!N20,Paramètres!$G$5:$G$57,0)),INDEX($E$113:$E$165,MATCH(Paramètres!N20,Paramètres!$G$5:$G$57,0)))+IF(RIGHT(TRIM(Paramètres!O20),3)="Fin",1-$H128,IF(LEFT(TRIM(Paramètres!O20),1)="F",1,0)))))))</f>
        <v/>
      </c>
      <c r="F128" s="19">
        <f>IF($A128="","",E128+$H128-1)</f>
        <v/>
      </c>
      <c r="G128" s="18" t="n"/>
      <c r="H128" s="18">
        <f>IF($A128="","",IF(I128&lt;&gt;"",I128,Paramètres!B20))</f>
        <v/>
      </c>
      <c r="I128" s="18" t="n"/>
    </row>
    <row r="129">
      <c r="A129" s="18">
        <f>IF(ISNUMBER(Dossiers!$D$6),Dossiers!$A$6&amp;" · "&amp;Dossiers!$B$6,"")</f>
        <v/>
      </c>
      <c r="B129" s="18">
        <f>IF($A129="","",Paramètres!G21)</f>
        <v/>
      </c>
      <c r="C129" s="18">
        <f>IF($A129="","",IF(Paramètres!H21="","",Paramètres!H21))</f>
        <v/>
      </c>
      <c r="D129" s="18">
        <f>IF($A129="","",IF(Paramètres!I21="","",Paramètres!I21))</f>
        <v/>
      </c>
      <c r="E129" s="19">
        <f>IF($A129="","",IF(Paramètres!J21&amp;Paramètres!L21&amp;Paramètres!N21="",Dossiers!$D$6,MAX(IF(Paramètres!J21="",0,IF(Paramètres!K21="",NA(),IF(LEFT(TRIM(Paramètres!K21),1)="F",INDEX($F$113:$F$165,MATCH(Paramètres!J21,Paramètres!$G$5:$G$57,0)),INDEX($E$113:$E$165,MATCH(Paramètres!J21,Paramètres!$G$5:$G$57,0)))+IF(RIGHT(TRIM(Paramètres!K21),3)="Fin",1-$H129,IF(LEFT(TRIM(Paramètres!K21),1)="F",1,0)))),IF(Paramètres!L21="",0,IF(Paramètres!M21="",NA(),IF(LEFT(TRIM(Paramètres!M21),1)="F",INDEX($F$113:$F$165,MATCH(Paramètres!L21,Paramètres!$G$5:$G$57,0)),INDEX($E$113:$E$165,MATCH(Paramètres!L21,Paramètres!$G$5:$G$57,0)))+IF(RIGHT(TRIM(Paramètres!M21),3)="Fin",1-$H129,IF(LEFT(TRIM(Paramètres!M21),1)="F",1,0)))),IF(Paramètres!N21="",0,IF(Paramètres!O21="",NA(),IF(LEFT(TRIM(Paramètres!O21),1)="F",INDEX($F$113:$F$165,MATCH(Paramètres!N21,Paramètres!$G$5:$G$57,0)),INDEX($E$113:$E$165,MATCH(Paramètres!N21,Paramètres!$G$5:$G$57,0)))+IF(RIGHT(TRIM(Paramètres!O21),3)="Fin",1-$H129,IF(LEFT(TRIM(Paramètres!O21),1)="F",1,0)))))))</f>
        <v/>
      </c>
      <c r="F129" s="19">
        <f>IF($A129="","",E129+$H129-1)</f>
        <v/>
      </c>
      <c r="G129" s="18" t="n"/>
      <c r="H129" s="18">
        <f>IF($A129="","",IF(I129&lt;&gt;"",I129,Paramètres!B21))</f>
        <v/>
      </c>
      <c r="I129" s="18" t="n"/>
    </row>
    <row r="130">
      <c r="A130" s="18">
        <f>IF(ISNUMBER(Dossiers!$D$6),Dossiers!$A$6&amp;" · "&amp;Dossiers!$B$6,"")</f>
        <v/>
      </c>
      <c r="B130" s="18">
        <f>IF($A130="","",Paramètres!G22)</f>
        <v/>
      </c>
      <c r="C130" s="18">
        <f>IF($A130="","",IF(Paramètres!H22="","",Paramètres!H22))</f>
        <v/>
      </c>
      <c r="D130" s="18">
        <f>IF($A130="","",IF(Paramètres!I22="","",Paramètres!I22))</f>
        <v/>
      </c>
      <c r="E130" s="19">
        <f>IF($A130="","",IF(Paramètres!J22&amp;Paramètres!L22&amp;Paramètres!N22="",Dossiers!$D$6,MAX(IF(Paramètres!J22="",0,IF(Paramètres!K22="",NA(),IF(LEFT(TRIM(Paramètres!K22),1)="F",INDEX($F$113:$F$165,MATCH(Paramètres!J22,Paramètres!$G$5:$G$57,0)),INDEX($E$113:$E$165,MATCH(Paramètres!J22,Paramètres!$G$5:$G$57,0)))+IF(RIGHT(TRIM(Paramètres!K22),3)="Fin",1-$H130,IF(LEFT(TRIM(Paramètres!K22),1)="F",1,0)))),IF(Paramètres!L22="",0,IF(Paramètres!M22="",NA(),IF(LEFT(TRIM(Paramètres!M22),1)="F",INDEX($F$113:$F$165,MATCH(Paramètres!L22,Paramètres!$G$5:$G$57,0)),INDEX($E$113:$E$165,MATCH(Paramètres!L22,Paramètres!$G$5:$G$57,0)))+IF(RIGHT(TRIM(Paramètres!M22),3)="Fin",1-$H130,IF(LEFT(TRIM(Paramètres!M22),1)="F",1,0)))),IF(Paramètres!N22="",0,IF(Paramètres!O22="",NA(),IF(LEFT(TRIM(Paramètres!O22),1)="F",INDEX($F$113:$F$165,MATCH(Paramètres!N22,Paramètres!$G$5:$G$57,0)),INDEX($E$113:$E$165,MATCH(Paramètres!N22,Paramètres!$G$5:$G$57,0)))+IF(RIGHT(TRIM(Paramètres!O22),3)="Fin",1-$H130,IF(LEFT(TRIM(Paramètres!O22),1)="F",1,0)))))))</f>
        <v/>
      </c>
      <c r="F130" s="19">
        <f>IF($A130="","",E130+$H130-1)</f>
        <v/>
      </c>
      <c r="G130" s="18" t="n"/>
      <c r="H130" s="18">
        <f>IF($A130="","",IF(I130&lt;&gt;"",I130,Paramètres!B22))</f>
        <v/>
      </c>
      <c r="I130" s="18" t="n"/>
    </row>
    <row r="131">
      <c r="A131" s="18">
        <f>IF(ISNUMBER(Dossiers!$D$6),Dossiers!$A$6&amp;" · "&amp;Dossiers!$B$6,"")</f>
        <v/>
      </c>
      <c r="B131" s="18">
        <f>IF($A131="","",Paramètres!G23)</f>
        <v/>
      </c>
      <c r="C131" s="18">
        <f>IF($A131="","",IF(Paramètres!H23="","",Paramètres!H23))</f>
        <v/>
      </c>
      <c r="D131" s="18">
        <f>IF($A131="","",IF(Paramètres!I23="","",Paramètres!I23))</f>
        <v/>
      </c>
      <c r="E131" s="19">
        <f>IF($A131="","",IF(Paramètres!J23&amp;Paramètres!L23&amp;Paramètres!N23="",Dossiers!$D$6,MAX(IF(Paramètres!J23="",0,IF(Paramètres!K23="",NA(),IF(LEFT(TRIM(Paramètres!K23),1)="F",INDEX($F$113:$F$165,MATCH(Paramètres!J23,Paramètres!$G$5:$G$57,0)),INDEX($E$113:$E$165,MATCH(Paramètres!J23,Paramètres!$G$5:$G$57,0)))+IF(RIGHT(TRIM(Paramètres!K23),3)="Fin",1-$H131,IF(LEFT(TRIM(Paramètres!K23),1)="F",1,0)))),IF(Paramètres!L23="",0,IF(Paramètres!M23="",NA(),IF(LEFT(TRIM(Paramètres!M23),1)="F",INDEX($F$113:$F$165,MATCH(Paramètres!L23,Paramètres!$G$5:$G$57,0)),INDEX($E$113:$E$165,MATCH(Paramètres!L23,Paramètres!$G$5:$G$57,0)))+IF(RIGHT(TRIM(Paramètres!M23),3)="Fin",1-$H131,IF(LEFT(TRIM(Paramètres!M23),1)="F",1,0)))),IF(Paramètres!N23="",0,IF(Paramètres!O23="",NA(),IF(LEFT(TRIM(Paramètres!O23),1)="F",INDEX($F$113:$F$165,MATCH(Paramètres!N23,Paramètres!$G$5:$G$57,0)),INDEX($E$113:$E$165,MATCH(Paramètres!N23,Paramètres!$G$5:$G$57,0)))+IF(RIGHT(TRIM(Paramètres!O23),3)="Fin",1-$H131,IF(LEFT(TRIM(Paramètres!O23),1)="F",1,0)))))))</f>
        <v/>
      </c>
      <c r="F131" s="19">
        <f>IF($A131="","",E131+$H131-1)</f>
        <v/>
      </c>
      <c r="G131" s="18" t="n"/>
      <c r="H131" s="18">
        <f>IF($A131="","",IF(I131&lt;&gt;"",I131,Paramètres!B23))</f>
        <v/>
      </c>
      <c r="I131" s="18" t="n"/>
    </row>
    <row r="132">
      <c r="A132" s="18">
        <f>IF(ISNUMBER(Dossiers!$D$6),Dossiers!$A$6&amp;" · "&amp;Dossiers!$B$6,"")</f>
        <v/>
      </c>
      <c r="B132" s="18">
        <f>IF($A132="","",Paramètres!G24)</f>
        <v/>
      </c>
      <c r="C132" s="18">
        <f>IF($A132="","",IF(Paramètres!H24="","",Paramètres!H24))</f>
        <v/>
      </c>
      <c r="D132" s="18">
        <f>IF($A132="","",IF(Paramètres!I24="","",Paramètres!I24))</f>
        <v/>
      </c>
      <c r="E132" s="19">
        <f>IF($A132="","",IF(Paramètres!J24&amp;Paramètres!L24&amp;Paramètres!N24="",Dossiers!$D$6,MAX(IF(Paramètres!J24="",0,IF(Paramètres!K24="",NA(),IF(LEFT(TRIM(Paramètres!K24),1)="F",INDEX($F$113:$F$165,MATCH(Paramètres!J24,Paramètres!$G$5:$G$57,0)),INDEX($E$113:$E$165,MATCH(Paramètres!J24,Paramètres!$G$5:$G$57,0)))+IF(RIGHT(TRIM(Paramètres!K24),3)="Fin",1-$H132,IF(LEFT(TRIM(Paramètres!K24),1)="F",1,0)))),IF(Paramètres!L24="",0,IF(Paramètres!M24="",NA(),IF(LEFT(TRIM(Paramètres!M24),1)="F",INDEX($F$113:$F$165,MATCH(Paramètres!L24,Paramètres!$G$5:$G$57,0)),INDEX($E$113:$E$165,MATCH(Paramètres!L24,Paramètres!$G$5:$G$57,0)))+IF(RIGHT(TRIM(Paramètres!M24),3)="Fin",1-$H132,IF(LEFT(TRIM(Paramètres!M24),1)="F",1,0)))),IF(Paramètres!N24="",0,IF(Paramètres!O24="",NA(),IF(LEFT(TRIM(Paramètres!O24),1)="F",INDEX($F$113:$F$165,MATCH(Paramètres!N24,Paramètres!$G$5:$G$57,0)),INDEX($E$113:$E$165,MATCH(Paramètres!N24,Paramètres!$G$5:$G$57,0)))+IF(RIGHT(TRIM(Paramètres!O24),3)="Fin",1-$H132,IF(LEFT(TRIM(Paramètres!O24),1)="F",1,0)))))))</f>
        <v/>
      </c>
      <c r="F132" s="19">
        <f>IF($A132="","",E132+$H132-1)</f>
        <v/>
      </c>
      <c r="G132" s="18" t="n"/>
      <c r="H132" s="18">
        <f>IF($A132="","",IF(I132&lt;&gt;"",I132,Paramètres!B24))</f>
        <v/>
      </c>
      <c r="I132" s="18" t="n"/>
    </row>
    <row r="133">
      <c r="A133" s="18">
        <f>IF(ISNUMBER(Dossiers!$D$6),Dossiers!$A$6&amp;" · "&amp;Dossiers!$B$6,"")</f>
        <v/>
      </c>
      <c r="B133" s="18">
        <f>IF($A133="","",Paramètres!G25)</f>
        <v/>
      </c>
      <c r="C133" s="18">
        <f>IF($A133="","",IF(Paramètres!H25="","",Paramètres!H25))</f>
        <v/>
      </c>
      <c r="D133" s="18">
        <f>IF($A133="","",IF(Paramètres!I25="","",Paramètres!I25))</f>
        <v/>
      </c>
      <c r="E133" s="19">
        <f>IF($A133="","",IF(Paramètres!J25&amp;Paramètres!L25&amp;Paramètres!N25="",Dossiers!$D$6,MAX(IF(Paramètres!J25="",0,IF(Paramètres!K25="",NA(),IF(LEFT(TRIM(Paramètres!K25),1)="F",INDEX($F$113:$F$165,MATCH(Paramètres!J25,Paramètres!$G$5:$G$57,0)),INDEX($E$113:$E$165,MATCH(Paramètres!J25,Paramètres!$G$5:$G$57,0)))+IF(RIGHT(TRIM(Paramètres!K25),3)="Fin",1-$H133,IF(LEFT(TRIM(Paramètres!K25),1)="F",1,0)))),IF(Paramètres!L25="",0,IF(Paramètres!M25="",NA(),IF(LEFT(TRIM(Paramètres!M25),1)="F",INDEX($F$113:$F$165,MATCH(Paramètres!L25,Paramètres!$G$5:$G$57,0)),INDEX($E$113:$E$165,MATCH(Paramètres!L25,Paramètres!$G$5:$G$57,0)))+IF(RIGHT(TRIM(Paramètres!M25),3)="Fin",1-$H133,IF(LEFT(TRIM(Paramètres!M25),1)="F",1,0)))),IF(Paramètres!N25="",0,IF(Paramètres!O25="",NA(),IF(LEFT(TRIM(Paramètres!O25),1)="F",INDEX($F$113:$F$165,MATCH(Paramètres!N25,Paramètres!$G$5:$G$57,0)),INDEX($E$113:$E$165,MATCH(Paramètres!N25,Paramètres!$G$5:$G$57,0)))+IF(RIGHT(TRIM(Paramètres!O25),3)="Fin",1-$H133,IF(LEFT(TRIM(Paramètres!O25),1)="F",1,0)))))))</f>
        <v/>
      </c>
      <c r="F133" s="19">
        <f>IF($A133="","",E133+$H133-1)</f>
        <v/>
      </c>
      <c r="G133" s="18" t="n"/>
      <c r="H133" s="18">
        <f>IF($A133="","",IF(I133&lt;&gt;"",I133,Paramètres!B25))</f>
        <v/>
      </c>
      <c r="I133" s="18" t="n"/>
    </row>
    <row r="134">
      <c r="A134" s="18">
        <f>IF(ISNUMBER(Dossiers!$D$6),Dossiers!$A$6&amp;" · "&amp;Dossiers!$B$6,"")</f>
        <v/>
      </c>
      <c r="B134" s="18">
        <f>IF($A134="","",Paramètres!G26)</f>
        <v/>
      </c>
      <c r="C134" s="18">
        <f>IF($A134="","",IF(Paramètres!H26="","",Paramètres!H26))</f>
        <v/>
      </c>
      <c r="D134" s="18">
        <f>IF($A134="","",IF(Paramètres!I26="","",Paramètres!I26))</f>
        <v/>
      </c>
      <c r="E134" s="19">
        <f>IF($A134="","",IF(Paramètres!J26&amp;Paramètres!L26&amp;Paramètres!N26="",Dossiers!$D$6,MAX(IF(Paramètres!J26="",0,IF(Paramètres!K26="",NA(),IF(LEFT(TRIM(Paramètres!K26),1)="F",INDEX($F$113:$F$165,MATCH(Paramètres!J26,Paramètres!$G$5:$G$57,0)),INDEX($E$113:$E$165,MATCH(Paramètres!J26,Paramètres!$G$5:$G$57,0)))+IF(RIGHT(TRIM(Paramètres!K26),3)="Fin",1-$H134,IF(LEFT(TRIM(Paramètres!K26),1)="F",1,0)))),IF(Paramètres!L26="",0,IF(Paramètres!M26="",NA(),IF(LEFT(TRIM(Paramètres!M26),1)="F",INDEX($F$113:$F$165,MATCH(Paramètres!L26,Paramètres!$G$5:$G$57,0)),INDEX($E$113:$E$165,MATCH(Paramètres!L26,Paramètres!$G$5:$G$57,0)))+IF(RIGHT(TRIM(Paramètres!M26),3)="Fin",1-$H134,IF(LEFT(TRIM(Paramètres!M26),1)="F",1,0)))),IF(Paramètres!N26="",0,IF(Paramètres!O26="",NA(),IF(LEFT(TRIM(Paramètres!O26),1)="F",INDEX($F$113:$F$165,MATCH(Paramètres!N26,Paramètres!$G$5:$G$57,0)),INDEX($E$113:$E$165,MATCH(Paramètres!N26,Paramètres!$G$5:$G$57,0)))+IF(RIGHT(TRIM(Paramètres!O26),3)="Fin",1-$H134,IF(LEFT(TRIM(Paramètres!O26),1)="F",1,0)))))))</f>
        <v/>
      </c>
      <c r="F134" s="19">
        <f>IF($A134="","",E134+$H134-1)</f>
        <v/>
      </c>
      <c r="G134" s="18" t="n"/>
      <c r="H134" s="18">
        <f>IF($A134="","",IF(I134&lt;&gt;"",I134,Paramètres!B26))</f>
        <v/>
      </c>
      <c r="I134" s="18" t="n"/>
    </row>
    <row r="135">
      <c r="A135" s="18">
        <f>IF(ISNUMBER(Dossiers!$D$6),Dossiers!$A$6&amp;" · "&amp;Dossiers!$B$6,"")</f>
        <v/>
      </c>
      <c r="B135" s="18">
        <f>IF($A135="","",Paramètres!G27)</f>
        <v/>
      </c>
      <c r="C135" s="18">
        <f>IF($A135="","",IF(Paramètres!H27="","",Paramètres!H27))</f>
        <v/>
      </c>
      <c r="D135" s="18">
        <f>IF($A135="","",IF(Paramètres!I27="","",Paramètres!I27))</f>
        <v/>
      </c>
      <c r="E135" s="19">
        <f>IF($A135="","",IF(Paramètres!J27&amp;Paramètres!L27&amp;Paramètres!N27="",Dossiers!$D$6,MAX(IF(Paramètres!J27="",0,IF(Paramètres!K27="",NA(),IF(LEFT(TRIM(Paramètres!K27),1)="F",INDEX($F$113:$F$165,MATCH(Paramètres!J27,Paramètres!$G$5:$G$57,0)),INDEX($E$113:$E$165,MATCH(Paramètres!J27,Paramètres!$G$5:$G$57,0)))+IF(RIGHT(TRIM(Paramètres!K27),3)="Fin",1-$H135,IF(LEFT(TRIM(Paramètres!K27),1)="F",1,0)))),IF(Paramètres!L27="",0,IF(Paramètres!M27="",NA(),IF(LEFT(TRIM(Paramètres!M27),1)="F",INDEX($F$113:$F$165,MATCH(Paramètres!L27,Paramètres!$G$5:$G$57,0)),INDEX($E$113:$E$165,MATCH(Paramètres!L27,Paramètres!$G$5:$G$57,0)))+IF(RIGHT(TRIM(Paramètres!M27),3)="Fin",1-$H135,IF(LEFT(TRIM(Paramètres!M27),1)="F",1,0)))),IF(Paramètres!N27="",0,IF(Paramètres!O27="",NA(),IF(LEFT(TRIM(Paramètres!O27),1)="F",INDEX($F$113:$F$165,MATCH(Paramètres!N27,Paramètres!$G$5:$G$57,0)),INDEX($E$113:$E$165,MATCH(Paramètres!N27,Paramètres!$G$5:$G$57,0)))+IF(RIGHT(TRIM(Paramètres!O27),3)="Fin",1-$H135,IF(LEFT(TRIM(Paramètres!O27),1)="F",1,0)))))))</f>
        <v/>
      </c>
      <c r="F135" s="19">
        <f>IF($A135="","",E135+$H135-1)</f>
        <v/>
      </c>
      <c r="G135" s="18" t="n"/>
      <c r="H135" s="18">
        <f>IF($A135="","",IF(I135&lt;&gt;"",I135,Paramètres!B27))</f>
        <v/>
      </c>
      <c r="I135" s="18" t="n"/>
    </row>
    <row r="136">
      <c r="A136" s="18">
        <f>IF(ISNUMBER(Dossiers!$D$6),Dossiers!$A$6&amp;" · "&amp;Dossiers!$B$6,"")</f>
        <v/>
      </c>
      <c r="B136" s="18">
        <f>IF($A136="","",Paramètres!G28)</f>
        <v/>
      </c>
      <c r="C136" s="18">
        <f>IF($A136="","",IF(Paramètres!H28="","",Paramètres!H28))</f>
        <v/>
      </c>
      <c r="D136" s="18">
        <f>IF($A136="","",IF(Paramètres!I28="","",Paramètres!I28))</f>
        <v/>
      </c>
      <c r="E136" s="19">
        <f>IF($A136="","",IF(Paramètres!J28&amp;Paramètres!L28&amp;Paramètres!N28="",Dossiers!$D$6,MAX(IF(Paramètres!J28="",0,IF(Paramètres!K28="",NA(),IF(LEFT(TRIM(Paramètres!K28),1)="F",INDEX($F$113:$F$165,MATCH(Paramètres!J28,Paramètres!$G$5:$G$57,0)),INDEX($E$113:$E$165,MATCH(Paramètres!J28,Paramètres!$G$5:$G$57,0)))+IF(RIGHT(TRIM(Paramètres!K28),3)="Fin",1-$H136,IF(LEFT(TRIM(Paramètres!K28),1)="F",1,0)))),IF(Paramètres!L28="",0,IF(Paramètres!M28="",NA(),IF(LEFT(TRIM(Paramètres!M28),1)="F",INDEX($F$113:$F$165,MATCH(Paramètres!L28,Paramètres!$G$5:$G$57,0)),INDEX($E$113:$E$165,MATCH(Paramètres!L28,Paramètres!$G$5:$G$57,0)))+IF(RIGHT(TRIM(Paramètres!M28),3)="Fin",1-$H136,IF(LEFT(TRIM(Paramètres!M28),1)="F",1,0)))),IF(Paramètres!N28="",0,IF(Paramètres!O28="",NA(),IF(LEFT(TRIM(Paramètres!O28),1)="F",INDEX($F$113:$F$165,MATCH(Paramètres!N28,Paramètres!$G$5:$G$57,0)),INDEX($E$113:$E$165,MATCH(Paramètres!N28,Paramètres!$G$5:$G$57,0)))+IF(RIGHT(TRIM(Paramètres!O28),3)="Fin",1-$H136,IF(LEFT(TRIM(Paramètres!O28),1)="F",1,0)))))))</f>
        <v/>
      </c>
      <c r="F136" s="19">
        <f>IF($A136="","",E136+$H136-1)</f>
        <v/>
      </c>
      <c r="G136" s="18" t="n"/>
      <c r="H136" s="18">
        <f>IF($A136="","",IF(I136&lt;&gt;"",I136,Paramètres!B28))</f>
        <v/>
      </c>
      <c r="I136" s="18" t="n"/>
    </row>
    <row r="137">
      <c r="A137" s="18">
        <f>IF(ISNUMBER(Dossiers!$D$6),Dossiers!$A$6&amp;" · "&amp;Dossiers!$B$6,"")</f>
        <v/>
      </c>
      <c r="B137" s="18">
        <f>IF($A137="","",Paramètres!G29)</f>
        <v/>
      </c>
      <c r="C137" s="18">
        <f>IF($A137="","",IF(Paramètres!H29="","",Paramètres!H29))</f>
        <v/>
      </c>
      <c r="D137" s="18">
        <f>IF($A137="","",IF(Paramètres!I29="","",Paramètres!I29))</f>
        <v/>
      </c>
      <c r="E137" s="19">
        <f>IF($A137="","",IF(Paramètres!J29&amp;Paramètres!L29&amp;Paramètres!N29="",Dossiers!$D$6,MAX(IF(Paramètres!J29="",0,IF(Paramètres!K29="",NA(),IF(LEFT(TRIM(Paramètres!K29),1)="F",INDEX($F$113:$F$165,MATCH(Paramètres!J29,Paramètres!$G$5:$G$57,0)),INDEX($E$113:$E$165,MATCH(Paramètres!J29,Paramètres!$G$5:$G$57,0)))+IF(RIGHT(TRIM(Paramètres!K29),3)="Fin",1-$H137,IF(LEFT(TRIM(Paramètres!K29),1)="F",1,0)))),IF(Paramètres!L29="",0,IF(Paramètres!M29="",NA(),IF(LEFT(TRIM(Paramètres!M29),1)="F",INDEX($F$113:$F$165,MATCH(Paramètres!L29,Paramètres!$G$5:$G$57,0)),INDEX($E$113:$E$165,MATCH(Paramètres!L29,Paramètres!$G$5:$G$57,0)))+IF(RIGHT(TRIM(Paramètres!M29),3)="Fin",1-$H137,IF(LEFT(TRIM(Paramètres!M29),1)="F",1,0)))),IF(Paramètres!N29="",0,IF(Paramètres!O29="",NA(),IF(LEFT(TRIM(Paramètres!O29),1)="F",INDEX($F$113:$F$165,MATCH(Paramètres!N29,Paramètres!$G$5:$G$57,0)),INDEX($E$113:$E$165,MATCH(Paramètres!N29,Paramètres!$G$5:$G$57,0)))+IF(RIGHT(TRIM(Paramètres!O29),3)="Fin",1-$H137,IF(LEFT(TRIM(Paramètres!O29),1)="F",1,0)))))))</f>
        <v/>
      </c>
      <c r="F137" s="19">
        <f>IF($A137="","",E137+$H137-1)</f>
        <v/>
      </c>
      <c r="G137" s="18" t="n"/>
      <c r="H137" s="18">
        <f>IF($A137="","",IF(I137&lt;&gt;"",I137,Paramètres!B29))</f>
        <v/>
      </c>
      <c r="I137" s="18" t="n"/>
    </row>
    <row r="138">
      <c r="A138" s="18">
        <f>IF(ISNUMBER(Dossiers!$D$6),Dossiers!$A$6&amp;" · "&amp;Dossiers!$B$6,"")</f>
        <v/>
      </c>
      <c r="B138" s="18">
        <f>IF($A138="","",Paramètres!G30)</f>
        <v/>
      </c>
      <c r="C138" s="18">
        <f>IF($A138="","",IF(Paramètres!H30="","",Paramètres!H30))</f>
        <v/>
      </c>
      <c r="D138" s="18">
        <f>IF($A138="","",IF(Paramètres!I30="","",Paramètres!I30))</f>
        <v/>
      </c>
      <c r="E138" s="19">
        <f>IF($A138="","",IF(Paramètres!J30&amp;Paramètres!L30&amp;Paramètres!N30="",Dossiers!$D$6,MAX(IF(Paramètres!J30="",0,IF(Paramètres!K30="",NA(),IF(LEFT(TRIM(Paramètres!K30),1)="F",INDEX($F$113:$F$165,MATCH(Paramètres!J30,Paramètres!$G$5:$G$57,0)),INDEX($E$113:$E$165,MATCH(Paramètres!J30,Paramètres!$G$5:$G$57,0)))+IF(RIGHT(TRIM(Paramètres!K30),3)="Fin",1-$H138,IF(LEFT(TRIM(Paramètres!K30),1)="F",1,0)))),IF(Paramètres!L30="",0,IF(Paramètres!M30="",NA(),IF(LEFT(TRIM(Paramètres!M30),1)="F",INDEX($F$113:$F$165,MATCH(Paramètres!L30,Paramètres!$G$5:$G$57,0)),INDEX($E$113:$E$165,MATCH(Paramètres!L30,Paramètres!$G$5:$G$57,0)))+IF(RIGHT(TRIM(Paramètres!M30),3)="Fin",1-$H138,IF(LEFT(TRIM(Paramètres!M30),1)="F",1,0)))),IF(Paramètres!N30="",0,IF(Paramètres!O30="",NA(),IF(LEFT(TRIM(Paramètres!O30),1)="F",INDEX($F$113:$F$165,MATCH(Paramètres!N30,Paramètres!$G$5:$G$57,0)),INDEX($E$113:$E$165,MATCH(Paramètres!N30,Paramètres!$G$5:$G$57,0)))+IF(RIGHT(TRIM(Paramètres!O30),3)="Fin",1-$H138,IF(LEFT(TRIM(Paramètres!O30),1)="F",1,0)))))))</f>
        <v/>
      </c>
      <c r="F138" s="19">
        <f>IF($A138="","",E138+$H138-1)</f>
        <v/>
      </c>
      <c r="G138" s="18" t="n"/>
      <c r="H138" s="18">
        <f>IF($A138="","",IF(I138&lt;&gt;"",I138,Paramètres!B30))</f>
        <v/>
      </c>
      <c r="I138" s="18" t="n"/>
    </row>
    <row r="139">
      <c r="A139" s="18">
        <f>IF(ISNUMBER(Dossiers!$D$6),Dossiers!$A$6&amp;" · "&amp;Dossiers!$B$6,"")</f>
        <v/>
      </c>
      <c r="B139" s="18">
        <f>IF($A139="","",Paramètres!G31)</f>
        <v/>
      </c>
      <c r="C139" s="20">
        <f>IF($A139="","",IF(Dossiers!$F$6="","",Dossiers!$F$6))</f>
        <v/>
      </c>
      <c r="D139" s="18">
        <f>IF($A139="","",IF(Paramètres!I31="","",Paramètres!I31))</f>
        <v/>
      </c>
      <c r="E139" s="19">
        <f>IF($A139="","",IF(Paramètres!J31&amp;Paramètres!L31&amp;Paramètres!N31="",Dossiers!$D$6,MAX(IF(Paramètres!J31="",0,IF(Paramètres!K31="",NA(),IF(LEFT(TRIM(Paramètres!K31),1)="F",INDEX($F$113:$F$165,MATCH(Paramètres!J31,Paramètres!$G$5:$G$57,0)),INDEX($E$113:$E$165,MATCH(Paramètres!J31,Paramètres!$G$5:$G$57,0)))+IF(RIGHT(TRIM(Paramètres!K31),3)="Fin",1-$H139,IF(LEFT(TRIM(Paramètres!K31),1)="F",1,0)))),IF(Paramètres!L31="",0,IF(Paramètres!M31="",NA(),IF(LEFT(TRIM(Paramètres!M31),1)="F",INDEX($F$113:$F$165,MATCH(Paramètres!L31,Paramètres!$G$5:$G$57,0)),INDEX($E$113:$E$165,MATCH(Paramètres!L31,Paramètres!$G$5:$G$57,0)))+IF(RIGHT(TRIM(Paramètres!M31),3)="Fin",1-$H139,IF(LEFT(TRIM(Paramètres!M31),1)="F",1,0)))),IF(Paramètres!N31="",0,IF(Paramètres!O31="",NA(),IF(LEFT(TRIM(Paramètres!O31),1)="F",INDEX($F$113:$F$165,MATCH(Paramètres!N31,Paramètres!$G$5:$G$57,0)),INDEX($E$113:$E$165,MATCH(Paramètres!N31,Paramètres!$G$5:$G$57,0)))+IF(RIGHT(TRIM(Paramètres!O31),3)="Fin",1-$H139,IF(LEFT(TRIM(Paramètres!O31),1)="F",1,0)))))))</f>
        <v/>
      </c>
      <c r="F139" s="19">
        <f>IF($A139="","",E139+$H139-1)</f>
        <v/>
      </c>
      <c r="G139" s="18" t="n"/>
      <c r="H139" s="18">
        <f>IF($A139="","",IF(I139&lt;&gt;"",I139,Paramètres!B31))</f>
        <v/>
      </c>
      <c r="I139" s="18" t="n"/>
    </row>
    <row r="140">
      <c r="A140" s="18">
        <f>IF(ISNUMBER(Dossiers!$D$6),Dossiers!$A$6&amp;" · "&amp;Dossiers!$B$6,"")</f>
        <v/>
      </c>
      <c r="B140" s="18">
        <f>IF($A140="","",Paramètres!G32)</f>
        <v/>
      </c>
      <c r="C140" s="18">
        <f>IF($A140="","",IF(Paramètres!H32="","",Paramètres!H32))</f>
        <v/>
      </c>
      <c r="D140" s="18">
        <f>IF($A140="","",IF(Paramètres!I32="","",Paramètres!I32))</f>
        <v/>
      </c>
      <c r="E140" s="19">
        <f>IF($A140="","",MIN(E141:E144))</f>
        <v/>
      </c>
      <c r="F140" s="19">
        <f>IF($A140="","",MAX(F141:F144))</f>
        <v/>
      </c>
      <c r="G140" s="18" t="n"/>
      <c r="H140" s="18">
        <f>IF($A140="","",F140-E140+1)</f>
        <v/>
      </c>
      <c r="I140" s="18" t="n"/>
    </row>
    <row r="141">
      <c r="A141" s="18">
        <f>IF(ISNUMBER(Dossiers!$D$6),Dossiers!$A$6&amp;" · "&amp;Dossiers!$B$6,"")</f>
        <v/>
      </c>
      <c r="B141" s="18">
        <f>IF($A141="","",Paramètres!G33)</f>
        <v/>
      </c>
      <c r="C141" s="18">
        <f>IF($A141="","",IF(Paramètres!H33="","",Paramètres!H33))</f>
        <v/>
      </c>
      <c r="D141" s="18">
        <f>IF($A141="","",IF(Paramètres!I33="","",Paramètres!I33))</f>
        <v/>
      </c>
      <c r="E141" s="19">
        <f>IF($A141="","",IF(Paramètres!J33&amp;Paramètres!L33&amp;Paramètres!N33="",Dossiers!$D$6,MAX(IF(Paramètres!J33="",0,IF(Paramètres!K33="",NA(),IF(LEFT(TRIM(Paramètres!K33),1)="F",INDEX($F$113:$F$165,MATCH(Paramètres!J33,Paramètres!$G$5:$G$57,0)),INDEX($E$113:$E$165,MATCH(Paramètres!J33,Paramètres!$G$5:$G$57,0)))+IF(RIGHT(TRIM(Paramètres!K33),3)="Fin",1-$H141,IF(LEFT(TRIM(Paramètres!K33),1)="F",1,0)))),IF(Paramètres!L33="",0,IF(Paramètres!M33="",NA(),IF(LEFT(TRIM(Paramètres!M33),1)="F",INDEX($F$113:$F$165,MATCH(Paramètres!L33,Paramètres!$G$5:$G$57,0)),INDEX($E$113:$E$165,MATCH(Paramètres!L33,Paramètres!$G$5:$G$57,0)))+IF(RIGHT(TRIM(Paramètres!M33),3)="Fin",1-$H141,IF(LEFT(TRIM(Paramètres!M33),1)="F",1,0)))),IF(Paramètres!N33="",0,IF(Paramètres!O33="",NA(),IF(LEFT(TRIM(Paramètres!O33),1)="F",INDEX($F$113:$F$165,MATCH(Paramètres!N33,Paramètres!$G$5:$G$57,0)),INDEX($E$113:$E$165,MATCH(Paramètres!N33,Paramètres!$G$5:$G$57,0)))+IF(RIGHT(TRIM(Paramètres!O33),3)="Fin",1-$H141,IF(LEFT(TRIM(Paramètres!O33),1)="F",1,0)))))))</f>
        <v/>
      </c>
      <c r="F141" s="19">
        <f>IF($A141="","",E141+$H141-1)</f>
        <v/>
      </c>
      <c r="G141" s="18" t="n"/>
      <c r="H141" s="18">
        <f>IF($A141="","",IF(I141&lt;&gt;"",I141,Paramètres!B33))</f>
        <v/>
      </c>
      <c r="I141" s="18" t="n"/>
    </row>
    <row r="142">
      <c r="A142" s="18">
        <f>IF(ISNUMBER(Dossiers!$D$6),Dossiers!$A$6&amp;" · "&amp;Dossiers!$B$6,"")</f>
        <v/>
      </c>
      <c r="B142" s="18">
        <f>IF($A142="","",Paramètres!G34)</f>
        <v/>
      </c>
      <c r="C142" s="18">
        <f>IF($A142="","",IF(Paramètres!H34="","",Paramètres!H34))</f>
        <v/>
      </c>
      <c r="D142" s="18">
        <f>IF($A142="","",IF(Paramètres!I34="","",Paramètres!I34))</f>
        <v/>
      </c>
      <c r="E142" s="19">
        <f>IF($A142="","",IF(Paramètres!J34&amp;Paramètres!L34&amp;Paramètres!N34="",Dossiers!$D$6,MAX(IF(Paramètres!J34="",0,IF(Paramètres!K34="",NA(),IF(LEFT(TRIM(Paramètres!K34),1)="F",INDEX($F$113:$F$165,MATCH(Paramètres!J34,Paramètres!$G$5:$G$57,0)),INDEX($E$113:$E$165,MATCH(Paramètres!J34,Paramètres!$G$5:$G$57,0)))+IF(RIGHT(TRIM(Paramètres!K34),3)="Fin",1-$H142,IF(LEFT(TRIM(Paramètres!K34),1)="F",1,0)))),IF(Paramètres!L34="",0,IF(Paramètres!M34="",NA(),IF(LEFT(TRIM(Paramètres!M34),1)="F",INDEX($F$113:$F$165,MATCH(Paramètres!L34,Paramètres!$G$5:$G$57,0)),INDEX($E$113:$E$165,MATCH(Paramètres!L34,Paramètres!$G$5:$G$57,0)))+IF(RIGHT(TRIM(Paramètres!M34),3)="Fin",1-$H142,IF(LEFT(TRIM(Paramètres!M34),1)="F",1,0)))),IF(Paramètres!N34="",0,IF(Paramètres!O34="",NA(),IF(LEFT(TRIM(Paramètres!O34),1)="F",INDEX($F$113:$F$165,MATCH(Paramètres!N34,Paramètres!$G$5:$G$57,0)),INDEX($E$113:$E$165,MATCH(Paramètres!N34,Paramètres!$G$5:$G$57,0)))+IF(RIGHT(TRIM(Paramètres!O34),3)="Fin",1-$H142,IF(LEFT(TRIM(Paramètres!O34),1)="F",1,0)))))))</f>
        <v/>
      </c>
      <c r="F142" s="19">
        <f>IF($A142="","",E142+$H142-1)</f>
        <v/>
      </c>
      <c r="G142" s="18" t="n"/>
      <c r="H142" s="18">
        <f>IF($A142="","",IF(I142&lt;&gt;"",I142,Paramètres!B34))</f>
        <v/>
      </c>
      <c r="I142" s="18" t="n"/>
    </row>
    <row r="143">
      <c r="A143" s="18">
        <f>IF(ISNUMBER(Dossiers!$D$6),Dossiers!$A$6&amp;" · "&amp;Dossiers!$B$6,"")</f>
        <v/>
      </c>
      <c r="B143" s="18">
        <f>IF($A143="","",Paramètres!G35)</f>
        <v/>
      </c>
      <c r="C143" s="18">
        <f>IF($A143="","",IF(Paramètres!H35="","",Paramètres!H35))</f>
        <v/>
      </c>
      <c r="D143" s="18">
        <f>IF($A143="","",IF(Paramètres!I35="","",Paramètres!I35))</f>
        <v/>
      </c>
      <c r="E143" s="19">
        <f>IF($A143="","",IF(Paramètres!J35&amp;Paramètres!L35&amp;Paramètres!N35="",Dossiers!$D$6,MAX(IF(Paramètres!J35="",0,IF(Paramètres!K35="",NA(),IF(LEFT(TRIM(Paramètres!K35),1)="F",INDEX($F$113:$F$165,MATCH(Paramètres!J35,Paramètres!$G$5:$G$57,0)),INDEX($E$113:$E$165,MATCH(Paramètres!J35,Paramètres!$G$5:$G$57,0)))+IF(RIGHT(TRIM(Paramètres!K35),3)="Fin",1-$H143,IF(LEFT(TRIM(Paramètres!K35),1)="F",1,0)))),IF(Paramètres!L35="",0,IF(Paramètres!M35="",NA(),IF(LEFT(TRIM(Paramètres!M35),1)="F",INDEX($F$113:$F$165,MATCH(Paramètres!L35,Paramètres!$G$5:$G$57,0)),INDEX($E$113:$E$165,MATCH(Paramètres!L35,Paramètres!$G$5:$G$57,0)))+IF(RIGHT(TRIM(Paramètres!M35),3)="Fin",1-$H143,IF(LEFT(TRIM(Paramètres!M35),1)="F",1,0)))),IF(Paramètres!N35="",0,IF(Paramètres!O35="",NA(),IF(LEFT(TRIM(Paramètres!O35),1)="F",INDEX($F$113:$F$165,MATCH(Paramètres!N35,Paramètres!$G$5:$G$57,0)),INDEX($E$113:$E$165,MATCH(Paramètres!N35,Paramètres!$G$5:$G$57,0)))+IF(RIGHT(TRIM(Paramètres!O35),3)="Fin",1-$H143,IF(LEFT(TRIM(Paramètres!O35),1)="F",1,0)))))))</f>
        <v/>
      </c>
      <c r="F143" s="19">
        <f>IF($A143="","",E143+$H143-1)</f>
        <v/>
      </c>
      <c r="G143" s="18" t="n"/>
      <c r="H143" s="18">
        <f>IF($A143="","",IF(I143&lt;&gt;"",I143,Paramètres!B35))</f>
        <v/>
      </c>
      <c r="I143" s="18" t="n"/>
    </row>
    <row r="144">
      <c r="A144" s="18">
        <f>IF(ISNUMBER(Dossiers!$D$6),Dossiers!$A$6&amp;" · "&amp;Dossiers!$B$6,"")</f>
        <v/>
      </c>
      <c r="B144" s="18">
        <f>IF($A144="","",Paramètres!G36)</f>
        <v/>
      </c>
      <c r="C144" s="18">
        <f>IF($A144="","",IF(Paramètres!H36="","",Paramètres!H36))</f>
        <v/>
      </c>
      <c r="D144" s="18">
        <f>IF($A144="","",IF(Paramètres!I36="","",Paramètres!I36))</f>
        <v/>
      </c>
      <c r="E144" s="19">
        <f>IF($A144="","",IF(Paramètres!J36&amp;Paramètres!L36&amp;Paramètres!N36="",Dossiers!$D$6,MAX(IF(Paramètres!J36="",0,IF(Paramètres!K36="",NA(),IF(LEFT(TRIM(Paramètres!K36),1)="F",INDEX($F$113:$F$165,MATCH(Paramètres!J36,Paramètres!$G$5:$G$57,0)),INDEX($E$113:$E$165,MATCH(Paramètres!J36,Paramètres!$G$5:$G$57,0)))+IF(RIGHT(TRIM(Paramètres!K36),3)="Fin",1-$H144,IF(LEFT(TRIM(Paramètres!K36),1)="F",1,0)))),IF(Paramètres!L36="",0,IF(Paramètres!M36="",NA(),IF(LEFT(TRIM(Paramètres!M36),1)="F",INDEX($F$113:$F$165,MATCH(Paramètres!L36,Paramètres!$G$5:$G$57,0)),INDEX($E$113:$E$165,MATCH(Paramètres!L36,Paramètres!$G$5:$G$57,0)))+IF(RIGHT(TRIM(Paramètres!M36),3)="Fin",1-$H144,IF(LEFT(TRIM(Paramètres!M36),1)="F",1,0)))),IF(Paramètres!N36="",0,IF(Paramètres!O36="",NA(),IF(LEFT(TRIM(Paramètres!O36),1)="F",INDEX($F$113:$F$165,MATCH(Paramètres!N36,Paramètres!$G$5:$G$57,0)),INDEX($E$113:$E$165,MATCH(Paramètres!N36,Paramètres!$G$5:$G$57,0)))+IF(RIGHT(TRIM(Paramètres!O36),3)="Fin",1-$H144,IF(LEFT(TRIM(Paramètres!O36),1)="F",1,0)))))))</f>
        <v/>
      </c>
      <c r="F144" s="19">
        <f>IF($A144="","",E144+$H144-1)</f>
        <v/>
      </c>
      <c r="G144" s="18" t="n"/>
      <c r="H144" s="18">
        <f>IF($A144="","",IF(I144&lt;&gt;"",I144,Paramètres!B36))</f>
        <v/>
      </c>
      <c r="I144" s="18" t="n"/>
    </row>
    <row r="145">
      <c r="A145" s="18">
        <f>IF(ISNUMBER(Dossiers!$D$6),Dossiers!$A$6&amp;" · "&amp;Dossiers!$B$6,"")</f>
        <v/>
      </c>
      <c r="B145" s="18">
        <f>IF($A145="","",Paramètres!G37)</f>
        <v/>
      </c>
      <c r="C145" s="18">
        <f>IF($A145="","",IF(Paramètres!H37="","",Paramètres!H37))</f>
        <v/>
      </c>
      <c r="D145" s="18">
        <f>IF($A145="","",IF(Paramètres!I37="","",Paramètres!I37))</f>
        <v/>
      </c>
      <c r="E145" s="19">
        <f>IF($A145="","",MIN(E146:E163))</f>
        <v/>
      </c>
      <c r="F145" s="19">
        <f>IF($A145="","",MAX(F146:F163))</f>
        <v/>
      </c>
      <c r="G145" s="18" t="n"/>
      <c r="H145" s="18">
        <f>IF($A145="","",F145-E145+1)</f>
        <v/>
      </c>
      <c r="I145" s="18" t="n"/>
    </row>
    <row r="146">
      <c r="A146" s="18">
        <f>IF(ISNUMBER(Dossiers!$D$6),Dossiers!$A$6&amp;" · "&amp;Dossiers!$B$6,"")</f>
        <v/>
      </c>
      <c r="B146" s="18">
        <f>IF($A146="","",Paramètres!G38)</f>
        <v/>
      </c>
      <c r="C146" s="18">
        <f>IF($A146="","",IF(Paramètres!H38="","",Paramètres!H38))</f>
        <v/>
      </c>
      <c r="D146" s="18">
        <f>IF($A146="","",IF(Paramètres!I38="","",Paramètres!I38))</f>
        <v/>
      </c>
      <c r="E146" s="19">
        <f>IF($A146="","",IF(Paramètres!J38&amp;Paramètres!L38&amp;Paramètres!N38="",Dossiers!$D$6,MAX(IF(Paramètres!J38="",0,IF(Paramètres!K38="",NA(),IF(LEFT(TRIM(Paramètres!K38),1)="F",INDEX($F$113:$F$165,MATCH(Paramètres!J38,Paramètres!$G$5:$G$57,0)),INDEX($E$113:$E$165,MATCH(Paramètres!J38,Paramètres!$G$5:$G$57,0)))+IF(RIGHT(TRIM(Paramètres!K38),3)="Fin",1-$H146,IF(LEFT(TRIM(Paramètres!K38),1)="F",1,0)))),IF(Paramètres!L38="",0,IF(Paramètres!M38="",NA(),IF(LEFT(TRIM(Paramètres!M38),1)="F",INDEX($F$113:$F$165,MATCH(Paramètres!L38,Paramètres!$G$5:$G$57,0)),INDEX($E$113:$E$165,MATCH(Paramètres!L38,Paramètres!$G$5:$G$57,0)))+IF(RIGHT(TRIM(Paramètres!M38),3)="Fin",1-$H146,IF(LEFT(TRIM(Paramètres!M38),1)="F",1,0)))),IF(Paramètres!N38="",0,IF(Paramètres!O38="",NA(),IF(LEFT(TRIM(Paramètres!O38),1)="F",INDEX($F$113:$F$165,MATCH(Paramètres!N38,Paramètres!$G$5:$G$57,0)),INDEX($E$113:$E$165,MATCH(Paramètres!N38,Paramètres!$G$5:$G$57,0)))+IF(RIGHT(TRIM(Paramètres!O38),3)="Fin",1-$H146,IF(LEFT(TRIM(Paramètres!O38),1)="F",1,0)))))))</f>
        <v/>
      </c>
      <c r="F146" s="19">
        <f>IF($A146="","",E146+$H146-1)</f>
        <v/>
      </c>
      <c r="G146" s="18" t="n"/>
      <c r="H146" s="18">
        <f>IF($A146="","",IF(I146&lt;&gt;"",I146,Paramètres!B38))</f>
        <v/>
      </c>
      <c r="I146" s="18" t="n"/>
    </row>
    <row r="147">
      <c r="A147" s="18">
        <f>IF(ISNUMBER(Dossiers!$D$6),Dossiers!$A$6&amp;" · "&amp;Dossiers!$B$6,"")</f>
        <v/>
      </c>
      <c r="B147" s="18">
        <f>IF($A147="","",Paramètres!G39)</f>
        <v/>
      </c>
      <c r="C147" s="18">
        <f>IF($A147="","",IF(Paramètres!H39="","",Paramètres!H39))</f>
        <v/>
      </c>
      <c r="D147" s="18">
        <f>IF($A147="","",IF(Paramètres!I39="","",Paramètres!I39))</f>
        <v/>
      </c>
      <c r="E147" s="19">
        <f>IF($A147="","",IF(Paramètres!J39&amp;Paramètres!L39&amp;Paramètres!N39="",Dossiers!$D$6,MAX(IF(Paramètres!J39="",0,IF(Paramètres!K39="",NA(),IF(LEFT(TRIM(Paramètres!K39),1)="F",INDEX($F$113:$F$165,MATCH(Paramètres!J39,Paramètres!$G$5:$G$57,0)),INDEX($E$113:$E$165,MATCH(Paramètres!J39,Paramètres!$G$5:$G$57,0)))+IF(RIGHT(TRIM(Paramètres!K39),3)="Fin",1-$H147,IF(LEFT(TRIM(Paramètres!K39),1)="F",1,0)))),IF(Paramètres!L39="",0,IF(Paramètres!M39="",NA(),IF(LEFT(TRIM(Paramètres!M39),1)="F",INDEX($F$113:$F$165,MATCH(Paramètres!L39,Paramètres!$G$5:$G$57,0)),INDEX($E$113:$E$165,MATCH(Paramètres!L39,Paramètres!$G$5:$G$57,0)))+IF(RIGHT(TRIM(Paramètres!M39),3)="Fin",1-$H147,IF(LEFT(TRIM(Paramètres!M39),1)="F",1,0)))),IF(Paramètres!N39="",0,IF(Paramètres!O39="",NA(),IF(LEFT(TRIM(Paramètres!O39),1)="F",INDEX($F$113:$F$165,MATCH(Paramètres!N39,Paramètres!$G$5:$G$57,0)),INDEX($E$113:$E$165,MATCH(Paramètres!N39,Paramètres!$G$5:$G$57,0)))+IF(RIGHT(TRIM(Paramètres!O39),3)="Fin",1-$H147,IF(LEFT(TRIM(Paramètres!O39),1)="F",1,0)))))))</f>
        <v/>
      </c>
      <c r="F147" s="19">
        <f>IF($A147="","",E147+$H147-1)</f>
        <v/>
      </c>
      <c r="G147" s="18" t="n"/>
      <c r="H147" s="18">
        <f>IF($A147="","",IF(I147&lt;&gt;"",I147,Paramètres!B39))</f>
        <v/>
      </c>
      <c r="I147" s="18" t="n"/>
    </row>
    <row r="148">
      <c r="A148" s="18">
        <f>IF(ISNUMBER(Dossiers!$D$6),Dossiers!$A$6&amp;" · "&amp;Dossiers!$B$6,"")</f>
        <v/>
      </c>
      <c r="B148" s="18">
        <f>IF($A148="","",Paramètres!G40)</f>
        <v/>
      </c>
      <c r="C148" s="18">
        <f>IF($A148="","",IF(Paramètres!H40="","",Paramètres!H40))</f>
        <v/>
      </c>
      <c r="D148" s="18">
        <f>IF($A148="","",IF(Paramètres!I40="","",Paramètres!I40))</f>
        <v/>
      </c>
      <c r="E148" s="19">
        <f>IF($A148="","",IF(Paramètres!J40&amp;Paramètres!L40&amp;Paramètres!N40="",Dossiers!$D$6,MAX(IF(Paramètres!J40="",0,IF(Paramètres!K40="",NA(),IF(LEFT(TRIM(Paramètres!K40),1)="F",INDEX($F$113:$F$165,MATCH(Paramètres!J40,Paramètres!$G$5:$G$57,0)),INDEX($E$113:$E$165,MATCH(Paramètres!J40,Paramètres!$G$5:$G$57,0)))+IF(RIGHT(TRIM(Paramètres!K40),3)="Fin",1-$H148,IF(LEFT(TRIM(Paramètres!K40),1)="F",1,0)))),IF(Paramètres!L40="",0,IF(Paramètres!M40="",NA(),IF(LEFT(TRIM(Paramètres!M40),1)="F",INDEX($F$113:$F$165,MATCH(Paramètres!L40,Paramètres!$G$5:$G$57,0)),INDEX($E$113:$E$165,MATCH(Paramètres!L40,Paramètres!$G$5:$G$57,0)))+IF(RIGHT(TRIM(Paramètres!M40),3)="Fin",1-$H148,IF(LEFT(TRIM(Paramètres!M40),1)="F",1,0)))),IF(Paramètres!N40="",0,IF(Paramètres!O40="",NA(),IF(LEFT(TRIM(Paramètres!O40),1)="F",INDEX($F$113:$F$165,MATCH(Paramètres!N40,Paramètres!$G$5:$G$57,0)),INDEX($E$113:$E$165,MATCH(Paramètres!N40,Paramètres!$G$5:$G$57,0)))+IF(RIGHT(TRIM(Paramètres!O40),3)="Fin",1-$H148,IF(LEFT(TRIM(Paramètres!O40),1)="F",1,0)))))))</f>
        <v/>
      </c>
      <c r="F148" s="19">
        <f>IF($A148="","",E148+$H148-1)</f>
        <v/>
      </c>
      <c r="G148" s="18" t="n"/>
      <c r="H148" s="18">
        <f>IF($A148="","",IF(I148&lt;&gt;"",I148,Paramètres!B40))</f>
        <v/>
      </c>
      <c r="I148" s="18" t="n"/>
    </row>
    <row r="149">
      <c r="A149" s="18">
        <f>IF(ISNUMBER(Dossiers!$D$6),Dossiers!$A$6&amp;" · "&amp;Dossiers!$B$6,"")</f>
        <v/>
      </c>
      <c r="B149" s="18">
        <f>IF($A149="","",Paramètres!G41)</f>
        <v/>
      </c>
      <c r="C149" s="18">
        <f>IF($A149="","",IF(Paramètres!H41="","",Paramètres!H41))</f>
        <v/>
      </c>
      <c r="D149" s="18">
        <f>IF($A149="","",IF(Paramètres!I41="","",Paramètres!I41))</f>
        <v/>
      </c>
      <c r="E149" s="19">
        <f>IF($A149="","",IF(Paramètres!J41&amp;Paramètres!L41&amp;Paramètres!N41="",Dossiers!$D$6,MAX(IF(Paramètres!J41="",0,IF(Paramètres!K41="",NA(),IF(LEFT(TRIM(Paramètres!K41),1)="F",INDEX($F$113:$F$165,MATCH(Paramètres!J41,Paramètres!$G$5:$G$57,0)),INDEX($E$113:$E$165,MATCH(Paramètres!J41,Paramètres!$G$5:$G$57,0)))+IF(RIGHT(TRIM(Paramètres!K41),3)="Fin",1-$H149,IF(LEFT(TRIM(Paramètres!K41),1)="F",1,0)))),IF(Paramètres!L41="",0,IF(Paramètres!M41="",NA(),IF(LEFT(TRIM(Paramètres!M41),1)="F",INDEX($F$113:$F$165,MATCH(Paramètres!L41,Paramètres!$G$5:$G$57,0)),INDEX($E$113:$E$165,MATCH(Paramètres!L41,Paramètres!$G$5:$G$57,0)))+IF(RIGHT(TRIM(Paramètres!M41),3)="Fin",1-$H149,IF(LEFT(TRIM(Paramètres!M41),1)="F",1,0)))),IF(Paramètres!N41="",0,IF(Paramètres!O41="",NA(),IF(LEFT(TRIM(Paramètres!O41),1)="F",INDEX($F$113:$F$165,MATCH(Paramètres!N41,Paramètres!$G$5:$G$57,0)),INDEX($E$113:$E$165,MATCH(Paramètres!N41,Paramètres!$G$5:$G$57,0)))+IF(RIGHT(TRIM(Paramètres!O41),3)="Fin",1-$H149,IF(LEFT(TRIM(Paramètres!O41),1)="F",1,0)))))))</f>
        <v/>
      </c>
      <c r="F149" s="19">
        <f>IF($A149="","",E149+$H149-1)</f>
        <v/>
      </c>
      <c r="G149" s="18" t="n"/>
      <c r="H149" s="18">
        <f>IF($A149="","",IF(I149&lt;&gt;"",I149,Paramètres!B41))</f>
        <v/>
      </c>
      <c r="I149" s="18" t="n"/>
    </row>
    <row r="150">
      <c r="A150" s="18">
        <f>IF(ISNUMBER(Dossiers!$D$6),Dossiers!$A$6&amp;" · "&amp;Dossiers!$B$6,"")</f>
        <v/>
      </c>
      <c r="B150" s="18">
        <f>IF($A150="","",Paramètres!G42)</f>
        <v/>
      </c>
      <c r="C150" s="18">
        <f>IF($A150="","",IF(Paramètres!H42="","",Paramètres!H42))</f>
        <v/>
      </c>
      <c r="D150" s="18">
        <f>IF($A150="","",IF(Paramètres!I42="","",Paramètres!I42))</f>
        <v/>
      </c>
      <c r="E150" s="19">
        <f>IF($A150="","",IF(Paramètres!J42&amp;Paramètres!L42&amp;Paramètres!N42="",Dossiers!$D$6,MAX(IF(Paramètres!J42="",0,IF(Paramètres!K42="",NA(),IF(LEFT(TRIM(Paramètres!K42),1)="F",INDEX($F$113:$F$165,MATCH(Paramètres!J42,Paramètres!$G$5:$G$57,0)),INDEX($E$113:$E$165,MATCH(Paramètres!J42,Paramètres!$G$5:$G$57,0)))+IF(RIGHT(TRIM(Paramètres!K42),3)="Fin",1-$H150,IF(LEFT(TRIM(Paramètres!K42),1)="F",1,0)))),IF(Paramètres!L42="",0,IF(Paramètres!M42="",NA(),IF(LEFT(TRIM(Paramètres!M42),1)="F",INDEX($F$113:$F$165,MATCH(Paramètres!L42,Paramètres!$G$5:$G$57,0)),INDEX($E$113:$E$165,MATCH(Paramètres!L42,Paramètres!$G$5:$G$57,0)))+IF(RIGHT(TRIM(Paramètres!M42),3)="Fin",1-$H150,IF(LEFT(TRIM(Paramètres!M42),1)="F",1,0)))),IF(Paramètres!N42="",0,IF(Paramètres!O42="",NA(),IF(LEFT(TRIM(Paramètres!O42),1)="F",INDEX($F$113:$F$165,MATCH(Paramètres!N42,Paramètres!$G$5:$G$57,0)),INDEX($E$113:$E$165,MATCH(Paramètres!N42,Paramètres!$G$5:$G$57,0)))+IF(RIGHT(TRIM(Paramètres!O42),3)="Fin",1-$H150,IF(LEFT(TRIM(Paramètres!O42),1)="F",1,0)))))))</f>
        <v/>
      </c>
      <c r="F150" s="19">
        <f>IF($A150="","",E150+$H150-1)</f>
        <v/>
      </c>
      <c r="G150" s="18" t="n"/>
      <c r="H150" s="18">
        <f>IF($A150="","",IF(I150&lt;&gt;"",I150,Paramètres!B42))</f>
        <v/>
      </c>
      <c r="I150" s="18" t="n"/>
    </row>
    <row r="151">
      <c r="A151" s="18">
        <f>IF(ISNUMBER(Dossiers!$D$6),Dossiers!$A$6&amp;" · "&amp;Dossiers!$B$6,"")</f>
        <v/>
      </c>
      <c r="B151" s="18">
        <f>IF($A151="","",Paramètres!G43)</f>
        <v/>
      </c>
      <c r="C151" s="18">
        <f>IF($A151="","",IF(Paramètres!H43="","",Paramètres!H43))</f>
        <v/>
      </c>
      <c r="D151" s="18">
        <f>IF($A151="","",IF(Paramètres!I43="","",Paramètres!I43))</f>
        <v/>
      </c>
      <c r="E151" s="19">
        <f>IF($A151="","",IF(Paramètres!J43&amp;Paramètres!L43&amp;Paramètres!N43="",Dossiers!$D$6,MAX(IF(Paramètres!J43="",0,IF(Paramètres!K43="",NA(),IF(LEFT(TRIM(Paramètres!K43),1)="F",INDEX($F$113:$F$165,MATCH(Paramètres!J43,Paramètres!$G$5:$G$57,0)),INDEX($E$113:$E$165,MATCH(Paramètres!J43,Paramètres!$G$5:$G$57,0)))+IF(RIGHT(TRIM(Paramètres!K43),3)="Fin",1-$H151,IF(LEFT(TRIM(Paramètres!K43),1)="F",1,0)))),IF(Paramètres!L43="",0,IF(Paramètres!M43="",NA(),IF(LEFT(TRIM(Paramètres!M43),1)="F",INDEX($F$113:$F$165,MATCH(Paramètres!L43,Paramètres!$G$5:$G$57,0)),INDEX($E$113:$E$165,MATCH(Paramètres!L43,Paramètres!$G$5:$G$57,0)))+IF(RIGHT(TRIM(Paramètres!M43),3)="Fin",1-$H151,IF(LEFT(TRIM(Paramètres!M43),1)="F",1,0)))),IF(Paramètres!N43="",0,IF(Paramètres!O43="",NA(),IF(LEFT(TRIM(Paramètres!O43),1)="F",INDEX($F$113:$F$165,MATCH(Paramètres!N43,Paramètres!$G$5:$G$57,0)),INDEX($E$113:$E$165,MATCH(Paramètres!N43,Paramètres!$G$5:$G$57,0)))+IF(RIGHT(TRIM(Paramètres!O43),3)="Fin",1-$H151,IF(LEFT(TRIM(Paramètres!O43),1)="F",1,0)))))))</f>
        <v/>
      </c>
      <c r="F151" s="19">
        <f>IF($A151="","",E151+$H151-1)</f>
        <v/>
      </c>
      <c r="G151" s="18" t="n"/>
      <c r="H151" s="18">
        <f>IF($A151="","",IF(I151&lt;&gt;"",I151,Paramètres!B43))</f>
        <v/>
      </c>
      <c r="I151" s="18" t="n"/>
    </row>
    <row r="152">
      <c r="A152" s="18">
        <f>IF(ISNUMBER(Dossiers!$D$6),Dossiers!$A$6&amp;" · "&amp;Dossiers!$B$6,"")</f>
        <v/>
      </c>
      <c r="B152" s="18">
        <f>IF($A152="","",Paramètres!G44)</f>
        <v/>
      </c>
      <c r="C152" s="18">
        <f>IF($A152="","",IF(Paramètres!H44="","",Paramètres!H44))</f>
        <v/>
      </c>
      <c r="D152" s="18">
        <f>IF($A152="","",IF(Paramètres!I44="","",Paramètres!I44))</f>
        <v/>
      </c>
      <c r="E152" s="19">
        <f>IF($A152="","",IF(Paramètres!J44&amp;Paramètres!L44&amp;Paramètres!N44="",Dossiers!$D$6,MAX(IF(Paramètres!J44="",0,IF(Paramètres!K44="",NA(),IF(LEFT(TRIM(Paramètres!K44),1)="F",INDEX($F$113:$F$165,MATCH(Paramètres!J44,Paramètres!$G$5:$G$57,0)),INDEX($E$113:$E$165,MATCH(Paramètres!J44,Paramètres!$G$5:$G$57,0)))+IF(RIGHT(TRIM(Paramètres!K44),3)="Fin",1-$H152,IF(LEFT(TRIM(Paramètres!K44),1)="F",1,0)))),IF(Paramètres!L44="",0,IF(Paramètres!M44="",NA(),IF(LEFT(TRIM(Paramètres!M44),1)="F",INDEX($F$113:$F$165,MATCH(Paramètres!L44,Paramètres!$G$5:$G$57,0)),INDEX($E$113:$E$165,MATCH(Paramètres!L44,Paramètres!$G$5:$G$57,0)))+IF(RIGHT(TRIM(Paramètres!M44),3)="Fin",1-$H152,IF(LEFT(TRIM(Paramètres!M44),1)="F",1,0)))),IF(Paramètres!N44="",0,IF(Paramètres!O44="",NA(),IF(LEFT(TRIM(Paramètres!O44),1)="F",INDEX($F$113:$F$165,MATCH(Paramètres!N44,Paramètres!$G$5:$G$57,0)),INDEX($E$113:$E$165,MATCH(Paramètres!N44,Paramètres!$G$5:$G$57,0)))+IF(RIGHT(TRIM(Paramètres!O44),3)="Fin",1-$H152,IF(LEFT(TRIM(Paramètres!O44),1)="F",1,0)))))))</f>
        <v/>
      </c>
      <c r="F152" s="19">
        <f>IF($A152="","",E152+$H152-1)</f>
        <v/>
      </c>
      <c r="G152" s="18" t="n"/>
      <c r="H152" s="18">
        <f>IF($A152="","",IF(I152&lt;&gt;"",I152,Paramètres!B44))</f>
        <v/>
      </c>
      <c r="I152" s="18" t="n"/>
    </row>
    <row r="153">
      <c r="A153" s="18">
        <f>IF(ISNUMBER(Dossiers!$D$6),Dossiers!$A$6&amp;" · "&amp;Dossiers!$B$6,"")</f>
        <v/>
      </c>
      <c r="B153" s="18">
        <f>IF($A153="","",Paramètres!G45)</f>
        <v/>
      </c>
      <c r="C153" s="20">
        <f>IF($A153="","",IF(Dossiers!$G$6="","",Dossiers!$G$6))</f>
        <v/>
      </c>
      <c r="D153" s="18">
        <f>IF($A153="","",IF(Paramètres!I45="","",Paramètres!I45))</f>
        <v/>
      </c>
      <c r="E153" s="19">
        <f>IF($A153="","",IF(Paramètres!J45&amp;Paramètres!L45&amp;Paramètres!N45="",Dossiers!$D$6,MAX(IF(Paramètres!J45="",0,IF(Paramètres!K45="",NA(),IF(LEFT(TRIM(Paramètres!K45),1)="F",INDEX($F$113:$F$165,MATCH(Paramètres!J45,Paramètres!$G$5:$G$57,0)),INDEX($E$113:$E$165,MATCH(Paramètres!J45,Paramètres!$G$5:$G$57,0)))+IF(RIGHT(TRIM(Paramètres!K45),3)="Fin",1-$H153,IF(LEFT(TRIM(Paramètres!K45),1)="F",1,0)))),IF(Paramètres!L45="",0,IF(Paramètres!M45="",NA(),IF(LEFT(TRIM(Paramètres!M45),1)="F",INDEX($F$113:$F$165,MATCH(Paramètres!L45,Paramètres!$G$5:$G$57,0)),INDEX($E$113:$E$165,MATCH(Paramètres!L45,Paramètres!$G$5:$G$57,0)))+IF(RIGHT(TRIM(Paramètres!M45),3)="Fin",1-$H153,IF(LEFT(TRIM(Paramètres!M45),1)="F",1,0)))),IF(Paramètres!N45="",0,IF(Paramètres!O45="",NA(),IF(LEFT(TRIM(Paramètres!O45),1)="F",INDEX($F$113:$F$165,MATCH(Paramètres!N45,Paramètres!$G$5:$G$57,0)),INDEX($E$113:$E$165,MATCH(Paramètres!N45,Paramètres!$G$5:$G$57,0)))+IF(RIGHT(TRIM(Paramètres!O45),3)="Fin",1-$H153,IF(LEFT(TRIM(Paramètres!O45),1)="F",1,0)))))))</f>
        <v/>
      </c>
      <c r="F153" s="19">
        <f>IF($A153="","",E153+$H153-1)</f>
        <v/>
      </c>
      <c r="G153" s="18" t="n"/>
      <c r="H153" s="18">
        <f>IF($A153="","",IF(I153&lt;&gt;"",I153,Paramètres!B45))</f>
        <v/>
      </c>
      <c r="I153" s="18" t="n"/>
    </row>
    <row r="154">
      <c r="A154" s="18">
        <f>IF(ISNUMBER(Dossiers!$D$6),Dossiers!$A$6&amp;" · "&amp;Dossiers!$B$6,"")</f>
        <v/>
      </c>
      <c r="B154" s="18">
        <f>IF($A154="","",Paramètres!G46)</f>
        <v/>
      </c>
      <c r="C154" s="18">
        <f>IF($A154="","",IF(Paramètres!H46="","",Paramètres!H46))</f>
        <v/>
      </c>
      <c r="D154" s="18">
        <f>IF($A154="","",IF(Paramètres!I46="","",Paramètres!I46))</f>
        <v/>
      </c>
      <c r="E154" s="19">
        <f>IF($A154="","",IF(Paramètres!J46&amp;Paramètres!L46&amp;Paramètres!N46="",Dossiers!$D$6,MAX(IF(Paramètres!J46="",0,IF(Paramètres!K46="",NA(),IF(LEFT(TRIM(Paramètres!K46),1)="F",INDEX($F$113:$F$165,MATCH(Paramètres!J46,Paramètres!$G$5:$G$57,0)),INDEX($E$113:$E$165,MATCH(Paramètres!J46,Paramètres!$G$5:$G$57,0)))+IF(RIGHT(TRIM(Paramètres!K46),3)="Fin",1-$H154,IF(LEFT(TRIM(Paramètres!K46),1)="F",1,0)))),IF(Paramètres!L46="",0,IF(Paramètres!M46="",NA(),IF(LEFT(TRIM(Paramètres!M46),1)="F",INDEX($F$113:$F$165,MATCH(Paramètres!L46,Paramètres!$G$5:$G$57,0)),INDEX($E$113:$E$165,MATCH(Paramètres!L46,Paramètres!$G$5:$G$57,0)))+IF(RIGHT(TRIM(Paramètres!M46),3)="Fin",1-$H154,IF(LEFT(TRIM(Paramètres!M46),1)="F",1,0)))),IF(Paramètres!N46="",0,IF(Paramètres!O46="",NA(),IF(LEFT(TRIM(Paramètres!O46),1)="F",INDEX($F$113:$F$165,MATCH(Paramètres!N46,Paramètres!$G$5:$G$57,0)),INDEX($E$113:$E$165,MATCH(Paramètres!N46,Paramètres!$G$5:$G$57,0)))+IF(RIGHT(TRIM(Paramètres!O46),3)="Fin",1-$H154,IF(LEFT(TRIM(Paramètres!O46),1)="F",1,0)))))))</f>
        <v/>
      </c>
      <c r="F154" s="19">
        <f>IF($A154="","",E154+$H154-1)</f>
        <v/>
      </c>
      <c r="G154" s="18" t="n"/>
      <c r="H154" s="18">
        <f>IF($A154="","",IF(I154&lt;&gt;"",I154,Paramètres!B46))</f>
        <v/>
      </c>
      <c r="I154" s="18" t="n"/>
    </row>
    <row r="155">
      <c r="A155" s="18">
        <f>IF(ISNUMBER(Dossiers!$D$6),Dossiers!$A$6&amp;" · "&amp;Dossiers!$B$6,"")</f>
        <v/>
      </c>
      <c r="B155" s="18">
        <f>IF($A155="","",Paramètres!G47)</f>
        <v/>
      </c>
      <c r="C155" s="18">
        <f>IF($A155="","",IF(Paramètres!H47="","",Paramètres!H47))</f>
        <v/>
      </c>
      <c r="D155" s="18">
        <f>IF($A155="","",IF(Paramètres!I47="","",Paramètres!I47))</f>
        <v/>
      </c>
      <c r="E155" s="19">
        <f>IF($A155="","",IF(Paramètres!J47&amp;Paramètres!L47&amp;Paramètres!N47="",Dossiers!$D$6,MAX(IF(Paramètres!J47="",0,IF(Paramètres!K47="",NA(),IF(LEFT(TRIM(Paramètres!K47),1)="F",INDEX($F$113:$F$165,MATCH(Paramètres!J47,Paramètres!$G$5:$G$57,0)),INDEX($E$113:$E$165,MATCH(Paramètres!J47,Paramètres!$G$5:$G$57,0)))+IF(RIGHT(TRIM(Paramètres!K47),3)="Fin",1-$H155,IF(LEFT(TRIM(Paramètres!K47),1)="F",1,0)))),IF(Paramètres!L47="",0,IF(Paramètres!M47="",NA(),IF(LEFT(TRIM(Paramètres!M47),1)="F",INDEX($F$113:$F$165,MATCH(Paramètres!L47,Paramètres!$G$5:$G$57,0)),INDEX($E$113:$E$165,MATCH(Paramètres!L47,Paramètres!$G$5:$G$57,0)))+IF(RIGHT(TRIM(Paramètres!M47),3)="Fin",1-$H155,IF(LEFT(TRIM(Paramètres!M47),1)="F",1,0)))),IF(Paramètres!N47="",0,IF(Paramètres!O47="",NA(),IF(LEFT(TRIM(Paramètres!O47),1)="F",INDEX($F$113:$F$165,MATCH(Paramètres!N47,Paramètres!$G$5:$G$57,0)),INDEX($E$113:$E$165,MATCH(Paramètres!N47,Paramètres!$G$5:$G$57,0)))+IF(RIGHT(TRIM(Paramètres!O47),3)="Fin",1-$H155,IF(LEFT(TRIM(Paramètres!O47),1)="F",1,0)))))))</f>
        <v/>
      </c>
      <c r="F155" s="19">
        <f>IF($A155="","",E155+$H155-1)</f>
        <v/>
      </c>
      <c r="G155" s="18" t="n"/>
      <c r="H155" s="18">
        <f>IF($A155="","",IF(I155&lt;&gt;"",I155,Paramètres!B47))</f>
        <v/>
      </c>
      <c r="I155" s="18" t="n"/>
    </row>
    <row r="156">
      <c r="A156" s="18">
        <f>IF(ISNUMBER(Dossiers!$D$6),Dossiers!$A$6&amp;" · "&amp;Dossiers!$B$6,"")</f>
        <v/>
      </c>
      <c r="B156" s="18">
        <f>IF($A156="","",Paramètres!G48)</f>
        <v/>
      </c>
      <c r="C156" s="18">
        <f>IF($A156="","",IF(Paramètres!H48="","",Paramètres!H48))</f>
        <v/>
      </c>
      <c r="D156" s="18">
        <f>IF($A156="","",IF(Paramètres!I48="","",Paramètres!I48))</f>
        <v/>
      </c>
      <c r="E156" s="19">
        <f>IF($A156="","",IF(Paramètres!J48&amp;Paramètres!L48&amp;Paramètres!N48="",Dossiers!$D$6,MAX(IF(Paramètres!J48="",0,IF(Paramètres!K48="",NA(),IF(LEFT(TRIM(Paramètres!K48),1)="F",INDEX($F$113:$F$165,MATCH(Paramètres!J48,Paramètres!$G$5:$G$57,0)),INDEX($E$113:$E$165,MATCH(Paramètres!J48,Paramètres!$G$5:$G$57,0)))+IF(RIGHT(TRIM(Paramètres!K48),3)="Fin",1-$H156,IF(LEFT(TRIM(Paramètres!K48),1)="F",1,0)))),IF(Paramètres!L48="",0,IF(Paramètres!M48="",NA(),IF(LEFT(TRIM(Paramètres!M48),1)="F",INDEX($F$113:$F$165,MATCH(Paramètres!L48,Paramètres!$G$5:$G$57,0)),INDEX($E$113:$E$165,MATCH(Paramètres!L48,Paramètres!$G$5:$G$57,0)))+IF(RIGHT(TRIM(Paramètres!M48),3)="Fin",1-$H156,IF(LEFT(TRIM(Paramètres!M48),1)="F",1,0)))),IF(Paramètres!N48="",0,IF(Paramètres!O48="",NA(),IF(LEFT(TRIM(Paramètres!O48),1)="F",INDEX($F$113:$F$165,MATCH(Paramètres!N48,Paramètres!$G$5:$G$57,0)),INDEX($E$113:$E$165,MATCH(Paramètres!N48,Paramètres!$G$5:$G$57,0)))+IF(RIGHT(TRIM(Paramètres!O48),3)="Fin",1-$H156,IF(LEFT(TRIM(Paramètres!O48),1)="F",1,0)))))))</f>
        <v/>
      </c>
      <c r="F156" s="19">
        <f>IF($A156="","",E156+$H156-1)</f>
        <v/>
      </c>
      <c r="G156" s="18" t="n"/>
      <c r="H156" s="18">
        <f>IF($A156="","",IF(I156&lt;&gt;"",I156,Paramètres!B48))</f>
        <v/>
      </c>
      <c r="I156" s="18" t="n"/>
    </row>
    <row r="157">
      <c r="A157" s="18">
        <f>IF(ISNUMBER(Dossiers!$D$6),Dossiers!$A$6&amp;" · "&amp;Dossiers!$B$6,"")</f>
        <v/>
      </c>
      <c r="B157" s="18">
        <f>IF($A157="","",Paramètres!G49)</f>
        <v/>
      </c>
      <c r="C157" s="18">
        <f>IF($A157="","",IF(Paramètres!H49="","",Paramètres!H49))</f>
        <v/>
      </c>
      <c r="D157" s="18">
        <f>IF($A157="","",IF(Paramètres!I49="","",Paramètres!I49))</f>
        <v/>
      </c>
      <c r="E157" s="19">
        <f>IF($A157="","",IF(Paramètres!J49&amp;Paramètres!L49&amp;Paramètres!N49="",Dossiers!$D$6,MAX(IF(Paramètres!J49="",0,IF(Paramètres!K49="",NA(),IF(LEFT(TRIM(Paramètres!K49),1)="F",INDEX($F$113:$F$165,MATCH(Paramètres!J49,Paramètres!$G$5:$G$57,0)),INDEX($E$113:$E$165,MATCH(Paramètres!J49,Paramètres!$G$5:$G$57,0)))+IF(RIGHT(TRIM(Paramètres!K49),3)="Fin",1-$H157,IF(LEFT(TRIM(Paramètres!K49),1)="F",1,0)))),IF(Paramètres!L49="",0,IF(Paramètres!M49="",NA(),IF(LEFT(TRIM(Paramètres!M49),1)="F",INDEX($F$113:$F$165,MATCH(Paramètres!L49,Paramètres!$G$5:$G$57,0)),INDEX($E$113:$E$165,MATCH(Paramètres!L49,Paramètres!$G$5:$G$57,0)))+IF(RIGHT(TRIM(Paramètres!M49),3)="Fin",1-$H157,IF(LEFT(TRIM(Paramètres!M49),1)="F",1,0)))),IF(Paramètres!N49="",0,IF(Paramètres!O49="",NA(),IF(LEFT(TRIM(Paramètres!O49),1)="F",INDEX($F$113:$F$165,MATCH(Paramètres!N49,Paramètres!$G$5:$G$57,0)),INDEX($E$113:$E$165,MATCH(Paramètres!N49,Paramètres!$G$5:$G$57,0)))+IF(RIGHT(TRIM(Paramètres!O49),3)="Fin",1-$H157,IF(LEFT(TRIM(Paramètres!O49),1)="F",1,0)))))))</f>
        <v/>
      </c>
      <c r="F157" s="19">
        <f>IF($A157="","",E157+$H157-1)</f>
        <v/>
      </c>
      <c r="G157" s="18" t="n"/>
      <c r="H157" s="18">
        <f>IF($A157="","",IF(I157&lt;&gt;"",I157,Paramètres!B49))</f>
        <v/>
      </c>
      <c r="I157" s="18" t="n"/>
    </row>
    <row r="158">
      <c r="A158" s="18">
        <f>IF(ISNUMBER(Dossiers!$D$6),Dossiers!$A$6&amp;" · "&amp;Dossiers!$B$6,"")</f>
        <v/>
      </c>
      <c r="B158" s="18">
        <f>IF($A158="","",Paramètres!G50)</f>
        <v/>
      </c>
      <c r="C158" s="18">
        <f>IF($A158="","",IF(Paramètres!H50="","",Paramètres!H50))</f>
        <v/>
      </c>
      <c r="D158" s="18">
        <f>IF($A158="","",IF(Paramètres!I50="","",Paramètres!I50))</f>
        <v/>
      </c>
      <c r="E158" s="19">
        <f>IF($A158="","",IF(Paramètres!J50&amp;Paramètres!L50&amp;Paramètres!N50="",Dossiers!$D$6,MAX(IF(Paramètres!J50="",0,IF(Paramètres!K50="",NA(),IF(LEFT(TRIM(Paramètres!K50),1)="F",INDEX($F$113:$F$165,MATCH(Paramètres!J50,Paramètres!$G$5:$G$57,0)),INDEX($E$113:$E$165,MATCH(Paramètres!J50,Paramètres!$G$5:$G$57,0)))+IF(RIGHT(TRIM(Paramètres!K50),3)="Fin",1-$H158,IF(LEFT(TRIM(Paramètres!K50),1)="F",1,0)))),IF(Paramètres!L50="",0,IF(Paramètres!M50="",NA(),IF(LEFT(TRIM(Paramètres!M50),1)="F",INDEX($F$113:$F$165,MATCH(Paramètres!L50,Paramètres!$G$5:$G$57,0)),INDEX($E$113:$E$165,MATCH(Paramètres!L50,Paramètres!$G$5:$G$57,0)))+IF(RIGHT(TRIM(Paramètres!M50),3)="Fin",1-$H158,IF(LEFT(TRIM(Paramètres!M50),1)="F",1,0)))),IF(Paramètres!N50="",0,IF(Paramètres!O50="",NA(),IF(LEFT(TRIM(Paramètres!O50),1)="F",INDEX($F$113:$F$165,MATCH(Paramètres!N50,Paramètres!$G$5:$G$57,0)),INDEX($E$113:$E$165,MATCH(Paramètres!N50,Paramètres!$G$5:$G$57,0)))+IF(RIGHT(TRIM(Paramètres!O50),3)="Fin",1-$H158,IF(LEFT(TRIM(Paramètres!O50),1)="F",1,0)))))))</f>
        <v/>
      </c>
      <c r="F158" s="19">
        <f>IF($A158="","",E158+$H158-1)</f>
        <v/>
      </c>
      <c r="G158" s="18" t="n"/>
      <c r="H158" s="18">
        <f>IF($A158="","",IF(I158&lt;&gt;"",I158,Paramètres!B50))</f>
        <v/>
      </c>
      <c r="I158" s="18" t="n"/>
    </row>
    <row r="159">
      <c r="A159" s="18">
        <f>IF(ISNUMBER(Dossiers!$D$6),Dossiers!$A$6&amp;" · "&amp;Dossiers!$B$6,"")</f>
        <v/>
      </c>
      <c r="B159" s="18">
        <f>IF($A159="","",Paramètres!G51)</f>
        <v/>
      </c>
      <c r="C159" s="18">
        <f>IF($A159="","",IF(Paramètres!H51="","",Paramètres!H51))</f>
        <v/>
      </c>
      <c r="D159" s="18">
        <f>IF($A159="","",IF(Paramètres!I51="","",Paramètres!I51))</f>
        <v/>
      </c>
      <c r="E159" s="19">
        <f>IF($A159="","",IF(Paramètres!J51&amp;Paramètres!L51&amp;Paramètres!N51="",Dossiers!$D$6,MAX(IF(Paramètres!J51="",0,IF(Paramètres!K51="",NA(),IF(LEFT(TRIM(Paramètres!K51),1)="F",INDEX($F$113:$F$165,MATCH(Paramètres!J51,Paramètres!$G$5:$G$57,0)),INDEX($E$113:$E$165,MATCH(Paramètres!J51,Paramètres!$G$5:$G$57,0)))+IF(RIGHT(TRIM(Paramètres!K51),3)="Fin",1-$H159,IF(LEFT(TRIM(Paramètres!K51),1)="F",1,0)))),IF(Paramètres!L51="",0,IF(Paramètres!M51="",NA(),IF(LEFT(TRIM(Paramètres!M51),1)="F",INDEX($F$113:$F$165,MATCH(Paramètres!L51,Paramètres!$G$5:$G$57,0)),INDEX($E$113:$E$165,MATCH(Paramètres!L51,Paramètres!$G$5:$G$57,0)))+IF(RIGHT(TRIM(Paramètres!M51),3)="Fin",1-$H159,IF(LEFT(TRIM(Paramètres!M51),1)="F",1,0)))),IF(Paramètres!N51="",0,IF(Paramètres!O51="",NA(),IF(LEFT(TRIM(Paramètres!O51),1)="F",INDEX($F$113:$F$165,MATCH(Paramètres!N51,Paramètres!$G$5:$G$57,0)),INDEX($E$113:$E$165,MATCH(Paramètres!N51,Paramètres!$G$5:$G$57,0)))+IF(RIGHT(TRIM(Paramètres!O51),3)="Fin",1-$H159,IF(LEFT(TRIM(Paramètres!O51),1)="F",1,0)))))))</f>
        <v/>
      </c>
      <c r="F159" s="19">
        <f>IF($A159="","",E159+$H159-1)</f>
        <v/>
      </c>
      <c r="G159" s="18" t="n"/>
      <c r="H159" s="18">
        <f>IF($A159="","",IF(I159&lt;&gt;"",I159,Paramètres!B51))</f>
        <v/>
      </c>
      <c r="I159" s="18" t="n"/>
    </row>
    <row r="160">
      <c r="A160" s="18">
        <f>IF(ISNUMBER(Dossiers!$D$6),Dossiers!$A$6&amp;" · "&amp;Dossiers!$B$6,"")</f>
        <v/>
      </c>
      <c r="B160" s="18">
        <f>IF($A160="","",Paramètres!G52)</f>
        <v/>
      </c>
      <c r="C160" s="18">
        <f>IF($A160="","",IF(Paramètres!H52="","",Paramètres!H52))</f>
        <v/>
      </c>
      <c r="D160" s="18">
        <f>IF($A160="","",IF(Paramètres!I52="","",Paramètres!I52))</f>
        <v/>
      </c>
      <c r="E160" s="19">
        <f>IF($A160="","",IF(Paramètres!J52&amp;Paramètres!L52&amp;Paramètres!N52="",Dossiers!$D$6,MAX(IF(Paramètres!J52="",0,IF(Paramètres!K52="",NA(),IF(LEFT(TRIM(Paramètres!K52),1)="F",INDEX($F$113:$F$165,MATCH(Paramètres!J52,Paramètres!$G$5:$G$57,0)),INDEX($E$113:$E$165,MATCH(Paramètres!J52,Paramètres!$G$5:$G$57,0)))+IF(RIGHT(TRIM(Paramètres!K52),3)="Fin",1-$H160,IF(LEFT(TRIM(Paramètres!K52),1)="F",1,0)))),IF(Paramètres!L52="",0,IF(Paramètres!M52="",NA(),IF(LEFT(TRIM(Paramètres!M52),1)="F",INDEX($F$113:$F$165,MATCH(Paramètres!L52,Paramètres!$G$5:$G$57,0)),INDEX($E$113:$E$165,MATCH(Paramètres!L52,Paramètres!$G$5:$G$57,0)))+IF(RIGHT(TRIM(Paramètres!M52),3)="Fin",1-$H160,IF(LEFT(TRIM(Paramètres!M52),1)="F",1,0)))),IF(Paramètres!N52="",0,IF(Paramètres!O52="",NA(),IF(LEFT(TRIM(Paramètres!O52),1)="F",INDEX($F$113:$F$165,MATCH(Paramètres!N52,Paramètres!$G$5:$G$57,0)),INDEX($E$113:$E$165,MATCH(Paramètres!N52,Paramètres!$G$5:$G$57,0)))+IF(RIGHT(TRIM(Paramètres!O52),3)="Fin",1-$H160,IF(LEFT(TRIM(Paramètres!O52),1)="F",1,0)))))))</f>
        <v/>
      </c>
      <c r="F160" s="19">
        <f>IF($A160="","",E160+$H160-1)</f>
        <v/>
      </c>
      <c r="G160" s="18" t="n"/>
      <c r="H160" s="18">
        <f>IF($A160="","",IF(I160&lt;&gt;"",I160,Paramètres!B52))</f>
        <v/>
      </c>
      <c r="I160" s="18" t="n"/>
    </row>
    <row r="161">
      <c r="A161" s="18">
        <f>IF(ISNUMBER(Dossiers!$D$6),Dossiers!$A$6&amp;" · "&amp;Dossiers!$B$6,"")</f>
        <v/>
      </c>
      <c r="B161" s="18">
        <f>IF($A161="","",Paramètres!G53)</f>
        <v/>
      </c>
      <c r="C161" s="18">
        <f>IF($A161="","",IF(Paramètres!H53="","",Paramètres!H53))</f>
        <v/>
      </c>
      <c r="D161" s="18">
        <f>IF($A161="","",IF(Paramètres!I53="","",Paramètres!I53))</f>
        <v/>
      </c>
      <c r="E161" s="19">
        <f>IF($A161="","",IF(Paramètres!J53&amp;Paramètres!L53&amp;Paramètres!N53="",Dossiers!$D$6,MAX(IF(Paramètres!J53="",0,IF(Paramètres!K53="",NA(),IF(LEFT(TRIM(Paramètres!K53),1)="F",INDEX($F$113:$F$165,MATCH(Paramètres!J53,Paramètres!$G$5:$G$57,0)),INDEX($E$113:$E$165,MATCH(Paramètres!J53,Paramètres!$G$5:$G$57,0)))+IF(RIGHT(TRIM(Paramètres!K53),3)="Fin",1-$H161,IF(LEFT(TRIM(Paramètres!K53),1)="F",1,0)))),IF(Paramètres!L53="",0,IF(Paramètres!M53="",NA(),IF(LEFT(TRIM(Paramètres!M53),1)="F",INDEX($F$113:$F$165,MATCH(Paramètres!L53,Paramètres!$G$5:$G$57,0)),INDEX($E$113:$E$165,MATCH(Paramètres!L53,Paramètres!$G$5:$G$57,0)))+IF(RIGHT(TRIM(Paramètres!M53),3)="Fin",1-$H161,IF(LEFT(TRIM(Paramètres!M53),1)="F",1,0)))),IF(Paramètres!N53="",0,IF(Paramètres!O53="",NA(),IF(LEFT(TRIM(Paramètres!O53),1)="F",INDEX($F$113:$F$165,MATCH(Paramètres!N53,Paramètres!$G$5:$G$57,0)),INDEX($E$113:$E$165,MATCH(Paramètres!N53,Paramètres!$G$5:$G$57,0)))+IF(RIGHT(TRIM(Paramètres!O53),3)="Fin",1-$H161,IF(LEFT(TRIM(Paramètres!O53),1)="F",1,0)))))))</f>
        <v/>
      </c>
      <c r="F161" s="19">
        <f>IF($A161="","",E161+$H161-1)</f>
        <v/>
      </c>
      <c r="G161" s="18" t="n"/>
      <c r="H161" s="18">
        <f>IF($A161="","",IF(I161&lt;&gt;"",I161,Paramètres!B53))</f>
        <v/>
      </c>
      <c r="I161" s="18" t="n"/>
    </row>
    <row r="162">
      <c r="A162" s="18">
        <f>IF(ISNUMBER(Dossiers!$D$6),Dossiers!$A$6&amp;" · "&amp;Dossiers!$B$6,"")</f>
        <v/>
      </c>
      <c r="B162" s="18">
        <f>IF($A162="","",Paramètres!G54)</f>
        <v/>
      </c>
      <c r="C162" s="18">
        <f>IF($A162="","",IF(Paramètres!H54="","",Paramètres!H54))</f>
        <v/>
      </c>
      <c r="D162" s="18">
        <f>IF($A162="","",IF(Paramètres!I54="","",Paramètres!I54))</f>
        <v/>
      </c>
      <c r="E162" s="19">
        <f>IF($A162="","",IF(Paramètres!J54&amp;Paramètres!L54&amp;Paramètres!N54="",Dossiers!$D$6,MAX(IF(Paramètres!J54="",0,IF(Paramètres!K54="",NA(),IF(LEFT(TRIM(Paramètres!K54),1)="F",INDEX($F$113:$F$165,MATCH(Paramètres!J54,Paramètres!$G$5:$G$57,0)),INDEX($E$113:$E$165,MATCH(Paramètres!J54,Paramètres!$G$5:$G$57,0)))+IF(RIGHT(TRIM(Paramètres!K54),3)="Fin",1-$H162,IF(LEFT(TRIM(Paramètres!K54),1)="F",1,0)))),IF(Paramètres!L54="",0,IF(Paramètres!M54="",NA(),IF(LEFT(TRIM(Paramètres!M54),1)="F",INDEX($F$113:$F$165,MATCH(Paramètres!L54,Paramètres!$G$5:$G$57,0)),INDEX($E$113:$E$165,MATCH(Paramètres!L54,Paramètres!$G$5:$G$57,0)))+IF(RIGHT(TRIM(Paramètres!M54),3)="Fin",1-$H162,IF(LEFT(TRIM(Paramètres!M54),1)="F",1,0)))),IF(Paramètres!N54="",0,IF(Paramètres!O54="",NA(),IF(LEFT(TRIM(Paramètres!O54),1)="F",INDEX($F$113:$F$165,MATCH(Paramètres!N54,Paramètres!$G$5:$G$57,0)),INDEX($E$113:$E$165,MATCH(Paramètres!N54,Paramètres!$G$5:$G$57,0)))+IF(RIGHT(TRIM(Paramètres!O54),3)="Fin",1-$H162,IF(LEFT(TRIM(Paramètres!O54),1)="F",1,0)))))))</f>
        <v/>
      </c>
      <c r="F162" s="19">
        <f>IF($A162="","",E162+$H162-1)</f>
        <v/>
      </c>
      <c r="G162" s="18" t="n"/>
      <c r="H162" s="18">
        <f>IF($A162="","",IF(I162&lt;&gt;"",I162,Paramètres!B54))</f>
        <v/>
      </c>
      <c r="I162" s="18" t="n"/>
    </row>
    <row r="163">
      <c r="A163" s="18">
        <f>IF(ISNUMBER(Dossiers!$D$6),Dossiers!$A$6&amp;" · "&amp;Dossiers!$B$6,"")</f>
        <v/>
      </c>
      <c r="B163" s="18">
        <f>IF($A163="","",Paramètres!G55)</f>
        <v/>
      </c>
      <c r="C163" s="18">
        <f>IF($A163="","",IF(Paramètres!H55="","",Paramètres!H55))</f>
        <v/>
      </c>
      <c r="D163" s="18">
        <f>IF($A163="","",IF(Paramètres!I55="","",Paramètres!I55))</f>
        <v/>
      </c>
      <c r="E163" s="19">
        <f>IF($A163="","",IF(Paramètres!J55&amp;Paramètres!L55&amp;Paramètres!N55="",Dossiers!$D$6,MAX(IF(Paramètres!J55="",0,IF(Paramètres!K55="",NA(),IF(LEFT(TRIM(Paramètres!K55),1)="F",INDEX($F$113:$F$165,MATCH(Paramètres!J55,Paramètres!$G$5:$G$57,0)),INDEX($E$113:$E$165,MATCH(Paramètres!J55,Paramètres!$G$5:$G$57,0)))+IF(RIGHT(TRIM(Paramètres!K55),3)="Fin",1-$H163,IF(LEFT(TRIM(Paramètres!K55),1)="F",1,0)))),IF(Paramètres!L55="",0,IF(Paramètres!M55="",NA(),IF(LEFT(TRIM(Paramètres!M55),1)="F",INDEX($F$113:$F$165,MATCH(Paramètres!L55,Paramètres!$G$5:$G$57,0)),INDEX($E$113:$E$165,MATCH(Paramètres!L55,Paramètres!$G$5:$G$57,0)))+IF(RIGHT(TRIM(Paramètres!M55),3)="Fin",1-$H163,IF(LEFT(TRIM(Paramètres!M55),1)="F",1,0)))),IF(Paramètres!N55="",0,IF(Paramètres!O55="",NA(),IF(LEFT(TRIM(Paramètres!O55),1)="F",INDEX($F$113:$F$165,MATCH(Paramètres!N55,Paramètres!$G$5:$G$57,0)),INDEX($E$113:$E$165,MATCH(Paramètres!N55,Paramètres!$G$5:$G$57,0)))+IF(RIGHT(TRIM(Paramètres!O55),3)="Fin",1-$H163,IF(LEFT(TRIM(Paramètres!O55),1)="F",1,0)))))))</f>
        <v/>
      </c>
      <c r="F163" s="19">
        <f>IF($A163="","",E163+$H163-1)</f>
        <v/>
      </c>
      <c r="G163" s="18" t="n"/>
      <c r="H163" s="18">
        <f>IF($A163="","",IF(I163&lt;&gt;"",I163,Paramètres!B55))</f>
        <v/>
      </c>
      <c r="I163" s="18" t="n"/>
    </row>
    <row r="164">
      <c r="A164" s="18">
        <f>IF(ISNUMBER(Dossiers!$D$6),Dossiers!$A$6&amp;" · "&amp;Dossiers!$B$6,"")</f>
        <v/>
      </c>
      <c r="B164" s="18">
        <f>IF($A164="","",Paramètres!G56)</f>
        <v/>
      </c>
      <c r="C164" s="18">
        <f>IF($A164="","",IF(Paramètres!H56="","",Paramètres!H56))</f>
        <v/>
      </c>
      <c r="D164" s="18">
        <f>IF($A164="","",IF(Paramètres!I56="","",Paramètres!I56))</f>
        <v/>
      </c>
      <c r="E164" s="19">
        <f>IF($A164="","",MIN(E165:E165))</f>
        <v/>
      </c>
      <c r="F164" s="19">
        <f>IF($A164="","",MAX(F165:F165))</f>
        <v/>
      </c>
      <c r="G164" s="18" t="n"/>
      <c r="H164" s="18">
        <f>IF($A164="","",F164-E164+1)</f>
        <v/>
      </c>
      <c r="I164" s="18" t="n"/>
    </row>
    <row r="165">
      <c r="A165" s="18">
        <f>IF(ISNUMBER(Dossiers!$D$6),Dossiers!$A$6&amp;" · "&amp;Dossiers!$B$6,"")</f>
        <v/>
      </c>
      <c r="B165" s="18">
        <f>IF($A165="","",Paramètres!G57)</f>
        <v/>
      </c>
      <c r="C165" s="18">
        <f>IF($A165="","",IF(Paramètres!H57="","",Paramètres!H57))</f>
        <v/>
      </c>
      <c r="D165" s="18">
        <f>IF($A165="","",IF(Paramètres!I57="","",Paramètres!I57))</f>
        <v/>
      </c>
      <c r="E165" s="19">
        <f>IF($A165="","",IF(Paramètres!J57&amp;Paramètres!L57&amp;Paramètres!N57="",Dossiers!$D$6,MAX(IF(Paramètres!J57="",0,IF(Paramètres!K57="",NA(),IF(LEFT(TRIM(Paramètres!K57),1)="F",INDEX($F$113:$F$165,MATCH(Paramètres!J57,Paramètres!$G$5:$G$57,0)),INDEX($E$113:$E$165,MATCH(Paramètres!J57,Paramètres!$G$5:$G$57,0)))+IF(RIGHT(TRIM(Paramètres!K57),3)="Fin",1-$H165,IF(LEFT(TRIM(Paramètres!K57),1)="F",1,0)))),IF(Paramètres!L57="",0,IF(Paramètres!M57="",NA(),IF(LEFT(TRIM(Paramètres!M57),1)="F",INDEX($F$113:$F$165,MATCH(Paramètres!L57,Paramètres!$G$5:$G$57,0)),INDEX($E$113:$E$165,MATCH(Paramètres!L57,Paramètres!$G$5:$G$57,0)))+IF(RIGHT(TRIM(Paramètres!M57),3)="Fin",1-$H165,IF(LEFT(TRIM(Paramètres!M57),1)="F",1,0)))),IF(Paramètres!N57="",0,IF(Paramètres!O57="",NA(),IF(LEFT(TRIM(Paramètres!O57),1)="F",INDEX($F$113:$F$165,MATCH(Paramètres!N57,Paramètres!$G$5:$G$57,0)),INDEX($E$113:$E$165,MATCH(Paramètres!N57,Paramètres!$G$5:$G$57,0)))+IF(RIGHT(TRIM(Paramètres!O57),3)="Fin",1-$H165,IF(LEFT(TRIM(Paramètres!O57),1)="F",1,0)))))))</f>
        <v/>
      </c>
      <c r="F165" s="19">
        <f>IF($A165="","",E165+$H165-1)</f>
        <v/>
      </c>
      <c r="G165" s="18" t="n"/>
      <c r="H165" s="18">
        <f>IF($A165="","",IF(I165&lt;&gt;"",I165,Paramètres!B57))</f>
        <v/>
      </c>
      <c r="I165" s="18" t="n"/>
    </row>
    <row r="166">
      <c r="A166" s="16">
        <f>IF(ISNUMBER(Dossiers!$D$7),Dossiers!$E$7,"")</f>
        <v/>
      </c>
      <c r="B166" s="16">
        <f>IF($A166="","","Identifiant")</f>
        <v/>
      </c>
      <c r="C166" s="16">
        <f>IF($A166="","","Macro Etape")</f>
        <v/>
      </c>
      <c r="D166" s="16">
        <f>IF($A166="","","Etape")</f>
        <v/>
      </c>
      <c r="E166" s="17">
        <f>IF($A166="","","Début le")</f>
        <v/>
      </c>
      <c r="F166" s="17">
        <f>IF($A166="","","Fin prévue le")</f>
        <v/>
      </c>
      <c r="G166" s="16">
        <f>IF($A166="","","Statut")</f>
        <v/>
      </c>
      <c r="H166" s="16">
        <f>IF($A166="","","Durée (jours)")</f>
        <v/>
      </c>
      <c r="I166" s="16">
        <f>IF($A166="","","Durée particulière")</f>
        <v/>
      </c>
      <c r="J166" s="10">
        <f>IF($A166="","",HYPERLINK("#'Tableau de bord'!A1","↑ Tableau de bord"))</f>
        <v/>
      </c>
    </row>
    <row r="167">
      <c r="A167" s="18">
        <f>IF(ISNUMBER(Dossiers!$D$7),Dossiers!$A$7&amp;" · "&amp;Dossiers!$B$7,"")</f>
        <v/>
      </c>
      <c r="B167" s="18">
        <f>IF($A167="","",Paramètres!G5)</f>
        <v/>
      </c>
      <c r="C167" s="18">
        <f>IF($A167="","",IF(Paramètres!H5="","",Paramètres!H5))</f>
        <v/>
      </c>
      <c r="D167" s="18">
        <f>IF($A167="","",IF(Paramètres!I5="","",Paramètres!I5))</f>
        <v/>
      </c>
      <c r="E167" s="19">
        <f>IF($A167="","",MIN(E168:E171))</f>
        <v/>
      </c>
      <c r="F167" s="19">
        <f>IF($A167="","",MAX(F168:F171))</f>
        <v/>
      </c>
      <c r="G167" s="18" t="n"/>
      <c r="H167" s="18">
        <f>IF($A167="","",F167-E167+1)</f>
        <v/>
      </c>
      <c r="I167" s="18" t="n"/>
    </row>
    <row r="168">
      <c r="A168" s="18">
        <f>IF(ISNUMBER(Dossiers!$D$7),Dossiers!$A$7&amp;" · "&amp;Dossiers!$B$7,"")</f>
        <v/>
      </c>
      <c r="B168" s="18">
        <f>IF($A168="","",Paramètres!G6)</f>
        <v/>
      </c>
      <c r="C168" s="18">
        <f>IF($A168="","",IF(Paramètres!H6="","",Paramètres!H6))</f>
        <v/>
      </c>
      <c r="D168" s="18">
        <f>IF($A168="","",IF(Paramètres!I6="","",Paramètres!I6))</f>
        <v/>
      </c>
      <c r="E168" s="19">
        <f>IF($A168="","",IF(Paramètres!J6&amp;Paramètres!L6&amp;Paramètres!N6="",Dossiers!$D$7,MAX(IF(Paramètres!J6="",0,IF(Paramètres!K6="",NA(),IF(LEFT(TRIM(Paramètres!K6),1)="F",INDEX($F$167:$F$219,MATCH(Paramètres!J6,Paramètres!$G$5:$G$57,0)),INDEX($E$167:$E$219,MATCH(Paramètres!J6,Paramètres!$G$5:$G$57,0)))+IF(RIGHT(TRIM(Paramètres!K6),3)="Fin",1-$H168,IF(LEFT(TRIM(Paramètres!K6),1)="F",1,0)))),IF(Paramètres!L6="",0,IF(Paramètres!M6="",NA(),IF(LEFT(TRIM(Paramètres!M6),1)="F",INDEX($F$167:$F$219,MATCH(Paramètres!L6,Paramètres!$G$5:$G$57,0)),INDEX($E$167:$E$219,MATCH(Paramètres!L6,Paramètres!$G$5:$G$57,0)))+IF(RIGHT(TRIM(Paramètres!M6),3)="Fin",1-$H168,IF(LEFT(TRIM(Paramètres!M6),1)="F",1,0)))),IF(Paramètres!N6="",0,IF(Paramètres!O6="",NA(),IF(LEFT(TRIM(Paramètres!O6),1)="F",INDEX($F$167:$F$219,MATCH(Paramètres!N6,Paramètres!$G$5:$G$57,0)),INDEX($E$167:$E$219,MATCH(Paramètres!N6,Paramètres!$G$5:$G$57,0)))+IF(RIGHT(TRIM(Paramètres!O6),3)="Fin",1-$H168,IF(LEFT(TRIM(Paramètres!O6),1)="F",1,0)))))))</f>
        <v/>
      </c>
      <c r="F168" s="19">
        <f>IF($A168="","",E168+$H168-1)</f>
        <v/>
      </c>
      <c r="G168" s="18" t="n"/>
      <c r="H168" s="18">
        <f>IF($A168="","",IF(I168&lt;&gt;"",I168,Paramètres!B6))</f>
        <v/>
      </c>
      <c r="I168" s="18" t="n"/>
    </row>
    <row r="169">
      <c r="A169" s="18">
        <f>IF(ISNUMBER(Dossiers!$D$7),Dossiers!$A$7&amp;" · "&amp;Dossiers!$B$7,"")</f>
        <v/>
      </c>
      <c r="B169" s="18">
        <f>IF($A169="","",Paramètres!G7)</f>
        <v/>
      </c>
      <c r="C169" s="18">
        <f>IF($A169="","",IF(Paramètres!H7="","",Paramètres!H7))</f>
        <v/>
      </c>
      <c r="D169" s="18">
        <f>IF($A169="","",IF(Paramètres!I7="","",Paramètres!I7))</f>
        <v/>
      </c>
      <c r="E169" s="19">
        <f>IF($A169="","",IF(Paramètres!J7&amp;Paramètres!L7&amp;Paramètres!N7="",Dossiers!$D$7,MAX(IF(Paramètres!J7="",0,IF(Paramètres!K7="",NA(),IF(LEFT(TRIM(Paramètres!K7),1)="F",INDEX($F$167:$F$219,MATCH(Paramètres!J7,Paramètres!$G$5:$G$57,0)),INDEX($E$167:$E$219,MATCH(Paramètres!J7,Paramètres!$G$5:$G$57,0)))+IF(RIGHT(TRIM(Paramètres!K7),3)="Fin",1-$H169,IF(LEFT(TRIM(Paramètres!K7),1)="F",1,0)))),IF(Paramètres!L7="",0,IF(Paramètres!M7="",NA(),IF(LEFT(TRIM(Paramètres!M7),1)="F",INDEX($F$167:$F$219,MATCH(Paramètres!L7,Paramètres!$G$5:$G$57,0)),INDEX($E$167:$E$219,MATCH(Paramètres!L7,Paramètres!$G$5:$G$57,0)))+IF(RIGHT(TRIM(Paramètres!M7),3)="Fin",1-$H169,IF(LEFT(TRIM(Paramètres!M7),1)="F",1,0)))),IF(Paramètres!N7="",0,IF(Paramètres!O7="",NA(),IF(LEFT(TRIM(Paramètres!O7),1)="F",INDEX($F$167:$F$219,MATCH(Paramètres!N7,Paramètres!$G$5:$G$57,0)),INDEX($E$167:$E$219,MATCH(Paramètres!N7,Paramètres!$G$5:$G$57,0)))+IF(RIGHT(TRIM(Paramètres!O7),3)="Fin",1-$H169,IF(LEFT(TRIM(Paramètres!O7),1)="F",1,0)))))))</f>
        <v/>
      </c>
      <c r="F169" s="19">
        <f>IF($A169="","",E169+$H169-1)</f>
        <v/>
      </c>
      <c r="G169" s="18" t="n"/>
      <c r="H169" s="18">
        <f>IF($A169="","",IF(I169&lt;&gt;"",I169,Paramètres!B7))</f>
        <v/>
      </c>
      <c r="I169" s="18" t="n"/>
    </row>
    <row r="170">
      <c r="A170" s="18">
        <f>IF(ISNUMBER(Dossiers!$D$7),Dossiers!$A$7&amp;" · "&amp;Dossiers!$B$7,"")</f>
        <v/>
      </c>
      <c r="B170" s="18">
        <f>IF($A170="","",Paramètres!G8)</f>
        <v/>
      </c>
      <c r="C170" s="18">
        <f>IF($A170="","",IF(Paramètres!H8="","",Paramètres!H8))</f>
        <v/>
      </c>
      <c r="D170" s="18">
        <f>IF($A170="","",IF(Paramètres!I8="","",Paramètres!I8))</f>
        <v/>
      </c>
      <c r="E170" s="19">
        <f>IF($A170="","",IF(Paramètres!J8&amp;Paramètres!L8&amp;Paramètres!N8="",Dossiers!$D$7,MAX(IF(Paramètres!J8="",0,IF(Paramètres!K8="",NA(),IF(LEFT(TRIM(Paramètres!K8),1)="F",INDEX($F$167:$F$219,MATCH(Paramètres!J8,Paramètres!$G$5:$G$57,0)),INDEX($E$167:$E$219,MATCH(Paramètres!J8,Paramètres!$G$5:$G$57,0)))+IF(RIGHT(TRIM(Paramètres!K8),3)="Fin",1-$H170,IF(LEFT(TRIM(Paramètres!K8),1)="F",1,0)))),IF(Paramètres!L8="",0,IF(Paramètres!M8="",NA(),IF(LEFT(TRIM(Paramètres!M8),1)="F",INDEX($F$167:$F$219,MATCH(Paramètres!L8,Paramètres!$G$5:$G$57,0)),INDEX($E$167:$E$219,MATCH(Paramètres!L8,Paramètres!$G$5:$G$57,0)))+IF(RIGHT(TRIM(Paramètres!M8),3)="Fin",1-$H170,IF(LEFT(TRIM(Paramètres!M8),1)="F",1,0)))),IF(Paramètres!N8="",0,IF(Paramètres!O8="",NA(),IF(LEFT(TRIM(Paramètres!O8),1)="F",INDEX($F$167:$F$219,MATCH(Paramètres!N8,Paramètres!$G$5:$G$57,0)),INDEX($E$167:$E$219,MATCH(Paramètres!N8,Paramètres!$G$5:$G$57,0)))+IF(RIGHT(TRIM(Paramètres!O8),3)="Fin",1-$H170,IF(LEFT(TRIM(Paramètres!O8),1)="F",1,0)))))))</f>
        <v/>
      </c>
      <c r="F170" s="19">
        <f>IF($A170="","",E170+$H170-1)</f>
        <v/>
      </c>
      <c r="G170" s="18" t="n"/>
      <c r="H170" s="18">
        <f>IF($A170="","",IF(I170&lt;&gt;"",I170,Paramètres!B8))</f>
        <v/>
      </c>
      <c r="I170" s="18" t="n"/>
    </row>
    <row r="171">
      <c r="A171" s="18">
        <f>IF(ISNUMBER(Dossiers!$D$7),Dossiers!$A$7&amp;" · "&amp;Dossiers!$B$7,"")</f>
        <v/>
      </c>
      <c r="B171" s="18">
        <f>IF($A171="","",Paramètres!G9)</f>
        <v/>
      </c>
      <c r="C171" s="18">
        <f>IF($A171="","",IF(Paramètres!H9="","",Paramètres!H9))</f>
        <v/>
      </c>
      <c r="D171" s="18">
        <f>IF($A171="","",IF(Paramètres!I9="","",Paramètres!I9))</f>
        <v/>
      </c>
      <c r="E171" s="19">
        <f>IF($A171="","",IF(Paramètres!J9&amp;Paramètres!L9&amp;Paramètres!N9="",Dossiers!$D$7,MAX(IF(Paramètres!J9="",0,IF(Paramètres!K9="",NA(),IF(LEFT(TRIM(Paramètres!K9),1)="F",INDEX($F$167:$F$219,MATCH(Paramètres!J9,Paramètres!$G$5:$G$57,0)),INDEX($E$167:$E$219,MATCH(Paramètres!J9,Paramètres!$G$5:$G$57,0)))+IF(RIGHT(TRIM(Paramètres!K9),3)="Fin",1-$H171,IF(LEFT(TRIM(Paramètres!K9),1)="F",1,0)))),IF(Paramètres!L9="",0,IF(Paramètres!M9="",NA(),IF(LEFT(TRIM(Paramètres!M9),1)="F",INDEX($F$167:$F$219,MATCH(Paramètres!L9,Paramètres!$G$5:$G$57,0)),INDEX($E$167:$E$219,MATCH(Paramètres!L9,Paramètres!$G$5:$G$57,0)))+IF(RIGHT(TRIM(Paramètres!M9),3)="Fin",1-$H171,IF(LEFT(TRIM(Paramètres!M9),1)="F",1,0)))),IF(Paramètres!N9="",0,IF(Paramètres!O9="",NA(),IF(LEFT(TRIM(Paramètres!O9),1)="F",INDEX($F$167:$F$219,MATCH(Paramètres!N9,Paramètres!$G$5:$G$57,0)),INDEX($E$167:$E$219,MATCH(Paramètres!N9,Paramètres!$G$5:$G$57,0)))+IF(RIGHT(TRIM(Paramètres!O9),3)="Fin",1-$H171,IF(LEFT(TRIM(Paramètres!O9),1)="F",1,0)))))))</f>
        <v/>
      </c>
      <c r="F171" s="19">
        <f>IF($A171="","",E171+$H171-1)</f>
        <v/>
      </c>
      <c r="G171" s="18" t="n"/>
      <c r="H171" s="18">
        <f>IF($A171="","",IF(I171&lt;&gt;"",I171,Paramètres!B9))</f>
        <v/>
      </c>
      <c r="I171" s="18" t="n"/>
    </row>
    <row r="172">
      <c r="A172" s="18">
        <f>IF(ISNUMBER(Dossiers!$D$7),Dossiers!$A$7&amp;" · "&amp;Dossiers!$B$7,"")</f>
        <v/>
      </c>
      <c r="B172" s="18">
        <f>IF($A172="","",Paramètres!G10)</f>
        <v/>
      </c>
      <c r="C172" s="18">
        <f>IF($A172="","",IF(Paramètres!H10="","",Paramètres!H10))</f>
        <v/>
      </c>
      <c r="D172" s="18">
        <f>IF($A172="","",IF(Paramètres!I10="","",Paramètres!I10))</f>
        <v/>
      </c>
      <c r="E172" s="19">
        <f>IF($A172="","",MIN(E173:E176))</f>
        <v/>
      </c>
      <c r="F172" s="19">
        <f>IF($A172="","",MAX(F173:F176))</f>
        <v/>
      </c>
      <c r="G172" s="18" t="n"/>
      <c r="H172" s="18">
        <f>IF($A172="","",F172-E172+1)</f>
        <v/>
      </c>
      <c r="I172" s="18" t="n"/>
    </row>
    <row r="173">
      <c r="A173" s="18">
        <f>IF(ISNUMBER(Dossiers!$D$7),Dossiers!$A$7&amp;" · "&amp;Dossiers!$B$7,"")</f>
        <v/>
      </c>
      <c r="B173" s="18">
        <f>IF($A173="","",Paramètres!G11)</f>
        <v/>
      </c>
      <c r="C173" s="18">
        <f>IF($A173="","",IF(Paramètres!H11="","",Paramètres!H11))</f>
        <v/>
      </c>
      <c r="D173" s="18">
        <f>IF($A173="","",IF(Paramètres!I11="","",Paramètres!I11))</f>
        <v/>
      </c>
      <c r="E173" s="19">
        <f>IF($A173="","",IF(Paramètres!J11&amp;Paramètres!L11&amp;Paramètres!N11="",Dossiers!$D$7,MAX(IF(Paramètres!J11="",0,IF(Paramètres!K11="",NA(),IF(LEFT(TRIM(Paramètres!K11),1)="F",INDEX($F$167:$F$219,MATCH(Paramètres!J11,Paramètres!$G$5:$G$57,0)),INDEX($E$167:$E$219,MATCH(Paramètres!J11,Paramètres!$G$5:$G$57,0)))+IF(RIGHT(TRIM(Paramètres!K11),3)="Fin",1-$H173,IF(LEFT(TRIM(Paramètres!K11),1)="F",1,0)))),IF(Paramètres!L11="",0,IF(Paramètres!M11="",NA(),IF(LEFT(TRIM(Paramètres!M11),1)="F",INDEX($F$167:$F$219,MATCH(Paramètres!L11,Paramètres!$G$5:$G$57,0)),INDEX($E$167:$E$219,MATCH(Paramètres!L11,Paramètres!$G$5:$G$57,0)))+IF(RIGHT(TRIM(Paramètres!M11),3)="Fin",1-$H173,IF(LEFT(TRIM(Paramètres!M11),1)="F",1,0)))),IF(Paramètres!N11="",0,IF(Paramètres!O11="",NA(),IF(LEFT(TRIM(Paramètres!O11),1)="F",INDEX($F$167:$F$219,MATCH(Paramètres!N11,Paramètres!$G$5:$G$57,0)),INDEX($E$167:$E$219,MATCH(Paramètres!N11,Paramètres!$G$5:$G$57,0)))+IF(RIGHT(TRIM(Paramètres!O11),3)="Fin",1-$H173,IF(LEFT(TRIM(Paramètres!O11),1)="F",1,0)))))))</f>
        <v/>
      </c>
      <c r="F173" s="19">
        <f>IF($A173="","",E173+$H173-1)</f>
        <v/>
      </c>
      <c r="G173" s="18" t="n"/>
      <c r="H173" s="18">
        <f>IF($A173="","",IF(I173&lt;&gt;"",I173,Paramètres!B11))</f>
        <v/>
      </c>
      <c r="I173" s="18" t="n"/>
    </row>
    <row r="174">
      <c r="A174" s="18">
        <f>IF(ISNUMBER(Dossiers!$D$7),Dossiers!$A$7&amp;" · "&amp;Dossiers!$B$7,"")</f>
        <v/>
      </c>
      <c r="B174" s="18">
        <f>IF($A174="","",Paramètres!G12)</f>
        <v/>
      </c>
      <c r="C174" s="18">
        <f>IF($A174="","",IF(Paramètres!H12="","",Paramètres!H12))</f>
        <v/>
      </c>
      <c r="D174" s="18">
        <f>IF($A174="","",IF(Paramètres!I12="","",Paramètres!I12))</f>
        <v/>
      </c>
      <c r="E174" s="19">
        <f>IF($A174="","",IF(Paramètres!J12&amp;Paramètres!L12&amp;Paramètres!N12="",Dossiers!$D$7,MAX(IF(Paramètres!J12="",0,IF(Paramètres!K12="",NA(),IF(LEFT(TRIM(Paramètres!K12),1)="F",INDEX($F$167:$F$219,MATCH(Paramètres!J12,Paramètres!$G$5:$G$57,0)),INDEX($E$167:$E$219,MATCH(Paramètres!J12,Paramètres!$G$5:$G$57,0)))+IF(RIGHT(TRIM(Paramètres!K12),3)="Fin",1-$H174,IF(LEFT(TRIM(Paramètres!K12),1)="F",1,0)))),IF(Paramètres!L12="",0,IF(Paramètres!M12="",NA(),IF(LEFT(TRIM(Paramètres!M12),1)="F",INDEX($F$167:$F$219,MATCH(Paramètres!L12,Paramètres!$G$5:$G$57,0)),INDEX($E$167:$E$219,MATCH(Paramètres!L12,Paramètres!$G$5:$G$57,0)))+IF(RIGHT(TRIM(Paramètres!M12),3)="Fin",1-$H174,IF(LEFT(TRIM(Paramètres!M12),1)="F",1,0)))),IF(Paramètres!N12="",0,IF(Paramètres!O12="",NA(),IF(LEFT(TRIM(Paramètres!O12),1)="F",INDEX($F$167:$F$219,MATCH(Paramètres!N12,Paramètres!$G$5:$G$57,0)),INDEX($E$167:$E$219,MATCH(Paramètres!N12,Paramètres!$G$5:$G$57,0)))+IF(RIGHT(TRIM(Paramètres!O12),3)="Fin",1-$H174,IF(LEFT(TRIM(Paramètres!O12),1)="F",1,0)))))))</f>
        <v/>
      </c>
      <c r="F174" s="19">
        <f>IF($A174="","",E174+$H174-1)</f>
        <v/>
      </c>
      <c r="G174" s="18" t="n"/>
      <c r="H174" s="18">
        <f>IF($A174="","",IF(I174&lt;&gt;"",I174,Paramètres!B12))</f>
        <v/>
      </c>
      <c r="I174" s="18" t="n"/>
    </row>
    <row r="175">
      <c r="A175" s="18">
        <f>IF(ISNUMBER(Dossiers!$D$7),Dossiers!$A$7&amp;" · "&amp;Dossiers!$B$7,"")</f>
        <v/>
      </c>
      <c r="B175" s="18">
        <f>IF($A175="","",Paramètres!G13)</f>
        <v/>
      </c>
      <c r="C175" s="18">
        <f>IF($A175="","",IF(Paramètres!H13="","",Paramètres!H13))</f>
        <v/>
      </c>
      <c r="D175" s="18">
        <f>IF($A175="","",IF(Paramètres!I13="","",Paramètres!I13))</f>
        <v/>
      </c>
      <c r="E175" s="19">
        <f>IF($A175="","",IF(Paramètres!J13&amp;Paramètres!L13&amp;Paramètres!N13="",Dossiers!$D$7,MAX(IF(Paramètres!J13="",0,IF(Paramètres!K13="",NA(),IF(LEFT(TRIM(Paramètres!K13),1)="F",INDEX($F$167:$F$219,MATCH(Paramètres!J13,Paramètres!$G$5:$G$57,0)),INDEX($E$167:$E$219,MATCH(Paramètres!J13,Paramètres!$G$5:$G$57,0)))+IF(RIGHT(TRIM(Paramètres!K13),3)="Fin",1-$H175,IF(LEFT(TRIM(Paramètres!K13),1)="F",1,0)))),IF(Paramètres!L13="",0,IF(Paramètres!M13="",NA(),IF(LEFT(TRIM(Paramètres!M13),1)="F",INDEX($F$167:$F$219,MATCH(Paramètres!L13,Paramètres!$G$5:$G$57,0)),INDEX($E$167:$E$219,MATCH(Paramètres!L13,Paramètres!$G$5:$G$57,0)))+IF(RIGHT(TRIM(Paramètres!M13),3)="Fin",1-$H175,IF(LEFT(TRIM(Paramètres!M13),1)="F",1,0)))),IF(Paramètres!N13="",0,IF(Paramètres!O13="",NA(),IF(LEFT(TRIM(Paramètres!O13),1)="F",INDEX($F$167:$F$219,MATCH(Paramètres!N13,Paramètres!$G$5:$G$57,0)),INDEX($E$167:$E$219,MATCH(Paramètres!N13,Paramètres!$G$5:$G$57,0)))+IF(RIGHT(TRIM(Paramètres!O13),3)="Fin",1-$H175,IF(LEFT(TRIM(Paramètres!O13),1)="F",1,0)))))))</f>
        <v/>
      </c>
      <c r="F175" s="19">
        <f>IF($A175="","",E175+$H175-1)</f>
        <v/>
      </c>
      <c r="G175" s="18" t="n"/>
      <c r="H175" s="18">
        <f>IF($A175="","",IF(I175&lt;&gt;"",I175,Paramètres!B13))</f>
        <v/>
      </c>
      <c r="I175" s="18" t="n"/>
    </row>
    <row r="176">
      <c r="A176" s="18">
        <f>IF(ISNUMBER(Dossiers!$D$7),Dossiers!$A$7&amp;" · "&amp;Dossiers!$B$7,"")</f>
        <v/>
      </c>
      <c r="B176" s="18">
        <f>IF($A176="","",Paramètres!G14)</f>
        <v/>
      </c>
      <c r="C176" s="18">
        <f>IF($A176="","",IF(Paramètres!H14="","",Paramètres!H14))</f>
        <v/>
      </c>
      <c r="D176" s="18">
        <f>IF($A176="","",IF(Paramètres!I14="","",Paramètres!I14))</f>
        <v/>
      </c>
      <c r="E176" s="19">
        <f>IF($A176="","",IF(Paramètres!J14&amp;Paramètres!L14&amp;Paramètres!N14="",Dossiers!$D$7,MAX(IF(Paramètres!J14="",0,IF(Paramètres!K14="",NA(),IF(LEFT(TRIM(Paramètres!K14),1)="F",INDEX($F$167:$F$219,MATCH(Paramètres!J14,Paramètres!$G$5:$G$57,0)),INDEX($E$167:$E$219,MATCH(Paramètres!J14,Paramètres!$G$5:$G$57,0)))+IF(RIGHT(TRIM(Paramètres!K14),3)="Fin",1-$H176,IF(LEFT(TRIM(Paramètres!K14),1)="F",1,0)))),IF(Paramètres!L14="",0,IF(Paramètres!M14="",NA(),IF(LEFT(TRIM(Paramètres!M14),1)="F",INDEX($F$167:$F$219,MATCH(Paramètres!L14,Paramètres!$G$5:$G$57,0)),INDEX($E$167:$E$219,MATCH(Paramètres!L14,Paramètres!$G$5:$G$57,0)))+IF(RIGHT(TRIM(Paramètres!M14),3)="Fin",1-$H176,IF(LEFT(TRIM(Paramètres!M14),1)="F",1,0)))),IF(Paramètres!N14="",0,IF(Paramètres!O14="",NA(),IF(LEFT(TRIM(Paramètres!O14),1)="F",INDEX($F$167:$F$219,MATCH(Paramètres!N14,Paramètres!$G$5:$G$57,0)),INDEX($E$167:$E$219,MATCH(Paramètres!N14,Paramètres!$G$5:$G$57,0)))+IF(RIGHT(TRIM(Paramètres!O14),3)="Fin",1-$H176,IF(LEFT(TRIM(Paramètres!O14),1)="F",1,0)))))))</f>
        <v/>
      </c>
      <c r="F176" s="19">
        <f>IF($A176="","",E176+$H176-1)</f>
        <v/>
      </c>
      <c r="G176" s="18" t="n"/>
      <c r="H176" s="18">
        <f>IF($A176="","",IF(I176&lt;&gt;"",I176,Paramètres!B14))</f>
        <v/>
      </c>
      <c r="I176" s="18" t="n"/>
    </row>
    <row r="177">
      <c r="A177" s="18">
        <f>IF(ISNUMBER(Dossiers!$D$7),Dossiers!$A$7&amp;" · "&amp;Dossiers!$B$7,"")</f>
        <v/>
      </c>
      <c r="B177" s="18">
        <f>IF($A177="","",Paramètres!G15)</f>
        <v/>
      </c>
      <c r="C177" s="18">
        <f>IF($A177="","",IF(Paramètres!H15="","",Paramètres!H15))</f>
        <v/>
      </c>
      <c r="D177" s="18">
        <f>IF($A177="","",IF(Paramètres!I15="","",Paramètres!I15))</f>
        <v/>
      </c>
      <c r="E177" s="19">
        <f>IF($A177="","",MIN(E178:E193))</f>
        <v/>
      </c>
      <c r="F177" s="19">
        <f>IF($A177="","",MAX(F178:F193))</f>
        <v/>
      </c>
      <c r="G177" s="18" t="n"/>
      <c r="H177" s="18">
        <f>IF($A177="","",F177-E177+1)</f>
        <v/>
      </c>
      <c r="I177" s="18" t="n"/>
    </row>
    <row r="178">
      <c r="A178" s="18">
        <f>IF(ISNUMBER(Dossiers!$D$7),Dossiers!$A$7&amp;" · "&amp;Dossiers!$B$7,"")</f>
        <v/>
      </c>
      <c r="B178" s="18">
        <f>IF($A178="","",Paramètres!G16)</f>
        <v/>
      </c>
      <c r="C178" s="18">
        <f>IF($A178="","",IF(Paramètres!H16="","",Paramètres!H16))</f>
        <v/>
      </c>
      <c r="D178" s="18">
        <f>IF($A178="","",IF(Paramètres!I16="","",Paramètres!I16))</f>
        <v/>
      </c>
      <c r="E178" s="19">
        <f>IF($A178="","",IF(Paramètres!J16&amp;Paramètres!L16&amp;Paramètres!N16="",Dossiers!$D$7,MAX(IF(Paramètres!J16="",0,IF(Paramètres!K16="",NA(),IF(LEFT(TRIM(Paramètres!K16),1)="F",INDEX($F$167:$F$219,MATCH(Paramètres!J16,Paramètres!$G$5:$G$57,0)),INDEX($E$167:$E$219,MATCH(Paramètres!J16,Paramètres!$G$5:$G$57,0)))+IF(RIGHT(TRIM(Paramètres!K16),3)="Fin",1-$H178,IF(LEFT(TRIM(Paramètres!K16),1)="F",1,0)))),IF(Paramètres!L16="",0,IF(Paramètres!M16="",NA(),IF(LEFT(TRIM(Paramètres!M16),1)="F",INDEX($F$167:$F$219,MATCH(Paramètres!L16,Paramètres!$G$5:$G$57,0)),INDEX($E$167:$E$219,MATCH(Paramètres!L16,Paramètres!$G$5:$G$57,0)))+IF(RIGHT(TRIM(Paramètres!M16),3)="Fin",1-$H178,IF(LEFT(TRIM(Paramètres!M16),1)="F",1,0)))),IF(Paramètres!N16="",0,IF(Paramètres!O16="",NA(),IF(LEFT(TRIM(Paramètres!O16),1)="F",INDEX($F$167:$F$219,MATCH(Paramètres!N16,Paramètres!$G$5:$G$57,0)),INDEX($E$167:$E$219,MATCH(Paramètres!N16,Paramètres!$G$5:$G$57,0)))+IF(RIGHT(TRIM(Paramètres!O16),3)="Fin",1-$H178,IF(LEFT(TRIM(Paramètres!O16),1)="F",1,0)))))))</f>
        <v/>
      </c>
      <c r="F178" s="19">
        <f>IF($A178="","",E178+$H178-1)</f>
        <v/>
      </c>
      <c r="G178" s="18" t="n"/>
      <c r="H178" s="18">
        <f>IF($A178="","",IF(I178&lt;&gt;"",I178,Paramètres!B16))</f>
        <v/>
      </c>
      <c r="I178" s="18" t="n"/>
    </row>
    <row r="179">
      <c r="A179" s="18">
        <f>IF(ISNUMBER(Dossiers!$D$7),Dossiers!$A$7&amp;" · "&amp;Dossiers!$B$7,"")</f>
        <v/>
      </c>
      <c r="B179" s="18">
        <f>IF($A179="","",Paramètres!G17)</f>
        <v/>
      </c>
      <c r="C179" s="18">
        <f>IF($A179="","",IF(Paramètres!H17="","",Paramètres!H17))</f>
        <v/>
      </c>
      <c r="D179" s="18">
        <f>IF($A179="","",IF(Paramètres!I17="","",Paramètres!I17))</f>
        <v/>
      </c>
      <c r="E179" s="19">
        <f>IF($A179="","",IF(Paramètres!J17&amp;Paramètres!L17&amp;Paramètres!N17="",Dossiers!$D$7,MAX(IF(Paramètres!J17="",0,IF(Paramètres!K17="",NA(),IF(LEFT(TRIM(Paramètres!K17),1)="F",INDEX($F$167:$F$219,MATCH(Paramètres!J17,Paramètres!$G$5:$G$57,0)),INDEX($E$167:$E$219,MATCH(Paramètres!J17,Paramètres!$G$5:$G$57,0)))+IF(RIGHT(TRIM(Paramètres!K17),3)="Fin",1-$H179,IF(LEFT(TRIM(Paramètres!K17),1)="F",1,0)))),IF(Paramètres!L17="",0,IF(Paramètres!M17="",NA(),IF(LEFT(TRIM(Paramètres!M17),1)="F",INDEX($F$167:$F$219,MATCH(Paramètres!L17,Paramètres!$G$5:$G$57,0)),INDEX($E$167:$E$219,MATCH(Paramètres!L17,Paramètres!$G$5:$G$57,0)))+IF(RIGHT(TRIM(Paramètres!M17),3)="Fin",1-$H179,IF(LEFT(TRIM(Paramètres!M17),1)="F",1,0)))),IF(Paramètres!N17="",0,IF(Paramètres!O17="",NA(),IF(LEFT(TRIM(Paramètres!O17),1)="F",INDEX($F$167:$F$219,MATCH(Paramètres!N17,Paramètres!$G$5:$G$57,0)),INDEX($E$167:$E$219,MATCH(Paramètres!N17,Paramètres!$G$5:$G$57,0)))+IF(RIGHT(TRIM(Paramètres!O17),3)="Fin",1-$H179,IF(LEFT(TRIM(Paramètres!O17),1)="F",1,0)))))))</f>
        <v/>
      </c>
      <c r="F179" s="19">
        <f>IF($A179="","",E179+$H179-1)</f>
        <v/>
      </c>
      <c r="G179" s="18" t="n"/>
      <c r="H179" s="18">
        <f>IF($A179="","",IF(I179&lt;&gt;"",I179,Paramètres!B17))</f>
        <v/>
      </c>
      <c r="I179" s="18" t="n"/>
    </row>
    <row r="180">
      <c r="A180" s="18">
        <f>IF(ISNUMBER(Dossiers!$D$7),Dossiers!$A$7&amp;" · "&amp;Dossiers!$B$7,"")</f>
        <v/>
      </c>
      <c r="B180" s="18">
        <f>IF($A180="","",Paramètres!G18)</f>
        <v/>
      </c>
      <c r="C180" s="18">
        <f>IF($A180="","",IF(Paramètres!H18="","",Paramètres!H18))</f>
        <v/>
      </c>
      <c r="D180" s="18">
        <f>IF($A180="","",IF(Paramètres!I18="","",Paramètres!I18))</f>
        <v/>
      </c>
      <c r="E180" s="19">
        <f>IF($A180="","",IF(Paramètres!J18&amp;Paramètres!L18&amp;Paramètres!N18="",Dossiers!$D$7,MAX(IF(Paramètres!J18="",0,IF(Paramètres!K18="",NA(),IF(LEFT(TRIM(Paramètres!K18),1)="F",INDEX($F$167:$F$219,MATCH(Paramètres!J18,Paramètres!$G$5:$G$57,0)),INDEX($E$167:$E$219,MATCH(Paramètres!J18,Paramètres!$G$5:$G$57,0)))+IF(RIGHT(TRIM(Paramètres!K18),3)="Fin",1-$H180,IF(LEFT(TRIM(Paramètres!K18),1)="F",1,0)))),IF(Paramètres!L18="",0,IF(Paramètres!M18="",NA(),IF(LEFT(TRIM(Paramètres!M18),1)="F",INDEX($F$167:$F$219,MATCH(Paramètres!L18,Paramètres!$G$5:$G$57,0)),INDEX($E$167:$E$219,MATCH(Paramètres!L18,Paramètres!$G$5:$G$57,0)))+IF(RIGHT(TRIM(Paramètres!M18),3)="Fin",1-$H180,IF(LEFT(TRIM(Paramètres!M18),1)="F",1,0)))),IF(Paramètres!N18="",0,IF(Paramètres!O18="",NA(),IF(LEFT(TRIM(Paramètres!O18),1)="F",INDEX($F$167:$F$219,MATCH(Paramètres!N18,Paramètres!$G$5:$G$57,0)),INDEX($E$167:$E$219,MATCH(Paramètres!N18,Paramètres!$G$5:$G$57,0)))+IF(RIGHT(TRIM(Paramètres!O18),3)="Fin",1-$H180,IF(LEFT(TRIM(Paramètres!O18),1)="F",1,0)))))))</f>
        <v/>
      </c>
      <c r="F180" s="19">
        <f>IF($A180="","",E180+$H180-1)</f>
        <v/>
      </c>
      <c r="G180" s="18" t="n"/>
      <c r="H180" s="18">
        <f>IF($A180="","",IF(I180&lt;&gt;"",I180,Paramètres!B18))</f>
        <v/>
      </c>
      <c r="I180" s="18" t="n"/>
    </row>
    <row r="181">
      <c r="A181" s="18">
        <f>IF(ISNUMBER(Dossiers!$D$7),Dossiers!$A$7&amp;" · "&amp;Dossiers!$B$7,"")</f>
        <v/>
      </c>
      <c r="B181" s="18">
        <f>IF($A181="","",Paramètres!G19)</f>
        <v/>
      </c>
      <c r="C181" s="18">
        <f>IF($A181="","",IF(Paramètres!H19="","",Paramètres!H19))</f>
        <v/>
      </c>
      <c r="D181" s="18">
        <f>IF($A181="","",IF(Paramètres!I19="","",Paramètres!I19))</f>
        <v/>
      </c>
      <c r="E181" s="19">
        <f>IF($A181="","",IF(Paramètres!J19&amp;Paramètres!L19&amp;Paramètres!N19="",Dossiers!$D$7,MAX(IF(Paramètres!J19="",0,IF(Paramètres!K19="",NA(),IF(LEFT(TRIM(Paramètres!K19),1)="F",INDEX($F$167:$F$219,MATCH(Paramètres!J19,Paramètres!$G$5:$G$57,0)),INDEX($E$167:$E$219,MATCH(Paramètres!J19,Paramètres!$G$5:$G$57,0)))+IF(RIGHT(TRIM(Paramètres!K19),3)="Fin",1-$H181,IF(LEFT(TRIM(Paramètres!K19),1)="F",1,0)))),IF(Paramètres!L19="",0,IF(Paramètres!M19="",NA(),IF(LEFT(TRIM(Paramètres!M19),1)="F",INDEX($F$167:$F$219,MATCH(Paramètres!L19,Paramètres!$G$5:$G$57,0)),INDEX($E$167:$E$219,MATCH(Paramètres!L19,Paramètres!$G$5:$G$57,0)))+IF(RIGHT(TRIM(Paramètres!M19),3)="Fin",1-$H181,IF(LEFT(TRIM(Paramètres!M19),1)="F",1,0)))),IF(Paramètres!N19="",0,IF(Paramètres!O19="",NA(),IF(LEFT(TRIM(Paramètres!O19),1)="F",INDEX($F$167:$F$219,MATCH(Paramètres!N19,Paramètres!$G$5:$G$57,0)),INDEX($E$167:$E$219,MATCH(Paramètres!N19,Paramètres!$G$5:$G$57,0)))+IF(RIGHT(TRIM(Paramètres!O19),3)="Fin",1-$H181,IF(LEFT(TRIM(Paramètres!O19),1)="F",1,0)))))))</f>
        <v/>
      </c>
      <c r="F181" s="19">
        <f>IF($A181="","",E181+$H181-1)</f>
        <v/>
      </c>
      <c r="G181" s="18" t="n"/>
      <c r="H181" s="18">
        <f>IF($A181="","",IF(I181&lt;&gt;"",I181,Paramètres!B19))</f>
        <v/>
      </c>
      <c r="I181" s="18" t="n"/>
    </row>
    <row r="182">
      <c r="A182" s="18">
        <f>IF(ISNUMBER(Dossiers!$D$7),Dossiers!$A$7&amp;" · "&amp;Dossiers!$B$7,"")</f>
        <v/>
      </c>
      <c r="B182" s="18">
        <f>IF($A182="","",Paramètres!G20)</f>
        <v/>
      </c>
      <c r="C182" s="18">
        <f>IF($A182="","",IF(Paramètres!H20="","",Paramètres!H20))</f>
        <v/>
      </c>
      <c r="D182" s="18">
        <f>IF($A182="","",IF(Paramètres!I20="","",Paramètres!I20))</f>
        <v/>
      </c>
      <c r="E182" s="19">
        <f>IF($A182="","",IF(Paramètres!J20&amp;Paramètres!L20&amp;Paramètres!N20="",Dossiers!$D$7,MAX(IF(Paramètres!J20="",0,IF(Paramètres!K20="",NA(),IF(LEFT(TRIM(Paramètres!K20),1)="F",INDEX($F$167:$F$219,MATCH(Paramètres!J20,Paramètres!$G$5:$G$57,0)),INDEX($E$167:$E$219,MATCH(Paramètres!J20,Paramètres!$G$5:$G$57,0)))+IF(RIGHT(TRIM(Paramètres!K20),3)="Fin",1-$H182,IF(LEFT(TRIM(Paramètres!K20),1)="F",1,0)))),IF(Paramètres!L20="",0,IF(Paramètres!M20="",NA(),IF(LEFT(TRIM(Paramètres!M20),1)="F",INDEX($F$167:$F$219,MATCH(Paramètres!L20,Paramètres!$G$5:$G$57,0)),INDEX($E$167:$E$219,MATCH(Paramètres!L20,Paramètres!$G$5:$G$57,0)))+IF(RIGHT(TRIM(Paramètres!M20),3)="Fin",1-$H182,IF(LEFT(TRIM(Paramètres!M20),1)="F",1,0)))),IF(Paramètres!N20="",0,IF(Paramètres!O20="",NA(),IF(LEFT(TRIM(Paramètres!O20),1)="F",INDEX($F$167:$F$219,MATCH(Paramètres!N20,Paramètres!$G$5:$G$57,0)),INDEX($E$167:$E$219,MATCH(Paramètres!N20,Paramètres!$G$5:$G$57,0)))+IF(RIGHT(TRIM(Paramètres!O20),3)="Fin",1-$H182,IF(LEFT(TRIM(Paramètres!O20),1)="F",1,0)))))))</f>
        <v/>
      </c>
      <c r="F182" s="19">
        <f>IF($A182="","",E182+$H182-1)</f>
        <v/>
      </c>
      <c r="G182" s="18" t="n"/>
      <c r="H182" s="18">
        <f>IF($A182="","",IF(I182&lt;&gt;"",I182,Paramètres!B20))</f>
        <v/>
      </c>
      <c r="I182" s="18" t="n"/>
    </row>
    <row r="183">
      <c r="A183" s="18">
        <f>IF(ISNUMBER(Dossiers!$D$7),Dossiers!$A$7&amp;" · "&amp;Dossiers!$B$7,"")</f>
        <v/>
      </c>
      <c r="B183" s="18">
        <f>IF($A183="","",Paramètres!G21)</f>
        <v/>
      </c>
      <c r="C183" s="18">
        <f>IF($A183="","",IF(Paramètres!H21="","",Paramètres!H21))</f>
        <v/>
      </c>
      <c r="D183" s="18">
        <f>IF($A183="","",IF(Paramètres!I21="","",Paramètres!I21))</f>
        <v/>
      </c>
      <c r="E183" s="19">
        <f>IF($A183="","",IF(Paramètres!J21&amp;Paramètres!L21&amp;Paramètres!N21="",Dossiers!$D$7,MAX(IF(Paramètres!J21="",0,IF(Paramètres!K21="",NA(),IF(LEFT(TRIM(Paramètres!K21),1)="F",INDEX($F$167:$F$219,MATCH(Paramètres!J21,Paramètres!$G$5:$G$57,0)),INDEX($E$167:$E$219,MATCH(Paramètres!J21,Paramètres!$G$5:$G$57,0)))+IF(RIGHT(TRIM(Paramètres!K21),3)="Fin",1-$H183,IF(LEFT(TRIM(Paramètres!K21),1)="F",1,0)))),IF(Paramètres!L21="",0,IF(Paramètres!M21="",NA(),IF(LEFT(TRIM(Paramètres!M21),1)="F",INDEX($F$167:$F$219,MATCH(Paramètres!L21,Paramètres!$G$5:$G$57,0)),INDEX($E$167:$E$219,MATCH(Paramètres!L21,Paramètres!$G$5:$G$57,0)))+IF(RIGHT(TRIM(Paramètres!M21),3)="Fin",1-$H183,IF(LEFT(TRIM(Paramètres!M21),1)="F",1,0)))),IF(Paramètres!N21="",0,IF(Paramètres!O21="",NA(),IF(LEFT(TRIM(Paramètres!O21),1)="F",INDEX($F$167:$F$219,MATCH(Paramètres!N21,Paramètres!$G$5:$G$57,0)),INDEX($E$167:$E$219,MATCH(Paramètres!N21,Paramètres!$G$5:$G$57,0)))+IF(RIGHT(TRIM(Paramètres!O21),3)="Fin",1-$H183,IF(LEFT(TRIM(Paramètres!O21),1)="F",1,0)))))))</f>
        <v/>
      </c>
      <c r="F183" s="19">
        <f>IF($A183="","",E183+$H183-1)</f>
        <v/>
      </c>
      <c r="G183" s="18" t="n"/>
      <c r="H183" s="18">
        <f>IF($A183="","",IF(I183&lt;&gt;"",I183,Paramètres!B21))</f>
        <v/>
      </c>
      <c r="I183" s="18" t="n"/>
    </row>
    <row r="184">
      <c r="A184" s="18">
        <f>IF(ISNUMBER(Dossiers!$D$7),Dossiers!$A$7&amp;" · "&amp;Dossiers!$B$7,"")</f>
        <v/>
      </c>
      <c r="B184" s="18">
        <f>IF($A184="","",Paramètres!G22)</f>
        <v/>
      </c>
      <c r="C184" s="18">
        <f>IF($A184="","",IF(Paramètres!H22="","",Paramètres!H22))</f>
        <v/>
      </c>
      <c r="D184" s="18">
        <f>IF($A184="","",IF(Paramètres!I22="","",Paramètres!I22))</f>
        <v/>
      </c>
      <c r="E184" s="19">
        <f>IF($A184="","",IF(Paramètres!J22&amp;Paramètres!L22&amp;Paramètres!N22="",Dossiers!$D$7,MAX(IF(Paramètres!J22="",0,IF(Paramètres!K22="",NA(),IF(LEFT(TRIM(Paramètres!K22),1)="F",INDEX($F$167:$F$219,MATCH(Paramètres!J22,Paramètres!$G$5:$G$57,0)),INDEX($E$167:$E$219,MATCH(Paramètres!J22,Paramètres!$G$5:$G$57,0)))+IF(RIGHT(TRIM(Paramètres!K22),3)="Fin",1-$H184,IF(LEFT(TRIM(Paramètres!K22),1)="F",1,0)))),IF(Paramètres!L22="",0,IF(Paramètres!M22="",NA(),IF(LEFT(TRIM(Paramètres!M22),1)="F",INDEX($F$167:$F$219,MATCH(Paramètres!L22,Paramètres!$G$5:$G$57,0)),INDEX($E$167:$E$219,MATCH(Paramètres!L22,Paramètres!$G$5:$G$57,0)))+IF(RIGHT(TRIM(Paramètres!M22),3)="Fin",1-$H184,IF(LEFT(TRIM(Paramètres!M22),1)="F",1,0)))),IF(Paramètres!N22="",0,IF(Paramètres!O22="",NA(),IF(LEFT(TRIM(Paramètres!O22),1)="F",INDEX($F$167:$F$219,MATCH(Paramètres!N22,Paramètres!$G$5:$G$57,0)),INDEX($E$167:$E$219,MATCH(Paramètres!N22,Paramètres!$G$5:$G$57,0)))+IF(RIGHT(TRIM(Paramètres!O22),3)="Fin",1-$H184,IF(LEFT(TRIM(Paramètres!O22),1)="F",1,0)))))))</f>
        <v/>
      </c>
      <c r="F184" s="19">
        <f>IF($A184="","",E184+$H184-1)</f>
        <v/>
      </c>
      <c r="G184" s="18" t="n"/>
      <c r="H184" s="18">
        <f>IF($A184="","",IF(I184&lt;&gt;"",I184,Paramètres!B22))</f>
        <v/>
      </c>
      <c r="I184" s="18" t="n"/>
    </row>
    <row r="185">
      <c r="A185" s="18">
        <f>IF(ISNUMBER(Dossiers!$D$7),Dossiers!$A$7&amp;" · "&amp;Dossiers!$B$7,"")</f>
        <v/>
      </c>
      <c r="B185" s="18">
        <f>IF($A185="","",Paramètres!G23)</f>
        <v/>
      </c>
      <c r="C185" s="18">
        <f>IF($A185="","",IF(Paramètres!H23="","",Paramètres!H23))</f>
        <v/>
      </c>
      <c r="D185" s="18">
        <f>IF($A185="","",IF(Paramètres!I23="","",Paramètres!I23))</f>
        <v/>
      </c>
      <c r="E185" s="19">
        <f>IF($A185="","",IF(Paramètres!J23&amp;Paramètres!L23&amp;Paramètres!N23="",Dossiers!$D$7,MAX(IF(Paramètres!J23="",0,IF(Paramètres!K23="",NA(),IF(LEFT(TRIM(Paramètres!K23),1)="F",INDEX($F$167:$F$219,MATCH(Paramètres!J23,Paramètres!$G$5:$G$57,0)),INDEX($E$167:$E$219,MATCH(Paramètres!J23,Paramètres!$G$5:$G$57,0)))+IF(RIGHT(TRIM(Paramètres!K23),3)="Fin",1-$H185,IF(LEFT(TRIM(Paramètres!K23),1)="F",1,0)))),IF(Paramètres!L23="",0,IF(Paramètres!M23="",NA(),IF(LEFT(TRIM(Paramètres!M23),1)="F",INDEX($F$167:$F$219,MATCH(Paramètres!L23,Paramètres!$G$5:$G$57,0)),INDEX($E$167:$E$219,MATCH(Paramètres!L23,Paramètres!$G$5:$G$57,0)))+IF(RIGHT(TRIM(Paramètres!M23),3)="Fin",1-$H185,IF(LEFT(TRIM(Paramètres!M23),1)="F",1,0)))),IF(Paramètres!N23="",0,IF(Paramètres!O23="",NA(),IF(LEFT(TRIM(Paramètres!O23),1)="F",INDEX($F$167:$F$219,MATCH(Paramètres!N23,Paramètres!$G$5:$G$57,0)),INDEX($E$167:$E$219,MATCH(Paramètres!N23,Paramètres!$G$5:$G$57,0)))+IF(RIGHT(TRIM(Paramètres!O23),3)="Fin",1-$H185,IF(LEFT(TRIM(Paramètres!O23),1)="F",1,0)))))))</f>
        <v/>
      </c>
      <c r="F185" s="19">
        <f>IF($A185="","",E185+$H185-1)</f>
        <v/>
      </c>
      <c r="G185" s="18" t="n"/>
      <c r="H185" s="18">
        <f>IF($A185="","",IF(I185&lt;&gt;"",I185,Paramètres!B23))</f>
        <v/>
      </c>
      <c r="I185" s="18" t="n"/>
    </row>
    <row r="186">
      <c r="A186" s="18">
        <f>IF(ISNUMBER(Dossiers!$D$7),Dossiers!$A$7&amp;" · "&amp;Dossiers!$B$7,"")</f>
        <v/>
      </c>
      <c r="B186" s="18">
        <f>IF($A186="","",Paramètres!G24)</f>
        <v/>
      </c>
      <c r="C186" s="18">
        <f>IF($A186="","",IF(Paramètres!H24="","",Paramètres!H24))</f>
        <v/>
      </c>
      <c r="D186" s="18">
        <f>IF($A186="","",IF(Paramètres!I24="","",Paramètres!I24))</f>
        <v/>
      </c>
      <c r="E186" s="19">
        <f>IF($A186="","",IF(Paramètres!J24&amp;Paramètres!L24&amp;Paramètres!N24="",Dossiers!$D$7,MAX(IF(Paramètres!J24="",0,IF(Paramètres!K24="",NA(),IF(LEFT(TRIM(Paramètres!K24),1)="F",INDEX($F$167:$F$219,MATCH(Paramètres!J24,Paramètres!$G$5:$G$57,0)),INDEX($E$167:$E$219,MATCH(Paramètres!J24,Paramètres!$G$5:$G$57,0)))+IF(RIGHT(TRIM(Paramètres!K24),3)="Fin",1-$H186,IF(LEFT(TRIM(Paramètres!K24),1)="F",1,0)))),IF(Paramètres!L24="",0,IF(Paramètres!M24="",NA(),IF(LEFT(TRIM(Paramètres!M24),1)="F",INDEX($F$167:$F$219,MATCH(Paramètres!L24,Paramètres!$G$5:$G$57,0)),INDEX($E$167:$E$219,MATCH(Paramètres!L24,Paramètres!$G$5:$G$57,0)))+IF(RIGHT(TRIM(Paramètres!M24),3)="Fin",1-$H186,IF(LEFT(TRIM(Paramètres!M24),1)="F",1,0)))),IF(Paramètres!N24="",0,IF(Paramètres!O24="",NA(),IF(LEFT(TRIM(Paramètres!O24),1)="F",INDEX($F$167:$F$219,MATCH(Paramètres!N24,Paramètres!$G$5:$G$57,0)),INDEX($E$167:$E$219,MATCH(Paramètres!N24,Paramètres!$G$5:$G$57,0)))+IF(RIGHT(TRIM(Paramètres!O24),3)="Fin",1-$H186,IF(LEFT(TRIM(Paramètres!O24),1)="F",1,0)))))))</f>
        <v/>
      </c>
      <c r="F186" s="19">
        <f>IF($A186="","",E186+$H186-1)</f>
        <v/>
      </c>
      <c r="G186" s="18" t="n"/>
      <c r="H186" s="18">
        <f>IF($A186="","",IF(I186&lt;&gt;"",I186,Paramètres!B24))</f>
        <v/>
      </c>
      <c r="I186" s="18" t="n"/>
    </row>
    <row r="187">
      <c r="A187" s="18">
        <f>IF(ISNUMBER(Dossiers!$D$7),Dossiers!$A$7&amp;" · "&amp;Dossiers!$B$7,"")</f>
        <v/>
      </c>
      <c r="B187" s="18">
        <f>IF($A187="","",Paramètres!G25)</f>
        <v/>
      </c>
      <c r="C187" s="18">
        <f>IF($A187="","",IF(Paramètres!H25="","",Paramètres!H25))</f>
        <v/>
      </c>
      <c r="D187" s="18">
        <f>IF($A187="","",IF(Paramètres!I25="","",Paramètres!I25))</f>
        <v/>
      </c>
      <c r="E187" s="19">
        <f>IF($A187="","",IF(Paramètres!J25&amp;Paramètres!L25&amp;Paramètres!N25="",Dossiers!$D$7,MAX(IF(Paramètres!J25="",0,IF(Paramètres!K25="",NA(),IF(LEFT(TRIM(Paramètres!K25),1)="F",INDEX($F$167:$F$219,MATCH(Paramètres!J25,Paramètres!$G$5:$G$57,0)),INDEX($E$167:$E$219,MATCH(Paramètres!J25,Paramètres!$G$5:$G$57,0)))+IF(RIGHT(TRIM(Paramètres!K25),3)="Fin",1-$H187,IF(LEFT(TRIM(Paramètres!K25),1)="F",1,0)))),IF(Paramètres!L25="",0,IF(Paramètres!M25="",NA(),IF(LEFT(TRIM(Paramètres!M25),1)="F",INDEX($F$167:$F$219,MATCH(Paramètres!L25,Paramètres!$G$5:$G$57,0)),INDEX($E$167:$E$219,MATCH(Paramètres!L25,Paramètres!$G$5:$G$57,0)))+IF(RIGHT(TRIM(Paramètres!M25),3)="Fin",1-$H187,IF(LEFT(TRIM(Paramètres!M25),1)="F",1,0)))),IF(Paramètres!N25="",0,IF(Paramètres!O25="",NA(),IF(LEFT(TRIM(Paramètres!O25),1)="F",INDEX($F$167:$F$219,MATCH(Paramètres!N25,Paramètres!$G$5:$G$57,0)),INDEX($E$167:$E$219,MATCH(Paramètres!N25,Paramètres!$G$5:$G$57,0)))+IF(RIGHT(TRIM(Paramètres!O25),3)="Fin",1-$H187,IF(LEFT(TRIM(Paramètres!O25),1)="F",1,0)))))))</f>
        <v/>
      </c>
      <c r="F187" s="19">
        <f>IF($A187="","",E187+$H187-1)</f>
        <v/>
      </c>
      <c r="G187" s="18" t="n"/>
      <c r="H187" s="18">
        <f>IF($A187="","",IF(I187&lt;&gt;"",I187,Paramètres!B25))</f>
        <v/>
      </c>
      <c r="I187" s="18" t="n"/>
    </row>
    <row r="188">
      <c r="A188" s="18">
        <f>IF(ISNUMBER(Dossiers!$D$7),Dossiers!$A$7&amp;" · "&amp;Dossiers!$B$7,"")</f>
        <v/>
      </c>
      <c r="B188" s="18">
        <f>IF($A188="","",Paramètres!G26)</f>
        <v/>
      </c>
      <c r="C188" s="18">
        <f>IF($A188="","",IF(Paramètres!H26="","",Paramètres!H26))</f>
        <v/>
      </c>
      <c r="D188" s="18">
        <f>IF($A188="","",IF(Paramètres!I26="","",Paramètres!I26))</f>
        <v/>
      </c>
      <c r="E188" s="19">
        <f>IF($A188="","",IF(Paramètres!J26&amp;Paramètres!L26&amp;Paramètres!N26="",Dossiers!$D$7,MAX(IF(Paramètres!J26="",0,IF(Paramètres!K26="",NA(),IF(LEFT(TRIM(Paramètres!K26),1)="F",INDEX($F$167:$F$219,MATCH(Paramètres!J26,Paramètres!$G$5:$G$57,0)),INDEX($E$167:$E$219,MATCH(Paramètres!J26,Paramètres!$G$5:$G$57,0)))+IF(RIGHT(TRIM(Paramètres!K26),3)="Fin",1-$H188,IF(LEFT(TRIM(Paramètres!K26),1)="F",1,0)))),IF(Paramètres!L26="",0,IF(Paramètres!M26="",NA(),IF(LEFT(TRIM(Paramètres!M26),1)="F",INDEX($F$167:$F$219,MATCH(Paramètres!L26,Paramètres!$G$5:$G$57,0)),INDEX($E$167:$E$219,MATCH(Paramètres!L26,Paramètres!$G$5:$G$57,0)))+IF(RIGHT(TRIM(Paramètres!M26),3)="Fin",1-$H188,IF(LEFT(TRIM(Paramètres!M26),1)="F",1,0)))),IF(Paramètres!N26="",0,IF(Paramètres!O26="",NA(),IF(LEFT(TRIM(Paramètres!O26),1)="F",INDEX($F$167:$F$219,MATCH(Paramètres!N26,Paramètres!$G$5:$G$57,0)),INDEX($E$167:$E$219,MATCH(Paramètres!N26,Paramètres!$G$5:$G$57,0)))+IF(RIGHT(TRIM(Paramètres!O26),3)="Fin",1-$H188,IF(LEFT(TRIM(Paramètres!O26),1)="F",1,0)))))))</f>
        <v/>
      </c>
      <c r="F188" s="19">
        <f>IF($A188="","",E188+$H188-1)</f>
        <v/>
      </c>
      <c r="G188" s="18" t="n"/>
      <c r="H188" s="18">
        <f>IF($A188="","",IF(I188&lt;&gt;"",I188,Paramètres!B26))</f>
        <v/>
      </c>
      <c r="I188" s="18" t="n"/>
    </row>
    <row r="189">
      <c r="A189" s="18">
        <f>IF(ISNUMBER(Dossiers!$D$7),Dossiers!$A$7&amp;" · "&amp;Dossiers!$B$7,"")</f>
        <v/>
      </c>
      <c r="B189" s="18">
        <f>IF($A189="","",Paramètres!G27)</f>
        <v/>
      </c>
      <c r="C189" s="18">
        <f>IF($A189="","",IF(Paramètres!H27="","",Paramètres!H27))</f>
        <v/>
      </c>
      <c r="D189" s="18">
        <f>IF($A189="","",IF(Paramètres!I27="","",Paramètres!I27))</f>
        <v/>
      </c>
      <c r="E189" s="19">
        <f>IF($A189="","",IF(Paramètres!J27&amp;Paramètres!L27&amp;Paramètres!N27="",Dossiers!$D$7,MAX(IF(Paramètres!J27="",0,IF(Paramètres!K27="",NA(),IF(LEFT(TRIM(Paramètres!K27),1)="F",INDEX($F$167:$F$219,MATCH(Paramètres!J27,Paramètres!$G$5:$G$57,0)),INDEX($E$167:$E$219,MATCH(Paramètres!J27,Paramètres!$G$5:$G$57,0)))+IF(RIGHT(TRIM(Paramètres!K27),3)="Fin",1-$H189,IF(LEFT(TRIM(Paramètres!K27),1)="F",1,0)))),IF(Paramètres!L27="",0,IF(Paramètres!M27="",NA(),IF(LEFT(TRIM(Paramètres!M27),1)="F",INDEX($F$167:$F$219,MATCH(Paramètres!L27,Paramètres!$G$5:$G$57,0)),INDEX($E$167:$E$219,MATCH(Paramètres!L27,Paramètres!$G$5:$G$57,0)))+IF(RIGHT(TRIM(Paramètres!M27),3)="Fin",1-$H189,IF(LEFT(TRIM(Paramètres!M27),1)="F",1,0)))),IF(Paramètres!N27="",0,IF(Paramètres!O27="",NA(),IF(LEFT(TRIM(Paramètres!O27),1)="F",INDEX($F$167:$F$219,MATCH(Paramètres!N27,Paramètres!$G$5:$G$57,0)),INDEX($E$167:$E$219,MATCH(Paramètres!N27,Paramètres!$G$5:$G$57,0)))+IF(RIGHT(TRIM(Paramètres!O27),3)="Fin",1-$H189,IF(LEFT(TRIM(Paramètres!O27),1)="F",1,0)))))))</f>
        <v/>
      </c>
      <c r="F189" s="19">
        <f>IF($A189="","",E189+$H189-1)</f>
        <v/>
      </c>
      <c r="G189" s="18" t="n"/>
      <c r="H189" s="18">
        <f>IF($A189="","",IF(I189&lt;&gt;"",I189,Paramètres!B27))</f>
        <v/>
      </c>
      <c r="I189" s="18" t="n"/>
    </row>
    <row r="190">
      <c r="A190" s="18">
        <f>IF(ISNUMBER(Dossiers!$D$7),Dossiers!$A$7&amp;" · "&amp;Dossiers!$B$7,"")</f>
        <v/>
      </c>
      <c r="B190" s="18">
        <f>IF($A190="","",Paramètres!G28)</f>
        <v/>
      </c>
      <c r="C190" s="18">
        <f>IF($A190="","",IF(Paramètres!H28="","",Paramètres!H28))</f>
        <v/>
      </c>
      <c r="D190" s="18">
        <f>IF($A190="","",IF(Paramètres!I28="","",Paramètres!I28))</f>
        <v/>
      </c>
      <c r="E190" s="19">
        <f>IF($A190="","",IF(Paramètres!J28&amp;Paramètres!L28&amp;Paramètres!N28="",Dossiers!$D$7,MAX(IF(Paramètres!J28="",0,IF(Paramètres!K28="",NA(),IF(LEFT(TRIM(Paramètres!K28),1)="F",INDEX($F$167:$F$219,MATCH(Paramètres!J28,Paramètres!$G$5:$G$57,0)),INDEX($E$167:$E$219,MATCH(Paramètres!J28,Paramètres!$G$5:$G$57,0)))+IF(RIGHT(TRIM(Paramètres!K28),3)="Fin",1-$H190,IF(LEFT(TRIM(Paramètres!K28),1)="F",1,0)))),IF(Paramètres!L28="",0,IF(Paramètres!M28="",NA(),IF(LEFT(TRIM(Paramètres!M28),1)="F",INDEX($F$167:$F$219,MATCH(Paramètres!L28,Paramètres!$G$5:$G$57,0)),INDEX($E$167:$E$219,MATCH(Paramètres!L28,Paramètres!$G$5:$G$57,0)))+IF(RIGHT(TRIM(Paramètres!M28),3)="Fin",1-$H190,IF(LEFT(TRIM(Paramètres!M28),1)="F",1,0)))),IF(Paramètres!N28="",0,IF(Paramètres!O28="",NA(),IF(LEFT(TRIM(Paramètres!O28),1)="F",INDEX($F$167:$F$219,MATCH(Paramètres!N28,Paramètres!$G$5:$G$57,0)),INDEX($E$167:$E$219,MATCH(Paramètres!N28,Paramètres!$G$5:$G$57,0)))+IF(RIGHT(TRIM(Paramètres!O28),3)="Fin",1-$H190,IF(LEFT(TRIM(Paramètres!O28),1)="F",1,0)))))))</f>
        <v/>
      </c>
      <c r="F190" s="19">
        <f>IF($A190="","",E190+$H190-1)</f>
        <v/>
      </c>
      <c r="G190" s="18" t="n"/>
      <c r="H190" s="18">
        <f>IF($A190="","",IF(I190&lt;&gt;"",I190,Paramètres!B28))</f>
        <v/>
      </c>
      <c r="I190" s="18" t="n"/>
    </row>
    <row r="191">
      <c r="A191" s="18">
        <f>IF(ISNUMBER(Dossiers!$D$7),Dossiers!$A$7&amp;" · "&amp;Dossiers!$B$7,"")</f>
        <v/>
      </c>
      <c r="B191" s="18">
        <f>IF($A191="","",Paramètres!G29)</f>
        <v/>
      </c>
      <c r="C191" s="18">
        <f>IF($A191="","",IF(Paramètres!H29="","",Paramètres!H29))</f>
        <v/>
      </c>
      <c r="D191" s="18">
        <f>IF($A191="","",IF(Paramètres!I29="","",Paramètres!I29))</f>
        <v/>
      </c>
      <c r="E191" s="19">
        <f>IF($A191="","",IF(Paramètres!J29&amp;Paramètres!L29&amp;Paramètres!N29="",Dossiers!$D$7,MAX(IF(Paramètres!J29="",0,IF(Paramètres!K29="",NA(),IF(LEFT(TRIM(Paramètres!K29),1)="F",INDEX($F$167:$F$219,MATCH(Paramètres!J29,Paramètres!$G$5:$G$57,0)),INDEX($E$167:$E$219,MATCH(Paramètres!J29,Paramètres!$G$5:$G$57,0)))+IF(RIGHT(TRIM(Paramètres!K29),3)="Fin",1-$H191,IF(LEFT(TRIM(Paramètres!K29),1)="F",1,0)))),IF(Paramètres!L29="",0,IF(Paramètres!M29="",NA(),IF(LEFT(TRIM(Paramètres!M29),1)="F",INDEX($F$167:$F$219,MATCH(Paramètres!L29,Paramètres!$G$5:$G$57,0)),INDEX($E$167:$E$219,MATCH(Paramètres!L29,Paramètres!$G$5:$G$57,0)))+IF(RIGHT(TRIM(Paramètres!M29),3)="Fin",1-$H191,IF(LEFT(TRIM(Paramètres!M29),1)="F",1,0)))),IF(Paramètres!N29="",0,IF(Paramètres!O29="",NA(),IF(LEFT(TRIM(Paramètres!O29),1)="F",INDEX($F$167:$F$219,MATCH(Paramètres!N29,Paramètres!$G$5:$G$57,0)),INDEX($E$167:$E$219,MATCH(Paramètres!N29,Paramètres!$G$5:$G$57,0)))+IF(RIGHT(TRIM(Paramètres!O29),3)="Fin",1-$H191,IF(LEFT(TRIM(Paramètres!O29),1)="F",1,0)))))))</f>
        <v/>
      </c>
      <c r="F191" s="19">
        <f>IF($A191="","",E191+$H191-1)</f>
        <v/>
      </c>
      <c r="G191" s="18" t="n"/>
      <c r="H191" s="18">
        <f>IF($A191="","",IF(I191&lt;&gt;"",I191,Paramètres!B29))</f>
        <v/>
      </c>
      <c r="I191" s="18" t="n"/>
    </row>
    <row r="192">
      <c r="A192" s="18">
        <f>IF(ISNUMBER(Dossiers!$D$7),Dossiers!$A$7&amp;" · "&amp;Dossiers!$B$7,"")</f>
        <v/>
      </c>
      <c r="B192" s="18">
        <f>IF($A192="","",Paramètres!G30)</f>
        <v/>
      </c>
      <c r="C192" s="18">
        <f>IF($A192="","",IF(Paramètres!H30="","",Paramètres!H30))</f>
        <v/>
      </c>
      <c r="D192" s="18">
        <f>IF($A192="","",IF(Paramètres!I30="","",Paramètres!I30))</f>
        <v/>
      </c>
      <c r="E192" s="19">
        <f>IF($A192="","",IF(Paramètres!J30&amp;Paramètres!L30&amp;Paramètres!N30="",Dossiers!$D$7,MAX(IF(Paramètres!J30="",0,IF(Paramètres!K30="",NA(),IF(LEFT(TRIM(Paramètres!K30),1)="F",INDEX($F$167:$F$219,MATCH(Paramètres!J30,Paramètres!$G$5:$G$57,0)),INDEX($E$167:$E$219,MATCH(Paramètres!J30,Paramètres!$G$5:$G$57,0)))+IF(RIGHT(TRIM(Paramètres!K30),3)="Fin",1-$H192,IF(LEFT(TRIM(Paramètres!K30),1)="F",1,0)))),IF(Paramètres!L30="",0,IF(Paramètres!M30="",NA(),IF(LEFT(TRIM(Paramètres!M30),1)="F",INDEX($F$167:$F$219,MATCH(Paramètres!L30,Paramètres!$G$5:$G$57,0)),INDEX($E$167:$E$219,MATCH(Paramètres!L30,Paramètres!$G$5:$G$57,0)))+IF(RIGHT(TRIM(Paramètres!M30),3)="Fin",1-$H192,IF(LEFT(TRIM(Paramètres!M30),1)="F",1,0)))),IF(Paramètres!N30="",0,IF(Paramètres!O30="",NA(),IF(LEFT(TRIM(Paramètres!O30),1)="F",INDEX($F$167:$F$219,MATCH(Paramètres!N30,Paramètres!$G$5:$G$57,0)),INDEX($E$167:$E$219,MATCH(Paramètres!N30,Paramètres!$G$5:$G$57,0)))+IF(RIGHT(TRIM(Paramètres!O30),3)="Fin",1-$H192,IF(LEFT(TRIM(Paramètres!O30),1)="F",1,0)))))))</f>
        <v/>
      </c>
      <c r="F192" s="19">
        <f>IF($A192="","",E192+$H192-1)</f>
        <v/>
      </c>
      <c r="G192" s="18" t="n"/>
      <c r="H192" s="18">
        <f>IF($A192="","",IF(I192&lt;&gt;"",I192,Paramètres!B30))</f>
        <v/>
      </c>
      <c r="I192" s="18" t="n"/>
    </row>
    <row r="193">
      <c r="A193" s="18">
        <f>IF(ISNUMBER(Dossiers!$D$7),Dossiers!$A$7&amp;" · "&amp;Dossiers!$B$7,"")</f>
        <v/>
      </c>
      <c r="B193" s="18">
        <f>IF($A193="","",Paramètres!G31)</f>
        <v/>
      </c>
      <c r="C193" s="20">
        <f>IF($A193="","",IF(Dossiers!$F$7="","",Dossiers!$F$7))</f>
        <v/>
      </c>
      <c r="D193" s="18">
        <f>IF($A193="","",IF(Paramètres!I31="","",Paramètres!I31))</f>
        <v/>
      </c>
      <c r="E193" s="19">
        <f>IF($A193="","",IF(Paramètres!J31&amp;Paramètres!L31&amp;Paramètres!N31="",Dossiers!$D$7,MAX(IF(Paramètres!J31="",0,IF(Paramètres!K31="",NA(),IF(LEFT(TRIM(Paramètres!K31),1)="F",INDEX($F$167:$F$219,MATCH(Paramètres!J31,Paramètres!$G$5:$G$57,0)),INDEX($E$167:$E$219,MATCH(Paramètres!J31,Paramètres!$G$5:$G$57,0)))+IF(RIGHT(TRIM(Paramètres!K31),3)="Fin",1-$H193,IF(LEFT(TRIM(Paramètres!K31),1)="F",1,0)))),IF(Paramètres!L31="",0,IF(Paramètres!M31="",NA(),IF(LEFT(TRIM(Paramètres!M31),1)="F",INDEX($F$167:$F$219,MATCH(Paramètres!L31,Paramètres!$G$5:$G$57,0)),INDEX($E$167:$E$219,MATCH(Paramètres!L31,Paramètres!$G$5:$G$57,0)))+IF(RIGHT(TRIM(Paramètres!M31),3)="Fin",1-$H193,IF(LEFT(TRIM(Paramètres!M31),1)="F",1,0)))),IF(Paramètres!N31="",0,IF(Paramètres!O31="",NA(),IF(LEFT(TRIM(Paramètres!O31),1)="F",INDEX($F$167:$F$219,MATCH(Paramètres!N31,Paramètres!$G$5:$G$57,0)),INDEX($E$167:$E$219,MATCH(Paramètres!N31,Paramètres!$G$5:$G$57,0)))+IF(RIGHT(TRIM(Paramètres!O31),3)="Fin",1-$H193,IF(LEFT(TRIM(Paramètres!O31),1)="F",1,0)))))))</f>
        <v/>
      </c>
      <c r="F193" s="19">
        <f>IF($A193="","",E193+$H193-1)</f>
        <v/>
      </c>
      <c r="G193" s="18" t="n"/>
      <c r="H193" s="18">
        <f>IF($A193="","",IF(I193&lt;&gt;"",I193,Paramètres!B31))</f>
        <v/>
      </c>
      <c r="I193" s="18" t="n"/>
    </row>
    <row r="194">
      <c r="A194" s="18">
        <f>IF(ISNUMBER(Dossiers!$D$7),Dossiers!$A$7&amp;" · "&amp;Dossiers!$B$7,"")</f>
        <v/>
      </c>
      <c r="B194" s="18">
        <f>IF($A194="","",Paramètres!G32)</f>
        <v/>
      </c>
      <c r="C194" s="18">
        <f>IF($A194="","",IF(Paramètres!H32="","",Paramètres!H32))</f>
        <v/>
      </c>
      <c r="D194" s="18">
        <f>IF($A194="","",IF(Paramètres!I32="","",Paramètres!I32))</f>
        <v/>
      </c>
      <c r="E194" s="19">
        <f>IF($A194="","",MIN(E195:E198))</f>
        <v/>
      </c>
      <c r="F194" s="19">
        <f>IF($A194="","",MAX(F195:F198))</f>
        <v/>
      </c>
      <c r="G194" s="18" t="n"/>
      <c r="H194" s="18">
        <f>IF($A194="","",F194-E194+1)</f>
        <v/>
      </c>
      <c r="I194" s="18" t="n"/>
    </row>
    <row r="195">
      <c r="A195" s="18">
        <f>IF(ISNUMBER(Dossiers!$D$7),Dossiers!$A$7&amp;" · "&amp;Dossiers!$B$7,"")</f>
        <v/>
      </c>
      <c r="B195" s="18">
        <f>IF($A195="","",Paramètres!G33)</f>
        <v/>
      </c>
      <c r="C195" s="18">
        <f>IF($A195="","",IF(Paramètres!H33="","",Paramètres!H33))</f>
        <v/>
      </c>
      <c r="D195" s="18">
        <f>IF($A195="","",IF(Paramètres!I33="","",Paramètres!I33))</f>
        <v/>
      </c>
      <c r="E195" s="19">
        <f>IF($A195="","",IF(Paramètres!J33&amp;Paramètres!L33&amp;Paramètres!N33="",Dossiers!$D$7,MAX(IF(Paramètres!J33="",0,IF(Paramètres!K33="",NA(),IF(LEFT(TRIM(Paramètres!K33),1)="F",INDEX($F$167:$F$219,MATCH(Paramètres!J33,Paramètres!$G$5:$G$57,0)),INDEX($E$167:$E$219,MATCH(Paramètres!J33,Paramètres!$G$5:$G$57,0)))+IF(RIGHT(TRIM(Paramètres!K33),3)="Fin",1-$H195,IF(LEFT(TRIM(Paramètres!K33),1)="F",1,0)))),IF(Paramètres!L33="",0,IF(Paramètres!M33="",NA(),IF(LEFT(TRIM(Paramètres!M33),1)="F",INDEX($F$167:$F$219,MATCH(Paramètres!L33,Paramètres!$G$5:$G$57,0)),INDEX($E$167:$E$219,MATCH(Paramètres!L33,Paramètres!$G$5:$G$57,0)))+IF(RIGHT(TRIM(Paramètres!M33),3)="Fin",1-$H195,IF(LEFT(TRIM(Paramètres!M33),1)="F",1,0)))),IF(Paramètres!N33="",0,IF(Paramètres!O33="",NA(),IF(LEFT(TRIM(Paramètres!O33),1)="F",INDEX($F$167:$F$219,MATCH(Paramètres!N33,Paramètres!$G$5:$G$57,0)),INDEX($E$167:$E$219,MATCH(Paramètres!N33,Paramètres!$G$5:$G$57,0)))+IF(RIGHT(TRIM(Paramètres!O33),3)="Fin",1-$H195,IF(LEFT(TRIM(Paramètres!O33),1)="F",1,0)))))))</f>
        <v/>
      </c>
      <c r="F195" s="19">
        <f>IF($A195="","",E195+$H195-1)</f>
        <v/>
      </c>
      <c r="G195" s="18" t="n"/>
      <c r="H195" s="18">
        <f>IF($A195="","",IF(I195&lt;&gt;"",I195,Paramètres!B33))</f>
        <v/>
      </c>
      <c r="I195" s="18" t="n"/>
    </row>
    <row r="196">
      <c r="A196" s="18">
        <f>IF(ISNUMBER(Dossiers!$D$7),Dossiers!$A$7&amp;" · "&amp;Dossiers!$B$7,"")</f>
        <v/>
      </c>
      <c r="B196" s="18">
        <f>IF($A196="","",Paramètres!G34)</f>
        <v/>
      </c>
      <c r="C196" s="18">
        <f>IF($A196="","",IF(Paramètres!H34="","",Paramètres!H34))</f>
        <v/>
      </c>
      <c r="D196" s="18">
        <f>IF($A196="","",IF(Paramètres!I34="","",Paramètres!I34))</f>
        <v/>
      </c>
      <c r="E196" s="19">
        <f>IF($A196="","",IF(Paramètres!J34&amp;Paramètres!L34&amp;Paramètres!N34="",Dossiers!$D$7,MAX(IF(Paramètres!J34="",0,IF(Paramètres!K34="",NA(),IF(LEFT(TRIM(Paramètres!K34),1)="F",INDEX($F$167:$F$219,MATCH(Paramètres!J34,Paramètres!$G$5:$G$57,0)),INDEX($E$167:$E$219,MATCH(Paramètres!J34,Paramètres!$G$5:$G$57,0)))+IF(RIGHT(TRIM(Paramètres!K34),3)="Fin",1-$H196,IF(LEFT(TRIM(Paramètres!K34),1)="F",1,0)))),IF(Paramètres!L34="",0,IF(Paramètres!M34="",NA(),IF(LEFT(TRIM(Paramètres!M34),1)="F",INDEX($F$167:$F$219,MATCH(Paramètres!L34,Paramètres!$G$5:$G$57,0)),INDEX($E$167:$E$219,MATCH(Paramètres!L34,Paramètres!$G$5:$G$57,0)))+IF(RIGHT(TRIM(Paramètres!M34),3)="Fin",1-$H196,IF(LEFT(TRIM(Paramètres!M34),1)="F",1,0)))),IF(Paramètres!N34="",0,IF(Paramètres!O34="",NA(),IF(LEFT(TRIM(Paramètres!O34),1)="F",INDEX($F$167:$F$219,MATCH(Paramètres!N34,Paramètres!$G$5:$G$57,0)),INDEX($E$167:$E$219,MATCH(Paramètres!N34,Paramètres!$G$5:$G$57,0)))+IF(RIGHT(TRIM(Paramètres!O34),3)="Fin",1-$H196,IF(LEFT(TRIM(Paramètres!O34),1)="F",1,0)))))))</f>
        <v/>
      </c>
      <c r="F196" s="19">
        <f>IF($A196="","",E196+$H196-1)</f>
        <v/>
      </c>
      <c r="G196" s="18" t="n"/>
      <c r="H196" s="18">
        <f>IF($A196="","",IF(I196&lt;&gt;"",I196,Paramètres!B34))</f>
        <v/>
      </c>
      <c r="I196" s="18" t="n"/>
    </row>
    <row r="197">
      <c r="A197" s="18">
        <f>IF(ISNUMBER(Dossiers!$D$7),Dossiers!$A$7&amp;" · "&amp;Dossiers!$B$7,"")</f>
        <v/>
      </c>
      <c r="B197" s="18">
        <f>IF($A197="","",Paramètres!G35)</f>
        <v/>
      </c>
      <c r="C197" s="18">
        <f>IF($A197="","",IF(Paramètres!H35="","",Paramètres!H35))</f>
        <v/>
      </c>
      <c r="D197" s="18">
        <f>IF($A197="","",IF(Paramètres!I35="","",Paramètres!I35))</f>
        <v/>
      </c>
      <c r="E197" s="19">
        <f>IF($A197="","",IF(Paramètres!J35&amp;Paramètres!L35&amp;Paramètres!N35="",Dossiers!$D$7,MAX(IF(Paramètres!J35="",0,IF(Paramètres!K35="",NA(),IF(LEFT(TRIM(Paramètres!K35),1)="F",INDEX($F$167:$F$219,MATCH(Paramètres!J35,Paramètres!$G$5:$G$57,0)),INDEX($E$167:$E$219,MATCH(Paramètres!J35,Paramètres!$G$5:$G$57,0)))+IF(RIGHT(TRIM(Paramètres!K35),3)="Fin",1-$H197,IF(LEFT(TRIM(Paramètres!K35),1)="F",1,0)))),IF(Paramètres!L35="",0,IF(Paramètres!M35="",NA(),IF(LEFT(TRIM(Paramètres!M35),1)="F",INDEX($F$167:$F$219,MATCH(Paramètres!L35,Paramètres!$G$5:$G$57,0)),INDEX($E$167:$E$219,MATCH(Paramètres!L35,Paramètres!$G$5:$G$57,0)))+IF(RIGHT(TRIM(Paramètres!M35),3)="Fin",1-$H197,IF(LEFT(TRIM(Paramètres!M35),1)="F",1,0)))),IF(Paramètres!N35="",0,IF(Paramètres!O35="",NA(),IF(LEFT(TRIM(Paramètres!O35),1)="F",INDEX($F$167:$F$219,MATCH(Paramètres!N35,Paramètres!$G$5:$G$57,0)),INDEX($E$167:$E$219,MATCH(Paramètres!N35,Paramètres!$G$5:$G$57,0)))+IF(RIGHT(TRIM(Paramètres!O35),3)="Fin",1-$H197,IF(LEFT(TRIM(Paramètres!O35),1)="F",1,0)))))))</f>
        <v/>
      </c>
      <c r="F197" s="19">
        <f>IF($A197="","",E197+$H197-1)</f>
        <v/>
      </c>
      <c r="G197" s="18" t="n"/>
      <c r="H197" s="18">
        <f>IF($A197="","",IF(I197&lt;&gt;"",I197,Paramètres!B35))</f>
        <v/>
      </c>
      <c r="I197" s="18" t="n"/>
    </row>
    <row r="198">
      <c r="A198" s="18">
        <f>IF(ISNUMBER(Dossiers!$D$7),Dossiers!$A$7&amp;" · "&amp;Dossiers!$B$7,"")</f>
        <v/>
      </c>
      <c r="B198" s="18">
        <f>IF($A198="","",Paramètres!G36)</f>
        <v/>
      </c>
      <c r="C198" s="18">
        <f>IF($A198="","",IF(Paramètres!H36="","",Paramètres!H36))</f>
        <v/>
      </c>
      <c r="D198" s="18">
        <f>IF($A198="","",IF(Paramètres!I36="","",Paramètres!I36))</f>
        <v/>
      </c>
      <c r="E198" s="19">
        <f>IF($A198="","",IF(Paramètres!J36&amp;Paramètres!L36&amp;Paramètres!N36="",Dossiers!$D$7,MAX(IF(Paramètres!J36="",0,IF(Paramètres!K36="",NA(),IF(LEFT(TRIM(Paramètres!K36),1)="F",INDEX($F$167:$F$219,MATCH(Paramètres!J36,Paramètres!$G$5:$G$57,0)),INDEX($E$167:$E$219,MATCH(Paramètres!J36,Paramètres!$G$5:$G$57,0)))+IF(RIGHT(TRIM(Paramètres!K36),3)="Fin",1-$H198,IF(LEFT(TRIM(Paramètres!K36),1)="F",1,0)))),IF(Paramètres!L36="",0,IF(Paramètres!M36="",NA(),IF(LEFT(TRIM(Paramètres!M36),1)="F",INDEX($F$167:$F$219,MATCH(Paramètres!L36,Paramètres!$G$5:$G$57,0)),INDEX($E$167:$E$219,MATCH(Paramètres!L36,Paramètres!$G$5:$G$57,0)))+IF(RIGHT(TRIM(Paramètres!M36),3)="Fin",1-$H198,IF(LEFT(TRIM(Paramètres!M36),1)="F",1,0)))),IF(Paramètres!N36="",0,IF(Paramètres!O36="",NA(),IF(LEFT(TRIM(Paramètres!O36),1)="F",INDEX($F$167:$F$219,MATCH(Paramètres!N36,Paramètres!$G$5:$G$57,0)),INDEX($E$167:$E$219,MATCH(Paramètres!N36,Paramètres!$G$5:$G$57,0)))+IF(RIGHT(TRIM(Paramètres!O36),3)="Fin",1-$H198,IF(LEFT(TRIM(Paramètres!O36),1)="F",1,0)))))))</f>
        <v/>
      </c>
      <c r="F198" s="19">
        <f>IF($A198="","",E198+$H198-1)</f>
        <v/>
      </c>
      <c r="G198" s="18" t="n"/>
      <c r="H198" s="18">
        <f>IF($A198="","",IF(I198&lt;&gt;"",I198,Paramètres!B36))</f>
        <v/>
      </c>
      <c r="I198" s="18" t="n"/>
    </row>
    <row r="199">
      <c r="A199" s="18">
        <f>IF(ISNUMBER(Dossiers!$D$7),Dossiers!$A$7&amp;" · "&amp;Dossiers!$B$7,"")</f>
        <v/>
      </c>
      <c r="B199" s="18">
        <f>IF($A199="","",Paramètres!G37)</f>
        <v/>
      </c>
      <c r="C199" s="18">
        <f>IF($A199="","",IF(Paramètres!H37="","",Paramètres!H37))</f>
        <v/>
      </c>
      <c r="D199" s="18">
        <f>IF($A199="","",IF(Paramètres!I37="","",Paramètres!I37))</f>
        <v/>
      </c>
      <c r="E199" s="19">
        <f>IF($A199="","",MIN(E200:E217))</f>
        <v/>
      </c>
      <c r="F199" s="19">
        <f>IF($A199="","",MAX(F200:F217))</f>
        <v/>
      </c>
      <c r="G199" s="18" t="n"/>
      <c r="H199" s="18">
        <f>IF($A199="","",F199-E199+1)</f>
        <v/>
      </c>
      <c r="I199" s="18" t="n"/>
    </row>
    <row r="200">
      <c r="A200" s="18">
        <f>IF(ISNUMBER(Dossiers!$D$7),Dossiers!$A$7&amp;" · "&amp;Dossiers!$B$7,"")</f>
        <v/>
      </c>
      <c r="B200" s="18">
        <f>IF($A200="","",Paramètres!G38)</f>
        <v/>
      </c>
      <c r="C200" s="18">
        <f>IF($A200="","",IF(Paramètres!H38="","",Paramètres!H38))</f>
        <v/>
      </c>
      <c r="D200" s="18">
        <f>IF($A200="","",IF(Paramètres!I38="","",Paramètres!I38))</f>
        <v/>
      </c>
      <c r="E200" s="19">
        <f>IF($A200="","",IF(Paramètres!J38&amp;Paramètres!L38&amp;Paramètres!N38="",Dossiers!$D$7,MAX(IF(Paramètres!J38="",0,IF(Paramètres!K38="",NA(),IF(LEFT(TRIM(Paramètres!K38),1)="F",INDEX($F$167:$F$219,MATCH(Paramètres!J38,Paramètres!$G$5:$G$57,0)),INDEX($E$167:$E$219,MATCH(Paramètres!J38,Paramètres!$G$5:$G$57,0)))+IF(RIGHT(TRIM(Paramètres!K38),3)="Fin",1-$H200,IF(LEFT(TRIM(Paramètres!K38),1)="F",1,0)))),IF(Paramètres!L38="",0,IF(Paramètres!M38="",NA(),IF(LEFT(TRIM(Paramètres!M38),1)="F",INDEX($F$167:$F$219,MATCH(Paramètres!L38,Paramètres!$G$5:$G$57,0)),INDEX($E$167:$E$219,MATCH(Paramètres!L38,Paramètres!$G$5:$G$57,0)))+IF(RIGHT(TRIM(Paramètres!M38),3)="Fin",1-$H200,IF(LEFT(TRIM(Paramètres!M38),1)="F",1,0)))),IF(Paramètres!N38="",0,IF(Paramètres!O38="",NA(),IF(LEFT(TRIM(Paramètres!O38),1)="F",INDEX($F$167:$F$219,MATCH(Paramètres!N38,Paramètres!$G$5:$G$57,0)),INDEX($E$167:$E$219,MATCH(Paramètres!N38,Paramètres!$G$5:$G$57,0)))+IF(RIGHT(TRIM(Paramètres!O38),3)="Fin",1-$H200,IF(LEFT(TRIM(Paramètres!O38),1)="F",1,0)))))))</f>
        <v/>
      </c>
      <c r="F200" s="19">
        <f>IF($A200="","",E200+$H200-1)</f>
        <v/>
      </c>
      <c r="G200" s="18" t="n"/>
      <c r="H200" s="18">
        <f>IF($A200="","",IF(I200&lt;&gt;"",I200,Paramètres!B38))</f>
        <v/>
      </c>
      <c r="I200" s="18" t="n"/>
    </row>
    <row r="201">
      <c r="A201" s="18">
        <f>IF(ISNUMBER(Dossiers!$D$7),Dossiers!$A$7&amp;" · "&amp;Dossiers!$B$7,"")</f>
        <v/>
      </c>
      <c r="B201" s="18">
        <f>IF($A201="","",Paramètres!G39)</f>
        <v/>
      </c>
      <c r="C201" s="18">
        <f>IF($A201="","",IF(Paramètres!H39="","",Paramètres!H39))</f>
        <v/>
      </c>
      <c r="D201" s="18">
        <f>IF($A201="","",IF(Paramètres!I39="","",Paramètres!I39))</f>
        <v/>
      </c>
      <c r="E201" s="19">
        <f>IF($A201="","",IF(Paramètres!J39&amp;Paramètres!L39&amp;Paramètres!N39="",Dossiers!$D$7,MAX(IF(Paramètres!J39="",0,IF(Paramètres!K39="",NA(),IF(LEFT(TRIM(Paramètres!K39),1)="F",INDEX($F$167:$F$219,MATCH(Paramètres!J39,Paramètres!$G$5:$G$57,0)),INDEX($E$167:$E$219,MATCH(Paramètres!J39,Paramètres!$G$5:$G$57,0)))+IF(RIGHT(TRIM(Paramètres!K39),3)="Fin",1-$H201,IF(LEFT(TRIM(Paramètres!K39),1)="F",1,0)))),IF(Paramètres!L39="",0,IF(Paramètres!M39="",NA(),IF(LEFT(TRIM(Paramètres!M39),1)="F",INDEX($F$167:$F$219,MATCH(Paramètres!L39,Paramètres!$G$5:$G$57,0)),INDEX($E$167:$E$219,MATCH(Paramètres!L39,Paramètres!$G$5:$G$57,0)))+IF(RIGHT(TRIM(Paramètres!M39),3)="Fin",1-$H201,IF(LEFT(TRIM(Paramètres!M39),1)="F",1,0)))),IF(Paramètres!N39="",0,IF(Paramètres!O39="",NA(),IF(LEFT(TRIM(Paramètres!O39),1)="F",INDEX($F$167:$F$219,MATCH(Paramètres!N39,Paramètres!$G$5:$G$57,0)),INDEX($E$167:$E$219,MATCH(Paramètres!N39,Paramètres!$G$5:$G$57,0)))+IF(RIGHT(TRIM(Paramètres!O39),3)="Fin",1-$H201,IF(LEFT(TRIM(Paramètres!O39),1)="F",1,0)))))))</f>
        <v/>
      </c>
      <c r="F201" s="19">
        <f>IF($A201="","",E201+$H201-1)</f>
        <v/>
      </c>
      <c r="G201" s="18" t="n"/>
      <c r="H201" s="18">
        <f>IF($A201="","",IF(I201&lt;&gt;"",I201,Paramètres!B39))</f>
        <v/>
      </c>
      <c r="I201" s="18" t="n"/>
    </row>
    <row r="202">
      <c r="A202" s="18">
        <f>IF(ISNUMBER(Dossiers!$D$7),Dossiers!$A$7&amp;" · "&amp;Dossiers!$B$7,"")</f>
        <v/>
      </c>
      <c r="B202" s="18">
        <f>IF($A202="","",Paramètres!G40)</f>
        <v/>
      </c>
      <c r="C202" s="18">
        <f>IF($A202="","",IF(Paramètres!H40="","",Paramètres!H40))</f>
        <v/>
      </c>
      <c r="D202" s="18">
        <f>IF($A202="","",IF(Paramètres!I40="","",Paramètres!I40))</f>
        <v/>
      </c>
      <c r="E202" s="19">
        <f>IF($A202="","",IF(Paramètres!J40&amp;Paramètres!L40&amp;Paramètres!N40="",Dossiers!$D$7,MAX(IF(Paramètres!J40="",0,IF(Paramètres!K40="",NA(),IF(LEFT(TRIM(Paramètres!K40),1)="F",INDEX($F$167:$F$219,MATCH(Paramètres!J40,Paramètres!$G$5:$G$57,0)),INDEX($E$167:$E$219,MATCH(Paramètres!J40,Paramètres!$G$5:$G$57,0)))+IF(RIGHT(TRIM(Paramètres!K40),3)="Fin",1-$H202,IF(LEFT(TRIM(Paramètres!K40),1)="F",1,0)))),IF(Paramètres!L40="",0,IF(Paramètres!M40="",NA(),IF(LEFT(TRIM(Paramètres!M40),1)="F",INDEX($F$167:$F$219,MATCH(Paramètres!L40,Paramètres!$G$5:$G$57,0)),INDEX($E$167:$E$219,MATCH(Paramètres!L40,Paramètres!$G$5:$G$57,0)))+IF(RIGHT(TRIM(Paramètres!M40),3)="Fin",1-$H202,IF(LEFT(TRIM(Paramètres!M40),1)="F",1,0)))),IF(Paramètres!N40="",0,IF(Paramètres!O40="",NA(),IF(LEFT(TRIM(Paramètres!O40),1)="F",INDEX($F$167:$F$219,MATCH(Paramètres!N40,Paramètres!$G$5:$G$57,0)),INDEX($E$167:$E$219,MATCH(Paramètres!N40,Paramètres!$G$5:$G$57,0)))+IF(RIGHT(TRIM(Paramètres!O40),3)="Fin",1-$H202,IF(LEFT(TRIM(Paramètres!O40),1)="F",1,0)))))))</f>
        <v/>
      </c>
      <c r="F202" s="19">
        <f>IF($A202="","",E202+$H202-1)</f>
        <v/>
      </c>
      <c r="G202" s="18" t="n"/>
      <c r="H202" s="18">
        <f>IF($A202="","",IF(I202&lt;&gt;"",I202,Paramètres!B40))</f>
        <v/>
      </c>
      <c r="I202" s="18" t="n"/>
    </row>
    <row r="203">
      <c r="A203" s="18">
        <f>IF(ISNUMBER(Dossiers!$D$7),Dossiers!$A$7&amp;" · "&amp;Dossiers!$B$7,"")</f>
        <v/>
      </c>
      <c r="B203" s="18">
        <f>IF($A203="","",Paramètres!G41)</f>
        <v/>
      </c>
      <c r="C203" s="18">
        <f>IF($A203="","",IF(Paramètres!H41="","",Paramètres!H41))</f>
        <v/>
      </c>
      <c r="D203" s="18">
        <f>IF($A203="","",IF(Paramètres!I41="","",Paramètres!I41))</f>
        <v/>
      </c>
      <c r="E203" s="19">
        <f>IF($A203="","",IF(Paramètres!J41&amp;Paramètres!L41&amp;Paramètres!N41="",Dossiers!$D$7,MAX(IF(Paramètres!J41="",0,IF(Paramètres!K41="",NA(),IF(LEFT(TRIM(Paramètres!K41),1)="F",INDEX($F$167:$F$219,MATCH(Paramètres!J41,Paramètres!$G$5:$G$57,0)),INDEX($E$167:$E$219,MATCH(Paramètres!J41,Paramètres!$G$5:$G$57,0)))+IF(RIGHT(TRIM(Paramètres!K41),3)="Fin",1-$H203,IF(LEFT(TRIM(Paramètres!K41),1)="F",1,0)))),IF(Paramètres!L41="",0,IF(Paramètres!M41="",NA(),IF(LEFT(TRIM(Paramètres!M41),1)="F",INDEX($F$167:$F$219,MATCH(Paramètres!L41,Paramètres!$G$5:$G$57,0)),INDEX($E$167:$E$219,MATCH(Paramètres!L41,Paramètres!$G$5:$G$57,0)))+IF(RIGHT(TRIM(Paramètres!M41),3)="Fin",1-$H203,IF(LEFT(TRIM(Paramètres!M41),1)="F",1,0)))),IF(Paramètres!N41="",0,IF(Paramètres!O41="",NA(),IF(LEFT(TRIM(Paramètres!O41),1)="F",INDEX($F$167:$F$219,MATCH(Paramètres!N41,Paramètres!$G$5:$G$57,0)),INDEX($E$167:$E$219,MATCH(Paramètres!N41,Paramètres!$G$5:$G$57,0)))+IF(RIGHT(TRIM(Paramètres!O41),3)="Fin",1-$H203,IF(LEFT(TRIM(Paramètres!O41),1)="F",1,0)))))))</f>
        <v/>
      </c>
      <c r="F203" s="19">
        <f>IF($A203="","",E203+$H203-1)</f>
        <v/>
      </c>
      <c r="G203" s="18" t="n"/>
      <c r="H203" s="18">
        <f>IF($A203="","",IF(I203&lt;&gt;"",I203,Paramètres!B41))</f>
        <v/>
      </c>
      <c r="I203" s="18" t="n"/>
    </row>
    <row r="204">
      <c r="A204" s="18">
        <f>IF(ISNUMBER(Dossiers!$D$7),Dossiers!$A$7&amp;" · "&amp;Dossiers!$B$7,"")</f>
        <v/>
      </c>
      <c r="B204" s="18">
        <f>IF($A204="","",Paramètres!G42)</f>
        <v/>
      </c>
      <c r="C204" s="18">
        <f>IF($A204="","",IF(Paramètres!H42="","",Paramètres!H42))</f>
        <v/>
      </c>
      <c r="D204" s="18">
        <f>IF($A204="","",IF(Paramètres!I42="","",Paramètres!I42))</f>
        <v/>
      </c>
      <c r="E204" s="19">
        <f>IF($A204="","",IF(Paramètres!J42&amp;Paramètres!L42&amp;Paramètres!N42="",Dossiers!$D$7,MAX(IF(Paramètres!J42="",0,IF(Paramètres!K42="",NA(),IF(LEFT(TRIM(Paramètres!K42),1)="F",INDEX($F$167:$F$219,MATCH(Paramètres!J42,Paramètres!$G$5:$G$57,0)),INDEX($E$167:$E$219,MATCH(Paramètres!J42,Paramètres!$G$5:$G$57,0)))+IF(RIGHT(TRIM(Paramètres!K42),3)="Fin",1-$H204,IF(LEFT(TRIM(Paramètres!K42),1)="F",1,0)))),IF(Paramètres!L42="",0,IF(Paramètres!M42="",NA(),IF(LEFT(TRIM(Paramètres!M42),1)="F",INDEX($F$167:$F$219,MATCH(Paramètres!L42,Paramètres!$G$5:$G$57,0)),INDEX($E$167:$E$219,MATCH(Paramètres!L42,Paramètres!$G$5:$G$57,0)))+IF(RIGHT(TRIM(Paramètres!M42),3)="Fin",1-$H204,IF(LEFT(TRIM(Paramètres!M42),1)="F",1,0)))),IF(Paramètres!N42="",0,IF(Paramètres!O42="",NA(),IF(LEFT(TRIM(Paramètres!O42),1)="F",INDEX($F$167:$F$219,MATCH(Paramètres!N42,Paramètres!$G$5:$G$57,0)),INDEX($E$167:$E$219,MATCH(Paramètres!N42,Paramètres!$G$5:$G$57,0)))+IF(RIGHT(TRIM(Paramètres!O42),3)="Fin",1-$H204,IF(LEFT(TRIM(Paramètres!O42),1)="F",1,0)))))))</f>
        <v/>
      </c>
      <c r="F204" s="19">
        <f>IF($A204="","",E204+$H204-1)</f>
        <v/>
      </c>
      <c r="G204" s="18" t="n"/>
      <c r="H204" s="18">
        <f>IF($A204="","",IF(I204&lt;&gt;"",I204,Paramètres!B42))</f>
        <v/>
      </c>
      <c r="I204" s="18" t="n"/>
    </row>
    <row r="205">
      <c r="A205" s="18">
        <f>IF(ISNUMBER(Dossiers!$D$7),Dossiers!$A$7&amp;" · "&amp;Dossiers!$B$7,"")</f>
        <v/>
      </c>
      <c r="B205" s="18">
        <f>IF($A205="","",Paramètres!G43)</f>
        <v/>
      </c>
      <c r="C205" s="18">
        <f>IF($A205="","",IF(Paramètres!H43="","",Paramètres!H43))</f>
        <v/>
      </c>
      <c r="D205" s="18">
        <f>IF($A205="","",IF(Paramètres!I43="","",Paramètres!I43))</f>
        <v/>
      </c>
      <c r="E205" s="19">
        <f>IF($A205="","",IF(Paramètres!J43&amp;Paramètres!L43&amp;Paramètres!N43="",Dossiers!$D$7,MAX(IF(Paramètres!J43="",0,IF(Paramètres!K43="",NA(),IF(LEFT(TRIM(Paramètres!K43),1)="F",INDEX($F$167:$F$219,MATCH(Paramètres!J43,Paramètres!$G$5:$G$57,0)),INDEX($E$167:$E$219,MATCH(Paramètres!J43,Paramètres!$G$5:$G$57,0)))+IF(RIGHT(TRIM(Paramètres!K43),3)="Fin",1-$H205,IF(LEFT(TRIM(Paramètres!K43),1)="F",1,0)))),IF(Paramètres!L43="",0,IF(Paramètres!M43="",NA(),IF(LEFT(TRIM(Paramètres!M43),1)="F",INDEX($F$167:$F$219,MATCH(Paramètres!L43,Paramètres!$G$5:$G$57,0)),INDEX($E$167:$E$219,MATCH(Paramètres!L43,Paramètres!$G$5:$G$57,0)))+IF(RIGHT(TRIM(Paramètres!M43),3)="Fin",1-$H205,IF(LEFT(TRIM(Paramètres!M43),1)="F",1,0)))),IF(Paramètres!N43="",0,IF(Paramètres!O43="",NA(),IF(LEFT(TRIM(Paramètres!O43),1)="F",INDEX($F$167:$F$219,MATCH(Paramètres!N43,Paramètres!$G$5:$G$57,0)),INDEX($E$167:$E$219,MATCH(Paramètres!N43,Paramètres!$G$5:$G$57,0)))+IF(RIGHT(TRIM(Paramètres!O43),3)="Fin",1-$H205,IF(LEFT(TRIM(Paramètres!O43),1)="F",1,0)))))))</f>
        <v/>
      </c>
      <c r="F205" s="19">
        <f>IF($A205="","",E205+$H205-1)</f>
        <v/>
      </c>
      <c r="G205" s="18" t="n"/>
      <c r="H205" s="18">
        <f>IF($A205="","",IF(I205&lt;&gt;"",I205,Paramètres!B43))</f>
        <v/>
      </c>
      <c r="I205" s="18" t="n"/>
    </row>
    <row r="206">
      <c r="A206" s="18">
        <f>IF(ISNUMBER(Dossiers!$D$7),Dossiers!$A$7&amp;" · "&amp;Dossiers!$B$7,"")</f>
        <v/>
      </c>
      <c r="B206" s="18">
        <f>IF($A206="","",Paramètres!G44)</f>
        <v/>
      </c>
      <c r="C206" s="18">
        <f>IF($A206="","",IF(Paramètres!H44="","",Paramètres!H44))</f>
        <v/>
      </c>
      <c r="D206" s="18">
        <f>IF($A206="","",IF(Paramètres!I44="","",Paramètres!I44))</f>
        <v/>
      </c>
      <c r="E206" s="19">
        <f>IF($A206="","",IF(Paramètres!J44&amp;Paramètres!L44&amp;Paramètres!N44="",Dossiers!$D$7,MAX(IF(Paramètres!J44="",0,IF(Paramètres!K44="",NA(),IF(LEFT(TRIM(Paramètres!K44),1)="F",INDEX($F$167:$F$219,MATCH(Paramètres!J44,Paramètres!$G$5:$G$57,0)),INDEX($E$167:$E$219,MATCH(Paramètres!J44,Paramètres!$G$5:$G$57,0)))+IF(RIGHT(TRIM(Paramètres!K44),3)="Fin",1-$H206,IF(LEFT(TRIM(Paramètres!K44),1)="F",1,0)))),IF(Paramètres!L44="",0,IF(Paramètres!M44="",NA(),IF(LEFT(TRIM(Paramètres!M44),1)="F",INDEX($F$167:$F$219,MATCH(Paramètres!L44,Paramètres!$G$5:$G$57,0)),INDEX($E$167:$E$219,MATCH(Paramètres!L44,Paramètres!$G$5:$G$57,0)))+IF(RIGHT(TRIM(Paramètres!M44),3)="Fin",1-$H206,IF(LEFT(TRIM(Paramètres!M44),1)="F",1,0)))),IF(Paramètres!N44="",0,IF(Paramètres!O44="",NA(),IF(LEFT(TRIM(Paramètres!O44),1)="F",INDEX($F$167:$F$219,MATCH(Paramètres!N44,Paramètres!$G$5:$G$57,0)),INDEX($E$167:$E$219,MATCH(Paramètres!N44,Paramètres!$G$5:$G$57,0)))+IF(RIGHT(TRIM(Paramètres!O44),3)="Fin",1-$H206,IF(LEFT(TRIM(Paramètres!O44),1)="F",1,0)))))))</f>
        <v/>
      </c>
      <c r="F206" s="19">
        <f>IF($A206="","",E206+$H206-1)</f>
        <v/>
      </c>
      <c r="G206" s="18" t="n"/>
      <c r="H206" s="18">
        <f>IF($A206="","",IF(I206&lt;&gt;"",I206,Paramètres!B44))</f>
        <v/>
      </c>
      <c r="I206" s="18" t="n"/>
    </row>
    <row r="207">
      <c r="A207" s="18">
        <f>IF(ISNUMBER(Dossiers!$D$7),Dossiers!$A$7&amp;" · "&amp;Dossiers!$B$7,"")</f>
        <v/>
      </c>
      <c r="B207" s="18">
        <f>IF($A207="","",Paramètres!G45)</f>
        <v/>
      </c>
      <c r="C207" s="20">
        <f>IF($A207="","",IF(Dossiers!$G$7="","",Dossiers!$G$7))</f>
        <v/>
      </c>
      <c r="D207" s="18">
        <f>IF($A207="","",IF(Paramètres!I45="","",Paramètres!I45))</f>
        <v/>
      </c>
      <c r="E207" s="19">
        <f>IF($A207="","",IF(Paramètres!J45&amp;Paramètres!L45&amp;Paramètres!N45="",Dossiers!$D$7,MAX(IF(Paramètres!J45="",0,IF(Paramètres!K45="",NA(),IF(LEFT(TRIM(Paramètres!K45),1)="F",INDEX($F$167:$F$219,MATCH(Paramètres!J45,Paramètres!$G$5:$G$57,0)),INDEX($E$167:$E$219,MATCH(Paramètres!J45,Paramètres!$G$5:$G$57,0)))+IF(RIGHT(TRIM(Paramètres!K45),3)="Fin",1-$H207,IF(LEFT(TRIM(Paramètres!K45),1)="F",1,0)))),IF(Paramètres!L45="",0,IF(Paramètres!M45="",NA(),IF(LEFT(TRIM(Paramètres!M45),1)="F",INDEX($F$167:$F$219,MATCH(Paramètres!L45,Paramètres!$G$5:$G$57,0)),INDEX($E$167:$E$219,MATCH(Paramètres!L45,Paramètres!$G$5:$G$57,0)))+IF(RIGHT(TRIM(Paramètres!M45),3)="Fin",1-$H207,IF(LEFT(TRIM(Paramètres!M45),1)="F",1,0)))),IF(Paramètres!N45="",0,IF(Paramètres!O45="",NA(),IF(LEFT(TRIM(Paramètres!O45),1)="F",INDEX($F$167:$F$219,MATCH(Paramètres!N45,Paramètres!$G$5:$G$57,0)),INDEX($E$167:$E$219,MATCH(Paramètres!N45,Paramètres!$G$5:$G$57,0)))+IF(RIGHT(TRIM(Paramètres!O45),3)="Fin",1-$H207,IF(LEFT(TRIM(Paramètres!O45),1)="F",1,0)))))))</f>
        <v/>
      </c>
      <c r="F207" s="19">
        <f>IF($A207="","",E207+$H207-1)</f>
        <v/>
      </c>
      <c r="G207" s="18" t="n"/>
      <c r="H207" s="18">
        <f>IF($A207="","",IF(I207&lt;&gt;"",I207,Paramètres!B45))</f>
        <v/>
      </c>
      <c r="I207" s="18" t="n"/>
    </row>
    <row r="208">
      <c r="A208" s="18">
        <f>IF(ISNUMBER(Dossiers!$D$7),Dossiers!$A$7&amp;" · "&amp;Dossiers!$B$7,"")</f>
        <v/>
      </c>
      <c r="B208" s="18">
        <f>IF($A208="","",Paramètres!G46)</f>
        <v/>
      </c>
      <c r="C208" s="18">
        <f>IF($A208="","",IF(Paramètres!H46="","",Paramètres!H46))</f>
        <v/>
      </c>
      <c r="D208" s="18">
        <f>IF($A208="","",IF(Paramètres!I46="","",Paramètres!I46))</f>
        <v/>
      </c>
      <c r="E208" s="19">
        <f>IF($A208="","",IF(Paramètres!J46&amp;Paramètres!L46&amp;Paramètres!N46="",Dossiers!$D$7,MAX(IF(Paramètres!J46="",0,IF(Paramètres!K46="",NA(),IF(LEFT(TRIM(Paramètres!K46),1)="F",INDEX($F$167:$F$219,MATCH(Paramètres!J46,Paramètres!$G$5:$G$57,0)),INDEX($E$167:$E$219,MATCH(Paramètres!J46,Paramètres!$G$5:$G$57,0)))+IF(RIGHT(TRIM(Paramètres!K46),3)="Fin",1-$H208,IF(LEFT(TRIM(Paramètres!K46),1)="F",1,0)))),IF(Paramètres!L46="",0,IF(Paramètres!M46="",NA(),IF(LEFT(TRIM(Paramètres!M46),1)="F",INDEX($F$167:$F$219,MATCH(Paramètres!L46,Paramètres!$G$5:$G$57,0)),INDEX($E$167:$E$219,MATCH(Paramètres!L46,Paramètres!$G$5:$G$57,0)))+IF(RIGHT(TRIM(Paramètres!M46),3)="Fin",1-$H208,IF(LEFT(TRIM(Paramètres!M46),1)="F",1,0)))),IF(Paramètres!N46="",0,IF(Paramètres!O46="",NA(),IF(LEFT(TRIM(Paramètres!O46),1)="F",INDEX($F$167:$F$219,MATCH(Paramètres!N46,Paramètres!$G$5:$G$57,0)),INDEX($E$167:$E$219,MATCH(Paramètres!N46,Paramètres!$G$5:$G$57,0)))+IF(RIGHT(TRIM(Paramètres!O46),3)="Fin",1-$H208,IF(LEFT(TRIM(Paramètres!O46),1)="F",1,0)))))))</f>
        <v/>
      </c>
      <c r="F208" s="19">
        <f>IF($A208="","",E208+$H208-1)</f>
        <v/>
      </c>
      <c r="G208" s="18" t="n"/>
      <c r="H208" s="18">
        <f>IF($A208="","",IF(I208&lt;&gt;"",I208,Paramètres!B46))</f>
        <v/>
      </c>
      <c r="I208" s="18" t="n"/>
    </row>
    <row r="209">
      <c r="A209" s="18">
        <f>IF(ISNUMBER(Dossiers!$D$7),Dossiers!$A$7&amp;" · "&amp;Dossiers!$B$7,"")</f>
        <v/>
      </c>
      <c r="B209" s="18">
        <f>IF($A209="","",Paramètres!G47)</f>
        <v/>
      </c>
      <c r="C209" s="18">
        <f>IF($A209="","",IF(Paramètres!H47="","",Paramètres!H47))</f>
        <v/>
      </c>
      <c r="D209" s="18">
        <f>IF($A209="","",IF(Paramètres!I47="","",Paramètres!I47))</f>
        <v/>
      </c>
      <c r="E209" s="19">
        <f>IF($A209="","",IF(Paramètres!J47&amp;Paramètres!L47&amp;Paramètres!N47="",Dossiers!$D$7,MAX(IF(Paramètres!J47="",0,IF(Paramètres!K47="",NA(),IF(LEFT(TRIM(Paramètres!K47),1)="F",INDEX($F$167:$F$219,MATCH(Paramètres!J47,Paramètres!$G$5:$G$57,0)),INDEX($E$167:$E$219,MATCH(Paramètres!J47,Paramètres!$G$5:$G$57,0)))+IF(RIGHT(TRIM(Paramètres!K47),3)="Fin",1-$H209,IF(LEFT(TRIM(Paramètres!K47),1)="F",1,0)))),IF(Paramètres!L47="",0,IF(Paramètres!M47="",NA(),IF(LEFT(TRIM(Paramètres!M47),1)="F",INDEX($F$167:$F$219,MATCH(Paramètres!L47,Paramètres!$G$5:$G$57,0)),INDEX($E$167:$E$219,MATCH(Paramètres!L47,Paramètres!$G$5:$G$57,0)))+IF(RIGHT(TRIM(Paramètres!M47),3)="Fin",1-$H209,IF(LEFT(TRIM(Paramètres!M47),1)="F",1,0)))),IF(Paramètres!N47="",0,IF(Paramètres!O47="",NA(),IF(LEFT(TRIM(Paramètres!O47),1)="F",INDEX($F$167:$F$219,MATCH(Paramètres!N47,Paramètres!$G$5:$G$57,0)),INDEX($E$167:$E$219,MATCH(Paramètres!N47,Paramètres!$G$5:$G$57,0)))+IF(RIGHT(TRIM(Paramètres!O47),3)="Fin",1-$H209,IF(LEFT(TRIM(Paramètres!O47),1)="F",1,0)))))))</f>
        <v/>
      </c>
      <c r="F209" s="19">
        <f>IF($A209="","",E209+$H209-1)</f>
        <v/>
      </c>
      <c r="G209" s="18" t="n"/>
      <c r="H209" s="18">
        <f>IF($A209="","",IF(I209&lt;&gt;"",I209,Paramètres!B47))</f>
        <v/>
      </c>
      <c r="I209" s="18" t="n"/>
    </row>
    <row r="210">
      <c r="A210" s="18">
        <f>IF(ISNUMBER(Dossiers!$D$7),Dossiers!$A$7&amp;" · "&amp;Dossiers!$B$7,"")</f>
        <v/>
      </c>
      <c r="B210" s="18">
        <f>IF($A210="","",Paramètres!G48)</f>
        <v/>
      </c>
      <c r="C210" s="18">
        <f>IF($A210="","",IF(Paramètres!H48="","",Paramètres!H48))</f>
        <v/>
      </c>
      <c r="D210" s="18">
        <f>IF($A210="","",IF(Paramètres!I48="","",Paramètres!I48))</f>
        <v/>
      </c>
      <c r="E210" s="19">
        <f>IF($A210="","",IF(Paramètres!J48&amp;Paramètres!L48&amp;Paramètres!N48="",Dossiers!$D$7,MAX(IF(Paramètres!J48="",0,IF(Paramètres!K48="",NA(),IF(LEFT(TRIM(Paramètres!K48),1)="F",INDEX($F$167:$F$219,MATCH(Paramètres!J48,Paramètres!$G$5:$G$57,0)),INDEX($E$167:$E$219,MATCH(Paramètres!J48,Paramètres!$G$5:$G$57,0)))+IF(RIGHT(TRIM(Paramètres!K48),3)="Fin",1-$H210,IF(LEFT(TRIM(Paramètres!K48),1)="F",1,0)))),IF(Paramètres!L48="",0,IF(Paramètres!M48="",NA(),IF(LEFT(TRIM(Paramètres!M48),1)="F",INDEX($F$167:$F$219,MATCH(Paramètres!L48,Paramètres!$G$5:$G$57,0)),INDEX($E$167:$E$219,MATCH(Paramètres!L48,Paramètres!$G$5:$G$57,0)))+IF(RIGHT(TRIM(Paramètres!M48),3)="Fin",1-$H210,IF(LEFT(TRIM(Paramètres!M48),1)="F",1,0)))),IF(Paramètres!N48="",0,IF(Paramètres!O48="",NA(),IF(LEFT(TRIM(Paramètres!O48),1)="F",INDEX($F$167:$F$219,MATCH(Paramètres!N48,Paramètres!$G$5:$G$57,0)),INDEX($E$167:$E$219,MATCH(Paramètres!N48,Paramètres!$G$5:$G$57,0)))+IF(RIGHT(TRIM(Paramètres!O48),3)="Fin",1-$H210,IF(LEFT(TRIM(Paramètres!O48),1)="F",1,0)))))))</f>
        <v/>
      </c>
      <c r="F210" s="19">
        <f>IF($A210="","",E210+$H210-1)</f>
        <v/>
      </c>
      <c r="G210" s="18" t="n"/>
      <c r="H210" s="18">
        <f>IF($A210="","",IF(I210&lt;&gt;"",I210,Paramètres!B48))</f>
        <v/>
      </c>
      <c r="I210" s="18" t="n"/>
    </row>
    <row r="211">
      <c r="A211" s="18">
        <f>IF(ISNUMBER(Dossiers!$D$7),Dossiers!$A$7&amp;" · "&amp;Dossiers!$B$7,"")</f>
        <v/>
      </c>
      <c r="B211" s="18">
        <f>IF($A211="","",Paramètres!G49)</f>
        <v/>
      </c>
      <c r="C211" s="18">
        <f>IF($A211="","",IF(Paramètres!H49="","",Paramètres!H49))</f>
        <v/>
      </c>
      <c r="D211" s="18">
        <f>IF($A211="","",IF(Paramètres!I49="","",Paramètres!I49))</f>
        <v/>
      </c>
      <c r="E211" s="19">
        <f>IF($A211="","",IF(Paramètres!J49&amp;Paramètres!L49&amp;Paramètres!N49="",Dossiers!$D$7,MAX(IF(Paramètres!J49="",0,IF(Paramètres!K49="",NA(),IF(LEFT(TRIM(Paramètres!K49),1)="F",INDEX($F$167:$F$219,MATCH(Paramètres!J49,Paramètres!$G$5:$G$57,0)),INDEX($E$167:$E$219,MATCH(Paramètres!J49,Paramètres!$G$5:$G$57,0)))+IF(RIGHT(TRIM(Paramètres!K49),3)="Fin",1-$H211,IF(LEFT(TRIM(Paramètres!K49),1)="F",1,0)))),IF(Paramètres!L49="",0,IF(Paramètres!M49="",NA(),IF(LEFT(TRIM(Paramètres!M49),1)="F",INDEX($F$167:$F$219,MATCH(Paramètres!L49,Paramètres!$G$5:$G$57,0)),INDEX($E$167:$E$219,MATCH(Paramètres!L49,Paramètres!$G$5:$G$57,0)))+IF(RIGHT(TRIM(Paramètres!M49),3)="Fin",1-$H211,IF(LEFT(TRIM(Paramètres!M49),1)="F",1,0)))),IF(Paramètres!N49="",0,IF(Paramètres!O49="",NA(),IF(LEFT(TRIM(Paramètres!O49),1)="F",INDEX($F$167:$F$219,MATCH(Paramètres!N49,Paramètres!$G$5:$G$57,0)),INDEX($E$167:$E$219,MATCH(Paramètres!N49,Paramètres!$G$5:$G$57,0)))+IF(RIGHT(TRIM(Paramètres!O49),3)="Fin",1-$H211,IF(LEFT(TRIM(Paramètres!O49),1)="F",1,0)))))))</f>
        <v/>
      </c>
      <c r="F211" s="19">
        <f>IF($A211="","",E211+$H211-1)</f>
        <v/>
      </c>
      <c r="G211" s="18" t="n"/>
      <c r="H211" s="18">
        <f>IF($A211="","",IF(I211&lt;&gt;"",I211,Paramètres!B49))</f>
        <v/>
      </c>
      <c r="I211" s="18" t="n"/>
    </row>
    <row r="212">
      <c r="A212" s="18">
        <f>IF(ISNUMBER(Dossiers!$D$7),Dossiers!$A$7&amp;" · "&amp;Dossiers!$B$7,"")</f>
        <v/>
      </c>
      <c r="B212" s="18">
        <f>IF($A212="","",Paramètres!G50)</f>
        <v/>
      </c>
      <c r="C212" s="18">
        <f>IF($A212="","",IF(Paramètres!H50="","",Paramètres!H50))</f>
        <v/>
      </c>
      <c r="D212" s="18">
        <f>IF($A212="","",IF(Paramètres!I50="","",Paramètres!I50))</f>
        <v/>
      </c>
      <c r="E212" s="19">
        <f>IF($A212="","",IF(Paramètres!J50&amp;Paramètres!L50&amp;Paramètres!N50="",Dossiers!$D$7,MAX(IF(Paramètres!J50="",0,IF(Paramètres!K50="",NA(),IF(LEFT(TRIM(Paramètres!K50),1)="F",INDEX($F$167:$F$219,MATCH(Paramètres!J50,Paramètres!$G$5:$G$57,0)),INDEX($E$167:$E$219,MATCH(Paramètres!J50,Paramètres!$G$5:$G$57,0)))+IF(RIGHT(TRIM(Paramètres!K50),3)="Fin",1-$H212,IF(LEFT(TRIM(Paramètres!K50),1)="F",1,0)))),IF(Paramètres!L50="",0,IF(Paramètres!M50="",NA(),IF(LEFT(TRIM(Paramètres!M50),1)="F",INDEX($F$167:$F$219,MATCH(Paramètres!L50,Paramètres!$G$5:$G$57,0)),INDEX($E$167:$E$219,MATCH(Paramètres!L50,Paramètres!$G$5:$G$57,0)))+IF(RIGHT(TRIM(Paramètres!M50),3)="Fin",1-$H212,IF(LEFT(TRIM(Paramètres!M50),1)="F",1,0)))),IF(Paramètres!N50="",0,IF(Paramètres!O50="",NA(),IF(LEFT(TRIM(Paramètres!O50),1)="F",INDEX($F$167:$F$219,MATCH(Paramètres!N50,Paramètres!$G$5:$G$57,0)),INDEX($E$167:$E$219,MATCH(Paramètres!N50,Paramètres!$G$5:$G$57,0)))+IF(RIGHT(TRIM(Paramètres!O50),3)="Fin",1-$H212,IF(LEFT(TRIM(Paramètres!O50),1)="F",1,0)))))))</f>
        <v/>
      </c>
      <c r="F212" s="19">
        <f>IF($A212="","",E212+$H212-1)</f>
        <v/>
      </c>
      <c r="G212" s="18" t="n"/>
      <c r="H212" s="18">
        <f>IF($A212="","",IF(I212&lt;&gt;"",I212,Paramètres!B50))</f>
        <v/>
      </c>
      <c r="I212" s="18" t="n"/>
    </row>
    <row r="213">
      <c r="A213" s="18">
        <f>IF(ISNUMBER(Dossiers!$D$7),Dossiers!$A$7&amp;" · "&amp;Dossiers!$B$7,"")</f>
        <v/>
      </c>
      <c r="B213" s="18">
        <f>IF($A213="","",Paramètres!G51)</f>
        <v/>
      </c>
      <c r="C213" s="18">
        <f>IF($A213="","",IF(Paramètres!H51="","",Paramètres!H51))</f>
        <v/>
      </c>
      <c r="D213" s="18">
        <f>IF($A213="","",IF(Paramètres!I51="","",Paramètres!I51))</f>
        <v/>
      </c>
      <c r="E213" s="19">
        <f>IF($A213="","",IF(Paramètres!J51&amp;Paramètres!L51&amp;Paramètres!N51="",Dossiers!$D$7,MAX(IF(Paramètres!J51="",0,IF(Paramètres!K51="",NA(),IF(LEFT(TRIM(Paramètres!K51),1)="F",INDEX($F$167:$F$219,MATCH(Paramètres!J51,Paramètres!$G$5:$G$57,0)),INDEX($E$167:$E$219,MATCH(Paramètres!J51,Paramètres!$G$5:$G$57,0)))+IF(RIGHT(TRIM(Paramètres!K51),3)="Fin",1-$H213,IF(LEFT(TRIM(Paramètres!K51),1)="F",1,0)))),IF(Paramètres!L51="",0,IF(Paramètres!M51="",NA(),IF(LEFT(TRIM(Paramètres!M51),1)="F",INDEX($F$167:$F$219,MATCH(Paramètres!L51,Paramètres!$G$5:$G$57,0)),INDEX($E$167:$E$219,MATCH(Paramètres!L51,Paramètres!$G$5:$G$57,0)))+IF(RIGHT(TRIM(Paramètres!M51),3)="Fin",1-$H213,IF(LEFT(TRIM(Paramètres!M51),1)="F",1,0)))),IF(Paramètres!N51="",0,IF(Paramètres!O51="",NA(),IF(LEFT(TRIM(Paramètres!O51),1)="F",INDEX($F$167:$F$219,MATCH(Paramètres!N51,Paramètres!$G$5:$G$57,0)),INDEX($E$167:$E$219,MATCH(Paramètres!N51,Paramètres!$G$5:$G$57,0)))+IF(RIGHT(TRIM(Paramètres!O51),3)="Fin",1-$H213,IF(LEFT(TRIM(Paramètres!O51),1)="F",1,0)))))))</f>
        <v/>
      </c>
      <c r="F213" s="19">
        <f>IF($A213="","",E213+$H213-1)</f>
        <v/>
      </c>
      <c r="G213" s="18" t="n"/>
      <c r="H213" s="18">
        <f>IF($A213="","",IF(I213&lt;&gt;"",I213,Paramètres!B51))</f>
        <v/>
      </c>
      <c r="I213" s="18" t="n"/>
    </row>
    <row r="214">
      <c r="A214" s="18">
        <f>IF(ISNUMBER(Dossiers!$D$7),Dossiers!$A$7&amp;" · "&amp;Dossiers!$B$7,"")</f>
        <v/>
      </c>
      <c r="B214" s="18">
        <f>IF($A214="","",Paramètres!G52)</f>
        <v/>
      </c>
      <c r="C214" s="18">
        <f>IF($A214="","",IF(Paramètres!H52="","",Paramètres!H52))</f>
        <v/>
      </c>
      <c r="D214" s="18">
        <f>IF($A214="","",IF(Paramètres!I52="","",Paramètres!I52))</f>
        <v/>
      </c>
      <c r="E214" s="19">
        <f>IF($A214="","",IF(Paramètres!J52&amp;Paramètres!L52&amp;Paramètres!N52="",Dossiers!$D$7,MAX(IF(Paramètres!J52="",0,IF(Paramètres!K52="",NA(),IF(LEFT(TRIM(Paramètres!K52),1)="F",INDEX($F$167:$F$219,MATCH(Paramètres!J52,Paramètres!$G$5:$G$57,0)),INDEX($E$167:$E$219,MATCH(Paramètres!J52,Paramètres!$G$5:$G$57,0)))+IF(RIGHT(TRIM(Paramètres!K52),3)="Fin",1-$H214,IF(LEFT(TRIM(Paramètres!K52),1)="F",1,0)))),IF(Paramètres!L52="",0,IF(Paramètres!M52="",NA(),IF(LEFT(TRIM(Paramètres!M52),1)="F",INDEX($F$167:$F$219,MATCH(Paramètres!L52,Paramètres!$G$5:$G$57,0)),INDEX($E$167:$E$219,MATCH(Paramètres!L52,Paramètres!$G$5:$G$57,0)))+IF(RIGHT(TRIM(Paramètres!M52),3)="Fin",1-$H214,IF(LEFT(TRIM(Paramètres!M52),1)="F",1,0)))),IF(Paramètres!N52="",0,IF(Paramètres!O52="",NA(),IF(LEFT(TRIM(Paramètres!O52),1)="F",INDEX($F$167:$F$219,MATCH(Paramètres!N52,Paramètres!$G$5:$G$57,0)),INDEX($E$167:$E$219,MATCH(Paramètres!N52,Paramètres!$G$5:$G$57,0)))+IF(RIGHT(TRIM(Paramètres!O52),3)="Fin",1-$H214,IF(LEFT(TRIM(Paramètres!O52),1)="F",1,0)))))))</f>
        <v/>
      </c>
      <c r="F214" s="19">
        <f>IF($A214="","",E214+$H214-1)</f>
        <v/>
      </c>
      <c r="G214" s="18" t="n"/>
      <c r="H214" s="18">
        <f>IF($A214="","",IF(I214&lt;&gt;"",I214,Paramètres!B52))</f>
        <v/>
      </c>
      <c r="I214" s="18" t="n"/>
    </row>
    <row r="215">
      <c r="A215" s="18">
        <f>IF(ISNUMBER(Dossiers!$D$7),Dossiers!$A$7&amp;" · "&amp;Dossiers!$B$7,"")</f>
        <v/>
      </c>
      <c r="B215" s="18">
        <f>IF($A215="","",Paramètres!G53)</f>
        <v/>
      </c>
      <c r="C215" s="18">
        <f>IF($A215="","",IF(Paramètres!H53="","",Paramètres!H53))</f>
        <v/>
      </c>
      <c r="D215" s="18">
        <f>IF($A215="","",IF(Paramètres!I53="","",Paramètres!I53))</f>
        <v/>
      </c>
      <c r="E215" s="19">
        <f>IF($A215="","",IF(Paramètres!J53&amp;Paramètres!L53&amp;Paramètres!N53="",Dossiers!$D$7,MAX(IF(Paramètres!J53="",0,IF(Paramètres!K53="",NA(),IF(LEFT(TRIM(Paramètres!K53),1)="F",INDEX($F$167:$F$219,MATCH(Paramètres!J53,Paramètres!$G$5:$G$57,0)),INDEX($E$167:$E$219,MATCH(Paramètres!J53,Paramètres!$G$5:$G$57,0)))+IF(RIGHT(TRIM(Paramètres!K53),3)="Fin",1-$H215,IF(LEFT(TRIM(Paramètres!K53),1)="F",1,0)))),IF(Paramètres!L53="",0,IF(Paramètres!M53="",NA(),IF(LEFT(TRIM(Paramètres!M53),1)="F",INDEX($F$167:$F$219,MATCH(Paramètres!L53,Paramètres!$G$5:$G$57,0)),INDEX($E$167:$E$219,MATCH(Paramètres!L53,Paramètres!$G$5:$G$57,0)))+IF(RIGHT(TRIM(Paramètres!M53),3)="Fin",1-$H215,IF(LEFT(TRIM(Paramètres!M53),1)="F",1,0)))),IF(Paramètres!N53="",0,IF(Paramètres!O53="",NA(),IF(LEFT(TRIM(Paramètres!O53),1)="F",INDEX($F$167:$F$219,MATCH(Paramètres!N53,Paramètres!$G$5:$G$57,0)),INDEX($E$167:$E$219,MATCH(Paramètres!N53,Paramètres!$G$5:$G$57,0)))+IF(RIGHT(TRIM(Paramètres!O53),3)="Fin",1-$H215,IF(LEFT(TRIM(Paramètres!O53),1)="F",1,0)))))))</f>
        <v/>
      </c>
      <c r="F215" s="19">
        <f>IF($A215="","",E215+$H215-1)</f>
        <v/>
      </c>
      <c r="G215" s="18" t="n"/>
      <c r="H215" s="18">
        <f>IF($A215="","",IF(I215&lt;&gt;"",I215,Paramètres!B53))</f>
        <v/>
      </c>
      <c r="I215" s="18" t="n"/>
    </row>
    <row r="216">
      <c r="A216" s="18">
        <f>IF(ISNUMBER(Dossiers!$D$7),Dossiers!$A$7&amp;" · "&amp;Dossiers!$B$7,"")</f>
        <v/>
      </c>
      <c r="B216" s="18">
        <f>IF($A216="","",Paramètres!G54)</f>
        <v/>
      </c>
      <c r="C216" s="18">
        <f>IF($A216="","",IF(Paramètres!H54="","",Paramètres!H54))</f>
        <v/>
      </c>
      <c r="D216" s="18">
        <f>IF($A216="","",IF(Paramètres!I54="","",Paramètres!I54))</f>
        <v/>
      </c>
      <c r="E216" s="19">
        <f>IF($A216="","",IF(Paramètres!J54&amp;Paramètres!L54&amp;Paramètres!N54="",Dossiers!$D$7,MAX(IF(Paramètres!J54="",0,IF(Paramètres!K54="",NA(),IF(LEFT(TRIM(Paramètres!K54),1)="F",INDEX($F$167:$F$219,MATCH(Paramètres!J54,Paramètres!$G$5:$G$57,0)),INDEX($E$167:$E$219,MATCH(Paramètres!J54,Paramètres!$G$5:$G$57,0)))+IF(RIGHT(TRIM(Paramètres!K54),3)="Fin",1-$H216,IF(LEFT(TRIM(Paramètres!K54),1)="F",1,0)))),IF(Paramètres!L54="",0,IF(Paramètres!M54="",NA(),IF(LEFT(TRIM(Paramètres!M54),1)="F",INDEX($F$167:$F$219,MATCH(Paramètres!L54,Paramètres!$G$5:$G$57,0)),INDEX($E$167:$E$219,MATCH(Paramètres!L54,Paramètres!$G$5:$G$57,0)))+IF(RIGHT(TRIM(Paramètres!M54),3)="Fin",1-$H216,IF(LEFT(TRIM(Paramètres!M54),1)="F",1,0)))),IF(Paramètres!N54="",0,IF(Paramètres!O54="",NA(),IF(LEFT(TRIM(Paramètres!O54),1)="F",INDEX($F$167:$F$219,MATCH(Paramètres!N54,Paramètres!$G$5:$G$57,0)),INDEX($E$167:$E$219,MATCH(Paramètres!N54,Paramètres!$G$5:$G$57,0)))+IF(RIGHT(TRIM(Paramètres!O54),3)="Fin",1-$H216,IF(LEFT(TRIM(Paramètres!O54),1)="F",1,0)))))))</f>
        <v/>
      </c>
      <c r="F216" s="19">
        <f>IF($A216="","",E216+$H216-1)</f>
        <v/>
      </c>
      <c r="G216" s="18" t="n"/>
      <c r="H216" s="18">
        <f>IF($A216="","",IF(I216&lt;&gt;"",I216,Paramètres!B54))</f>
        <v/>
      </c>
      <c r="I216" s="18" t="n"/>
    </row>
    <row r="217">
      <c r="A217" s="18">
        <f>IF(ISNUMBER(Dossiers!$D$7),Dossiers!$A$7&amp;" · "&amp;Dossiers!$B$7,"")</f>
        <v/>
      </c>
      <c r="B217" s="18">
        <f>IF($A217="","",Paramètres!G55)</f>
        <v/>
      </c>
      <c r="C217" s="18">
        <f>IF($A217="","",IF(Paramètres!H55="","",Paramètres!H55))</f>
        <v/>
      </c>
      <c r="D217" s="18">
        <f>IF($A217="","",IF(Paramètres!I55="","",Paramètres!I55))</f>
        <v/>
      </c>
      <c r="E217" s="19">
        <f>IF($A217="","",IF(Paramètres!J55&amp;Paramètres!L55&amp;Paramètres!N55="",Dossiers!$D$7,MAX(IF(Paramètres!J55="",0,IF(Paramètres!K55="",NA(),IF(LEFT(TRIM(Paramètres!K55),1)="F",INDEX($F$167:$F$219,MATCH(Paramètres!J55,Paramètres!$G$5:$G$57,0)),INDEX($E$167:$E$219,MATCH(Paramètres!J55,Paramètres!$G$5:$G$57,0)))+IF(RIGHT(TRIM(Paramètres!K55),3)="Fin",1-$H217,IF(LEFT(TRIM(Paramètres!K55),1)="F",1,0)))),IF(Paramètres!L55="",0,IF(Paramètres!M55="",NA(),IF(LEFT(TRIM(Paramètres!M55),1)="F",INDEX($F$167:$F$219,MATCH(Paramètres!L55,Paramètres!$G$5:$G$57,0)),INDEX($E$167:$E$219,MATCH(Paramètres!L55,Paramètres!$G$5:$G$57,0)))+IF(RIGHT(TRIM(Paramètres!M55),3)="Fin",1-$H217,IF(LEFT(TRIM(Paramètres!M55),1)="F",1,0)))),IF(Paramètres!N55="",0,IF(Paramètres!O55="",NA(),IF(LEFT(TRIM(Paramètres!O55),1)="F",INDEX($F$167:$F$219,MATCH(Paramètres!N55,Paramètres!$G$5:$G$57,0)),INDEX($E$167:$E$219,MATCH(Paramètres!N55,Paramètres!$G$5:$G$57,0)))+IF(RIGHT(TRIM(Paramètres!O55),3)="Fin",1-$H217,IF(LEFT(TRIM(Paramètres!O55),1)="F",1,0)))))))</f>
        <v/>
      </c>
      <c r="F217" s="19">
        <f>IF($A217="","",E217+$H217-1)</f>
        <v/>
      </c>
      <c r="G217" s="18" t="n"/>
      <c r="H217" s="18">
        <f>IF($A217="","",IF(I217&lt;&gt;"",I217,Paramètres!B55))</f>
        <v/>
      </c>
      <c r="I217" s="18" t="n"/>
    </row>
    <row r="218">
      <c r="A218" s="18">
        <f>IF(ISNUMBER(Dossiers!$D$7),Dossiers!$A$7&amp;" · "&amp;Dossiers!$B$7,"")</f>
        <v/>
      </c>
      <c r="B218" s="18">
        <f>IF($A218="","",Paramètres!G56)</f>
        <v/>
      </c>
      <c r="C218" s="18">
        <f>IF($A218="","",IF(Paramètres!H56="","",Paramètres!H56))</f>
        <v/>
      </c>
      <c r="D218" s="18">
        <f>IF($A218="","",IF(Paramètres!I56="","",Paramètres!I56))</f>
        <v/>
      </c>
      <c r="E218" s="19">
        <f>IF($A218="","",MIN(E219:E219))</f>
        <v/>
      </c>
      <c r="F218" s="19">
        <f>IF($A218="","",MAX(F219:F219))</f>
        <v/>
      </c>
      <c r="G218" s="18" t="n"/>
      <c r="H218" s="18">
        <f>IF($A218="","",F218-E218+1)</f>
        <v/>
      </c>
      <c r="I218" s="18" t="n"/>
    </row>
    <row r="219">
      <c r="A219" s="18">
        <f>IF(ISNUMBER(Dossiers!$D$7),Dossiers!$A$7&amp;" · "&amp;Dossiers!$B$7,"")</f>
        <v/>
      </c>
      <c r="B219" s="18">
        <f>IF($A219="","",Paramètres!G57)</f>
        <v/>
      </c>
      <c r="C219" s="18">
        <f>IF($A219="","",IF(Paramètres!H57="","",Paramètres!H57))</f>
        <v/>
      </c>
      <c r="D219" s="18">
        <f>IF($A219="","",IF(Paramètres!I57="","",Paramètres!I57))</f>
        <v/>
      </c>
      <c r="E219" s="19">
        <f>IF($A219="","",IF(Paramètres!J57&amp;Paramètres!L57&amp;Paramètres!N57="",Dossiers!$D$7,MAX(IF(Paramètres!J57="",0,IF(Paramètres!K57="",NA(),IF(LEFT(TRIM(Paramètres!K57),1)="F",INDEX($F$167:$F$219,MATCH(Paramètres!J57,Paramètres!$G$5:$G$57,0)),INDEX($E$167:$E$219,MATCH(Paramètres!J57,Paramètres!$G$5:$G$57,0)))+IF(RIGHT(TRIM(Paramètres!K57),3)="Fin",1-$H219,IF(LEFT(TRIM(Paramètres!K57),1)="F",1,0)))),IF(Paramètres!L57="",0,IF(Paramètres!M57="",NA(),IF(LEFT(TRIM(Paramètres!M57),1)="F",INDEX($F$167:$F$219,MATCH(Paramètres!L57,Paramètres!$G$5:$G$57,0)),INDEX($E$167:$E$219,MATCH(Paramètres!L57,Paramètres!$G$5:$G$57,0)))+IF(RIGHT(TRIM(Paramètres!M57),3)="Fin",1-$H219,IF(LEFT(TRIM(Paramètres!M57),1)="F",1,0)))),IF(Paramètres!N57="",0,IF(Paramètres!O57="",NA(),IF(LEFT(TRIM(Paramètres!O57),1)="F",INDEX($F$167:$F$219,MATCH(Paramètres!N57,Paramètres!$G$5:$G$57,0)),INDEX($E$167:$E$219,MATCH(Paramètres!N57,Paramètres!$G$5:$G$57,0)))+IF(RIGHT(TRIM(Paramètres!O57),3)="Fin",1-$H219,IF(LEFT(TRIM(Paramètres!O57),1)="F",1,0)))))))</f>
        <v/>
      </c>
      <c r="F219" s="19">
        <f>IF($A219="","",E219+$H219-1)</f>
        <v/>
      </c>
      <c r="G219" s="18" t="n"/>
      <c r="H219" s="18">
        <f>IF($A219="","",IF(I219&lt;&gt;"",I219,Paramètres!B57))</f>
        <v/>
      </c>
      <c r="I219" s="18" t="n"/>
    </row>
    <row r="220">
      <c r="A220" s="16">
        <f>IF(ISNUMBER(Dossiers!$D$8),Dossiers!$E$8,"")</f>
        <v/>
      </c>
      <c r="B220" s="16">
        <f>IF($A220="","","Identifiant")</f>
        <v/>
      </c>
      <c r="C220" s="16">
        <f>IF($A220="","","Macro Etape")</f>
        <v/>
      </c>
      <c r="D220" s="16">
        <f>IF($A220="","","Etape")</f>
        <v/>
      </c>
      <c r="E220" s="17">
        <f>IF($A220="","","Début le")</f>
        <v/>
      </c>
      <c r="F220" s="17">
        <f>IF($A220="","","Fin prévue le")</f>
        <v/>
      </c>
      <c r="G220" s="16">
        <f>IF($A220="","","Statut")</f>
        <v/>
      </c>
      <c r="H220" s="16">
        <f>IF($A220="","","Durée (jours)")</f>
        <v/>
      </c>
      <c r="I220" s="16">
        <f>IF($A220="","","Durée particulière")</f>
        <v/>
      </c>
      <c r="J220" s="10">
        <f>IF($A220="","",HYPERLINK("#'Tableau de bord'!A1","↑ Tableau de bord"))</f>
        <v/>
      </c>
    </row>
    <row r="221">
      <c r="A221" s="18">
        <f>IF(ISNUMBER(Dossiers!$D$8),Dossiers!$A$8&amp;" · "&amp;Dossiers!$B$8,"")</f>
        <v/>
      </c>
      <c r="B221" s="18">
        <f>IF($A221="","",Paramètres!G5)</f>
        <v/>
      </c>
      <c r="C221" s="18">
        <f>IF($A221="","",IF(Paramètres!H5="","",Paramètres!H5))</f>
        <v/>
      </c>
      <c r="D221" s="18">
        <f>IF($A221="","",IF(Paramètres!I5="","",Paramètres!I5))</f>
        <v/>
      </c>
      <c r="E221" s="19">
        <f>IF($A221="","",MIN(E222:E225))</f>
        <v/>
      </c>
      <c r="F221" s="19">
        <f>IF($A221="","",MAX(F222:F225))</f>
        <v/>
      </c>
      <c r="G221" s="18" t="n"/>
      <c r="H221" s="18">
        <f>IF($A221="","",F221-E221+1)</f>
        <v/>
      </c>
      <c r="I221" s="18" t="n"/>
    </row>
    <row r="222">
      <c r="A222" s="18">
        <f>IF(ISNUMBER(Dossiers!$D$8),Dossiers!$A$8&amp;" · "&amp;Dossiers!$B$8,"")</f>
        <v/>
      </c>
      <c r="B222" s="18">
        <f>IF($A222="","",Paramètres!G6)</f>
        <v/>
      </c>
      <c r="C222" s="18">
        <f>IF($A222="","",IF(Paramètres!H6="","",Paramètres!H6))</f>
        <v/>
      </c>
      <c r="D222" s="18">
        <f>IF($A222="","",IF(Paramètres!I6="","",Paramètres!I6))</f>
        <v/>
      </c>
      <c r="E222" s="19">
        <f>IF($A222="","",IF(Paramètres!J6&amp;Paramètres!L6&amp;Paramètres!N6="",Dossiers!$D$8,MAX(IF(Paramètres!J6="",0,IF(Paramètres!K6="",NA(),IF(LEFT(TRIM(Paramètres!K6),1)="F",INDEX($F$221:$F$273,MATCH(Paramètres!J6,Paramètres!$G$5:$G$57,0)),INDEX($E$221:$E$273,MATCH(Paramètres!J6,Paramètres!$G$5:$G$57,0)))+IF(RIGHT(TRIM(Paramètres!K6),3)="Fin",1-$H222,IF(LEFT(TRIM(Paramètres!K6),1)="F",1,0)))),IF(Paramètres!L6="",0,IF(Paramètres!M6="",NA(),IF(LEFT(TRIM(Paramètres!M6),1)="F",INDEX($F$221:$F$273,MATCH(Paramètres!L6,Paramètres!$G$5:$G$57,0)),INDEX($E$221:$E$273,MATCH(Paramètres!L6,Paramètres!$G$5:$G$57,0)))+IF(RIGHT(TRIM(Paramètres!M6),3)="Fin",1-$H222,IF(LEFT(TRIM(Paramètres!M6),1)="F",1,0)))),IF(Paramètres!N6="",0,IF(Paramètres!O6="",NA(),IF(LEFT(TRIM(Paramètres!O6),1)="F",INDEX($F$221:$F$273,MATCH(Paramètres!N6,Paramètres!$G$5:$G$57,0)),INDEX($E$221:$E$273,MATCH(Paramètres!N6,Paramètres!$G$5:$G$57,0)))+IF(RIGHT(TRIM(Paramètres!O6),3)="Fin",1-$H222,IF(LEFT(TRIM(Paramètres!O6),1)="F",1,0)))))))</f>
        <v/>
      </c>
      <c r="F222" s="19">
        <f>IF($A222="","",E222+$H222-1)</f>
        <v/>
      </c>
      <c r="G222" s="18" t="n"/>
      <c r="H222" s="18">
        <f>IF($A222="","",IF(I222&lt;&gt;"",I222,Paramètres!B6))</f>
        <v/>
      </c>
      <c r="I222" s="18" t="n"/>
    </row>
    <row r="223">
      <c r="A223" s="18">
        <f>IF(ISNUMBER(Dossiers!$D$8),Dossiers!$A$8&amp;" · "&amp;Dossiers!$B$8,"")</f>
        <v/>
      </c>
      <c r="B223" s="18">
        <f>IF($A223="","",Paramètres!G7)</f>
        <v/>
      </c>
      <c r="C223" s="18">
        <f>IF($A223="","",IF(Paramètres!H7="","",Paramètres!H7))</f>
        <v/>
      </c>
      <c r="D223" s="18">
        <f>IF($A223="","",IF(Paramètres!I7="","",Paramètres!I7))</f>
        <v/>
      </c>
      <c r="E223" s="19">
        <f>IF($A223="","",IF(Paramètres!J7&amp;Paramètres!L7&amp;Paramètres!N7="",Dossiers!$D$8,MAX(IF(Paramètres!J7="",0,IF(Paramètres!K7="",NA(),IF(LEFT(TRIM(Paramètres!K7),1)="F",INDEX($F$221:$F$273,MATCH(Paramètres!J7,Paramètres!$G$5:$G$57,0)),INDEX($E$221:$E$273,MATCH(Paramètres!J7,Paramètres!$G$5:$G$57,0)))+IF(RIGHT(TRIM(Paramètres!K7),3)="Fin",1-$H223,IF(LEFT(TRIM(Paramètres!K7),1)="F",1,0)))),IF(Paramètres!L7="",0,IF(Paramètres!M7="",NA(),IF(LEFT(TRIM(Paramètres!M7),1)="F",INDEX($F$221:$F$273,MATCH(Paramètres!L7,Paramètres!$G$5:$G$57,0)),INDEX($E$221:$E$273,MATCH(Paramètres!L7,Paramètres!$G$5:$G$57,0)))+IF(RIGHT(TRIM(Paramètres!M7),3)="Fin",1-$H223,IF(LEFT(TRIM(Paramètres!M7),1)="F",1,0)))),IF(Paramètres!N7="",0,IF(Paramètres!O7="",NA(),IF(LEFT(TRIM(Paramètres!O7),1)="F",INDEX($F$221:$F$273,MATCH(Paramètres!N7,Paramètres!$G$5:$G$57,0)),INDEX($E$221:$E$273,MATCH(Paramètres!N7,Paramètres!$G$5:$G$57,0)))+IF(RIGHT(TRIM(Paramètres!O7),3)="Fin",1-$H223,IF(LEFT(TRIM(Paramètres!O7),1)="F",1,0)))))))</f>
        <v/>
      </c>
      <c r="F223" s="19">
        <f>IF($A223="","",E223+$H223-1)</f>
        <v/>
      </c>
      <c r="G223" s="18" t="n"/>
      <c r="H223" s="18">
        <f>IF($A223="","",IF(I223&lt;&gt;"",I223,Paramètres!B7))</f>
        <v/>
      </c>
      <c r="I223" s="18" t="n"/>
    </row>
    <row r="224">
      <c r="A224" s="18">
        <f>IF(ISNUMBER(Dossiers!$D$8),Dossiers!$A$8&amp;" · "&amp;Dossiers!$B$8,"")</f>
        <v/>
      </c>
      <c r="B224" s="18">
        <f>IF($A224="","",Paramètres!G8)</f>
        <v/>
      </c>
      <c r="C224" s="18">
        <f>IF($A224="","",IF(Paramètres!H8="","",Paramètres!H8))</f>
        <v/>
      </c>
      <c r="D224" s="18">
        <f>IF($A224="","",IF(Paramètres!I8="","",Paramètres!I8))</f>
        <v/>
      </c>
      <c r="E224" s="19">
        <f>IF($A224="","",IF(Paramètres!J8&amp;Paramètres!L8&amp;Paramètres!N8="",Dossiers!$D$8,MAX(IF(Paramètres!J8="",0,IF(Paramètres!K8="",NA(),IF(LEFT(TRIM(Paramètres!K8),1)="F",INDEX($F$221:$F$273,MATCH(Paramètres!J8,Paramètres!$G$5:$G$57,0)),INDEX($E$221:$E$273,MATCH(Paramètres!J8,Paramètres!$G$5:$G$57,0)))+IF(RIGHT(TRIM(Paramètres!K8),3)="Fin",1-$H224,IF(LEFT(TRIM(Paramètres!K8),1)="F",1,0)))),IF(Paramètres!L8="",0,IF(Paramètres!M8="",NA(),IF(LEFT(TRIM(Paramètres!M8),1)="F",INDEX($F$221:$F$273,MATCH(Paramètres!L8,Paramètres!$G$5:$G$57,0)),INDEX($E$221:$E$273,MATCH(Paramètres!L8,Paramètres!$G$5:$G$57,0)))+IF(RIGHT(TRIM(Paramètres!M8),3)="Fin",1-$H224,IF(LEFT(TRIM(Paramètres!M8),1)="F",1,0)))),IF(Paramètres!N8="",0,IF(Paramètres!O8="",NA(),IF(LEFT(TRIM(Paramètres!O8),1)="F",INDEX($F$221:$F$273,MATCH(Paramètres!N8,Paramètres!$G$5:$G$57,0)),INDEX($E$221:$E$273,MATCH(Paramètres!N8,Paramètres!$G$5:$G$57,0)))+IF(RIGHT(TRIM(Paramètres!O8),3)="Fin",1-$H224,IF(LEFT(TRIM(Paramètres!O8),1)="F",1,0)))))))</f>
        <v/>
      </c>
      <c r="F224" s="19">
        <f>IF($A224="","",E224+$H224-1)</f>
        <v/>
      </c>
      <c r="G224" s="18" t="n"/>
      <c r="H224" s="18">
        <f>IF($A224="","",IF(I224&lt;&gt;"",I224,Paramètres!B8))</f>
        <v/>
      </c>
      <c r="I224" s="18" t="n"/>
    </row>
    <row r="225">
      <c r="A225" s="18">
        <f>IF(ISNUMBER(Dossiers!$D$8),Dossiers!$A$8&amp;" · "&amp;Dossiers!$B$8,"")</f>
        <v/>
      </c>
      <c r="B225" s="18">
        <f>IF($A225="","",Paramètres!G9)</f>
        <v/>
      </c>
      <c r="C225" s="18">
        <f>IF($A225="","",IF(Paramètres!H9="","",Paramètres!H9))</f>
        <v/>
      </c>
      <c r="D225" s="18">
        <f>IF($A225="","",IF(Paramètres!I9="","",Paramètres!I9))</f>
        <v/>
      </c>
      <c r="E225" s="19">
        <f>IF($A225="","",IF(Paramètres!J9&amp;Paramètres!L9&amp;Paramètres!N9="",Dossiers!$D$8,MAX(IF(Paramètres!J9="",0,IF(Paramètres!K9="",NA(),IF(LEFT(TRIM(Paramètres!K9),1)="F",INDEX($F$221:$F$273,MATCH(Paramètres!J9,Paramètres!$G$5:$G$57,0)),INDEX($E$221:$E$273,MATCH(Paramètres!J9,Paramètres!$G$5:$G$57,0)))+IF(RIGHT(TRIM(Paramètres!K9),3)="Fin",1-$H225,IF(LEFT(TRIM(Paramètres!K9),1)="F",1,0)))),IF(Paramètres!L9="",0,IF(Paramètres!M9="",NA(),IF(LEFT(TRIM(Paramètres!M9),1)="F",INDEX($F$221:$F$273,MATCH(Paramètres!L9,Paramètres!$G$5:$G$57,0)),INDEX($E$221:$E$273,MATCH(Paramètres!L9,Paramètres!$G$5:$G$57,0)))+IF(RIGHT(TRIM(Paramètres!M9),3)="Fin",1-$H225,IF(LEFT(TRIM(Paramètres!M9),1)="F",1,0)))),IF(Paramètres!N9="",0,IF(Paramètres!O9="",NA(),IF(LEFT(TRIM(Paramètres!O9),1)="F",INDEX($F$221:$F$273,MATCH(Paramètres!N9,Paramètres!$G$5:$G$57,0)),INDEX($E$221:$E$273,MATCH(Paramètres!N9,Paramètres!$G$5:$G$57,0)))+IF(RIGHT(TRIM(Paramètres!O9),3)="Fin",1-$H225,IF(LEFT(TRIM(Paramètres!O9),1)="F",1,0)))))))</f>
        <v/>
      </c>
      <c r="F225" s="19">
        <f>IF($A225="","",E225+$H225-1)</f>
        <v/>
      </c>
      <c r="G225" s="18" t="n"/>
      <c r="H225" s="18">
        <f>IF($A225="","",IF(I225&lt;&gt;"",I225,Paramètres!B9))</f>
        <v/>
      </c>
      <c r="I225" s="18" t="n"/>
    </row>
    <row r="226">
      <c r="A226" s="18">
        <f>IF(ISNUMBER(Dossiers!$D$8),Dossiers!$A$8&amp;" · "&amp;Dossiers!$B$8,"")</f>
        <v/>
      </c>
      <c r="B226" s="18">
        <f>IF($A226="","",Paramètres!G10)</f>
        <v/>
      </c>
      <c r="C226" s="18">
        <f>IF($A226="","",IF(Paramètres!H10="","",Paramètres!H10))</f>
        <v/>
      </c>
      <c r="D226" s="18">
        <f>IF($A226="","",IF(Paramètres!I10="","",Paramètres!I10))</f>
        <v/>
      </c>
      <c r="E226" s="19">
        <f>IF($A226="","",MIN(E227:E230))</f>
        <v/>
      </c>
      <c r="F226" s="19">
        <f>IF($A226="","",MAX(F227:F230))</f>
        <v/>
      </c>
      <c r="G226" s="18" t="n"/>
      <c r="H226" s="18">
        <f>IF($A226="","",F226-E226+1)</f>
        <v/>
      </c>
      <c r="I226" s="18" t="n"/>
    </row>
    <row r="227">
      <c r="A227" s="18">
        <f>IF(ISNUMBER(Dossiers!$D$8),Dossiers!$A$8&amp;" · "&amp;Dossiers!$B$8,"")</f>
        <v/>
      </c>
      <c r="B227" s="18">
        <f>IF($A227="","",Paramètres!G11)</f>
        <v/>
      </c>
      <c r="C227" s="18">
        <f>IF($A227="","",IF(Paramètres!H11="","",Paramètres!H11))</f>
        <v/>
      </c>
      <c r="D227" s="18">
        <f>IF($A227="","",IF(Paramètres!I11="","",Paramètres!I11))</f>
        <v/>
      </c>
      <c r="E227" s="19">
        <f>IF($A227="","",IF(Paramètres!J11&amp;Paramètres!L11&amp;Paramètres!N11="",Dossiers!$D$8,MAX(IF(Paramètres!J11="",0,IF(Paramètres!K11="",NA(),IF(LEFT(TRIM(Paramètres!K11),1)="F",INDEX($F$221:$F$273,MATCH(Paramètres!J11,Paramètres!$G$5:$G$57,0)),INDEX($E$221:$E$273,MATCH(Paramètres!J11,Paramètres!$G$5:$G$57,0)))+IF(RIGHT(TRIM(Paramètres!K11),3)="Fin",1-$H227,IF(LEFT(TRIM(Paramètres!K11),1)="F",1,0)))),IF(Paramètres!L11="",0,IF(Paramètres!M11="",NA(),IF(LEFT(TRIM(Paramètres!M11),1)="F",INDEX($F$221:$F$273,MATCH(Paramètres!L11,Paramètres!$G$5:$G$57,0)),INDEX($E$221:$E$273,MATCH(Paramètres!L11,Paramètres!$G$5:$G$57,0)))+IF(RIGHT(TRIM(Paramètres!M11),3)="Fin",1-$H227,IF(LEFT(TRIM(Paramètres!M11),1)="F",1,0)))),IF(Paramètres!N11="",0,IF(Paramètres!O11="",NA(),IF(LEFT(TRIM(Paramètres!O11),1)="F",INDEX($F$221:$F$273,MATCH(Paramètres!N11,Paramètres!$G$5:$G$57,0)),INDEX($E$221:$E$273,MATCH(Paramètres!N11,Paramètres!$G$5:$G$57,0)))+IF(RIGHT(TRIM(Paramètres!O11),3)="Fin",1-$H227,IF(LEFT(TRIM(Paramètres!O11),1)="F",1,0)))))))</f>
        <v/>
      </c>
      <c r="F227" s="19">
        <f>IF($A227="","",E227+$H227-1)</f>
        <v/>
      </c>
      <c r="G227" s="18" t="n"/>
      <c r="H227" s="18">
        <f>IF($A227="","",IF(I227&lt;&gt;"",I227,Paramètres!B11))</f>
        <v/>
      </c>
      <c r="I227" s="18" t="n"/>
    </row>
    <row r="228">
      <c r="A228" s="18">
        <f>IF(ISNUMBER(Dossiers!$D$8),Dossiers!$A$8&amp;" · "&amp;Dossiers!$B$8,"")</f>
        <v/>
      </c>
      <c r="B228" s="18">
        <f>IF($A228="","",Paramètres!G12)</f>
        <v/>
      </c>
      <c r="C228" s="18">
        <f>IF($A228="","",IF(Paramètres!H12="","",Paramètres!H12))</f>
        <v/>
      </c>
      <c r="D228" s="18">
        <f>IF($A228="","",IF(Paramètres!I12="","",Paramètres!I12))</f>
        <v/>
      </c>
      <c r="E228" s="19">
        <f>IF($A228="","",IF(Paramètres!J12&amp;Paramètres!L12&amp;Paramètres!N12="",Dossiers!$D$8,MAX(IF(Paramètres!J12="",0,IF(Paramètres!K12="",NA(),IF(LEFT(TRIM(Paramètres!K12),1)="F",INDEX($F$221:$F$273,MATCH(Paramètres!J12,Paramètres!$G$5:$G$57,0)),INDEX($E$221:$E$273,MATCH(Paramètres!J12,Paramètres!$G$5:$G$57,0)))+IF(RIGHT(TRIM(Paramètres!K12),3)="Fin",1-$H228,IF(LEFT(TRIM(Paramètres!K12),1)="F",1,0)))),IF(Paramètres!L12="",0,IF(Paramètres!M12="",NA(),IF(LEFT(TRIM(Paramètres!M12),1)="F",INDEX($F$221:$F$273,MATCH(Paramètres!L12,Paramètres!$G$5:$G$57,0)),INDEX($E$221:$E$273,MATCH(Paramètres!L12,Paramètres!$G$5:$G$57,0)))+IF(RIGHT(TRIM(Paramètres!M12),3)="Fin",1-$H228,IF(LEFT(TRIM(Paramètres!M12),1)="F",1,0)))),IF(Paramètres!N12="",0,IF(Paramètres!O12="",NA(),IF(LEFT(TRIM(Paramètres!O12),1)="F",INDEX($F$221:$F$273,MATCH(Paramètres!N12,Paramètres!$G$5:$G$57,0)),INDEX($E$221:$E$273,MATCH(Paramètres!N12,Paramètres!$G$5:$G$57,0)))+IF(RIGHT(TRIM(Paramètres!O12),3)="Fin",1-$H228,IF(LEFT(TRIM(Paramètres!O12),1)="F",1,0)))))))</f>
        <v/>
      </c>
      <c r="F228" s="19">
        <f>IF($A228="","",E228+$H228-1)</f>
        <v/>
      </c>
      <c r="G228" s="18" t="n"/>
      <c r="H228" s="18">
        <f>IF($A228="","",IF(I228&lt;&gt;"",I228,Paramètres!B12))</f>
        <v/>
      </c>
      <c r="I228" s="18" t="n"/>
    </row>
    <row r="229">
      <c r="A229" s="18">
        <f>IF(ISNUMBER(Dossiers!$D$8),Dossiers!$A$8&amp;" · "&amp;Dossiers!$B$8,"")</f>
        <v/>
      </c>
      <c r="B229" s="18">
        <f>IF($A229="","",Paramètres!G13)</f>
        <v/>
      </c>
      <c r="C229" s="18">
        <f>IF($A229="","",IF(Paramètres!H13="","",Paramètres!H13))</f>
        <v/>
      </c>
      <c r="D229" s="18">
        <f>IF($A229="","",IF(Paramètres!I13="","",Paramètres!I13))</f>
        <v/>
      </c>
      <c r="E229" s="19">
        <f>IF($A229="","",IF(Paramètres!J13&amp;Paramètres!L13&amp;Paramètres!N13="",Dossiers!$D$8,MAX(IF(Paramètres!J13="",0,IF(Paramètres!K13="",NA(),IF(LEFT(TRIM(Paramètres!K13),1)="F",INDEX($F$221:$F$273,MATCH(Paramètres!J13,Paramètres!$G$5:$G$57,0)),INDEX($E$221:$E$273,MATCH(Paramètres!J13,Paramètres!$G$5:$G$57,0)))+IF(RIGHT(TRIM(Paramètres!K13),3)="Fin",1-$H229,IF(LEFT(TRIM(Paramètres!K13),1)="F",1,0)))),IF(Paramètres!L13="",0,IF(Paramètres!M13="",NA(),IF(LEFT(TRIM(Paramètres!M13),1)="F",INDEX($F$221:$F$273,MATCH(Paramètres!L13,Paramètres!$G$5:$G$57,0)),INDEX($E$221:$E$273,MATCH(Paramètres!L13,Paramètres!$G$5:$G$57,0)))+IF(RIGHT(TRIM(Paramètres!M13),3)="Fin",1-$H229,IF(LEFT(TRIM(Paramètres!M13),1)="F",1,0)))),IF(Paramètres!N13="",0,IF(Paramètres!O13="",NA(),IF(LEFT(TRIM(Paramètres!O13),1)="F",INDEX($F$221:$F$273,MATCH(Paramètres!N13,Paramètres!$G$5:$G$57,0)),INDEX($E$221:$E$273,MATCH(Paramètres!N13,Paramètres!$G$5:$G$57,0)))+IF(RIGHT(TRIM(Paramètres!O13),3)="Fin",1-$H229,IF(LEFT(TRIM(Paramètres!O13),1)="F",1,0)))))))</f>
        <v/>
      </c>
      <c r="F229" s="19">
        <f>IF($A229="","",E229+$H229-1)</f>
        <v/>
      </c>
      <c r="G229" s="18" t="n"/>
      <c r="H229" s="18">
        <f>IF($A229="","",IF(I229&lt;&gt;"",I229,Paramètres!B13))</f>
        <v/>
      </c>
      <c r="I229" s="18" t="n"/>
    </row>
    <row r="230">
      <c r="A230" s="18">
        <f>IF(ISNUMBER(Dossiers!$D$8),Dossiers!$A$8&amp;" · "&amp;Dossiers!$B$8,"")</f>
        <v/>
      </c>
      <c r="B230" s="18">
        <f>IF($A230="","",Paramètres!G14)</f>
        <v/>
      </c>
      <c r="C230" s="18">
        <f>IF($A230="","",IF(Paramètres!H14="","",Paramètres!H14))</f>
        <v/>
      </c>
      <c r="D230" s="18">
        <f>IF($A230="","",IF(Paramètres!I14="","",Paramètres!I14))</f>
        <v/>
      </c>
      <c r="E230" s="19">
        <f>IF($A230="","",IF(Paramètres!J14&amp;Paramètres!L14&amp;Paramètres!N14="",Dossiers!$D$8,MAX(IF(Paramètres!J14="",0,IF(Paramètres!K14="",NA(),IF(LEFT(TRIM(Paramètres!K14),1)="F",INDEX($F$221:$F$273,MATCH(Paramètres!J14,Paramètres!$G$5:$G$57,0)),INDEX($E$221:$E$273,MATCH(Paramètres!J14,Paramètres!$G$5:$G$57,0)))+IF(RIGHT(TRIM(Paramètres!K14),3)="Fin",1-$H230,IF(LEFT(TRIM(Paramètres!K14),1)="F",1,0)))),IF(Paramètres!L14="",0,IF(Paramètres!M14="",NA(),IF(LEFT(TRIM(Paramètres!M14),1)="F",INDEX($F$221:$F$273,MATCH(Paramètres!L14,Paramètres!$G$5:$G$57,0)),INDEX($E$221:$E$273,MATCH(Paramètres!L14,Paramètres!$G$5:$G$57,0)))+IF(RIGHT(TRIM(Paramètres!M14),3)="Fin",1-$H230,IF(LEFT(TRIM(Paramètres!M14),1)="F",1,0)))),IF(Paramètres!N14="",0,IF(Paramètres!O14="",NA(),IF(LEFT(TRIM(Paramètres!O14),1)="F",INDEX($F$221:$F$273,MATCH(Paramètres!N14,Paramètres!$G$5:$G$57,0)),INDEX($E$221:$E$273,MATCH(Paramètres!N14,Paramètres!$G$5:$G$57,0)))+IF(RIGHT(TRIM(Paramètres!O14),3)="Fin",1-$H230,IF(LEFT(TRIM(Paramètres!O14),1)="F",1,0)))))))</f>
        <v/>
      </c>
      <c r="F230" s="19">
        <f>IF($A230="","",E230+$H230-1)</f>
        <v/>
      </c>
      <c r="G230" s="18" t="n"/>
      <c r="H230" s="18">
        <f>IF($A230="","",IF(I230&lt;&gt;"",I230,Paramètres!B14))</f>
        <v/>
      </c>
      <c r="I230" s="18" t="n"/>
    </row>
    <row r="231">
      <c r="A231" s="18">
        <f>IF(ISNUMBER(Dossiers!$D$8),Dossiers!$A$8&amp;" · "&amp;Dossiers!$B$8,"")</f>
        <v/>
      </c>
      <c r="B231" s="18">
        <f>IF($A231="","",Paramètres!G15)</f>
        <v/>
      </c>
      <c r="C231" s="18">
        <f>IF($A231="","",IF(Paramètres!H15="","",Paramètres!H15))</f>
        <v/>
      </c>
      <c r="D231" s="18">
        <f>IF($A231="","",IF(Paramètres!I15="","",Paramètres!I15))</f>
        <v/>
      </c>
      <c r="E231" s="19">
        <f>IF($A231="","",MIN(E232:E247))</f>
        <v/>
      </c>
      <c r="F231" s="19">
        <f>IF($A231="","",MAX(F232:F247))</f>
        <v/>
      </c>
      <c r="G231" s="18" t="n"/>
      <c r="H231" s="18">
        <f>IF($A231="","",F231-E231+1)</f>
        <v/>
      </c>
      <c r="I231" s="18" t="n"/>
    </row>
    <row r="232">
      <c r="A232" s="18">
        <f>IF(ISNUMBER(Dossiers!$D$8),Dossiers!$A$8&amp;" · "&amp;Dossiers!$B$8,"")</f>
        <v/>
      </c>
      <c r="B232" s="18">
        <f>IF($A232="","",Paramètres!G16)</f>
        <v/>
      </c>
      <c r="C232" s="18">
        <f>IF($A232="","",IF(Paramètres!H16="","",Paramètres!H16))</f>
        <v/>
      </c>
      <c r="D232" s="18">
        <f>IF($A232="","",IF(Paramètres!I16="","",Paramètres!I16))</f>
        <v/>
      </c>
      <c r="E232" s="19">
        <f>IF($A232="","",IF(Paramètres!J16&amp;Paramètres!L16&amp;Paramètres!N16="",Dossiers!$D$8,MAX(IF(Paramètres!J16="",0,IF(Paramètres!K16="",NA(),IF(LEFT(TRIM(Paramètres!K16),1)="F",INDEX($F$221:$F$273,MATCH(Paramètres!J16,Paramètres!$G$5:$G$57,0)),INDEX($E$221:$E$273,MATCH(Paramètres!J16,Paramètres!$G$5:$G$57,0)))+IF(RIGHT(TRIM(Paramètres!K16),3)="Fin",1-$H232,IF(LEFT(TRIM(Paramètres!K16),1)="F",1,0)))),IF(Paramètres!L16="",0,IF(Paramètres!M16="",NA(),IF(LEFT(TRIM(Paramètres!M16),1)="F",INDEX($F$221:$F$273,MATCH(Paramètres!L16,Paramètres!$G$5:$G$57,0)),INDEX($E$221:$E$273,MATCH(Paramètres!L16,Paramètres!$G$5:$G$57,0)))+IF(RIGHT(TRIM(Paramètres!M16),3)="Fin",1-$H232,IF(LEFT(TRIM(Paramètres!M16),1)="F",1,0)))),IF(Paramètres!N16="",0,IF(Paramètres!O16="",NA(),IF(LEFT(TRIM(Paramètres!O16),1)="F",INDEX($F$221:$F$273,MATCH(Paramètres!N16,Paramètres!$G$5:$G$57,0)),INDEX($E$221:$E$273,MATCH(Paramètres!N16,Paramètres!$G$5:$G$57,0)))+IF(RIGHT(TRIM(Paramètres!O16),3)="Fin",1-$H232,IF(LEFT(TRIM(Paramètres!O16),1)="F",1,0)))))))</f>
        <v/>
      </c>
      <c r="F232" s="19">
        <f>IF($A232="","",E232+$H232-1)</f>
        <v/>
      </c>
      <c r="G232" s="18" t="n"/>
      <c r="H232" s="18">
        <f>IF($A232="","",IF(I232&lt;&gt;"",I232,Paramètres!B16))</f>
        <v/>
      </c>
      <c r="I232" s="18" t="n"/>
    </row>
    <row r="233">
      <c r="A233" s="18">
        <f>IF(ISNUMBER(Dossiers!$D$8),Dossiers!$A$8&amp;" · "&amp;Dossiers!$B$8,"")</f>
        <v/>
      </c>
      <c r="B233" s="18">
        <f>IF($A233="","",Paramètres!G17)</f>
        <v/>
      </c>
      <c r="C233" s="18">
        <f>IF($A233="","",IF(Paramètres!H17="","",Paramètres!H17))</f>
        <v/>
      </c>
      <c r="D233" s="18">
        <f>IF($A233="","",IF(Paramètres!I17="","",Paramètres!I17))</f>
        <v/>
      </c>
      <c r="E233" s="19">
        <f>IF($A233="","",IF(Paramètres!J17&amp;Paramètres!L17&amp;Paramètres!N17="",Dossiers!$D$8,MAX(IF(Paramètres!J17="",0,IF(Paramètres!K17="",NA(),IF(LEFT(TRIM(Paramètres!K17),1)="F",INDEX($F$221:$F$273,MATCH(Paramètres!J17,Paramètres!$G$5:$G$57,0)),INDEX($E$221:$E$273,MATCH(Paramètres!J17,Paramètres!$G$5:$G$57,0)))+IF(RIGHT(TRIM(Paramètres!K17),3)="Fin",1-$H233,IF(LEFT(TRIM(Paramètres!K17),1)="F",1,0)))),IF(Paramètres!L17="",0,IF(Paramètres!M17="",NA(),IF(LEFT(TRIM(Paramètres!M17),1)="F",INDEX($F$221:$F$273,MATCH(Paramètres!L17,Paramètres!$G$5:$G$57,0)),INDEX($E$221:$E$273,MATCH(Paramètres!L17,Paramètres!$G$5:$G$57,0)))+IF(RIGHT(TRIM(Paramètres!M17),3)="Fin",1-$H233,IF(LEFT(TRIM(Paramètres!M17),1)="F",1,0)))),IF(Paramètres!N17="",0,IF(Paramètres!O17="",NA(),IF(LEFT(TRIM(Paramètres!O17),1)="F",INDEX($F$221:$F$273,MATCH(Paramètres!N17,Paramètres!$G$5:$G$57,0)),INDEX($E$221:$E$273,MATCH(Paramètres!N17,Paramètres!$G$5:$G$57,0)))+IF(RIGHT(TRIM(Paramètres!O17),3)="Fin",1-$H233,IF(LEFT(TRIM(Paramètres!O17),1)="F",1,0)))))))</f>
        <v/>
      </c>
      <c r="F233" s="19">
        <f>IF($A233="","",E233+$H233-1)</f>
        <v/>
      </c>
      <c r="G233" s="18" t="n"/>
      <c r="H233" s="18">
        <f>IF($A233="","",IF(I233&lt;&gt;"",I233,Paramètres!B17))</f>
        <v/>
      </c>
      <c r="I233" s="18" t="n"/>
    </row>
    <row r="234">
      <c r="A234" s="18">
        <f>IF(ISNUMBER(Dossiers!$D$8),Dossiers!$A$8&amp;" · "&amp;Dossiers!$B$8,"")</f>
        <v/>
      </c>
      <c r="B234" s="18">
        <f>IF($A234="","",Paramètres!G18)</f>
        <v/>
      </c>
      <c r="C234" s="18">
        <f>IF($A234="","",IF(Paramètres!H18="","",Paramètres!H18))</f>
        <v/>
      </c>
      <c r="D234" s="18">
        <f>IF($A234="","",IF(Paramètres!I18="","",Paramètres!I18))</f>
        <v/>
      </c>
      <c r="E234" s="19">
        <f>IF($A234="","",IF(Paramètres!J18&amp;Paramètres!L18&amp;Paramètres!N18="",Dossiers!$D$8,MAX(IF(Paramètres!J18="",0,IF(Paramètres!K18="",NA(),IF(LEFT(TRIM(Paramètres!K18),1)="F",INDEX($F$221:$F$273,MATCH(Paramètres!J18,Paramètres!$G$5:$G$57,0)),INDEX($E$221:$E$273,MATCH(Paramètres!J18,Paramètres!$G$5:$G$57,0)))+IF(RIGHT(TRIM(Paramètres!K18),3)="Fin",1-$H234,IF(LEFT(TRIM(Paramètres!K18),1)="F",1,0)))),IF(Paramètres!L18="",0,IF(Paramètres!M18="",NA(),IF(LEFT(TRIM(Paramètres!M18),1)="F",INDEX($F$221:$F$273,MATCH(Paramètres!L18,Paramètres!$G$5:$G$57,0)),INDEX($E$221:$E$273,MATCH(Paramètres!L18,Paramètres!$G$5:$G$57,0)))+IF(RIGHT(TRIM(Paramètres!M18),3)="Fin",1-$H234,IF(LEFT(TRIM(Paramètres!M18),1)="F",1,0)))),IF(Paramètres!N18="",0,IF(Paramètres!O18="",NA(),IF(LEFT(TRIM(Paramètres!O18),1)="F",INDEX($F$221:$F$273,MATCH(Paramètres!N18,Paramètres!$G$5:$G$57,0)),INDEX($E$221:$E$273,MATCH(Paramètres!N18,Paramètres!$G$5:$G$57,0)))+IF(RIGHT(TRIM(Paramètres!O18),3)="Fin",1-$H234,IF(LEFT(TRIM(Paramètres!O18),1)="F",1,0)))))))</f>
        <v/>
      </c>
      <c r="F234" s="19">
        <f>IF($A234="","",E234+$H234-1)</f>
        <v/>
      </c>
      <c r="G234" s="18" t="n"/>
      <c r="H234" s="18">
        <f>IF($A234="","",IF(I234&lt;&gt;"",I234,Paramètres!B18))</f>
        <v/>
      </c>
      <c r="I234" s="18" t="n"/>
    </row>
    <row r="235">
      <c r="A235" s="18">
        <f>IF(ISNUMBER(Dossiers!$D$8),Dossiers!$A$8&amp;" · "&amp;Dossiers!$B$8,"")</f>
        <v/>
      </c>
      <c r="B235" s="18">
        <f>IF($A235="","",Paramètres!G19)</f>
        <v/>
      </c>
      <c r="C235" s="18">
        <f>IF($A235="","",IF(Paramètres!H19="","",Paramètres!H19))</f>
        <v/>
      </c>
      <c r="D235" s="18">
        <f>IF($A235="","",IF(Paramètres!I19="","",Paramètres!I19))</f>
        <v/>
      </c>
      <c r="E235" s="19">
        <f>IF($A235="","",IF(Paramètres!J19&amp;Paramètres!L19&amp;Paramètres!N19="",Dossiers!$D$8,MAX(IF(Paramètres!J19="",0,IF(Paramètres!K19="",NA(),IF(LEFT(TRIM(Paramètres!K19),1)="F",INDEX($F$221:$F$273,MATCH(Paramètres!J19,Paramètres!$G$5:$G$57,0)),INDEX($E$221:$E$273,MATCH(Paramètres!J19,Paramètres!$G$5:$G$57,0)))+IF(RIGHT(TRIM(Paramètres!K19),3)="Fin",1-$H235,IF(LEFT(TRIM(Paramètres!K19),1)="F",1,0)))),IF(Paramètres!L19="",0,IF(Paramètres!M19="",NA(),IF(LEFT(TRIM(Paramètres!M19),1)="F",INDEX($F$221:$F$273,MATCH(Paramètres!L19,Paramètres!$G$5:$G$57,0)),INDEX($E$221:$E$273,MATCH(Paramètres!L19,Paramètres!$G$5:$G$57,0)))+IF(RIGHT(TRIM(Paramètres!M19),3)="Fin",1-$H235,IF(LEFT(TRIM(Paramètres!M19),1)="F",1,0)))),IF(Paramètres!N19="",0,IF(Paramètres!O19="",NA(),IF(LEFT(TRIM(Paramètres!O19),1)="F",INDEX($F$221:$F$273,MATCH(Paramètres!N19,Paramètres!$G$5:$G$57,0)),INDEX($E$221:$E$273,MATCH(Paramètres!N19,Paramètres!$G$5:$G$57,0)))+IF(RIGHT(TRIM(Paramètres!O19),3)="Fin",1-$H235,IF(LEFT(TRIM(Paramètres!O19),1)="F",1,0)))))))</f>
        <v/>
      </c>
      <c r="F235" s="19">
        <f>IF($A235="","",E235+$H235-1)</f>
        <v/>
      </c>
      <c r="G235" s="18" t="n"/>
      <c r="H235" s="18">
        <f>IF($A235="","",IF(I235&lt;&gt;"",I235,Paramètres!B19))</f>
        <v/>
      </c>
      <c r="I235" s="18" t="n"/>
    </row>
    <row r="236">
      <c r="A236" s="18">
        <f>IF(ISNUMBER(Dossiers!$D$8),Dossiers!$A$8&amp;" · "&amp;Dossiers!$B$8,"")</f>
        <v/>
      </c>
      <c r="B236" s="18">
        <f>IF($A236="","",Paramètres!G20)</f>
        <v/>
      </c>
      <c r="C236" s="18">
        <f>IF($A236="","",IF(Paramètres!H20="","",Paramètres!H20))</f>
        <v/>
      </c>
      <c r="D236" s="18">
        <f>IF($A236="","",IF(Paramètres!I20="","",Paramètres!I20))</f>
        <v/>
      </c>
      <c r="E236" s="19">
        <f>IF($A236="","",IF(Paramètres!J20&amp;Paramètres!L20&amp;Paramètres!N20="",Dossiers!$D$8,MAX(IF(Paramètres!J20="",0,IF(Paramètres!K20="",NA(),IF(LEFT(TRIM(Paramètres!K20),1)="F",INDEX($F$221:$F$273,MATCH(Paramètres!J20,Paramètres!$G$5:$G$57,0)),INDEX($E$221:$E$273,MATCH(Paramètres!J20,Paramètres!$G$5:$G$57,0)))+IF(RIGHT(TRIM(Paramètres!K20),3)="Fin",1-$H236,IF(LEFT(TRIM(Paramètres!K20),1)="F",1,0)))),IF(Paramètres!L20="",0,IF(Paramètres!M20="",NA(),IF(LEFT(TRIM(Paramètres!M20),1)="F",INDEX($F$221:$F$273,MATCH(Paramètres!L20,Paramètres!$G$5:$G$57,0)),INDEX($E$221:$E$273,MATCH(Paramètres!L20,Paramètres!$G$5:$G$57,0)))+IF(RIGHT(TRIM(Paramètres!M20),3)="Fin",1-$H236,IF(LEFT(TRIM(Paramètres!M20),1)="F",1,0)))),IF(Paramètres!N20="",0,IF(Paramètres!O20="",NA(),IF(LEFT(TRIM(Paramètres!O20),1)="F",INDEX($F$221:$F$273,MATCH(Paramètres!N20,Paramètres!$G$5:$G$57,0)),INDEX($E$221:$E$273,MATCH(Paramètres!N20,Paramètres!$G$5:$G$57,0)))+IF(RIGHT(TRIM(Paramètres!O20),3)="Fin",1-$H236,IF(LEFT(TRIM(Paramètres!O20),1)="F",1,0)))))))</f>
        <v/>
      </c>
      <c r="F236" s="19">
        <f>IF($A236="","",E236+$H236-1)</f>
        <v/>
      </c>
      <c r="G236" s="18" t="n"/>
      <c r="H236" s="18">
        <f>IF($A236="","",IF(I236&lt;&gt;"",I236,Paramètres!B20))</f>
        <v/>
      </c>
      <c r="I236" s="18" t="n"/>
    </row>
    <row r="237">
      <c r="A237" s="18">
        <f>IF(ISNUMBER(Dossiers!$D$8),Dossiers!$A$8&amp;" · "&amp;Dossiers!$B$8,"")</f>
        <v/>
      </c>
      <c r="B237" s="18">
        <f>IF($A237="","",Paramètres!G21)</f>
        <v/>
      </c>
      <c r="C237" s="18">
        <f>IF($A237="","",IF(Paramètres!H21="","",Paramètres!H21))</f>
        <v/>
      </c>
      <c r="D237" s="18">
        <f>IF($A237="","",IF(Paramètres!I21="","",Paramètres!I21))</f>
        <v/>
      </c>
      <c r="E237" s="19">
        <f>IF($A237="","",IF(Paramètres!J21&amp;Paramètres!L21&amp;Paramètres!N21="",Dossiers!$D$8,MAX(IF(Paramètres!J21="",0,IF(Paramètres!K21="",NA(),IF(LEFT(TRIM(Paramètres!K21),1)="F",INDEX($F$221:$F$273,MATCH(Paramètres!J21,Paramètres!$G$5:$G$57,0)),INDEX($E$221:$E$273,MATCH(Paramètres!J21,Paramètres!$G$5:$G$57,0)))+IF(RIGHT(TRIM(Paramètres!K21),3)="Fin",1-$H237,IF(LEFT(TRIM(Paramètres!K21),1)="F",1,0)))),IF(Paramètres!L21="",0,IF(Paramètres!M21="",NA(),IF(LEFT(TRIM(Paramètres!M21),1)="F",INDEX($F$221:$F$273,MATCH(Paramètres!L21,Paramètres!$G$5:$G$57,0)),INDEX($E$221:$E$273,MATCH(Paramètres!L21,Paramètres!$G$5:$G$57,0)))+IF(RIGHT(TRIM(Paramètres!M21),3)="Fin",1-$H237,IF(LEFT(TRIM(Paramètres!M21),1)="F",1,0)))),IF(Paramètres!N21="",0,IF(Paramètres!O21="",NA(),IF(LEFT(TRIM(Paramètres!O21),1)="F",INDEX($F$221:$F$273,MATCH(Paramètres!N21,Paramètres!$G$5:$G$57,0)),INDEX($E$221:$E$273,MATCH(Paramètres!N21,Paramètres!$G$5:$G$57,0)))+IF(RIGHT(TRIM(Paramètres!O21),3)="Fin",1-$H237,IF(LEFT(TRIM(Paramètres!O21),1)="F",1,0)))))))</f>
        <v/>
      </c>
      <c r="F237" s="19">
        <f>IF($A237="","",E237+$H237-1)</f>
        <v/>
      </c>
      <c r="G237" s="18" t="n"/>
      <c r="H237" s="18">
        <f>IF($A237="","",IF(I237&lt;&gt;"",I237,Paramètres!B21))</f>
        <v/>
      </c>
      <c r="I237" s="18" t="n"/>
    </row>
    <row r="238">
      <c r="A238" s="18">
        <f>IF(ISNUMBER(Dossiers!$D$8),Dossiers!$A$8&amp;" · "&amp;Dossiers!$B$8,"")</f>
        <v/>
      </c>
      <c r="B238" s="18">
        <f>IF($A238="","",Paramètres!G22)</f>
        <v/>
      </c>
      <c r="C238" s="18">
        <f>IF($A238="","",IF(Paramètres!H22="","",Paramètres!H22))</f>
        <v/>
      </c>
      <c r="D238" s="18">
        <f>IF($A238="","",IF(Paramètres!I22="","",Paramètres!I22))</f>
        <v/>
      </c>
      <c r="E238" s="19">
        <f>IF($A238="","",IF(Paramètres!J22&amp;Paramètres!L22&amp;Paramètres!N22="",Dossiers!$D$8,MAX(IF(Paramètres!J22="",0,IF(Paramètres!K22="",NA(),IF(LEFT(TRIM(Paramètres!K22),1)="F",INDEX($F$221:$F$273,MATCH(Paramètres!J22,Paramètres!$G$5:$G$57,0)),INDEX($E$221:$E$273,MATCH(Paramètres!J22,Paramètres!$G$5:$G$57,0)))+IF(RIGHT(TRIM(Paramètres!K22),3)="Fin",1-$H238,IF(LEFT(TRIM(Paramètres!K22),1)="F",1,0)))),IF(Paramètres!L22="",0,IF(Paramètres!M22="",NA(),IF(LEFT(TRIM(Paramètres!M22),1)="F",INDEX($F$221:$F$273,MATCH(Paramètres!L22,Paramètres!$G$5:$G$57,0)),INDEX($E$221:$E$273,MATCH(Paramètres!L22,Paramètres!$G$5:$G$57,0)))+IF(RIGHT(TRIM(Paramètres!M22),3)="Fin",1-$H238,IF(LEFT(TRIM(Paramètres!M22),1)="F",1,0)))),IF(Paramètres!N22="",0,IF(Paramètres!O22="",NA(),IF(LEFT(TRIM(Paramètres!O22),1)="F",INDEX($F$221:$F$273,MATCH(Paramètres!N22,Paramètres!$G$5:$G$57,0)),INDEX($E$221:$E$273,MATCH(Paramètres!N22,Paramètres!$G$5:$G$57,0)))+IF(RIGHT(TRIM(Paramètres!O22),3)="Fin",1-$H238,IF(LEFT(TRIM(Paramètres!O22),1)="F",1,0)))))))</f>
        <v/>
      </c>
      <c r="F238" s="19">
        <f>IF($A238="","",E238+$H238-1)</f>
        <v/>
      </c>
      <c r="G238" s="18" t="n"/>
      <c r="H238" s="18">
        <f>IF($A238="","",IF(I238&lt;&gt;"",I238,Paramètres!B22))</f>
        <v/>
      </c>
      <c r="I238" s="18" t="n"/>
    </row>
    <row r="239">
      <c r="A239" s="18">
        <f>IF(ISNUMBER(Dossiers!$D$8),Dossiers!$A$8&amp;" · "&amp;Dossiers!$B$8,"")</f>
        <v/>
      </c>
      <c r="B239" s="18">
        <f>IF($A239="","",Paramètres!G23)</f>
        <v/>
      </c>
      <c r="C239" s="18">
        <f>IF($A239="","",IF(Paramètres!H23="","",Paramètres!H23))</f>
        <v/>
      </c>
      <c r="D239" s="18">
        <f>IF($A239="","",IF(Paramètres!I23="","",Paramètres!I23))</f>
        <v/>
      </c>
      <c r="E239" s="19">
        <f>IF($A239="","",IF(Paramètres!J23&amp;Paramètres!L23&amp;Paramètres!N23="",Dossiers!$D$8,MAX(IF(Paramètres!J23="",0,IF(Paramètres!K23="",NA(),IF(LEFT(TRIM(Paramètres!K23),1)="F",INDEX($F$221:$F$273,MATCH(Paramètres!J23,Paramètres!$G$5:$G$57,0)),INDEX($E$221:$E$273,MATCH(Paramètres!J23,Paramètres!$G$5:$G$57,0)))+IF(RIGHT(TRIM(Paramètres!K23),3)="Fin",1-$H239,IF(LEFT(TRIM(Paramètres!K23),1)="F",1,0)))),IF(Paramètres!L23="",0,IF(Paramètres!M23="",NA(),IF(LEFT(TRIM(Paramètres!M23),1)="F",INDEX($F$221:$F$273,MATCH(Paramètres!L23,Paramètres!$G$5:$G$57,0)),INDEX($E$221:$E$273,MATCH(Paramètres!L23,Paramètres!$G$5:$G$57,0)))+IF(RIGHT(TRIM(Paramètres!M23),3)="Fin",1-$H239,IF(LEFT(TRIM(Paramètres!M23),1)="F",1,0)))),IF(Paramètres!N23="",0,IF(Paramètres!O23="",NA(),IF(LEFT(TRIM(Paramètres!O23),1)="F",INDEX($F$221:$F$273,MATCH(Paramètres!N23,Paramètres!$G$5:$G$57,0)),INDEX($E$221:$E$273,MATCH(Paramètres!N23,Paramètres!$G$5:$G$57,0)))+IF(RIGHT(TRIM(Paramètres!O23),3)="Fin",1-$H239,IF(LEFT(TRIM(Paramètres!O23),1)="F",1,0)))))))</f>
        <v/>
      </c>
      <c r="F239" s="19">
        <f>IF($A239="","",E239+$H239-1)</f>
        <v/>
      </c>
      <c r="G239" s="18" t="n"/>
      <c r="H239" s="18">
        <f>IF($A239="","",IF(I239&lt;&gt;"",I239,Paramètres!B23))</f>
        <v/>
      </c>
      <c r="I239" s="18" t="n"/>
    </row>
    <row r="240">
      <c r="A240" s="18">
        <f>IF(ISNUMBER(Dossiers!$D$8),Dossiers!$A$8&amp;" · "&amp;Dossiers!$B$8,"")</f>
        <v/>
      </c>
      <c r="B240" s="18">
        <f>IF($A240="","",Paramètres!G24)</f>
        <v/>
      </c>
      <c r="C240" s="18">
        <f>IF($A240="","",IF(Paramètres!H24="","",Paramètres!H24))</f>
        <v/>
      </c>
      <c r="D240" s="18">
        <f>IF($A240="","",IF(Paramètres!I24="","",Paramètres!I24))</f>
        <v/>
      </c>
      <c r="E240" s="19">
        <f>IF($A240="","",IF(Paramètres!J24&amp;Paramètres!L24&amp;Paramètres!N24="",Dossiers!$D$8,MAX(IF(Paramètres!J24="",0,IF(Paramètres!K24="",NA(),IF(LEFT(TRIM(Paramètres!K24),1)="F",INDEX($F$221:$F$273,MATCH(Paramètres!J24,Paramètres!$G$5:$G$57,0)),INDEX($E$221:$E$273,MATCH(Paramètres!J24,Paramètres!$G$5:$G$57,0)))+IF(RIGHT(TRIM(Paramètres!K24),3)="Fin",1-$H240,IF(LEFT(TRIM(Paramètres!K24),1)="F",1,0)))),IF(Paramètres!L24="",0,IF(Paramètres!M24="",NA(),IF(LEFT(TRIM(Paramètres!M24),1)="F",INDEX($F$221:$F$273,MATCH(Paramètres!L24,Paramètres!$G$5:$G$57,0)),INDEX($E$221:$E$273,MATCH(Paramètres!L24,Paramètres!$G$5:$G$57,0)))+IF(RIGHT(TRIM(Paramètres!M24),3)="Fin",1-$H240,IF(LEFT(TRIM(Paramètres!M24),1)="F",1,0)))),IF(Paramètres!N24="",0,IF(Paramètres!O24="",NA(),IF(LEFT(TRIM(Paramètres!O24),1)="F",INDEX($F$221:$F$273,MATCH(Paramètres!N24,Paramètres!$G$5:$G$57,0)),INDEX($E$221:$E$273,MATCH(Paramètres!N24,Paramètres!$G$5:$G$57,0)))+IF(RIGHT(TRIM(Paramètres!O24),3)="Fin",1-$H240,IF(LEFT(TRIM(Paramètres!O24),1)="F",1,0)))))))</f>
        <v/>
      </c>
      <c r="F240" s="19">
        <f>IF($A240="","",E240+$H240-1)</f>
        <v/>
      </c>
      <c r="G240" s="18" t="n"/>
      <c r="H240" s="18">
        <f>IF($A240="","",IF(I240&lt;&gt;"",I240,Paramètres!B24))</f>
        <v/>
      </c>
      <c r="I240" s="18" t="n"/>
    </row>
    <row r="241">
      <c r="A241" s="18">
        <f>IF(ISNUMBER(Dossiers!$D$8),Dossiers!$A$8&amp;" · "&amp;Dossiers!$B$8,"")</f>
        <v/>
      </c>
      <c r="B241" s="18">
        <f>IF($A241="","",Paramètres!G25)</f>
        <v/>
      </c>
      <c r="C241" s="18">
        <f>IF($A241="","",IF(Paramètres!H25="","",Paramètres!H25))</f>
        <v/>
      </c>
      <c r="D241" s="18">
        <f>IF($A241="","",IF(Paramètres!I25="","",Paramètres!I25))</f>
        <v/>
      </c>
      <c r="E241" s="19">
        <f>IF($A241="","",IF(Paramètres!J25&amp;Paramètres!L25&amp;Paramètres!N25="",Dossiers!$D$8,MAX(IF(Paramètres!J25="",0,IF(Paramètres!K25="",NA(),IF(LEFT(TRIM(Paramètres!K25),1)="F",INDEX($F$221:$F$273,MATCH(Paramètres!J25,Paramètres!$G$5:$G$57,0)),INDEX($E$221:$E$273,MATCH(Paramètres!J25,Paramètres!$G$5:$G$57,0)))+IF(RIGHT(TRIM(Paramètres!K25),3)="Fin",1-$H241,IF(LEFT(TRIM(Paramètres!K25),1)="F",1,0)))),IF(Paramètres!L25="",0,IF(Paramètres!M25="",NA(),IF(LEFT(TRIM(Paramètres!M25),1)="F",INDEX($F$221:$F$273,MATCH(Paramètres!L25,Paramètres!$G$5:$G$57,0)),INDEX($E$221:$E$273,MATCH(Paramètres!L25,Paramètres!$G$5:$G$57,0)))+IF(RIGHT(TRIM(Paramètres!M25),3)="Fin",1-$H241,IF(LEFT(TRIM(Paramètres!M25),1)="F",1,0)))),IF(Paramètres!N25="",0,IF(Paramètres!O25="",NA(),IF(LEFT(TRIM(Paramètres!O25),1)="F",INDEX($F$221:$F$273,MATCH(Paramètres!N25,Paramètres!$G$5:$G$57,0)),INDEX($E$221:$E$273,MATCH(Paramètres!N25,Paramètres!$G$5:$G$57,0)))+IF(RIGHT(TRIM(Paramètres!O25),3)="Fin",1-$H241,IF(LEFT(TRIM(Paramètres!O25),1)="F",1,0)))))))</f>
        <v/>
      </c>
      <c r="F241" s="19">
        <f>IF($A241="","",E241+$H241-1)</f>
        <v/>
      </c>
      <c r="G241" s="18" t="n"/>
      <c r="H241" s="18">
        <f>IF($A241="","",IF(I241&lt;&gt;"",I241,Paramètres!B25))</f>
        <v/>
      </c>
      <c r="I241" s="18" t="n"/>
    </row>
    <row r="242">
      <c r="A242" s="18">
        <f>IF(ISNUMBER(Dossiers!$D$8),Dossiers!$A$8&amp;" · "&amp;Dossiers!$B$8,"")</f>
        <v/>
      </c>
      <c r="B242" s="18">
        <f>IF($A242="","",Paramètres!G26)</f>
        <v/>
      </c>
      <c r="C242" s="18">
        <f>IF($A242="","",IF(Paramètres!H26="","",Paramètres!H26))</f>
        <v/>
      </c>
      <c r="D242" s="18">
        <f>IF($A242="","",IF(Paramètres!I26="","",Paramètres!I26))</f>
        <v/>
      </c>
      <c r="E242" s="19">
        <f>IF($A242="","",IF(Paramètres!J26&amp;Paramètres!L26&amp;Paramètres!N26="",Dossiers!$D$8,MAX(IF(Paramètres!J26="",0,IF(Paramètres!K26="",NA(),IF(LEFT(TRIM(Paramètres!K26),1)="F",INDEX($F$221:$F$273,MATCH(Paramètres!J26,Paramètres!$G$5:$G$57,0)),INDEX($E$221:$E$273,MATCH(Paramètres!J26,Paramètres!$G$5:$G$57,0)))+IF(RIGHT(TRIM(Paramètres!K26),3)="Fin",1-$H242,IF(LEFT(TRIM(Paramètres!K26),1)="F",1,0)))),IF(Paramètres!L26="",0,IF(Paramètres!M26="",NA(),IF(LEFT(TRIM(Paramètres!M26),1)="F",INDEX($F$221:$F$273,MATCH(Paramètres!L26,Paramètres!$G$5:$G$57,0)),INDEX($E$221:$E$273,MATCH(Paramètres!L26,Paramètres!$G$5:$G$57,0)))+IF(RIGHT(TRIM(Paramètres!M26),3)="Fin",1-$H242,IF(LEFT(TRIM(Paramètres!M26),1)="F",1,0)))),IF(Paramètres!N26="",0,IF(Paramètres!O26="",NA(),IF(LEFT(TRIM(Paramètres!O26),1)="F",INDEX($F$221:$F$273,MATCH(Paramètres!N26,Paramètres!$G$5:$G$57,0)),INDEX($E$221:$E$273,MATCH(Paramètres!N26,Paramètres!$G$5:$G$57,0)))+IF(RIGHT(TRIM(Paramètres!O26),3)="Fin",1-$H242,IF(LEFT(TRIM(Paramètres!O26),1)="F",1,0)))))))</f>
        <v/>
      </c>
      <c r="F242" s="19">
        <f>IF($A242="","",E242+$H242-1)</f>
        <v/>
      </c>
      <c r="G242" s="18" t="n"/>
      <c r="H242" s="18">
        <f>IF($A242="","",IF(I242&lt;&gt;"",I242,Paramètres!B26))</f>
        <v/>
      </c>
      <c r="I242" s="18" t="n"/>
    </row>
    <row r="243">
      <c r="A243" s="18">
        <f>IF(ISNUMBER(Dossiers!$D$8),Dossiers!$A$8&amp;" · "&amp;Dossiers!$B$8,"")</f>
        <v/>
      </c>
      <c r="B243" s="18">
        <f>IF($A243="","",Paramètres!G27)</f>
        <v/>
      </c>
      <c r="C243" s="18">
        <f>IF($A243="","",IF(Paramètres!H27="","",Paramètres!H27))</f>
        <v/>
      </c>
      <c r="D243" s="18">
        <f>IF($A243="","",IF(Paramètres!I27="","",Paramètres!I27))</f>
        <v/>
      </c>
      <c r="E243" s="19">
        <f>IF($A243="","",IF(Paramètres!J27&amp;Paramètres!L27&amp;Paramètres!N27="",Dossiers!$D$8,MAX(IF(Paramètres!J27="",0,IF(Paramètres!K27="",NA(),IF(LEFT(TRIM(Paramètres!K27),1)="F",INDEX($F$221:$F$273,MATCH(Paramètres!J27,Paramètres!$G$5:$G$57,0)),INDEX($E$221:$E$273,MATCH(Paramètres!J27,Paramètres!$G$5:$G$57,0)))+IF(RIGHT(TRIM(Paramètres!K27),3)="Fin",1-$H243,IF(LEFT(TRIM(Paramètres!K27),1)="F",1,0)))),IF(Paramètres!L27="",0,IF(Paramètres!M27="",NA(),IF(LEFT(TRIM(Paramètres!M27),1)="F",INDEX($F$221:$F$273,MATCH(Paramètres!L27,Paramètres!$G$5:$G$57,0)),INDEX($E$221:$E$273,MATCH(Paramètres!L27,Paramètres!$G$5:$G$57,0)))+IF(RIGHT(TRIM(Paramètres!M27),3)="Fin",1-$H243,IF(LEFT(TRIM(Paramètres!M27),1)="F",1,0)))),IF(Paramètres!N27="",0,IF(Paramètres!O27="",NA(),IF(LEFT(TRIM(Paramètres!O27),1)="F",INDEX($F$221:$F$273,MATCH(Paramètres!N27,Paramètres!$G$5:$G$57,0)),INDEX($E$221:$E$273,MATCH(Paramètres!N27,Paramètres!$G$5:$G$57,0)))+IF(RIGHT(TRIM(Paramètres!O27),3)="Fin",1-$H243,IF(LEFT(TRIM(Paramètres!O27),1)="F",1,0)))))))</f>
        <v/>
      </c>
      <c r="F243" s="19">
        <f>IF($A243="","",E243+$H243-1)</f>
        <v/>
      </c>
      <c r="G243" s="18" t="n"/>
      <c r="H243" s="18">
        <f>IF($A243="","",IF(I243&lt;&gt;"",I243,Paramètres!B27))</f>
        <v/>
      </c>
      <c r="I243" s="18" t="n"/>
    </row>
    <row r="244">
      <c r="A244" s="18">
        <f>IF(ISNUMBER(Dossiers!$D$8),Dossiers!$A$8&amp;" · "&amp;Dossiers!$B$8,"")</f>
        <v/>
      </c>
      <c r="B244" s="18">
        <f>IF($A244="","",Paramètres!G28)</f>
        <v/>
      </c>
      <c r="C244" s="18">
        <f>IF($A244="","",IF(Paramètres!H28="","",Paramètres!H28))</f>
        <v/>
      </c>
      <c r="D244" s="18">
        <f>IF($A244="","",IF(Paramètres!I28="","",Paramètres!I28))</f>
        <v/>
      </c>
      <c r="E244" s="19">
        <f>IF($A244="","",IF(Paramètres!J28&amp;Paramètres!L28&amp;Paramètres!N28="",Dossiers!$D$8,MAX(IF(Paramètres!J28="",0,IF(Paramètres!K28="",NA(),IF(LEFT(TRIM(Paramètres!K28),1)="F",INDEX($F$221:$F$273,MATCH(Paramètres!J28,Paramètres!$G$5:$G$57,0)),INDEX($E$221:$E$273,MATCH(Paramètres!J28,Paramètres!$G$5:$G$57,0)))+IF(RIGHT(TRIM(Paramètres!K28),3)="Fin",1-$H244,IF(LEFT(TRIM(Paramètres!K28),1)="F",1,0)))),IF(Paramètres!L28="",0,IF(Paramètres!M28="",NA(),IF(LEFT(TRIM(Paramètres!M28),1)="F",INDEX($F$221:$F$273,MATCH(Paramètres!L28,Paramètres!$G$5:$G$57,0)),INDEX($E$221:$E$273,MATCH(Paramètres!L28,Paramètres!$G$5:$G$57,0)))+IF(RIGHT(TRIM(Paramètres!M28),3)="Fin",1-$H244,IF(LEFT(TRIM(Paramètres!M28),1)="F",1,0)))),IF(Paramètres!N28="",0,IF(Paramètres!O28="",NA(),IF(LEFT(TRIM(Paramètres!O28),1)="F",INDEX($F$221:$F$273,MATCH(Paramètres!N28,Paramètres!$G$5:$G$57,0)),INDEX($E$221:$E$273,MATCH(Paramètres!N28,Paramètres!$G$5:$G$57,0)))+IF(RIGHT(TRIM(Paramètres!O28),3)="Fin",1-$H244,IF(LEFT(TRIM(Paramètres!O28),1)="F",1,0)))))))</f>
        <v/>
      </c>
      <c r="F244" s="19">
        <f>IF($A244="","",E244+$H244-1)</f>
        <v/>
      </c>
      <c r="G244" s="18" t="n"/>
      <c r="H244" s="18">
        <f>IF($A244="","",IF(I244&lt;&gt;"",I244,Paramètres!B28))</f>
        <v/>
      </c>
      <c r="I244" s="18" t="n"/>
    </row>
    <row r="245">
      <c r="A245" s="18">
        <f>IF(ISNUMBER(Dossiers!$D$8),Dossiers!$A$8&amp;" · "&amp;Dossiers!$B$8,"")</f>
        <v/>
      </c>
      <c r="B245" s="18">
        <f>IF($A245="","",Paramètres!G29)</f>
        <v/>
      </c>
      <c r="C245" s="18">
        <f>IF($A245="","",IF(Paramètres!H29="","",Paramètres!H29))</f>
        <v/>
      </c>
      <c r="D245" s="18">
        <f>IF($A245="","",IF(Paramètres!I29="","",Paramètres!I29))</f>
        <v/>
      </c>
      <c r="E245" s="19">
        <f>IF($A245="","",IF(Paramètres!J29&amp;Paramètres!L29&amp;Paramètres!N29="",Dossiers!$D$8,MAX(IF(Paramètres!J29="",0,IF(Paramètres!K29="",NA(),IF(LEFT(TRIM(Paramètres!K29),1)="F",INDEX($F$221:$F$273,MATCH(Paramètres!J29,Paramètres!$G$5:$G$57,0)),INDEX($E$221:$E$273,MATCH(Paramètres!J29,Paramètres!$G$5:$G$57,0)))+IF(RIGHT(TRIM(Paramètres!K29),3)="Fin",1-$H245,IF(LEFT(TRIM(Paramètres!K29),1)="F",1,0)))),IF(Paramètres!L29="",0,IF(Paramètres!M29="",NA(),IF(LEFT(TRIM(Paramètres!M29),1)="F",INDEX($F$221:$F$273,MATCH(Paramètres!L29,Paramètres!$G$5:$G$57,0)),INDEX($E$221:$E$273,MATCH(Paramètres!L29,Paramètres!$G$5:$G$57,0)))+IF(RIGHT(TRIM(Paramètres!M29),3)="Fin",1-$H245,IF(LEFT(TRIM(Paramètres!M29),1)="F",1,0)))),IF(Paramètres!N29="",0,IF(Paramètres!O29="",NA(),IF(LEFT(TRIM(Paramètres!O29),1)="F",INDEX($F$221:$F$273,MATCH(Paramètres!N29,Paramètres!$G$5:$G$57,0)),INDEX($E$221:$E$273,MATCH(Paramètres!N29,Paramètres!$G$5:$G$57,0)))+IF(RIGHT(TRIM(Paramètres!O29),3)="Fin",1-$H245,IF(LEFT(TRIM(Paramètres!O29),1)="F",1,0)))))))</f>
        <v/>
      </c>
      <c r="F245" s="19">
        <f>IF($A245="","",E245+$H245-1)</f>
        <v/>
      </c>
      <c r="G245" s="18" t="n"/>
      <c r="H245" s="18">
        <f>IF($A245="","",IF(I245&lt;&gt;"",I245,Paramètres!B29))</f>
        <v/>
      </c>
      <c r="I245" s="18" t="n"/>
    </row>
    <row r="246">
      <c r="A246" s="18">
        <f>IF(ISNUMBER(Dossiers!$D$8),Dossiers!$A$8&amp;" · "&amp;Dossiers!$B$8,"")</f>
        <v/>
      </c>
      <c r="B246" s="18">
        <f>IF($A246="","",Paramètres!G30)</f>
        <v/>
      </c>
      <c r="C246" s="18">
        <f>IF($A246="","",IF(Paramètres!H30="","",Paramètres!H30))</f>
        <v/>
      </c>
      <c r="D246" s="18">
        <f>IF($A246="","",IF(Paramètres!I30="","",Paramètres!I30))</f>
        <v/>
      </c>
      <c r="E246" s="19">
        <f>IF($A246="","",IF(Paramètres!J30&amp;Paramètres!L30&amp;Paramètres!N30="",Dossiers!$D$8,MAX(IF(Paramètres!J30="",0,IF(Paramètres!K30="",NA(),IF(LEFT(TRIM(Paramètres!K30),1)="F",INDEX($F$221:$F$273,MATCH(Paramètres!J30,Paramètres!$G$5:$G$57,0)),INDEX($E$221:$E$273,MATCH(Paramètres!J30,Paramètres!$G$5:$G$57,0)))+IF(RIGHT(TRIM(Paramètres!K30),3)="Fin",1-$H246,IF(LEFT(TRIM(Paramètres!K30),1)="F",1,0)))),IF(Paramètres!L30="",0,IF(Paramètres!M30="",NA(),IF(LEFT(TRIM(Paramètres!M30),1)="F",INDEX($F$221:$F$273,MATCH(Paramètres!L30,Paramètres!$G$5:$G$57,0)),INDEX($E$221:$E$273,MATCH(Paramètres!L30,Paramètres!$G$5:$G$57,0)))+IF(RIGHT(TRIM(Paramètres!M30),3)="Fin",1-$H246,IF(LEFT(TRIM(Paramètres!M30),1)="F",1,0)))),IF(Paramètres!N30="",0,IF(Paramètres!O30="",NA(),IF(LEFT(TRIM(Paramètres!O30),1)="F",INDEX($F$221:$F$273,MATCH(Paramètres!N30,Paramètres!$G$5:$G$57,0)),INDEX($E$221:$E$273,MATCH(Paramètres!N30,Paramètres!$G$5:$G$57,0)))+IF(RIGHT(TRIM(Paramètres!O30),3)="Fin",1-$H246,IF(LEFT(TRIM(Paramètres!O30),1)="F",1,0)))))))</f>
        <v/>
      </c>
      <c r="F246" s="19">
        <f>IF($A246="","",E246+$H246-1)</f>
        <v/>
      </c>
      <c r="G246" s="18" t="n"/>
      <c r="H246" s="18">
        <f>IF($A246="","",IF(I246&lt;&gt;"",I246,Paramètres!B30))</f>
        <v/>
      </c>
      <c r="I246" s="18" t="n"/>
    </row>
    <row r="247">
      <c r="A247" s="18">
        <f>IF(ISNUMBER(Dossiers!$D$8),Dossiers!$A$8&amp;" · "&amp;Dossiers!$B$8,"")</f>
        <v/>
      </c>
      <c r="B247" s="18">
        <f>IF($A247="","",Paramètres!G31)</f>
        <v/>
      </c>
      <c r="C247" s="20">
        <f>IF($A247="","",IF(Dossiers!$F$8="","",Dossiers!$F$8))</f>
        <v/>
      </c>
      <c r="D247" s="18">
        <f>IF($A247="","",IF(Paramètres!I31="","",Paramètres!I31))</f>
        <v/>
      </c>
      <c r="E247" s="19">
        <f>IF($A247="","",IF(Paramètres!J31&amp;Paramètres!L31&amp;Paramètres!N31="",Dossiers!$D$8,MAX(IF(Paramètres!J31="",0,IF(Paramètres!K31="",NA(),IF(LEFT(TRIM(Paramètres!K31),1)="F",INDEX($F$221:$F$273,MATCH(Paramètres!J31,Paramètres!$G$5:$G$57,0)),INDEX($E$221:$E$273,MATCH(Paramètres!J31,Paramètres!$G$5:$G$57,0)))+IF(RIGHT(TRIM(Paramètres!K31),3)="Fin",1-$H247,IF(LEFT(TRIM(Paramètres!K31),1)="F",1,0)))),IF(Paramètres!L31="",0,IF(Paramètres!M31="",NA(),IF(LEFT(TRIM(Paramètres!M31),1)="F",INDEX($F$221:$F$273,MATCH(Paramètres!L31,Paramètres!$G$5:$G$57,0)),INDEX($E$221:$E$273,MATCH(Paramètres!L31,Paramètres!$G$5:$G$57,0)))+IF(RIGHT(TRIM(Paramètres!M31),3)="Fin",1-$H247,IF(LEFT(TRIM(Paramètres!M31),1)="F",1,0)))),IF(Paramètres!N31="",0,IF(Paramètres!O31="",NA(),IF(LEFT(TRIM(Paramètres!O31),1)="F",INDEX($F$221:$F$273,MATCH(Paramètres!N31,Paramètres!$G$5:$G$57,0)),INDEX($E$221:$E$273,MATCH(Paramètres!N31,Paramètres!$G$5:$G$57,0)))+IF(RIGHT(TRIM(Paramètres!O31),3)="Fin",1-$H247,IF(LEFT(TRIM(Paramètres!O31),1)="F",1,0)))))))</f>
        <v/>
      </c>
      <c r="F247" s="19">
        <f>IF($A247="","",E247+$H247-1)</f>
        <v/>
      </c>
      <c r="G247" s="18" t="n"/>
      <c r="H247" s="18">
        <f>IF($A247="","",IF(I247&lt;&gt;"",I247,Paramètres!B31))</f>
        <v/>
      </c>
      <c r="I247" s="18" t="n"/>
    </row>
    <row r="248">
      <c r="A248" s="18">
        <f>IF(ISNUMBER(Dossiers!$D$8),Dossiers!$A$8&amp;" · "&amp;Dossiers!$B$8,"")</f>
        <v/>
      </c>
      <c r="B248" s="18">
        <f>IF($A248="","",Paramètres!G32)</f>
        <v/>
      </c>
      <c r="C248" s="18">
        <f>IF($A248="","",IF(Paramètres!H32="","",Paramètres!H32))</f>
        <v/>
      </c>
      <c r="D248" s="18">
        <f>IF($A248="","",IF(Paramètres!I32="","",Paramètres!I32))</f>
        <v/>
      </c>
      <c r="E248" s="19">
        <f>IF($A248="","",MIN(E249:E252))</f>
        <v/>
      </c>
      <c r="F248" s="19">
        <f>IF($A248="","",MAX(F249:F252))</f>
        <v/>
      </c>
      <c r="G248" s="18" t="n"/>
      <c r="H248" s="18">
        <f>IF($A248="","",F248-E248+1)</f>
        <v/>
      </c>
      <c r="I248" s="18" t="n"/>
    </row>
    <row r="249">
      <c r="A249" s="18">
        <f>IF(ISNUMBER(Dossiers!$D$8),Dossiers!$A$8&amp;" · "&amp;Dossiers!$B$8,"")</f>
        <v/>
      </c>
      <c r="B249" s="18">
        <f>IF($A249="","",Paramètres!G33)</f>
        <v/>
      </c>
      <c r="C249" s="18">
        <f>IF($A249="","",IF(Paramètres!H33="","",Paramètres!H33))</f>
        <v/>
      </c>
      <c r="D249" s="18">
        <f>IF($A249="","",IF(Paramètres!I33="","",Paramètres!I33))</f>
        <v/>
      </c>
      <c r="E249" s="19">
        <f>IF($A249="","",IF(Paramètres!J33&amp;Paramètres!L33&amp;Paramètres!N33="",Dossiers!$D$8,MAX(IF(Paramètres!J33="",0,IF(Paramètres!K33="",NA(),IF(LEFT(TRIM(Paramètres!K33),1)="F",INDEX($F$221:$F$273,MATCH(Paramètres!J33,Paramètres!$G$5:$G$57,0)),INDEX($E$221:$E$273,MATCH(Paramètres!J33,Paramètres!$G$5:$G$57,0)))+IF(RIGHT(TRIM(Paramètres!K33),3)="Fin",1-$H249,IF(LEFT(TRIM(Paramètres!K33),1)="F",1,0)))),IF(Paramètres!L33="",0,IF(Paramètres!M33="",NA(),IF(LEFT(TRIM(Paramètres!M33),1)="F",INDEX($F$221:$F$273,MATCH(Paramètres!L33,Paramètres!$G$5:$G$57,0)),INDEX($E$221:$E$273,MATCH(Paramètres!L33,Paramètres!$G$5:$G$57,0)))+IF(RIGHT(TRIM(Paramètres!M33),3)="Fin",1-$H249,IF(LEFT(TRIM(Paramètres!M33),1)="F",1,0)))),IF(Paramètres!N33="",0,IF(Paramètres!O33="",NA(),IF(LEFT(TRIM(Paramètres!O33),1)="F",INDEX($F$221:$F$273,MATCH(Paramètres!N33,Paramètres!$G$5:$G$57,0)),INDEX($E$221:$E$273,MATCH(Paramètres!N33,Paramètres!$G$5:$G$57,0)))+IF(RIGHT(TRIM(Paramètres!O33),3)="Fin",1-$H249,IF(LEFT(TRIM(Paramètres!O33),1)="F",1,0)))))))</f>
        <v/>
      </c>
      <c r="F249" s="19">
        <f>IF($A249="","",E249+$H249-1)</f>
        <v/>
      </c>
      <c r="G249" s="18" t="n"/>
      <c r="H249" s="18">
        <f>IF($A249="","",IF(I249&lt;&gt;"",I249,Paramètres!B33))</f>
        <v/>
      </c>
      <c r="I249" s="18" t="n"/>
    </row>
    <row r="250">
      <c r="A250" s="18">
        <f>IF(ISNUMBER(Dossiers!$D$8),Dossiers!$A$8&amp;" · "&amp;Dossiers!$B$8,"")</f>
        <v/>
      </c>
      <c r="B250" s="18">
        <f>IF($A250="","",Paramètres!G34)</f>
        <v/>
      </c>
      <c r="C250" s="18">
        <f>IF($A250="","",IF(Paramètres!H34="","",Paramètres!H34))</f>
        <v/>
      </c>
      <c r="D250" s="18">
        <f>IF($A250="","",IF(Paramètres!I34="","",Paramètres!I34))</f>
        <v/>
      </c>
      <c r="E250" s="19">
        <f>IF($A250="","",IF(Paramètres!J34&amp;Paramètres!L34&amp;Paramètres!N34="",Dossiers!$D$8,MAX(IF(Paramètres!J34="",0,IF(Paramètres!K34="",NA(),IF(LEFT(TRIM(Paramètres!K34),1)="F",INDEX($F$221:$F$273,MATCH(Paramètres!J34,Paramètres!$G$5:$G$57,0)),INDEX($E$221:$E$273,MATCH(Paramètres!J34,Paramètres!$G$5:$G$57,0)))+IF(RIGHT(TRIM(Paramètres!K34),3)="Fin",1-$H250,IF(LEFT(TRIM(Paramètres!K34),1)="F",1,0)))),IF(Paramètres!L34="",0,IF(Paramètres!M34="",NA(),IF(LEFT(TRIM(Paramètres!M34),1)="F",INDEX($F$221:$F$273,MATCH(Paramètres!L34,Paramètres!$G$5:$G$57,0)),INDEX($E$221:$E$273,MATCH(Paramètres!L34,Paramètres!$G$5:$G$57,0)))+IF(RIGHT(TRIM(Paramètres!M34),3)="Fin",1-$H250,IF(LEFT(TRIM(Paramètres!M34),1)="F",1,0)))),IF(Paramètres!N34="",0,IF(Paramètres!O34="",NA(),IF(LEFT(TRIM(Paramètres!O34),1)="F",INDEX($F$221:$F$273,MATCH(Paramètres!N34,Paramètres!$G$5:$G$57,0)),INDEX($E$221:$E$273,MATCH(Paramètres!N34,Paramètres!$G$5:$G$57,0)))+IF(RIGHT(TRIM(Paramètres!O34),3)="Fin",1-$H250,IF(LEFT(TRIM(Paramètres!O34),1)="F",1,0)))))))</f>
        <v/>
      </c>
      <c r="F250" s="19">
        <f>IF($A250="","",E250+$H250-1)</f>
        <v/>
      </c>
      <c r="G250" s="18" t="n"/>
      <c r="H250" s="18">
        <f>IF($A250="","",IF(I250&lt;&gt;"",I250,Paramètres!B34))</f>
        <v/>
      </c>
      <c r="I250" s="18" t="n"/>
    </row>
    <row r="251">
      <c r="A251" s="18">
        <f>IF(ISNUMBER(Dossiers!$D$8),Dossiers!$A$8&amp;" · "&amp;Dossiers!$B$8,"")</f>
        <v/>
      </c>
      <c r="B251" s="18">
        <f>IF($A251="","",Paramètres!G35)</f>
        <v/>
      </c>
      <c r="C251" s="18">
        <f>IF($A251="","",IF(Paramètres!H35="","",Paramètres!H35))</f>
        <v/>
      </c>
      <c r="D251" s="18">
        <f>IF($A251="","",IF(Paramètres!I35="","",Paramètres!I35))</f>
        <v/>
      </c>
      <c r="E251" s="19">
        <f>IF($A251="","",IF(Paramètres!J35&amp;Paramètres!L35&amp;Paramètres!N35="",Dossiers!$D$8,MAX(IF(Paramètres!J35="",0,IF(Paramètres!K35="",NA(),IF(LEFT(TRIM(Paramètres!K35),1)="F",INDEX($F$221:$F$273,MATCH(Paramètres!J35,Paramètres!$G$5:$G$57,0)),INDEX($E$221:$E$273,MATCH(Paramètres!J35,Paramètres!$G$5:$G$57,0)))+IF(RIGHT(TRIM(Paramètres!K35),3)="Fin",1-$H251,IF(LEFT(TRIM(Paramètres!K35),1)="F",1,0)))),IF(Paramètres!L35="",0,IF(Paramètres!M35="",NA(),IF(LEFT(TRIM(Paramètres!M35),1)="F",INDEX($F$221:$F$273,MATCH(Paramètres!L35,Paramètres!$G$5:$G$57,0)),INDEX($E$221:$E$273,MATCH(Paramètres!L35,Paramètres!$G$5:$G$57,0)))+IF(RIGHT(TRIM(Paramètres!M35),3)="Fin",1-$H251,IF(LEFT(TRIM(Paramètres!M35),1)="F",1,0)))),IF(Paramètres!N35="",0,IF(Paramètres!O35="",NA(),IF(LEFT(TRIM(Paramètres!O35),1)="F",INDEX($F$221:$F$273,MATCH(Paramètres!N35,Paramètres!$G$5:$G$57,0)),INDEX($E$221:$E$273,MATCH(Paramètres!N35,Paramètres!$G$5:$G$57,0)))+IF(RIGHT(TRIM(Paramètres!O35),3)="Fin",1-$H251,IF(LEFT(TRIM(Paramètres!O35),1)="F",1,0)))))))</f>
        <v/>
      </c>
      <c r="F251" s="19">
        <f>IF($A251="","",E251+$H251-1)</f>
        <v/>
      </c>
      <c r="G251" s="18" t="n"/>
      <c r="H251" s="18">
        <f>IF($A251="","",IF(I251&lt;&gt;"",I251,Paramètres!B35))</f>
        <v/>
      </c>
      <c r="I251" s="18" t="n"/>
    </row>
    <row r="252">
      <c r="A252" s="18">
        <f>IF(ISNUMBER(Dossiers!$D$8),Dossiers!$A$8&amp;" · "&amp;Dossiers!$B$8,"")</f>
        <v/>
      </c>
      <c r="B252" s="18">
        <f>IF($A252="","",Paramètres!G36)</f>
        <v/>
      </c>
      <c r="C252" s="18">
        <f>IF($A252="","",IF(Paramètres!H36="","",Paramètres!H36))</f>
        <v/>
      </c>
      <c r="D252" s="18">
        <f>IF($A252="","",IF(Paramètres!I36="","",Paramètres!I36))</f>
        <v/>
      </c>
      <c r="E252" s="19">
        <f>IF($A252="","",IF(Paramètres!J36&amp;Paramètres!L36&amp;Paramètres!N36="",Dossiers!$D$8,MAX(IF(Paramètres!J36="",0,IF(Paramètres!K36="",NA(),IF(LEFT(TRIM(Paramètres!K36),1)="F",INDEX($F$221:$F$273,MATCH(Paramètres!J36,Paramètres!$G$5:$G$57,0)),INDEX($E$221:$E$273,MATCH(Paramètres!J36,Paramètres!$G$5:$G$57,0)))+IF(RIGHT(TRIM(Paramètres!K36),3)="Fin",1-$H252,IF(LEFT(TRIM(Paramètres!K36),1)="F",1,0)))),IF(Paramètres!L36="",0,IF(Paramètres!M36="",NA(),IF(LEFT(TRIM(Paramètres!M36),1)="F",INDEX($F$221:$F$273,MATCH(Paramètres!L36,Paramètres!$G$5:$G$57,0)),INDEX($E$221:$E$273,MATCH(Paramètres!L36,Paramètres!$G$5:$G$57,0)))+IF(RIGHT(TRIM(Paramètres!M36),3)="Fin",1-$H252,IF(LEFT(TRIM(Paramètres!M36),1)="F",1,0)))),IF(Paramètres!N36="",0,IF(Paramètres!O36="",NA(),IF(LEFT(TRIM(Paramètres!O36),1)="F",INDEX($F$221:$F$273,MATCH(Paramètres!N36,Paramètres!$G$5:$G$57,0)),INDEX($E$221:$E$273,MATCH(Paramètres!N36,Paramètres!$G$5:$G$57,0)))+IF(RIGHT(TRIM(Paramètres!O36),3)="Fin",1-$H252,IF(LEFT(TRIM(Paramètres!O36),1)="F",1,0)))))))</f>
        <v/>
      </c>
      <c r="F252" s="19">
        <f>IF($A252="","",E252+$H252-1)</f>
        <v/>
      </c>
      <c r="G252" s="18" t="n"/>
      <c r="H252" s="18">
        <f>IF($A252="","",IF(I252&lt;&gt;"",I252,Paramètres!B36))</f>
        <v/>
      </c>
      <c r="I252" s="18" t="n"/>
    </row>
    <row r="253">
      <c r="A253" s="18">
        <f>IF(ISNUMBER(Dossiers!$D$8),Dossiers!$A$8&amp;" · "&amp;Dossiers!$B$8,"")</f>
        <v/>
      </c>
      <c r="B253" s="18">
        <f>IF($A253="","",Paramètres!G37)</f>
        <v/>
      </c>
      <c r="C253" s="18">
        <f>IF($A253="","",IF(Paramètres!H37="","",Paramètres!H37))</f>
        <v/>
      </c>
      <c r="D253" s="18">
        <f>IF($A253="","",IF(Paramètres!I37="","",Paramètres!I37))</f>
        <v/>
      </c>
      <c r="E253" s="19">
        <f>IF($A253="","",MIN(E254:E271))</f>
        <v/>
      </c>
      <c r="F253" s="19">
        <f>IF($A253="","",MAX(F254:F271))</f>
        <v/>
      </c>
      <c r="G253" s="18" t="n"/>
      <c r="H253" s="18">
        <f>IF($A253="","",F253-E253+1)</f>
        <v/>
      </c>
      <c r="I253" s="18" t="n"/>
    </row>
    <row r="254">
      <c r="A254" s="18">
        <f>IF(ISNUMBER(Dossiers!$D$8),Dossiers!$A$8&amp;" · "&amp;Dossiers!$B$8,"")</f>
        <v/>
      </c>
      <c r="B254" s="18">
        <f>IF($A254="","",Paramètres!G38)</f>
        <v/>
      </c>
      <c r="C254" s="18">
        <f>IF($A254="","",IF(Paramètres!H38="","",Paramètres!H38))</f>
        <v/>
      </c>
      <c r="D254" s="18">
        <f>IF($A254="","",IF(Paramètres!I38="","",Paramètres!I38))</f>
        <v/>
      </c>
      <c r="E254" s="19">
        <f>IF($A254="","",IF(Paramètres!J38&amp;Paramètres!L38&amp;Paramètres!N38="",Dossiers!$D$8,MAX(IF(Paramètres!J38="",0,IF(Paramètres!K38="",NA(),IF(LEFT(TRIM(Paramètres!K38),1)="F",INDEX($F$221:$F$273,MATCH(Paramètres!J38,Paramètres!$G$5:$G$57,0)),INDEX($E$221:$E$273,MATCH(Paramètres!J38,Paramètres!$G$5:$G$57,0)))+IF(RIGHT(TRIM(Paramètres!K38),3)="Fin",1-$H254,IF(LEFT(TRIM(Paramètres!K38),1)="F",1,0)))),IF(Paramètres!L38="",0,IF(Paramètres!M38="",NA(),IF(LEFT(TRIM(Paramètres!M38),1)="F",INDEX($F$221:$F$273,MATCH(Paramètres!L38,Paramètres!$G$5:$G$57,0)),INDEX($E$221:$E$273,MATCH(Paramètres!L38,Paramètres!$G$5:$G$57,0)))+IF(RIGHT(TRIM(Paramètres!M38),3)="Fin",1-$H254,IF(LEFT(TRIM(Paramètres!M38),1)="F",1,0)))),IF(Paramètres!N38="",0,IF(Paramètres!O38="",NA(),IF(LEFT(TRIM(Paramètres!O38),1)="F",INDEX($F$221:$F$273,MATCH(Paramètres!N38,Paramètres!$G$5:$G$57,0)),INDEX($E$221:$E$273,MATCH(Paramètres!N38,Paramètres!$G$5:$G$57,0)))+IF(RIGHT(TRIM(Paramètres!O38),3)="Fin",1-$H254,IF(LEFT(TRIM(Paramètres!O38),1)="F",1,0)))))))</f>
        <v/>
      </c>
      <c r="F254" s="19">
        <f>IF($A254="","",E254+$H254-1)</f>
        <v/>
      </c>
      <c r="G254" s="18" t="n"/>
      <c r="H254" s="18">
        <f>IF($A254="","",IF(I254&lt;&gt;"",I254,Paramètres!B38))</f>
        <v/>
      </c>
      <c r="I254" s="18" t="n"/>
    </row>
    <row r="255">
      <c r="A255" s="18">
        <f>IF(ISNUMBER(Dossiers!$D$8),Dossiers!$A$8&amp;" · "&amp;Dossiers!$B$8,"")</f>
        <v/>
      </c>
      <c r="B255" s="18">
        <f>IF($A255="","",Paramètres!G39)</f>
        <v/>
      </c>
      <c r="C255" s="18">
        <f>IF($A255="","",IF(Paramètres!H39="","",Paramètres!H39))</f>
        <v/>
      </c>
      <c r="D255" s="18">
        <f>IF($A255="","",IF(Paramètres!I39="","",Paramètres!I39))</f>
        <v/>
      </c>
      <c r="E255" s="19">
        <f>IF($A255="","",IF(Paramètres!J39&amp;Paramètres!L39&amp;Paramètres!N39="",Dossiers!$D$8,MAX(IF(Paramètres!J39="",0,IF(Paramètres!K39="",NA(),IF(LEFT(TRIM(Paramètres!K39),1)="F",INDEX($F$221:$F$273,MATCH(Paramètres!J39,Paramètres!$G$5:$G$57,0)),INDEX($E$221:$E$273,MATCH(Paramètres!J39,Paramètres!$G$5:$G$57,0)))+IF(RIGHT(TRIM(Paramètres!K39),3)="Fin",1-$H255,IF(LEFT(TRIM(Paramètres!K39),1)="F",1,0)))),IF(Paramètres!L39="",0,IF(Paramètres!M39="",NA(),IF(LEFT(TRIM(Paramètres!M39),1)="F",INDEX($F$221:$F$273,MATCH(Paramètres!L39,Paramètres!$G$5:$G$57,0)),INDEX($E$221:$E$273,MATCH(Paramètres!L39,Paramètres!$G$5:$G$57,0)))+IF(RIGHT(TRIM(Paramètres!M39),3)="Fin",1-$H255,IF(LEFT(TRIM(Paramètres!M39),1)="F",1,0)))),IF(Paramètres!N39="",0,IF(Paramètres!O39="",NA(),IF(LEFT(TRIM(Paramètres!O39),1)="F",INDEX($F$221:$F$273,MATCH(Paramètres!N39,Paramètres!$G$5:$G$57,0)),INDEX($E$221:$E$273,MATCH(Paramètres!N39,Paramètres!$G$5:$G$57,0)))+IF(RIGHT(TRIM(Paramètres!O39),3)="Fin",1-$H255,IF(LEFT(TRIM(Paramètres!O39),1)="F",1,0)))))))</f>
        <v/>
      </c>
      <c r="F255" s="19">
        <f>IF($A255="","",E255+$H255-1)</f>
        <v/>
      </c>
      <c r="G255" s="18" t="n"/>
      <c r="H255" s="18">
        <f>IF($A255="","",IF(I255&lt;&gt;"",I255,Paramètres!B39))</f>
        <v/>
      </c>
      <c r="I255" s="18" t="n"/>
    </row>
    <row r="256">
      <c r="A256" s="18">
        <f>IF(ISNUMBER(Dossiers!$D$8),Dossiers!$A$8&amp;" · "&amp;Dossiers!$B$8,"")</f>
        <v/>
      </c>
      <c r="B256" s="18">
        <f>IF($A256="","",Paramètres!G40)</f>
        <v/>
      </c>
      <c r="C256" s="18">
        <f>IF($A256="","",IF(Paramètres!H40="","",Paramètres!H40))</f>
        <v/>
      </c>
      <c r="D256" s="18">
        <f>IF($A256="","",IF(Paramètres!I40="","",Paramètres!I40))</f>
        <v/>
      </c>
      <c r="E256" s="19">
        <f>IF($A256="","",IF(Paramètres!J40&amp;Paramètres!L40&amp;Paramètres!N40="",Dossiers!$D$8,MAX(IF(Paramètres!J40="",0,IF(Paramètres!K40="",NA(),IF(LEFT(TRIM(Paramètres!K40),1)="F",INDEX($F$221:$F$273,MATCH(Paramètres!J40,Paramètres!$G$5:$G$57,0)),INDEX($E$221:$E$273,MATCH(Paramètres!J40,Paramètres!$G$5:$G$57,0)))+IF(RIGHT(TRIM(Paramètres!K40),3)="Fin",1-$H256,IF(LEFT(TRIM(Paramètres!K40),1)="F",1,0)))),IF(Paramètres!L40="",0,IF(Paramètres!M40="",NA(),IF(LEFT(TRIM(Paramètres!M40),1)="F",INDEX($F$221:$F$273,MATCH(Paramètres!L40,Paramètres!$G$5:$G$57,0)),INDEX($E$221:$E$273,MATCH(Paramètres!L40,Paramètres!$G$5:$G$57,0)))+IF(RIGHT(TRIM(Paramètres!M40),3)="Fin",1-$H256,IF(LEFT(TRIM(Paramètres!M40),1)="F",1,0)))),IF(Paramètres!N40="",0,IF(Paramètres!O40="",NA(),IF(LEFT(TRIM(Paramètres!O40),1)="F",INDEX($F$221:$F$273,MATCH(Paramètres!N40,Paramètres!$G$5:$G$57,0)),INDEX($E$221:$E$273,MATCH(Paramètres!N40,Paramètres!$G$5:$G$57,0)))+IF(RIGHT(TRIM(Paramètres!O40),3)="Fin",1-$H256,IF(LEFT(TRIM(Paramètres!O40),1)="F",1,0)))))))</f>
        <v/>
      </c>
      <c r="F256" s="19">
        <f>IF($A256="","",E256+$H256-1)</f>
        <v/>
      </c>
      <c r="G256" s="18" t="n"/>
      <c r="H256" s="18">
        <f>IF($A256="","",IF(I256&lt;&gt;"",I256,Paramètres!B40))</f>
        <v/>
      </c>
      <c r="I256" s="18" t="n"/>
    </row>
    <row r="257">
      <c r="A257" s="18">
        <f>IF(ISNUMBER(Dossiers!$D$8),Dossiers!$A$8&amp;" · "&amp;Dossiers!$B$8,"")</f>
        <v/>
      </c>
      <c r="B257" s="18">
        <f>IF($A257="","",Paramètres!G41)</f>
        <v/>
      </c>
      <c r="C257" s="18">
        <f>IF($A257="","",IF(Paramètres!H41="","",Paramètres!H41))</f>
        <v/>
      </c>
      <c r="D257" s="18">
        <f>IF($A257="","",IF(Paramètres!I41="","",Paramètres!I41))</f>
        <v/>
      </c>
      <c r="E257" s="19">
        <f>IF($A257="","",IF(Paramètres!J41&amp;Paramètres!L41&amp;Paramètres!N41="",Dossiers!$D$8,MAX(IF(Paramètres!J41="",0,IF(Paramètres!K41="",NA(),IF(LEFT(TRIM(Paramètres!K41),1)="F",INDEX($F$221:$F$273,MATCH(Paramètres!J41,Paramètres!$G$5:$G$57,0)),INDEX($E$221:$E$273,MATCH(Paramètres!J41,Paramètres!$G$5:$G$57,0)))+IF(RIGHT(TRIM(Paramètres!K41),3)="Fin",1-$H257,IF(LEFT(TRIM(Paramètres!K41),1)="F",1,0)))),IF(Paramètres!L41="",0,IF(Paramètres!M41="",NA(),IF(LEFT(TRIM(Paramètres!M41),1)="F",INDEX($F$221:$F$273,MATCH(Paramètres!L41,Paramètres!$G$5:$G$57,0)),INDEX($E$221:$E$273,MATCH(Paramètres!L41,Paramètres!$G$5:$G$57,0)))+IF(RIGHT(TRIM(Paramètres!M41),3)="Fin",1-$H257,IF(LEFT(TRIM(Paramètres!M41),1)="F",1,0)))),IF(Paramètres!N41="",0,IF(Paramètres!O41="",NA(),IF(LEFT(TRIM(Paramètres!O41),1)="F",INDEX($F$221:$F$273,MATCH(Paramètres!N41,Paramètres!$G$5:$G$57,0)),INDEX($E$221:$E$273,MATCH(Paramètres!N41,Paramètres!$G$5:$G$57,0)))+IF(RIGHT(TRIM(Paramètres!O41),3)="Fin",1-$H257,IF(LEFT(TRIM(Paramètres!O41),1)="F",1,0)))))))</f>
        <v/>
      </c>
      <c r="F257" s="19">
        <f>IF($A257="","",E257+$H257-1)</f>
        <v/>
      </c>
      <c r="G257" s="18" t="n"/>
      <c r="H257" s="18">
        <f>IF($A257="","",IF(I257&lt;&gt;"",I257,Paramètres!B41))</f>
        <v/>
      </c>
      <c r="I257" s="18" t="n"/>
    </row>
    <row r="258">
      <c r="A258" s="18">
        <f>IF(ISNUMBER(Dossiers!$D$8),Dossiers!$A$8&amp;" · "&amp;Dossiers!$B$8,"")</f>
        <v/>
      </c>
      <c r="B258" s="18">
        <f>IF($A258="","",Paramètres!G42)</f>
        <v/>
      </c>
      <c r="C258" s="18">
        <f>IF($A258="","",IF(Paramètres!H42="","",Paramètres!H42))</f>
        <v/>
      </c>
      <c r="D258" s="18">
        <f>IF($A258="","",IF(Paramètres!I42="","",Paramètres!I42))</f>
        <v/>
      </c>
      <c r="E258" s="19">
        <f>IF($A258="","",IF(Paramètres!J42&amp;Paramètres!L42&amp;Paramètres!N42="",Dossiers!$D$8,MAX(IF(Paramètres!J42="",0,IF(Paramètres!K42="",NA(),IF(LEFT(TRIM(Paramètres!K42),1)="F",INDEX($F$221:$F$273,MATCH(Paramètres!J42,Paramètres!$G$5:$G$57,0)),INDEX($E$221:$E$273,MATCH(Paramètres!J42,Paramètres!$G$5:$G$57,0)))+IF(RIGHT(TRIM(Paramètres!K42),3)="Fin",1-$H258,IF(LEFT(TRIM(Paramètres!K42),1)="F",1,0)))),IF(Paramètres!L42="",0,IF(Paramètres!M42="",NA(),IF(LEFT(TRIM(Paramètres!M42),1)="F",INDEX($F$221:$F$273,MATCH(Paramètres!L42,Paramètres!$G$5:$G$57,0)),INDEX($E$221:$E$273,MATCH(Paramètres!L42,Paramètres!$G$5:$G$57,0)))+IF(RIGHT(TRIM(Paramètres!M42),3)="Fin",1-$H258,IF(LEFT(TRIM(Paramètres!M42),1)="F",1,0)))),IF(Paramètres!N42="",0,IF(Paramètres!O42="",NA(),IF(LEFT(TRIM(Paramètres!O42),1)="F",INDEX($F$221:$F$273,MATCH(Paramètres!N42,Paramètres!$G$5:$G$57,0)),INDEX($E$221:$E$273,MATCH(Paramètres!N42,Paramètres!$G$5:$G$57,0)))+IF(RIGHT(TRIM(Paramètres!O42),3)="Fin",1-$H258,IF(LEFT(TRIM(Paramètres!O42),1)="F",1,0)))))))</f>
        <v/>
      </c>
      <c r="F258" s="19">
        <f>IF($A258="","",E258+$H258-1)</f>
        <v/>
      </c>
      <c r="G258" s="18" t="n"/>
      <c r="H258" s="18">
        <f>IF($A258="","",IF(I258&lt;&gt;"",I258,Paramètres!B42))</f>
        <v/>
      </c>
      <c r="I258" s="18" t="n"/>
    </row>
    <row r="259">
      <c r="A259" s="18">
        <f>IF(ISNUMBER(Dossiers!$D$8),Dossiers!$A$8&amp;" · "&amp;Dossiers!$B$8,"")</f>
        <v/>
      </c>
      <c r="B259" s="18">
        <f>IF($A259="","",Paramètres!G43)</f>
        <v/>
      </c>
      <c r="C259" s="18">
        <f>IF($A259="","",IF(Paramètres!H43="","",Paramètres!H43))</f>
        <v/>
      </c>
      <c r="D259" s="18">
        <f>IF($A259="","",IF(Paramètres!I43="","",Paramètres!I43))</f>
        <v/>
      </c>
      <c r="E259" s="19">
        <f>IF($A259="","",IF(Paramètres!J43&amp;Paramètres!L43&amp;Paramètres!N43="",Dossiers!$D$8,MAX(IF(Paramètres!J43="",0,IF(Paramètres!K43="",NA(),IF(LEFT(TRIM(Paramètres!K43),1)="F",INDEX($F$221:$F$273,MATCH(Paramètres!J43,Paramètres!$G$5:$G$57,0)),INDEX($E$221:$E$273,MATCH(Paramètres!J43,Paramètres!$G$5:$G$57,0)))+IF(RIGHT(TRIM(Paramètres!K43),3)="Fin",1-$H259,IF(LEFT(TRIM(Paramètres!K43),1)="F",1,0)))),IF(Paramètres!L43="",0,IF(Paramètres!M43="",NA(),IF(LEFT(TRIM(Paramètres!M43),1)="F",INDEX($F$221:$F$273,MATCH(Paramètres!L43,Paramètres!$G$5:$G$57,0)),INDEX($E$221:$E$273,MATCH(Paramètres!L43,Paramètres!$G$5:$G$57,0)))+IF(RIGHT(TRIM(Paramètres!M43),3)="Fin",1-$H259,IF(LEFT(TRIM(Paramètres!M43),1)="F",1,0)))),IF(Paramètres!N43="",0,IF(Paramètres!O43="",NA(),IF(LEFT(TRIM(Paramètres!O43),1)="F",INDEX($F$221:$F$273,MATCH(Paramètres!N43,Paramètres!$G$5:$G$57,0)),INDEX($E$221:$E$273,MATCH(Paramètres!N43,Paramètres!$G$5:$G$57,0)))+IF(RIGHT(TRIM(Paramètres!O43),3)="Fin",1-$H259,IF(LEFT(TRIM(Paramètres!O43),1)="F",1,0)))))))</f>
        <v/>
      </c>
      <c r="F259" s="19">
        <f>IF($A259="","",E259+$H259-1)</f>
        <v/>
      </c>
      <c r="G259" s="18" t="n"/>
      <c r="H259" s="18">
        <f>IF($A259="","",IF(I259&lt;&gt;"",I259,Paramètres!B43))</f>
        <v/>
      </c>
      <c r="I259" s="18" t="n"/>
    </row>
    <row r="260">
      <c r="A260" s="18">
        <f>IF(ISNUMBER(Dossiers!$D$8),Dossiers!$A$8&amp;" · "&amp;Dossiers!$B$8,"")</f>
        <v/>
      </c>
      <c r="B260" s="18">
        <f>IF($A260="","",Paramètres!G44)</f>
        <v/>
      </c>
      <c r="C260" s="18">
        <f>IF($A260="","",IF(Paramètres!H44="","",Paramètres!H44))</f>
        <v/>
      </c>
      <c r="D260" s="18">
        <f>IF($A260="","",IF(Paramètres!I44="","",Paramètres!I44))</f>
        <v/>
      </c>
      <c r="E260" s="19">
        <f>IF($A260="","",IF(Paramètres!J44&amp;Paramètres!L44&amp;Paramètres!N44="",Dossiers!$D$8,MAX(IF(Paramètres!J44="",0,IF(Paramètres!K44="",NA(),IF(LEFT(TRIM(Paramètres!K44),1)="F",INDEX($F$221:$F$273,MATCH(Paramètres!J44,Paramètres!$G$5:$G$57,0)),INDEX($E$221:$E$273,MATCH(Paramètres!J44,Paramètres!$G$5:$G$57,0)))+IF(RIGHT(TRIM(Paramètres!K44),3)="Fin",1-$H260,IF(LEFT(TRIM(Paramètres!K44),1)="F",1,0)))),IF(Paramètres!L44="",0,IF(Paramètres!M44="",NA(),IF(LEFT(TRIM(Paramètres!M44),1)="F",INDEX($F$221:$F$273,MATCH(Paramètres!L44,Paramètres!$G$5:$G$57,0)),INDEX($E$221:$E$273,MATCH(Paramètres!L44,Paramètres!$G$5:$G$57,0)))+IF(RIGHT(TRIM(Paramètres!M44),3)="Fin",1-$H260,IF(LEFT(TRIM(Paramètres!M44),1)="F",1,0)))),IF(Paramètres!N44="",0,IF(Paramètres!O44="",NA(),IF(LEFT(TRIM(Paramètres!O44),1)="F",INDEX($F$221:$F$273,MATCH(Paramètres!N44,Paramètres!$G$5:$G$57,0)),INDEX($E$221:$E$273,MATCH(Paramètres!N44,Paramètres!$G$5:$G$57,0)))+IF(RIGHT(TRIM(Paramètres!O44),3)="Fin",1-$H260,IF(LEFT(TRIM(Paramètres!O44),1)="F",1,0)))))))</f>
        <v/>
      </c>
      <c r="F260" s="19">
        <f>IF($A260="","",E260+$H260-1)</f>
        <v/>
      </c>
      <c r="G260" s="18" t="n"/>
      <c r="H260" s="18">
        <f>IF($A260="","",IF(I260&lt;&gt;"",I260,Paramètres!B44))</f>
        <v/>
      </c>
      <c r="I260" s="18" t="n"/>
    </row>
    <row r="261">
      <c r="A261" s="18">
        <f>IF(ISNUMBER(Dossiers!$D$8),Dossiers!$A$8&amp;" · "&amp;Dossiers!$B$8,"")</f>
        <v/>
      </c>
      <c r="B261" s="18">
        <f>IF($A261="","",Paramètres!G45)</f>
        <v/>
      </c>
      <c r="C261" s="20">
        <f>IF($A261="","",IF(Dossiers!$G$8="","",Dossiers!$G$8))</f>
        <v/>
      </c>
      <c r="D261" s="18">
        <f>IF($A261="","",IF(Paramètres!I45="","",Paramètres!I45))</f>
        <v/>
      </c>
      <c r="E261" s="19">
        <f>IF($A261="","",IF(Paramètres!J45&amp;Paramètres!L45&amp;Paramètres!N45="",Dossiers!$D$8,MAX(IF(Paramètres!J45="",0,IF(Paramètres!K45="",NA(),IF(LEFT(TRIM(Paramètres!K45),1)="F",INDEX($F$221:$F$273,MATCH(Paramètres!J45,Paramètres!$G$5:$G$57,0)),INDEX($E$221:$E$273,MATCH(Paramètres!J45,Paramètres!$G$5:$G$57,0)))+IF(RIGHT(TRIM(Paramètres!K45),3)="Fin",1-$H261,IF(LEFT(TRIM(Paramètres!K45),1)="F",1,0)))),IF(Paramètres!L45="",0,IF(Paramètres!M45="",NA(),IF(LEFT(TRIM(Paramètres!M45),1)="F",INDEX($F$221:$F$273,MATCH(Paramètres!L45,Paramètres!$G$5:$G$57,0)),INDEX($E$221:$E$273,MATCH(Paramètres!L45,Paramètres!$G$5:$G$57,0)))+IF(RIGHT(TRIM(Paramètres!M45),3)="Fin",1-$H261,IF(LEFT(TRIM(Paramètres!M45),1)="F",1,0)))),IF(Paramètres!N45="",0,IF(Paramètres!O45="",NA(),IF(LEFT(TRIM(Paramètres!O45),1)="F",INDEX($F$221:$F$273,MATCH(Paramètres!N45,Paramètres!$G$5:$G$57,0)),INDEX($E$221:$E$273,MATCH(Paramètres!N45,Paramètres!$G$5:$G$57,0)))+IF(RIGHT(TRIM(Paramètres!O45),3)="Fin",1-$H261,IF(LEFT(TRIM(Paramètres!O45),1)="F",1,0)))))))</f>
        <v/>
      </c>
      <c r="F261" s="19">
        <f>IF($A261="","",E261+$H261-1)</f>
        <v/>
      </c>
      <c r="G261" s="18" t="n"/>
      <c r="H261" s="18">
        <f>IF($A261="","",IF(I261&lt;&gt;"",I261,Paramètres!B45))</f>
        <v/>
      </c>
      <c r="I261" s="18" t="n"/>
    </row>
    <row r="262">
      <c r="A262" s="18">
        <f>IF(ISNUMBER(Dossiers!$D$8),Dossiers!$A$8&amp;" · "&amp;Dossiers!$B$8,"")</f>
        <v/>
      </c>
      <c r="B262" s="18">
        <f>IF($A262="","",Paramètres!G46)</f>
        <v/>
      </c>
      <c r="C262" s="18">
        <f>IF($A262="","",IF(Paramètres!H46="","",Paramètres!H46))</f>
        <v/>
      </c>
      <c r="D262" s="18">
        <f>IF($A262="","",IF(Paramètres!I46="","",Paramètres!I46))</f>
        <v/>
      </c>
      <c r="E262" s="19">
        <f>IF($A262="","",IF(Paramètres!J46&amp;Paramètres!L46&amp;Paramètres!N46="",Dossiers!$D$8,MAX(IF(Paramètres!J46="",0,IF(Paramètres!K46="",NA(),IF(LEFT(TRIM(Paramètres!K46),1)="F",INDEX($F$221:$F$273,MATCH(Paramètres!J46,Paramètres!$G$5:$G$57,0)),INDEX($E$221:$E$273,MATCH(Paramètres!J46,Paramètres!$G$5:$G$57,0)))+IF(RIGHT(TRIM(Paramètres!K46),3)="Fin",1-$H262,IF(LEFT(TRIM(Paramètres!K46),1)="F",1,0)))),IF(Paramètres!L46="",0,IF(Paramètres!M46="",NA(),IF(LEFT(TRIM(Paramètres!M46),1)="F",INDEX($F$221:$F$273,MATCH(Paramètres!L46,Paramètres!$G$5:$G$57,0)),INDEX($E$221:$E$273,MATCH(Paramètres!L46,Paramètres!$G$5:$G$57,0)))+IF(RIGHT(TRIM(Paramètres!M46),3)="Fin",1-$H262,IF(LEFT(TRIM(Paramètres!M46),1)="F",1,0)))),IF(Paramètres!N46="",0,IF(Paramètres!O46="",NA(),IF(LEFT(TRIM(Paramètres!O46),1)="F",INDEX($F$221:$F$273,MATCH(Paramètres!N46,Paramètres!$G$5:$G$57,0)),INDEX($E$221:$E$273,MATCH(Paramètres!N46,Paramètres!$G$5:$G$57,0)))+IF(RIGHT(TRIM(Paramètres!O46),3)="Fin",1-$H262,IF(LEFT(TRIM(Paramètres!O46),1)="F",1,0)))))))</f>
        <v/>
      </c>
      <c r="F262" s="19">
        <f>IF($A262="","",E262+$H262-1)</f>
        <v/>
      </c>
      <c r="G262" s="18" t="n"/>
      <c r="H262" s="18">
        <f>IF($A262="","",IF(I262&lt;&gt;"",I262,Paramètres!B46))</f>
        <v/>
      </c>
      <c r="I262" s="18" t="n"/>
    </row>
    <row r="263">
      <c r="A263" s="18">
        <f>IF(ISNUMBER(Dossiers!$D$8),Dossiers!$A$8&amp;" · "&amp;Dossiers!$B$8,"")</f>
        <v/>
      </c>
      <c r="B263" s="18">
        <f>IF($A263="","",Paramètres!G47)</f>
        <v/>
      </c>
      <c r="C263" s="18">
        <f>IF($A263="","",IF(Paramètres!H47="","",Paramètres!H47))</f>
        <v/>
      </c>
      <c r="D263" s="18">
        <f>IF($A263="","",IF(Paramètres!I47="","",Paramètres!I47))</f>
        <v/>
      </c>
      <c r="E263" s="19">
        <f>IF($A263="","",IF(Paramètres!J47&amp;Paramètres!L47&amp;Paramètres!N47="",Dossiers!$D$8,MAX(IF(Paramètres!J47="",0,IF(Paramètres!K47="",NA(),IF(LEFT(TRIM(Paramètres!K47),1)="F",INDEX($F$221:$F$273,MATCH(Paramètres!J47,Paramètres!$G$5:$G$57,0)),INDEX($E$221:$E$273,MATCH(Paramètres!J47,Paramètres!$G$5:$G$57,0)))+IF(RIGHT(TRIM(Paramètres!K47),3)="Fin",1-$H263,IF(LEFT(TRIM(Paramètres!K47),1)="F",1,0)))),IF(Paramètres!L47="",0,IF(Paramètres!M47="",NA(),IF(LEFT(TRIM(Paramètres!M47),1)="F",INDEX($F$221:$F$273,MATCH(Paramètres!L47,Paramètres!$G$5:$G$57,0)),INDEX($E$221:$E$273,MATCH(Paramètres!L47,Paramètres!$G$5:$G$57,0)))+IF(RIGHT(TRIM(Paramètres!M47),3)="Fin",1-$H263,IF(LEFT(TRIM(Paramètres!M47),1)="F",1,0)))),IF(Paramètres!N47="",0,IF(Paramètres!O47="",NA(),IF(LEFT(TRIM(Paramètres!O47),1)="F",INDEX($F$221:$F$273,MATCH(Paramètres!N47,Paramètres!$G$5:$G$57,0)),INDEX($E$221:$E$273,MATCH(Paramètres!N47,Paramètres!$G$5:$G$57,0)))+IF(RIGHT(TRIM(Paramètres!O47),3)="Fin",1-$H263,IF(LEFT(TRIM(Paramètres!O47),1)="F",1,0)))))))</f>
        <v/>
      </c>
      <c r="F263" s="19">
        <f>IF($A263="","",E263+$H263-1)</f>
        <v/>
      </c>
      <c r="G263" s="18" t="n"/>
      <c r="H263" s="18">
        <f>IF($A263="","",IF(I263&lt;&gt;"",I263,Paramètres!B47))</f>
        <v/>
      </c>
      <c r="I263" s="18" t="n"/>
    </row>
    <row r="264">
      <c r="A264" s="18">
        <f>IF(ISNUMBER(Dossiers!$D$8),Dossiers!$A$8&amp;" · "&amp;Dossiers!$B$8,"")</f>
        <v/>
      </c>
      <c r="B264" s="18">
        <f>IF($A264="","",Paramètres!G48)</f>
        <v/>
      </c>
      <c r="C264" s="18">
        <f>IF($A264="","",IF(Paramètres!H48="","",Paramètres!H48))</f>
        <v/>
      </c>
      <c r="D264" s="18">
        <f>IF($A264="","",IF(Paramètres!I48="","",Paramètres!I48))</f>
        <v/>
      </c>
      <c r="E264" s="19">
        <f>IF($A264="","",IF(Paramètres!J48&amp;Paramètres!L48&amp;Paramètres!N48="",Dossiers!$D$8,MAX(IF(Paramètres!J48="",0,IF(Paramètres!K48="",NA(),IF(LEFT(TRIM(Paramètres!K48),1)="F",INDEX($F$221:$F$273,MATCH(Paramètres!J48,Paramètres!$G$5:$G$57,0)),INDEX($E$221:$E$273,MATCH(Paramètres!J48,Paramètres!$G$5:$G$57,0)))+IF(RIGHT(TRIM(Paramètres!K48),3)="Fin",1-$H264,IF(LEFT(TRIM(Paramètres!K48),1)="F",1,0)))),IF(Paramètres!L48="",0,IF(Paramètres!M48="",NA(),IF(LEFT(TRIM(Paramètres!M48),1)="F",INDEX($F$221:$F$273,MATCH(Paramètres!L48,Paramètres!$G$5:$G$57,0)),INDEX($E$221:$E$273,MATCH(Paramètres!L48,Paramètres!$G$5:$G$57,0)))+IF(RIGHT(TRIM(Paramètres!M48),3)="Fin",1-$H264,IF(LEFT(TRIM(Paramètres!M48),1)="F",1,0)))),IF(Paramètres!N48="",0,IF(Paramètres!O48="",NA(),IF(LEFT(TRIM(Paramètres!O48),1)="F",INDEX($F$221:$F$273,MATCH(Paramètres!N48,Paramètres!$G$5:$G$57,0)),INDEX($E$221:$E$273,MATCH(Paramètres!N48,Paramètres!$G$5:$G$57,0)))+IF(RIGHT(TRIM(Paramètres!O48),3)="Fin",1-$H264,IF(LEFT(TRIM(Paramètres!O48),1)="F",1,0)))))))</f>
        <v/>
      </c>
      <c r="F264" s="19">
        <f>IF($A264="","",E264+$H264-1)</f>
        <v/>
      </c>
      <c r="G264" s="18" t="n"/>
      <c r="H264" s="18">
        <f>IF($A264="","",IF(I264&lt;&gt;"",I264,Paramètres!B48))</f>
        <v/>
      </c>
      <c r="I264" s="18" t="n"/>
    </row>
    <row r="265">
      <c r="A265" s="18">
        <f>IF(ISNUMBER(Dossiers!$D$8),Dossiers!$A$8&amp;" · "&amp;Dossiers!$B$8,"")</f>
        <v/>
      </c>
      <c r="B265" s="18">
        <f>IF($A265="","",Paramètres!G49)</f>
        <v/>
      </c>
      <c r="C265" s="18">
        <f>IF($A265="","",IF(Paramètres!H49="","",Paramètres!H49))</f>
        <v/>
      </c>
      <c r="D265" s="18">
        <f>IF($A265="","",IF(Paramètres!I49="","",Paramètres!I49))</f>
        <v/>
      </c>
      <c r="E265" s="19">
        <f>IF($A265="","",IF(Paramètres!J49&amp;Paramètres!L49&amp;Paramètres!N49="",Dossiers!$D$8,MAX(IF(Paramètres!J49="",0,IF(Paramètres!K49="",NA(),IF(LEFT(TRIM(Paramètres!K49),1)="F",INDEX($F$221:$F$273,MATCH(Paramètres!J49,Paramètres!$G$5:$G$57,0)),INDEX($E$221:$E$273,MATCH(Paramètres!J49,Paramètres!$G$5:$G$57,0)))+IF(RIGHT(TRIM(Paramètres!K49),3)="Fin",1-$H265,IF(LEFT(TRIM(Paramètres!K49),1)="F",1,0)))),IF(Paramètres!L49="",0,IF(Paramètres!M49="",NA(),IF(LEFT(TRIM(Paramètres!M49),1)="F",INDEX($F$221:$F$273,MATCH(Paramètres!L49,Paramètres!$G$5:$G$57,0)),INDEX($E$221:$E$273,MATCH(Paramètres!L49,Paramètres!$G$5:$G$57,0)))+IF(RIGHT(TRIM(Paramètres!M49),3)="Fin",1-$H265,IF(LEFT(TRIM(Paramètres!M49),1)="F",1,0)))),IF(Paramètres!N49="",0,IF(Paramètres!O49="",NA(),IF(LEFT(TRIM(Paramètres!O49),1)="F",INDEX($F$221:$F$273,MATCH(Paramètres!N49,Paramètres!$G$5:$G$57,0)),INDEX($E$221:$E$273,MATCH(Paramètres!N49,Paramètres!$G$5:$G$57,0)))+IF(RIGHT(TRIM(Paramètres!O49),3)="Fin",1-$H265,IF(LEFT(TRIM(Paramètres!O49),1)="F",1,0)))))))</f>
        <v/>
      </c>
      <c r="F265" s="19">
        <f>IF($A265="","",E265+$H265-1)</f>
        <v/>
      </c>
      <c r="G265" s="18" t="n"/>
      <c r="H265" s="18">
        <f>IF($A265="","",IF(I265&lt;&gt;"",I265,Paramètres!B49))</f>
        <v/>
      </c>
      <c r="I265" s="18" t="n"/>
    </row>
    <row r="266">
      <c r="A266" s="18">
        <f>IF(ISNUMBER(Dossiers!$D$8),Dossiers!$A$8&amp;" · "&amp;Dossiers!$B$8,"")</f>
        <v/>
      </c>
      <c r="B266" s="18">
        <f>IF($A266="","",Paramètres!G50)</f>
        <v/>
      </c>
      <c r="C266" s="18">
        <f>IF($A266="","",IF(Paramètres!H50="","",Paramètres!H50))</f>
        <v/>
      </c>
      <c r="D266" s="18">
        <f>IF($A266="","",IF(Paramètres!I50="","",Paramètres!I50))</f>
        <v/>
      </c>
      <c r="E266" s="19">
        <f>IF($A266="","",IF(Paramètres!J50&amp;Paramètres!L50&amp;Paramètres!N50="",Dossiers!$D$8,MAX(IF(Paramètres!J50="",0,IF(Paramètres!K50="",NA(),IF(LEFT(TRIM(Paramètres!K50),1)="F",INDEX($F$221:$F$273,MATCH(Paramètres!J50,Paramètres!$G$5:$G$57,0)),INDEX($E$221:$E$273,MATCH(Paramètres!J50,Paramètres!$G$5:$G$57,0)))+IF(RIGHT(TRIM(Paramètres!K50),3)="Fin",1-$H266,IF(LEFT(TRIM(Paramètres!K50),1)="F",1,0)))),IF(Paramètres!L50="",0,IF(Paramètres!M50="",NA(),IF(LEFT(TRIM(Paramètres!M50),1)="F",INDEX($F$221:$F$273,MATCH(Paramètres!L50,Paramètres!$G$5:$G$57,0)),INDEX($E$221:$E$273,MATCH(Paramètres!L50,Paramètres!$G$5:$G$57,0)))+IF(RIGHT(TRIM(Paramètres!M50),3)="Fin",1-$H266,IF(LEFT(TRIM(Paramètres!M50),1)="F",1,0)))),IF(Paramètres!N50="",0,IF(Paramètres!O50="",NA(),IF(LEFT(TRIM(Paramètres!O50),1)="F",INDEX($F$221:$F$273,MATCH(Paramètres!N50,Paramètres!$G$5:$G$57,0)),INDEX($E$221:$E$273,MATCH(Paramètres!N50,Paramètres!$G$5:$G$57,0)))+IF(RIGHT(TRIM(Paramètres!O50),3)="Fin",1-$H266,IF(LEFT(TRIM(Paramètres!O50),1)="F",1,0)))))))</f>
        <v/>
      </c>
      <c r="F266" s="19">
        <f>IF($A266="","",E266+$H266-1)</f>
        <v/>
      </c>
      <c r="G266" s="18" t="n"/>
      <c r="H266" s="18">
        <f>IF($A266="","",IF(I266&lt;&gt;"",I266,Paramètres!B50))</f>
        <v/>
      </c>
      <c r="I266" s="18" t="n"/>
    </row>
    <row r="267">
      <c r="A267" s="18">
        <f>IF(ISNUMBER(Dossiers!$D$8),Dossiers!$A$8&amp;" · "&amp;Dossiers!$B$8,"")</f>
        <v/>
      </c>
      <c r="B267" s="18">
        <f>IF($A267="","",Paramètres!G51)</f>
        <v/>
      </c>
      <c r="C267" s="18">
        <f>IF($A267="","",IF(Paramètres!H51="","",Paramètres!H51))</f>
        <v/>
      </c>
      <c r="D267" s="18">
        <f>IF($A267="","",IF(Paramètres!I51="","",Paramètres!I51))</f>
        <v/>
      </c>
      <c r="E267" s="19">
        <f>IF($A267="","",IF(Paramètres!J51&amp;Paramètres!L51&amp;Paramètres!N51="",Dossiers!$D$8,MAX(IF(Paramètres!J51="",0,IF(Paramètres!K51="",NA(),IF(LEFT(TRIM(Paramètres!K51),1)="F",INDEX($F$221:$F$273,MATCH(Paramètres!J51,Paramètres!$G$5:$G$57,0)),INDEX($E$221:$E$273,MATCH(Paramètres!J51,Paramètres!$G$5:$G$57,0)))+IF(RIGHT(TRIM(Paramètres!K51),3)="Fin",1-$H267,IF(LEFT(TRIM(Paramètres!K51),1)="F",1,0)))),IF(Paramètres!L51="",0,IF(Paramètres!M51="",NA(),IF(LEFT(TRIM(Paramètres!M51),1)="F",INDEX($F$221:$F$273,MATCH(Paramètres!L51,Paramètres!$G$5:$G$57,0)),INDEX($E$221:$E$273,MATCH(Paramètres!L51,Paramètres!$G$5:$G$57,0)))+IF(RIGHT(TRIM(Paramètres!M51),3)="Fin",1-$H267,IF(LEFT(TRIM(Paramètres!M51),1)="F",1,0)))),IF(Paramètres!N51="",0,IF(Paramètres!O51="",NA(),IF(LEFT(TRIM(Paramètres!O51),1)="F",INDEX($F$221:$F$273,MATCH(Paramètres!N51,Paramètres!$G$5:$G$57,0)),INDEX($E$221:$E$273,MATCH(Paramètres!N51,Paramètres!$G$5:$G$57,0)))+IF(RIGHT(TRIM(Paramètres!O51),3)="Fin",1-$H267,IF(LEFT(TRIM(Paramètres!O51),1)="F",1,0)))))))</f>
        <v/>
      </c>
      <c r="F267" s="19">
        <f>IF($A267="","",E267+$H267-1)</f>
        <v/>
      </c>
      <c r="G267" s="18" t="n"/>
      <c r="H267" s="18">
        <f>IF($A267="","",IF(I267&lt;&gt;"",I267,Paramètres!B51))</f>
        <v/>
      </c>
      <c r="I267" s="18" t="n"/>
    </row>
    <row r="268">
      <c r="A268" s="18">
        <f>IF(ISNUMBER(Dossiers!$D$8),Dossiers!$A$8&amp;" · "&amp;Dossiers!$B$8,"")</f>
        <v/>
      </c>
      <c r="B268" s="18">
        <f>IF($A268="","",Paramètres!G52)</f>
        <v/>
      </c>
      <c r="C268" s="18">
        <f>IF($A268="","",IF(Paramètres!H52="","",Paramètres!H52))</f>
        <v/>
      </c>
      <c r="D268" s="18">
        <f>IF($A268="","",IF(Paramètres!I52="","",Paramètres!I52))</f>
        <v/>
      </c>
      <c r="E268" s="19">
        <f>IF($A268="","",IF(Paramètres!J52&amp;Paramètres!L52&amp;Paramètres!N52="",Dossiers!$D$8,MAX(IF(Paramètres!J52="",0,IF(Paramètres!K52="",NA(),IF(LEFT(TRIM(Paramètres!K52),1)="F",INDEX($F$221:$F$273,MATCH(Paramètres!J52,Paramètres!$G$5:$G$57,0)),INDEX($E$221:$E$273,MATCH(Paramètres!J52,Paramètres!$G$5:$G$57,0)))+IF(RIGHT(TRIM(Paramètres!K52),3)="Fin",1-$H268,IF(LEFT(TRIM(Paramètres!K52),1)="F",1,0)))),IF(Paramètres!L52="",0,IF(Paramètres!M52="",NA(),IF(LEFT(TRIM(Paramètres!M52),1)="F",INDEX($F$221:$F$273,MATCH(Paramètres!L52,Paramètres!$G$5:$G$57,0)),INDEX($E$221:$E$273,MATCH(Paramètres!L52,Paramètres!$G$5:$G$57,0)))+IF(RIGHT(TRIM(Paramètres!M52),3)="Fin",1-$H268,IF(LEFT(TRIM(Paramètres!M52),1)="F",1,0)))),IF(Paramètres!N52="",0,IF(Paramètres!O52="",NA(),IF(LEFT(TRIM(Paramètres!O52),1)="F",INDEX($F$221:$F$273,MATCH(Paramètres!N52,Paramètres!$G$5:$G$57,0)),INDEX($E$221:$E$273,MATCH(Paramètres!N52,Paramètres!$G$5:$G$57,0)))+IF(RIGHT(TRIM(Paramètres!O52),3)="Fin",1-$H268,IF(LEFT(TRIM(Paramètres!O52),1)="F",1,0)))))))</f>
        <v/>
      </c>
      <c r="F268" s="19">
        <f>IF($A268="","",E268+$H268-1)</f>
        <v/>
      </c>
      <c r="G268" s="18" t="n"/>
      <c r="H268" s="18">
        <f>IF($A268="","",IF(I268&lt;&gt;"",I268,Paramètres!B52))</f>
        <v/>
      </c>
      <c r="I268" s="18" t="n"/>
    </row>
    <row r="269">
      <c r="A269" s="18">
        <f>IF(ISNUMBER(Dossiers!$D$8),Dossiers!$A$8&amp;" · "&amp;Dossiers!$B$8,"")</f>
        <v/>
      </c>
      <c r="B269" s="18">
        <f>IF($A269="","",Paramètres!G53)</f>
        <v/>
      </c>
      <c r="C269" s="18">
        <f>IF($A269="","",IF(Paramètres!H53="","",Paramètres!H53))</f>
        <v/>
      </c>
      <c r="D269" s="18">
        <f>IF($A269="","",IF(Paramètres!I53="","",Paramètres!I53))</f>
        <v/>
      </c>
      <c r="E269" s="19">
        <f>IF($A269="","",IF(Paramètres!J53&amp;Paramètres!L53&amp;Paramètres!N53="",Dossiers!$D$8,MAX(IF(Paramètres!J53="",0,IF(Paramètres!K53="",NA(),IF(LEFT(TRIM(Paramètres!K53),1)="F",INDEX($F$221:$F$273,MATCH(Paramètres!J53,Paramètres!$G$5:$G$57,0)),INDEX($E$221:$E$273,MATCH(Paramètres!J53,Paramètres!$G$5:$G$57,0)))+IF(RIGHT(TRIM(Paramètres!K53),3)="Fin",1-$H269,IF(LEFT(TRIM(Paramètres!K53),1)="F",1,0)))),IF(Paramètres!L53="",0,IF(Paramètres!M53="",NA(),IF(LEFT(TRIM(Paramètres!M53),1)="F",INDEX($F$221:$F$273,MATCH(Paramètres!L53,Paramètres!$G$5:$G$57,0)),INDEX($E$221:$E$273,MATCH(Paramètres!L53,Paramètres!$G$5:$G$57,0)))+IF(RIGHT(TRIM(Paramètres!M53),3)="Fin",1-$H269,IF(LEFT(TRIM(Paramètres!M53),1)="F",1,0)))),IF(Paramètres!N53="",0,IF(Paramètres!O53="",NA(),IF(LEFT(TRIM(Paramètres!O53),1)="F",INDEX($F$221:$F$273,MATCH(Paramètres!N53,Paramètres!$G$5:$G$57,0)),INDEX($E$221:$E$273,MATCH(Paramètres!N53,Paramètres!$G$5:$G$57,0)))+IF(RIGHT(TRIM(Paramètres!O53),3)="Fin",1-$H269,IF(LEFT(TRIM(Paramètres!O53),1)="F",1,0)))))))</f>
        <v/>
      </c>
      <c r="F269" s="19">
        <f>IF($A269="","",E269+$H269-1)</f>
        <v/>
      </c>
      <c r="G269" s="18" t="n"/>
      <c r="H269" s="18">
        <f>IF($A269="","",IF(I269&lt;&gt;"",I269,Paramètres!B53))</f>
        <v/>
      </c>
      <c r="I269" s="18" t="n"/>
    </row>
    <row r="270">
      <c r="A270" s="18">
        <f>IF(ISNUMBER(Dossiers!$D$8),Dossiers!$A$8&amp;" · "&amp;Dossiers!$B$8,"")</f>
        <v/>
      </c>
      <c r="B270" s="18">
        <f>IF($A270="","",Paramètres!G54)</f>
        <v/>
      </c>
      <c r="C270" s="18">
        <f>IF($A270="","",IF(Paramètres!H54="","",Paramètres!H54))</f>
        <v/>
      </c>
      <c r="D270" s="18">
        <f>IF($A270="","",IF(Paramètres!I54="","",Paramètres!I54))</f>
        <v/>
      </c>
      <c r="E270" s="19">
        <f>IF($A270="","",IF(Paramètres!J54&amp;Paramètres!L54&amp;Paramètres!N54="",Dossiers!$D$8,MAX(IF(Paramètres!J54="",0,IF(Paramètres!K54="",NA(),IF(LEFT(TRIM(Paramètres!K54),1)="F",INDEX($F$221:$F$273,MATCH(Paramètres!J54,Paramètres!$G$5:$G$57,0)),INDEX($E$221:$E$273,MATCH(Paramètres!J54,Paramètres!$G$5:$G$57,0)))+IF(RIGHT(TRIM(Paramètres!K54),3)="Fin",1-$H270,IF(LEFT(TRIM(Paramètres!K54),1)="F",1,0)))),IF(Paramètres!L54="",0,IF(Paramètres!M54="",NA(),IF(LEFT(TRIM(Paramètres!M54),1)="F",INDEX($F$221:$F$273,MATCH(Paramètres!L54,Paramètres!$G$5:$G$57,0)),INDEX($E$221:$E$273,MATCH(Paramètres!L54,Paramètres!$G$5:$G$57,0)))+IF(RIGHT(TRIM(Paramètres!M54),3)="Fin",1-$H270,IF(LEFT(TRIM(Paramètres!M54),1)="F",1,0)))),IF(Paramètres!N54="",0,IF(Paramètres!O54="",NA(),IF(LEFT(TRIM(Paramètres!O54),1)="F",INDEX($F$221:$F$273,MATCH(Paramètres!N54,Paramètres!$G$5:$G$57,0)),INDEX($E$221:$E$273,MATCH(Paramètres!N54,Paramètres!$G$5:$G$57,0)))+IF(RIGHT(TRIM(Paramètres!O54),3)="Fin",1-$H270,IF(LEFT(TRIM(Paramètres!O54),1)="F",1,0)))))))</f>
        <v/>
      </c>
      <c r="F270" s="19">
        <f>IF($A270="","",E270+$H270-1)</f>
        <v/>
      </c>
      <c r="G270" s="18" t="n"/>
      <c r="H270" s="18">
        <f>IF($A270="","",IF(I270&lt;&gt;"",I270,Paramètres!B54))</f>
        <v/>
      </c>
      <c r="I270" s="18" t="n"/>
    </row>
    <row r="271">
      <c r="A271" s="18">
        <f>IF(ISNUMBER(Dossiers!$D$8),Dossiers!$A$8&amp;" · "&amp;Dossiers!$B$8,"")</f>
        <v/>
      </c>
      <c r="B271" s="18">
        <f>IF($A271="","",Paramètres!G55)</f>
        <v/>
      </c>
      <c r="C271" s="18">
        <f>IF($A271="","",IF(Paramètres!H55="","",Paramètres!H55))</f>
        <v/>
      </c>
      <c r="D271" s="18">
        <f>IF($A271="","",IF(Paramètres!I55="","",Paramètres!I55))</f>
        <v/>
      </c>
      <c r="E271" s="19">
        <f>IF($A271="","",IF(Paramètres!J55&amp;Paramètres!L55&amp;Paramètres!N55="",Dossiers!$D$8,MAX(IF(Paramètres!J55="",0,IF(Paramètres!K55="",NA(),IF(LEFT(TRIM(Paramètres!K55),1)="F",INDEX($F$221:$F$273,MATCH(Paramètres!J55,Paramètres!$G$5:$G$57,0)),INDEX($E$221:$E$273,MATCH(Paramètres!J55,Paramètres!$G$5:$G$57,0)))+IF(RIGHT(TRIM(Paramètres!K55),3)="Fin",1-$H271,IF(LEFT(TRIM(Paramètres!K55),1)="F",1,0)))),IF(Paramètres!L55="",0,IF(Paramètres!M55="",NA(),IF(LEFT(TRIM(Paramètres!M55),1)="F",INDEX($F$221:$F$273,MATCH(Paramètres!L55,Paramètres!$G$5:$G$57,0)),INDEX($E$221:$E$273,MATCH(Paramètres!L55,Paramètres!$G$5:$G$57,0)))+IF(RIGHT(TRIM(Paramètres!M55),3)="Fin",1-$H271,IF(LEFT(TRIM(Paramètres!M55),1)="F",1,0)))),IF(Paramètres!N55="",0,IF(Paramètres!O55="",NA(),IF(LEFT(TRIM(Paramètres!O55),1)="F",INDEX($F$221:$F$273,MATCH(Paramètres!N55,Paramètres!$G$5:$G$57,0)),INDEX($E$221:$E$273,MATCH(Paramètres!N55,Paramètres!$G$5:$G$57,0)))+IF(RIGHT(TRIM(Paramètres!O55),3)="Fin",1-$H271,IF(LEFT(TRIM(Paramètres!O55),1)="F",1,0)))))))</f>
        <v/>
      </c>
      <c r="F271" s="19">
        <f>IF($A271="","",E271+$H271-1)</f>
        <v/>
      </c>
      <c r="G271" s="18" t="n"/>
      <c r="H271" s="18">
        <f>IF($A271="","",IF(I271&lt;&gt;"",I271,Paramètres!B55))</f>
        <v/>
      </c>
      <c r="I271" s="18" t="n"/>
    </row>
    <row r="272">
      <c r="A272" s="18">
        <f>IF(ISNUMBER(Dossiers!$D$8),Dossiers!$A$8&amp;" · "&amp;Dossiers!$B$8,"")</f>
        <v/>
      </c>
      <c r="B272" s="18">
        <f>IF($A272="","",Paramètres!G56)</f>
        <v/>
      </c>
      <c r="C272" s="18">
        <f>IF($A272="","",IF(Paramètres!H56="","",Paramètres!H56))</f>
        <v/>
      </c>
      <c r="D272" s="18">
        <f>IF($A272="","",IF(Paramètres!I56="","",Paramètres!I56))</f>
        <v/>
      </c>
      <c r="E272" s="19">
        <f>IF($A272="","",MIN(E273:E273))</f>
        <v/>
      </c>
      <c r="F272" s="19">
        <f>IF($A272="","",MAX(F273:F273))</f>
        <v/>
      </c>
      <c r="G272" s="18" t="n"/>
      <c r="H272" s="18">
        <f>IF($A272="","",F272-E272+1)</f>
        <v/>
      </c>
      <c r="I272" s="18" t="n"/>
    </row>
    <row r="273">
      <c r="A273" s="18">
        <f>IF(ISNUMBER(Dossiers!$D$8),Dossiers!$A$8&amp;" · "&amp;Dossiers!$B$8,"")</f>
        <v/>
      </c>
      <c r="B273" s="18">
        <f>IF($A273="","",Paramètres!G57)</f>
        <v/>
      </c>
      <c r="C273" s="18">
        <f>IF($A273="","",IF(Paramètres!H57="","",Paramètres!H57))</f>
        <v/>
      </c>
      <c r="D273" s="18">
        <f>IF($A273="","",IF(Paramètres!I57="","",Paramètres!I57))</f>
        <v/>
      </c>
      <c r="E273" s="19">
        <f>IF($A273="","",IF(Paramètres!J57&amp;Paramètres!L57&amp;Paramètres!N57="",Dossiers!$D$8,MAX(IF(Paramètres!J57="",0,IF(Paramètres!K57="",NA(),IF(LEFT(TRIM(Paramètres!K57),1)="F",INDEX($F$221:$F$273,MATCH(Paramètres!J57,Paramètres!$G$5:$G$57,0)),INDEX($E$221:$E$273,MATCH(Paramètres!J57,Paramètres!$G$5:$G$57,0)))+IF(RIGHT(TRIM(Paramètres!K57),3)="Fin",1-$H273,IF(LEFT(TRIM(Paramètres!K57),1)="F",1,0)))),IF(Paramètres!L57="",0,IF(Paramètres!M57="",NA(),IF(LEFT(TRIM(Paramètres!M57),1)="F",INDEX($F$221:$F$273,MATCH(Paramètres!L57,Paramètres!$G$5:$G$57,0)),INDEX($E$221:$E$273,MATCH(Paramètres!L57,Paramètres!$G$5:$G$57,0)))+IF(RIGHT(TRIM(Paramètres!M57),3)="Fin",1-$H273,IF(LEFT(TRIM(Paramètres!M57),1)="F",1,0)))),IF(Paramètres!N57="",0,IF(Paramètres!O57="",NA(),IF(LEFT(TRIM(Paramètres!O57),1)="F",INDEX($F$221:$F$273,MATCH(Paramètres!N57,Paramètres!$G$5:$G$57,0)),INDEX($E$221:$E$273,MATCH(Paramètres!N57,Paramètres!$G$5:$G$57,0)))+IF(RIGHT(TRIM(Paramètres!O57),3)="Fin",1-$H273,IF(LEFT(TRIM(Paramètres!O57),1)="F",1,0)))))))</f>
        <v/>
      </c>
      <c r="F273" s="19">
        <f>IF($A273="","",E273+$H273-1)</f>
        <v/>
      </c>
      <c r="G273" s="18" t="n"/>
      <c r="H273" s="18">
        <f>IF($A273="","",IF(I273&lt;&gt;"",I273,Paramètres!B57))</f>
        <v/>
      </c>
      <c r="I273" s="18" t="n"/>
    </row>
    <row r="274">
      <c r="A274" s="16">
        <f>IF(ISNUMBER(Dossiers!$D$9),Dossiers!$E$9,"")</f>
        <v/>
      </c>
      <c r="B274" s="16">
        <f>IF($A274="","","Identifiant")</f>
        <v/>
      </c>
      <c r="C274" s="16">
        <f>IF($A274="","","Macro Etape")</f>
        <v/>
      </c>
      <c r="D274" s="16">
        <f>IF($A274="","","Etape")</f>
        <v/>
      </c>
      <c r="E274" s="17">
        <f>IF($A274="","","Début le")</f>
        <v/>
      </c>
      <c r="F274" s="17">
        <f>IF($A274="","","Fin prévue le")</f>
        <v/>
      </c>
      <c r="G274" s="16">
        <f>IF($A274="","","Statut")</f>
        <v/>
      </c>
      <c r="H274" s="16">
        <f>IF($A274="","","Durée (jours)")</f>
        <v/>
      </c>
      <c r="I274" s="16">
        <f>IF($A274="","","Durée particulière")</f>
        <v/>
      </c>
      <c r="J274" s="10">
        <f>IF($A274="","",HYPERLINK("#'Tableau de bord'!A1","↑ Tableau de bord"))</f>
        <v/>
      </c>
    </row>
    <row r="275">
      <c r="A275" s="18">
        <f>IF(ISNUMBER(Dossiers!$D$9),Dossiers!$A$9&amp;" · "&amp;Dossiers!$B$9,"")</f>
        <v/>
      </c>
      <c r="B275" s="18">
        <f>IF($A275="","",Paramètres!G5)</f>
        <v/>
      </c>
      <c r="C275" s="18">
        <f>IF($A275="","",IF(Paramètres!H5="","",Paramètres!H5))</f>
        <v/>
      </c>
      <c r="D275" s="18">
        <f>IF($A275="","",IF(Paramètres!I5="","",Paramètres!I5))</f>
        <v/>
      </c>
      <c r="E275" s="19">
        <f>IF($A275="","",MIN(E276:E279))</f>
        <v/>
      </c>
      <c r="F275" s="19">
        <f>IF($A275="","",MAX(F276:F279))</f>
        <v/>
      </c>
      <c r="G275" s="18" t="n"/>
      <c r="H275" s="18">
        <f>IF($A275="","",F275-E275+1)</f>
        <v/>
      </c>
      <c r="I275" s="18" t="n"/>
    </row>
    <row r="276">
      <c r="A276" s="18">
        <f>IF(ISNUMBER(Dossiers!$D$9),Dossiers!$A$9&amp;" · "&amp;Dossiers!$B$9,"")</f>
        <v/>
      </c>
      <c r="B276" s="18">
        <f>IF($A276="","",Paramètres!G6)</f>
        <v/>
      </c>
      <c r="C276" s="18">
        <f>IF($A276="","",IF(Paramètres!H6="","",Paramètres!H6))</f>
        <v/>
      </c>
      <c r="D276" s="18">
        <f>IF($A276="","",IF(Paramètres!I6="","",Paramètres!I6))</f>
        <v/>
      </c>
      <c r="E276" s="19">
        <f>IF($A276="","",IF(Paramètres!J6&amp;Paramètres!L6&amp;Paramètres!N6="",Dossiers!$D$9,MAX(IF(Paramètres!J6="",0,IF(Paramètres!K6="",NA(),IF(LEFT(TRIM(Paramètres!K6),1)="F",INDEX($F$275:$F$327,MATCH(Paramètres!J6,Paramètres!$G$5:$G$57,0)),INDEX($E$275:$E$327,MATCH(Paramètres!J6,Paramètres!$G$5:$G$57,0)))+IF(RIGHT(TRIM(Paramètres!K6),3)="Fin",1-$H276,IF(LEFT(TRIM(Paramètres!K6),1)="F",1,0)))),IF(Paramètres!L6="",0,IF(Paramètres!M6="",NA(),IF(LEFT(TRIM(Paramètres!M6),1)="F",INDEX($F$275:$F$327,MATCH(Paramètres!L6,Paramètres!$G$5:$G$57,0)),INDEX($E$275:$E$327,MATCH(Paramètres!L6,Paramètres!$G$5:$G$57,0)))+IF(RIGHT(TRIM(Paramètres!M6),3)="Fin",1-$H276,IF(LEFT(TRIM(Paramètres!M6),1)="F",1,0)))),IF(Paramètres!N6="",0,IF(Paramètres!O6="",NA(),IF(LEFT(TRIM(Paramètres!O6),1)="F",INDEX($F$275:$F$327,MATCH(Paramètres!N6,Paramètres!$G$5:$G$57,0)),INDEX($E$275:$E$327,MATCH(Paramètres!N6,Paramètres!$G$5:$G$57,0)))+IF(RIGHT(TRIM(Paramètres!O6),3)="Fin",1-$H276,IF(LEFT(TRIM(Paramètres!O6),1)="F",1,0)))))))</f>
        <v/>
      </c>
      <c r="F276" s="19">
        <f>IF($A276="","",E276+$H276-1)</f>
        <v/>
      </c>
      <c r="G276" s="18" t="n"/>
      <c r="H276" s="18">
        <f>IF($A276="","",IF(I276&lt;&gt;"",I276,Paramètres!B6))</f>
        <v/>
      </c>
      <c r="I276" s="18" t="n"/>
    </row>
    <row r="277">
      <c r="A277" s="18">
        <f>IF(ISNUMBER(Dossiers!$D$9),Dossiers!$A$9&amp;" · "&amp;Dossiers!$B$9,"")</f>
        <v/>
      </c>
      <c r="B277" s="18">
        <f>IF($A277="","",Paramètres!G7)</f>
        <v/>
      </c>
      <c r="C277" s="18">
        <f>IF($A277="","",IF(Paramètres!H7="","",Paramètres!H7))</f>
        <v/>
      </c>
      <c r="D277" s="18">
        <f>IF($A277="","",IF(Paramètres!I7="","",Paramètres!I7))</f>
        <v/>
      </c>
      <c r="E277" s="19">
        <f>IF($A277="","",IF(Paramètres!J7&amp;Paramètres!L7&amp;Paramètres!N7="",Dossiers!$D$9,MAX(IF(Paramètres!J7="",0,IF(Paramètres!K7="",NA(),IF(LEFT(TRIM(Paramètres!K7),1)="F",INDEX($F$275:$F$327,MATCH(Paramètres!J7,Paramètres!$G$5:$G$57,0)),INDEX($E$275:$E$327,MATCH(Paramètres!J7,Paramètres!$G$5:$G$57,0)))+IF(RIGHT(TRIM(Paramètres!K7),3)="Fin",1-$H277,IF(LEFT(TRIM(Paramètres!K7),1)="F",1,0)))),IF(Paramètres!L7="",0,IF(Paramètres!M7="",NA(),IF(LEFT(TRIM(Paramètres!M7),1)="F",INDEX($F$275:$F$327,MATCH(Paramètres!L7,Paramètres!$G$5:$G$57,0)),INDEX($E$275:$E$327,MATCH(Paramètres!L7,Paramètres!$G$5:$G$57,0)))+IF(RIGHT(TRIM(Paramètres!M7),3)="Fin",1-$H277,IF(LEFT(TRIM(Paramètres!M7),1)="F",1,0)))),IF(Paramètres!N7="",0,IF(Paramètres!O7="",NA(),IF(LEFT(TRIM(Paramètres!O7),1)="F",INDEX($F$275:$F$327,MATCH(Paramètres!N7,Paramètres!$G$5:$G$57,0)),INDEX($E$275:$E$327,MATCH(Paramètres!N7,Paramètres!$G$5:$G$57,0)))+IF(RIGHT(TRIM(Paramètres!O7),3)="Fin",1-$H277,IF(LEFT(TRIM(Paramètres!O7),1)="F",1,0)))))))</f>
        <v/>
      </c>
      <c r="F277" s="19">
        <f>IF($A277="","",E277+$H277-1)</f>
        <v/>
      </c>
      <c r="G277" s="18" t="n"/>
      <c r="H277" s="18">
        <f>IF($A277="","",IF(I277&lt;&gt;"",I277,Paramètres!B7))</f>
        <v/>
      </c>
      <c r="I277" s="18" t="n"/>
    </row>
    <row r="278">
      <c r="A278" s="18">
        <f>IF(ISNUMBER(Dossiers!$D$9),Dossiers!$A$9&amp;" · "&amp;Dossiers!$B$9,"")</f>
        <v/>
      </c>
      <c r="B278" s="18">
        <f>IF($A278="","",Paramètres!G8)</f>
        <v/>
      </c>
      <c r="C278" s="18">
        <f>IF($A278="","",IF(Paramètres!H8="","",Paramètres!H8))</f>
        <v/>
      </c>
      <c r="D278" s="18">
        <f>IF($A278="","",IF(Paramètres!I8="","",Paramètres!I8))</f>
        <v/>
      </c>
      <c r="E278" s="19">
        <f>IF($A278="","",IF(Paramètres!J8&amp;Paramètres!L8&amp;Paramètres!N8="",Dossiers!$D$9,MAX(IF(Paramètres!J8="",0,IF(Paramètres!K8="",NA(),IF(LEFT(TRIM(Paramètres!K8),1)="F",INDEX($F$275:$F$327,MATCH(Paramètres!J8,Paramètres!$G$5:$G$57,0)),INDEX($E$275:$E$327,MATCH(Paramètres!J8,Paramètres!$G$5:$G$57,0)))+IF(RIGHT(TRIM(Paramètres!K8),3)="Fin",1-$H278,IF(LEFT(TRIM(Paramètres!K8),1)="F",1,0)))),IF(Paramètres!L8="",0,IF(Paramètres!M8="",NA(),IF(LEFT(TRIM(Paramètres!M8),1)="F",INDEX($F$275:$F$327,MATCH(Paramètres!L8,Paramètres!$G$5:$G$57,0)),INDEX($E$275:$E$327,MATCH(Paramètres!L8,Paramètres!$G$5:$G$57,0)))+IF(RIGHT(TRIM(Paramètres!M8),3)="Fin",1-$H278,IF(LEFT(TRIM(Paramètres!M8),1)="F",1,0)))),IF(Paramètres!N8="",0,IF(Paramètres!O8="",NA(),IF(LEFT(TRIM(Paramètres!O8),1)="F",INDEX($F$275:$F$327,MATCH(Paramètres!N8,Paramètres!$G$5:$G$57,0)),INDEX($E$275:$E$327,MATCH(Paramètres!N8,Paramètres!$G$5:$G$57,0)))+IF(RIGHT(TRIM(Paramètres!O8),3)="Fin",1-$H278,IF(LEFT(TRIM(Paramètres!O8),1)="F",1,0)))))))</f>
        <v/>
      </c>
      <c r="F278" s="19">
        <f>IF($A278="","",E278+$H278-1)</f>
        <v/>
      </c>
      <c r="G278" s="18" t="n"/>
      <c r="H278" s="18">
        <f>IF($A278="","",IF(I278&lt;&gt;"",I278,Paramètres!B8))</f>
        <v/>
      </c>
      <c r="I278" s="18" t="n"/>
    </row>
    <row r="279">
      <c r="A279" s="18">
        <f>IF(ISNUMBER(Dossiers!$D$9),Dossiers!$A$9&amp;" · "&amp;Dossiers!$B$9,"")</f>
        <v/>
      </c>
      <c r="B279" s="18">
        <f>IF($A279="","",Paramètres!G9)</f>
        <v/>
      </c>
      <c r="C279" s="18">
        <f>IF($A279="","",IF(Paramètres!H9="","",Paramètres!H9))</f>
        <v/>
      </c>
      <c r="D279" s="18">
        <f>IF($A279="","",IF(Paramètres!I9="","",Paramètres!I9))</f>
        <v/>
      </c>
      <c r="E279" s="19">
        <f>IF($A279="","",IF(Paramètres!J9&amp;Paramètres!L9&amp;Paramètres!N9="",Dossiers!$D$9,MAX(IF(Paramètres!J9="",0,IF(Paramètres!K9="",NA(),IF(LEFT(TRIM(Paramètres!K9),1)="F",INDEX($F$275:$F$327,MATCH(Paramètres!J9,Paramètres!$G$5:$G$57,0)),INDEX($E$275:$E$327,MATCH(Paramètres!J9,Paramètres!$G$5:$G$57,0)))+IF(RIGHT(TRIM(Paramètres!K9),3)="Fin",1-$H279,IF(LEFT(TRIM(Paramètres!K9),1)="F",1,0)))),IF(Paramètres!L9="",0,IF(Paramètres!M9="",NA(),IF(LEFT(TRIM(Paramètres!M9),1)="F",INDEX($F$275:$F$327,MATCH(Paramètres!L9,Paramètres!$G$5:$G$57,0)),INDEX($E$275:$E$327,MATCH(Paramètres!L9,Paramètres!$G$5:$G$57,0)))+IF(RIGHT(TRIM(Paramètres!M9),3)="Fin",1-$H279,IF(LEFT(TRIM(Paramètres!M9),1)="F",1,0)))),IF(Paramètres!N9="",0,IF(Paramètres!O9="",NA(),IF(LEFT(TRIM(Paramètres!O9),1)="F",INDEX($F$275:$F$327,MATCH(Paramètres!N9,Paramètres!$G$5:$G$57,0)),INDEX($E$275:$E$327,MATCH(Paramètres!N9,Paramètres!$G$5:$G$57,0)))+IF(RIGHT(TRIM(Paramètres!O9),3)="Fin",1-$H279,IF(LEFT(TRIM(Paramètres!O9),1)="F",1,0)))))))</f>
        <v/>
      </c>
      <c r="F279" s="19">
        <f>IF($A279="","",E279+$H279-1)</f>
        <v/>
      </c>
      <c r="G279" s="18" t="n"/>
      <c r="H279" s="18">
        <f>IF($A279="","",IF(I279&lt;&gt;"",I279,Paramètres!B9))</f>
        <v/>
      </c>
      <c r="I279" s="18" t="n"/>
    </row>
    <row r="280">
      <c r="A280" s="18">
        <f>IF(ISNUMBER(Dossiers!$D$9),Dossiers!$A$9&amp;" · "&amp;Dossiers!$B$9,"")</f>
        <v/>
      </c>
      <c r="B280" s="18">
        <f>IF($A280="","",Paramètres!G10)</f>
        <v/>
      </c>
      <c r="C280" s="18">
        <f>IF($A280="","",IF(Paramètres!H10="","",Paramètres!H10))</f>
        <v/>
      </c>
      <c r="D280" s="18">
        <f>IF($A280="","",IF(Paramètres!I10="","",Paramètres!I10))</f>
        <v/>
      </c>
      <c r="E280" s="19">
        <f>IF($A280="","",MIN(E281:E284))</f>
        <v/>
      </c>
      <c r="F280" s="19">
        <f>IF($A280="","",MAX(F281:F284))</f>
        <v/>
      </c>
      <c r="G280" s="18" t="n"/>
      <c r="H280" s="18">
        <f>IF($A280="","",F280-E280+1)</f>
        <v/>
      </c>
      <c r="I280" s="18" t="n"/>
    </row>
    <row r="281">
      <c r="A281" s="18">
        <f>IF(ISNUMBER(Dossiers!$D$9),Dossiers!$A$9&amp;" · "&amp;Dossiers!$B$9,"")</f>
        <v/>
      </c>
      <c r="B281" s="18">
        <f>IF($A281="","",Paramètres!G11)</f>
        <v/>
      </c>
      <c r="C281" s="18">
        <f>IF($A281="","",IF(Paramètres!H11="","",Paramètres!H11))</f>
        <v/>
      </c>
      <c r="D281" s="18">
        <f>IF($A281="","",IF(Paramètres!I11="","",Paramètres!I11))</f>
        <v/>
      </c>
      <c r="E281" s="19">
        <f>IF($A281="","",IF(Paramètres!J11&amp;Paramètres!L11&amp;Paramètres!N11="",Dossiers!$D$9,MAX(IF(Paramètres!J11="",0,IF(Paramètres!K11="",NA(),IF(LEFT(TRIM(Paramètres!K11),1)="F",INDEX($F$275:$F$327,MATCH(Paramètres!J11,Paramètres!$G$5:$G$57,0)),INDEX($E$275:$E$327,MATCH(Paramètres!J11,Paramètres!$G$5:$G$57,0)))+IF(RIGHT(TRIM(Paramètres!K11),3)="Fin",1-$H281,IF(LEFT(TRIM(Paramètres!K11),1)="F",1,0)))),IF(Paramètres!L11="",0,IF(Paramètres!M11="",NA(),IF(LEFT(TRIM(Paramètres!M11),1)="F",INDEX($F$275:$F$327,MATCH(Paramètres!L11,Paramètres!$G$5:$G$57,0)),INDEX($E$275:$E$327,MATCH(Paramètres!L11,Paramètres!$G$5:$G$57,0)))+IF(RIGHT(TRIM(Paramètres!M11),3)="Fin",1-$H281,IF(LEFT(TRIM(Paramètres!M11),1)="F",1,0)))),IF(Paramètres!N11="",0,IF(Paramètres!O11="",NA(),IF(LEFT(TRIM(Paramètres!O11),1)="F",INDEX($F$275:$F$327,MATCH(Paramètres!N11,Paramètres!$G$5:$G$57,0)),INDEX($E$275:$E$327,MATCH(Paramètres!N11,Paramètres!$G$5:$G$57,0)))+IF(RIGHT(TRIM(Paramètres!O11),3)="Fin",1-$H281,IF(LEFT(TRIM(Paramètres!O11),1)="F",1,0)))))))</f>
        <v/>
      </c>
      <c r="F281" s="19">
        <f>IF($A281="","",E281+$H281-1)</f>
        <v/>
      </c>
      <c r="G281" s="18" t="n"/>
      <c r="H281" s="18">
        <f>IF($A281="","",IF(I281&lt;&gt;"",I281,Paramètres!B11))</f>
        <v/>
      </c>
      <c r="I281" s="18" t="n"/>
    </row>
    <row r="282">
      <c r="A282" s="18">
        <f>IF(ISNUMBER(Dossiers!$D$9),Dossiers!$A$9&amp;" · "&amp;Dossiers!$B$9,"")</f>
        <v/>
      </c>
      <c r="B282" s="18">
        <f>IF($A282="","",Paramètres!G12)</f>
        <v/>
      </c>
      <c r="C282" s="18">
        <f>IF($A282="","",IF(Paramètres!H12="","",Paramètres!H12))</f>
        <v/>
      </c>
      <c r="D282" s="18">
        <f>IF($A282="","",IF(Paramètres!I12="","",Paramètres!I12))</f>
        <v/>
      </c>
      <c r="E282" s="19">
        <f>IF($A282="","",IF(Paramètres!J12&amp;Paramètres!L12&amp;Paramètres!N12="",Dossiers!$D$9,MAX(IF(Paramètres!J12="",0,IF(Paramètres!K12="",NA(),IF(LEFT(TRIM(Paramètres!K12),1)="F",INDEX($F$275:$F$327,MATCH(Paramètres!J12,Paramètres!$G$5:$G$57,0)),INDEX($E$275:$E$327,MATCH(Paramètres!J12,Paramètres!$G$5:$G$57,0)))+IF(RIGHT(TRIM(Paramètres!K12),3)="Fin",1-$H282,IF(LEFT(TRIM(Paramètres!K12),1)="F",1,0)))),IF(Paramètres!L12="",0,IF(Paramètres!M12="",NA(),IF(LEFT(TRIM(Paramètres!M12),1)="F",INDEX($F$275:$F$327,MATCH(Paramètres!L12,Paramètres!$G$5:$G$57,0)),INDEX($E$275:$E$327,MATCH(Paramètres!L12,Paramètres!$G$5:$G$57,0)))+IF(RIGHT(TRIM(Paramètres!M12),3)="Fin",1-$H282,IF(LEFT(TRIM(Paramètres!M12),1)="F",1,0)))),IF(Paramètres!N12="",0,IF(Paramètres!O12="",NA(),IF(LEFT(TRIM(Paramètres!O12),1)="F",INDEX($F$275:$F$327,MATCH(Paramètres!N12,Paramètres!$G$5:$G$57,0)),INDEX($E$275:$E$327,MATCH(Paramètres!N12,Paramètres!$G$5:$G$57,0)))+IF(RIGHT(TRIM(Paramètres!O12),3)="Fin",1-$H282,IF(LEFT(TRIM(Paramètres!O12),1)="F",1,0)))))))</f>
        <v/>
      </c>
      <c r="F282" s="19">
        <f>IF($A282="","",E282+$H282-1)</f>
        <v/>
      </c>
      <c r="G282" s="18" t="n"/>
      <c r="H282" s="18">
        <f>IF($A282="","",IF(I282&lt;&gt;"",I282,Paramètres!B12))</f>
        <v/>
      </c>
      <c r="I282" s="18" t="n"/>
    </row>
    <row r="283">
      <c r="A283" s="18">
        <f>IF(ISNUMBER(Dossiers!$D$9),Dossiers!$A$9&amp;" · "&amp;Dossiers!$B$9,"")</f>
        <v/>
      </c>
      <c r="B283" s="18">
        <f>IF($A283="","",Paramètres!G13)</f>
        <v/>
      </c>
      <c r="C283" s="18">
        <f>IF($A283="","",IF(Paramètres!H13="","",Paramètres!H13))</f>
        <v/>
      </c>
      <c r="D283" s="18">
        <f>IF($A283="","",IF(Paramètres!I13="","",Paramètres!I13))</f>
        <v/>
      </c>
      <c r="E283" s="19">
        <f>IF($A283="","",IF(Paramètres!J13&amp;Paramètres!L13&amp;Paramètres!N13="",Dossiers!$D$9,MAX(IF(Paramètres!J13="",0,IF(Paramètres!K13="",NA(),IF(LEFT(TRIM(Paramètres!K13),1)="F",INDEX($F$275:$F$327,MATCH(Paramètres!J13,Paramètres!$G$5:$G$57,0)),INDEX($E$275:$E$327,MATCH(Paramètres!J13,Paramètres!$G$5:$G$57,0)))+IF(RIGHT(TRIM(Paramètres!K13),3)="Fin",1-$H283,IF(LEFT(TRIM(Paramètres!K13),1)="F",1,0)))),IF(Paramètres!L13="",0,IF(Paramètres!M13="",NA(),IF(LEFT(TRIM(Paramètres!M13),1)="F",INDEX($F$275:$F$327,MATCH(Paramètres!L13,Paramètres!$G$5:$G$57,0)),INDEX($E$275:$E$327,MATCH(Paramètres!L13,Paramètres!$G$5:$G$57,0)))+IF(RIGHT(TRIM(Paramètres!M13),3)="Fin",1-$H283,IF(LEFT(TRIM(Paramètres!M13),1)="F",1,0)))),IF(Paramètres!N13="",0,IF(Paramètres!O13="",NA(),IF(LEFT(TRIM(Paramètres!O13),1)="F",INDEX($F$275:$F$327,MATCH(Paramètres!N13,Paramètres!$G$5:$G$57,0)),INDEX($E$275:$E$327,MATCH(Paramètres!N13,Paramètres!$G$5:$G$57,0)))+IF(RIGHT(TRIM(Paramètres!O13),3)="Fin",1-$H283,IF(LEFT(TRIM(Paramètres!O13),1)="F",1,0)))))))</f>
        <v/>
      </c>
      <c r="F283" s="19">
        <f>IF($A283="","",E283+$H283-1)</f>
        <v/>
      </c>
      <c r="G283" s="18" t="n"/>
      <c r="H283" s="18">
        <f>IF($A283="","",IF(I283&lt;&gt;"",I283,Paramètres!B13))</f>
        <v/>
      </c>
      <c r="I283" s="18" t="n"/>
    </row>
    <row r="284">
      <c r="A284" s="18">
        <f>IF(ISNUMBER(Dossiers!$D$9),Dossiers!$A$9&amp;" · "&amp;Dossiers!$B$9,"")</f>
        <v/>
      </c>
      <c r="B284" s="18">
        <f>IF($A284="","",Paramètres!G14)</f>
        <v/>
      </c>
      <c r="C284" s="18">
        <f>IF($A284="","",IF(Paramètres!H14="","",Paramètres!H14))</f>
        <v/>
      </c>
      <c r="D284" s="18">
        <f>IF($A284="","",IF(Paramètres!I14="","",Paramètres!I14))</f>
        <v/>
      </c>
      <c r="E284" s="19">
        <f>IF($A284="","",IF(Paramètres!J14&amp;Paramètres!L14&amp;Paramètres!N14="",Dossiers!$D$9,MAX(IF(Paramètres!J14="",0,IF(Paramètres!K14="",NA(),IF(LEFT(TRIM(Paramètres!K14),1)="F",INDEX($F$275:$F$327,MATCH(Paramètres!J14,Paramètres!$G$5:$G$57,0)),INDEX($E$275:$E$327,MATCH(Paramètres!J14,Paramètres!$G$5:$G$57,0)))+IF(RIGHT(TRIM(Paramètres!K14),3)="Fin",1-$H284,IF(LEFT(TRIM(Paramètres!K14),1)="F",1,0)))),IF(Paramètres!L14="",0,IF(Paramètres!M14="",NA(),IF(LEFT(TRIM(Paramètres!M14),1)="F",INDEX($F$275:$F$327,MATCH(Paramètres!L14,Paramètres!$G$5:$G$57,0)),INDEX($E$275:$E$327,MATCH(Paramètres!L14,Paramètres!$G$5:$G$57,0)))+IF(RIGHT(TRIM(Paramètres!M14),3)="Fin",1-$H284,IF(LEFT(TRIM(Paramètres!M14),1)="F",1,0)))),IF(Paramètres!N14="",0,IF(Paramètres!O14="",NA(),IF(LEFT(TRIM(Paramètres!O14),1)="F",INDEX($F$275:$F$327,MATCH(Paramètres!N14,Paramètres!$G$5:$G$57,0)),INDEX($E$275:$E$327,MATCH(Paramètres!N14,Paramètres!$G$5:$G$57,0)))+IF(RIGHT(TRIM(Paramètres!O14),3)="Fin",1-$H284,IF(LEFT(TRIM(Paramètres!O14),1)="F",1,0)))))))</f>
        <v/>
      </c>
      <c r="F284" s="19">
        <f>IF($A284="","",E284+$H284-1)</f>
        <v/>
      </c>
      <c r="G284" s="18" t="n"/>
      <c r="H284" s="18">
        <f>IF($A284="","",IF(I284&lt;&gt;"",I284,Paramètres!B14))</f>
        <v/>
      </c>
      <c r="I284" s="18" t="n"/>
    </row>
    <row r="285">
      <c r="A285" s="18">
        <f>IF(ISNUMBER(Dossiers!$D$9),Dossiers!$A$9&amp;" · "&amp;Dossiers!$B$9,"")</f>
        <v/>
      </c>
      <c r="B285" s="18">
        <f>IF($A285="","",Paramètres!G15)</f>
        <v/>
      </c>
      <c r="C285" s="18">
        <f>IF($A285="","",IF(Paramètres!H15="","",Paramètres!H15))</f>
        <v/>
      </c>
      <c r="D285" s="18">
        <f>IF($A285="","",IF(Paramètres!I15="","",Paramètres!I15))</f>
        <v/>
      </c>
      <c r="E285" s="19">
        <f>IF($A285="","",MIN(E286:E301))</f>
        <v/>
      </c>
      <c r="F285" s="19">
        <f>IF($A285="","",MAX(F286:F301))</f>
        <v/>
      </c>
      <c r="G285" s="18" t="n"/>
      <c r="H285" s="18">
        <f>IF($A285="","",F285-E285+1)</f>
        <v/>
      </c>
      <c r="I285" s="18" t="n"/>
    </row>
    <row r="286">
      <c r="A286" s="18">
        <f>IF(ISNUMBER(Dossiers!$D$9),Dossiers!$A$9&amp;" · "&amp;Dossiers!$B$9,"")</f>
        <v/>
      </c>
      <c r="B286" s="18">
        <f>IF($A286="","",Paramètres!G16)</f>
        <v/>
      </c>
      <c r="C286" s="18">
        <f>IF($A286="","",IF(Paramètres!H16="","",Paramètres!H16))</f>
        <v/>
      </c>
      <c r="D286" s="18">
        <f>IF($A286="","",IF(Paramètres!I16="","",Paramètres!I16))</f>
        <v/>
      </c>
      <c r="E286" s="19">
        <f>IF($A286="","",IF(Paramètres!J16&amp;Paramètres!L16&amp;Paramètres!N16="",Dossiers!$D$9,MAX(IF(Paramètres!J16="",0,IF(Paramètres!K16="",NA(),IF(LEFT(TRIM(Paramètres!K16),1)="F",INDEX($F$275:$F$327,MATCH(Paramètres!J16,Paramètres!$G$5:$G$57,0)),INDEX($E$275:$E$327,MATCH(Paramètres!J16,Paramètres!$G$5:$G$57,0)))+IF(RIGHT(TRIM(Paramètres!K16),3)="Fin",1-$H286,IF(LEFT(TRIM(Paramètres!K16),1)="F",1,0)))),IF(Paramètres!L16="",0,IF(Paramètres!M16="",NA(),IF(LEFT(TRIM(Paramètres!M16),1)="F",INDEX($F$275:$F$327,MATCH(Paramètres!L16,Paramètres!$G$5:$G$57,0)),INDEX($E$275:$E$327,MATCH(Paramètres!L16,Paramètres!$G$5:$G$57,0)))+IF(RIGHT(TRIM(Paramètres!M16),3)="Fin",1-$H286,IF(LEFT(TRIM(Paramètres!M16),1)="F",1,0)))),IF(Paramètres!N16="",0,IF(Paramètres!O16="",NA(),IF(LEFT(TRIM(Paramètres!O16),1)="F",INDEX($F$275:$F$327,MATCH(Paramètres!N16,Paramètres!$G$5:$G$57,0)),INDEX($E$275:$E$327,MATCH(Paramètres!N16,Paramètres!$G$5:$G$57,0)))+IF(RIGHT(TRIM(Paramètres!O16),3)="Fin",1-$H286,IF(LEFT(TRIM(Paramètres!O16),1)="F",1,0)))))))</f>
        <v/>
      </c>
      <c r="F286" s="19">
        <f>IF($A286="","",E286+$H286-1)</f>
        <v/>
      </c>
      <c r="G286" s="18" t="n"/>
      <c r="H286" s="18">
        <f>IF($A286="","",IF(I286&lt;&gt;"",I286,Paramètres!B16))</f>
        <v/>
      </c>
      <c r="I286" s="18" t="n"/>
    </row>
    <row r="287">
      <c r="A287" s="18">
        <f>IF(ISNUMBER(Dossiers!$D$9),Dossiers!$A$9&amp;" · "&amp;Dossiers!$B$9,"")</f>
        <v/>
      </c>
      <c r="B287" s="18">
        <f>IF($A287="","",Paramètres!G17)</f>
        <v/>
      </c>
      <c r="C287" s="18">
        <f>IF($A287="","",IF(Paramètres!H17="","",Paramètres!H17))</f>
        <v/>
      </c>
      <c r="D287" s="18">
        <f>IF($A287="","",IF(Paramètres!I17="","",Paramètres!I17))</f>
        <v/>
      </c>
      <c r="E287" s="19">
        <f>IF($A287="","",IF(Paramètres!J17&amp;Paramètres!L17&amp;Paramètres!N17="",Dossiers!$D$9,MAX(IF(Paramètres!J17="",0,IF(Paramètres!K17="",NA(),IF(LEFT(TRIM(Paramètres!K17),1)="F",INDEX($F$275:$F$327,MATCH(Paramètres!J17,Paramètres!$G$5:$G$57,0)),INDEX($E$275:$E$327,MATCH(Paramètres!J17,Paramètres!$G$5:$G$57,0)))+IF(RIGHT(TRIM(Paramètres!K17),3)="Fin",1-$H287,IF(LEFT(TRIM(Paramètres!K17),1)="F",1,0)))),IF(Paramètres!L17="",0,IF(Paramètres!M17="",NA(),IF(LEFT(TRIM(Paramètres!M17),1)="F",INDEX($F$275:$F$327,MATCH(Paramètres!L17,Paramètres!$G$5:$G$57,0)),INDEX($E$275:$E$327,MATCH(Paramètres!L17,Paramètres!$G$5:$G$57,0)))+IF(RIGHT(TRIM(Paramètres!M17),3)="Fin",1-$H287,IF(LEFT(TRIM(Paramètres!M17),1)="F",1,0)))),IF(Paramètres!N17="",0,IF(Paramètres!O17="",NA(),IF(LEFT(TRIM(Paramètres!O17),1)="F",INDEX($F$275:$F$327,MATCH(Paramètres!N17,Paramètres!$G$5:$G$57,0)),INDEX($E$275:$E$327,MATCH(Paramètres!N17,Paramètres!$G$5:$G$57,0)))+IF(RIGHT(TRIM(Paramètres!O17),3)="Fin",1-$H287,IF(LEFT(TRIM(Paramètres!O17),1)="F",1,0)))))))</f>
        <v/>
      </c>
      <c r="F287" s="19">
        <f>IF($A287="","",E287+$H287-1)</f>
        <v/>
      </c>
      <c r="G287" s="18" t="n"/>
      <c r="H287" s="18">
        <f>IF($A287="","",IF(I287&lt;&gt;"",I287,Paramètres!B17))</f>
        <v/>
      </c>
      <c r="I287" s="18" t="n"/>
    </row>
    <row r="288">
      <c r="A288" s="18">
        <f>IF(ISNUMBER(Dossiers!$D$9),Dossiers!$A$9&amp;" · "&amp;Dossiers!$B$9,"")</f>
        <v/>
      </c>
      <c r="B288" s="18">
        <f>IF($A288="","",Paramètres!G18)</f>
        <v/>
      </c>
      <c r="C288" s="18">
        <f>IF($A288="","",IF(Paramètres!H18="","",Paramètres!H18))</f>
        <v/>
      </c>
      <c r="D288" s="18">
        <f>IF($A288="","",IF(Paramètres!I18="","",Paramètres!I18))</f>
        <v/>
      </c>
      <c r="E288" s="19">
        <f>IF($A288="","",IF(Paramètres!J18&amp;Paramètres!L18&amp;Paramètres!N18="",Dossiers!$D$9,MAX(IF(Paramètres!J18="",0,IF(Paramètres!K18="",NA(),IF(LEFT(TRIM(Paramètres!K18),1)="F",INDEX($F$275:$F$327,MATCH(Paramètres!J18,Paramètres!$G$5:$G$57,0)),INDEX($E$275:$E$327,MATCH(Paramètres!J18,Paramètres!$G$5:$G$57,0)))+IF(RIGHT(TRIM(Paramètres!K18),3)="Fin",1-$H288,IF(LEFT(TRIM(Paramètres!K18),1)="F",1,0)))),IF(Paramètres!L18="",0,IF(Paramètres!M18="",NA(),IF(LEFT(TRIM(Paramètres!M18),1)="F",INDEX($F$275:$F$327,MATCH(Paramètres!L18,Paramètres!$G$5:$G$57,0)),INDEX($E$275:$E$327,MATCH(Paramètres!L18,Paramètres!$G$5:$G$57,0)))+IF(RIGHT(TRIM(Paramètres!M18),3)="Fin",1-$H288,IF(LEFT(TRIM(Paramètres!M18),1)="F",1,0)))),IF(Paramètres!N18="",0,IF(Paramètres!O18="",NA(),IF(LEFT(TRIM(Paramètres!O18),1)="F",INDEX($F$275:$F$327,MATCH(Paramètres!N18,Paramètres!$G$5:$G$57,0)),INDEX($E$275:$E$327,MATCH(Paramètres!N18,Paramètres!$G$5:$G$57,0)))+IF(RIGHT(TRIM(Paramètres!O18),3)="Fin",1-$H288,IF(LEFT(TRIM(Paramètres!O18),1)="F",1,0)))))))</f>
        <v/>
      </c>
      <c r="F288" s="19">
        <f>IF($A288="","",E288+$H288-1)</f>
        <v/>
      </c>
      <c r="G288" s="18" t="n"/>
      <c r="H288" s="18">
        <f>IF($A288="","",IF(I288&lt;&gt;"",I288,Paramètres!B18))</f>
        <v/>
      </c>
      <c r="I288" s="18" t="n"/>
    </row>
    <row r="289">
      <c r="A289" s="18">
        <f>IF(ISNUMBER(Dossiers!$D$9),Dossiers!$A$9&amp;" · "&amp;Dossiers!$B$9,"")</f>
        <v/>
      </c>
      <c r="B289" s="18">
        <f>IF($A289="","",Paramètres!G19)</f>
        <v/>
      </c>
      <c r="C289" s="18">
        <f>IF($A289="","",IF(Paramètres!H19="","",Paramètres!H19))</f>
        <v/>
      </c>
      <c r="D289" s="18">
        <f>IF($A289="","",IF(Paramètres!I19="","",Paramètres!I19))</f>
        <v/>
      </c>
      <c r="E289" s="19">
        <f>IF($A289="","",IF(Paramètres!J19&amp;Paramètres!L19&amp;Paramètres!N19="",Dossiers!$D$9,MAX(IF(Paramètres!J19="",0,IF(Paramètres!K19="",NA(),IF(LEFT(TRIM(Paramètres!K19),1)="F",INDEX($F$275:$F$327,MATCH(Paramètres!J19,Paramètres!$G$5:$G$57,0)),INDEX($E$275:$E$327,MATCH(Paramètres!J19,Paramètres!$G$5:$G$57,0)))+IF(RIGHT(TRIM(Paramètres!K19),3)="Fin",1-$H289,IF(LEFT(TRIM(Paramètres!K19),1)="F",1,0)))),IF(Paramètres!L19="",0,IF(Paramètres!M19="",NA(),IF(LEFT(TRIM(Paramètres!M19),1)="F",INDEX($F$275:$F$327,MATCH(Paramètres!L19,Paramètres!$G$5:$G$57,0)),INDEX($E$275:$E$327,MATCH(Paramètres!L19,Paramètres!$G$5:$G$57,0)))+IF(RIGHT(TRIM(Paramètres!M19),3)="Fin",1-$H289,IF(LEFT(TRIM(Paramètres!M19),1)="F",1,0)))),IF(Paramètres!N19="",0,IF(Paramètres!O19="",NA(),IF(LEFT(TRIM(Paramètres!O19),1)="F",INDEX($F$275:$F$327,MATCH(Paramètres!N19,Paramètres!$G$5:$G$57,0)),INDEX($E$275:$E$327,MATCH(Paramètres!N19,Paramètres!$G$5:$G$57,0)))+IF(RIGHT(TRIM(Paramètres!O19),3)="Fin",1-$H289,IF(LEFT(TRIM(Paramètres!O19),1)="F",1,0)))))))</f>
        <v/>
      </c>
      <c r="F289" s="19">
        <f>IF($A289="","",E289+$H289-1)</f>
        <v/>
      </c>
      <c r="G289" s="18" t="n"/>
      <c r="H289" s="18">
        <f>IF($A289="","",IF(I289&lt;&gt;"",I289,Paramètres!B19))</f>
        <v/>
      </c>
      <c r="I289" s="18" t="n"/>
    </row>
    <row r="290">
      <c r="A290" s="18">
        <f>IF(ISNUMBER(Dossiers!$D$9),Dossiers!$A$9&amp;" · "&amp;Dossiers!$B$9,"")</f>
        <v/>
      </c>
      <c r="B290" s="18">
        <f>IF($A290="","",Paramètres!G20)</f>
        <v/>
      </c>
      <c r="C290" s="18">
        <f>IF($A290="","",IF(Paramètres!H20="","",Paramètres!H20))</f>
        <v/>
      </c>
      <c r="D290" s="18">
        <f>IF($A290="","",IF(Paramètres!I20="","",Paramètres!I20))</f>
        <v/>
      </c>
      <c r="E290" s="19">
        <f>IF($A290="","",IF(Paramètres!J20&amp;Paramètres!L20&amp;Paramètres!N20="",Dossiers!$D$9,MAX(IF(Paramètres!J20="",0,IF(Paramètres!K20="",NA(),IF(LEFT(TRIM(Paramètres!K20),1)="F",INDEX($F$275:$F$327,MATCH(Paramètres!J20,Paramètres!$G$5:$G$57,0)),INDEX($E$275:$E$327,MATCH(Paramètres!J20,Paramètres!$G$5:$G$57,0)))+IF(RIGHT(TRIM(Paramètres!K20),3)="Fin",1-$H290,IF(LEFT(TRIM(Paramètres!K20),1)="F",1,0)))),IF(Paramètres!L20="",0,IF(Paramètres!M20="",NA(),IF(LEFT(TRIM(Paramètres!M20),1)="F",INDEX($F$275:$F$327,MATCH(Paramètres!L20,Paramètres!$G$5:$G$57,0)),INDEX($E$275:$E$327,MATCH(Paramètres!L20,Paramètres!$G$5:$G$57,0)))+IF(RIGHT(TRIM(Paramètres!M20),3)="Fin",1-$H290,IF(LEFT(TRIM(Paramètres!M20),1)="F",1,0)))),IF(Paramètres!N20="",0,IF(Paramètres!O20="",NA(),IF(LEFT(TRIM(Paramètres!O20),1)="F",INDEX($F$275:$F$327,MATCH(Paramètres!N20,Paramètres!$G$5:$G$57,0)),INDEX($E$275:$E$327,MATCH(Paramètres!N20,Paramètres!$G$5:$G$57,0)))+IF(RIGHT(TRIM(Paramètres!O20),3)="Fin",1-$H290,IF(LEFT(TRIM(Paramètres!O20),1)="F",1,0)))))))</f>
        <v/>
      </c>
      <c r="F290" s="19">
        <f>IF($A290="","",E290+$H290-1)</f>
        <v/>
      </c>
      <c r="G290" s="18" t="n"/>
      <c r="H290" s="18">
        <f>IF($A290="","",IF(I290&lt;&gt;"",I290,Paramètres!B20))</f>
        <v/>
      </c>
      <c r="I290" s="18" t="n"/>
    </row>
    <row r="291">
      <c r="A291" s="18">
        <f>IF(ISNUMBER(Dossiers!$D$9),Dossiers!$A$9&amp;" · "&amp;Dossiers!$B$9,"")</f>
        <v/>
      </c>
      <c r="B291" s="18">
        <f>IF($A291="","",Paramètres!G21)</f>
        <v/>
      </c>
      <c r="C291" s="18">
        <f>IF($A291="","",IF(Paramètres!H21="","",Paramètres!H21))</f>
        <v/>
      </c>
      <c r="D291" s="18">
        <f>IF($A291="","",IF(Paramètres!I21="","",Paramètres!I21))</f>
        <v/>
      </c>
      <c r="E291" s="19">
        <f>IF($A291="","",IF(Paramètres!J21&amp;Paramètres!L21&amp;Paramètres!N21="",Dossiers!$D$9,MAX(IF(Paramètres!J21="",0,IF(Paramètres!K21="",NA(),IF(LEFT(TRIM(Paramètres!K21),1)="F",INDEX($F$275:$F$327,MATCH(Paramètres!J21,Paramètres!$G$5:$G$57,0)),INDEX($E$275:$E$327,MATCH(Paramètres!J21,Paramètres!$G$5:$G$57,0)))+IF(RIGHT(TRIM(Paramètres!K21),3)="Fin",1-$H291,IF(LEFT(TRIM(Paramètres!K21),1)="F",1,0)))),IF(Paramètres!L21="",0,IF(Paramètres!M21="",NA(),IF(LEFT(TRIM(Paramètres!M21),1)="F",INDEX($F$275:$F$327,MATCH(Paramètres!L21,Paramètres!$G$5:$G$57,0)),INDEX($E$275:$E$327,MATCH(Paramètres!L21,Paramètres!$G$5:$G$57,0)))+IF(RIGHT(TRIM(Paramètres!M21),3)="Fin",1-$H291,IF(LEFT(TRIM(Paramètres!M21),1)="F",1,0)))),IF(Paramètres!N21="",0,IF(Paramètres!O21="",NA(),IF(LEFT(TRIM(Paramètres!O21),1)="F",INDEX($F$275:$F$327,MATCH(Paramètres!N21,Paramètres!$G$5:$G$57,0)),INDEX($E$275:$E$327,MATCH(Paramètres!N21,Paramètres!$G$5:$G$57,0)))+IF(RIGHT(TRIM(Paramètres!O21),3)="Fin",1-$H291,IF(LEFT(TRIM(Paramètres!O21),1)="F",1,0)))))))</f>
        <v/>
      </c>
      <c r="F291" s="19">
        <f>IF($A291="","",E291+$H291-1)</f>
        <v/>
      </c>
      <c r="G291" s="18" t="n"/>
      <c r="H291" s="18">
        <f>IF($A291="","",IF(I291&lt;&gt;"",I291,Paramètres!B21))</f>
        <v/>
      </c>
      <c r="I291" s="18" t="n"/>
    </row>
    <row r="292">
      <c r="A292" s="18">
        <f>IF(ISNUMBER(Dossiers!$D$9),Dossiers!$A$9&amp;" · "&amp;Dossiers!$B$9,"")</f>
        <v/>
      </c>
      <c r="B292" s="18">
        <f>IF($A292="","",Paramètres!G22)</f>
        <v/>
      </c>
      <c r="C292" s="18">
        <f>IF($A292="","",IF(Paramètres!H22="","",Paramètres!H22))</f>
        <v/>
      </c>
      <c r="D292" s="18">
        <f>IF($A292="","",IF(Paramètres!I22="","",Paramètres!I22))</f>
        <v/>
      </c>
      <c r="E292" s="19">
        <f>IF($A292="","",IF(Paramètres!J22&amp;Paramètres!L22&amp;Paramètres!N22="",Dossiers!$D$9,MAX(IF(Paramètres!J22="",0,IF(Paramètres!K22="",NA(),IF(LEFT(TRIM(Paramètres!K22),1)="F",INDEX($F$275:$F$327,MATCH(Paramètres!J22,Paramètres!$G$5:$G$57,0)),INDEX($E$275:$E$327,MATCH(Paramètres!J22,Paramètres!$G$5:$G$57,0)))+IF(RIGHT(TRIM(Paramètres!K22),3)="Fin",1-$H292,IF(LEFT(TRIM(Paramètres!K22),1)="F",1,0)))),IF(Paramètres!L22="",0,IF(Paramètres!M22="",NA(),IF(LEFT(TRIM(Paramètres!M22),1)="F",INDEX($F$275:$F$327,MATCH(Paramètres!L22,Paramètres!$G$5:$G$57,0)),INDEX($E$275:$E$327,MATCH(Paramètres!L22,Paramètres!$G$5:$G$57,0)))+IF(RIGHT(TRIM(Paramètres!M22),3)="Fin",1-$H292,IF(LEFT(TRIM(Paramètres!M22),1)="F",1,0)))),IF(Paramètres!N22="",0,IF(Paramètres!O22="",NA(),IF(LEFT(TRIM(Paramètres!O22),1)="F",INDEX($F$275:$F$327,MATCH(Paramètres!N22,Paramètres!$G$5:$G$57,0)),INDEX($E$275:$E$327,MATCH(Paramètres!N22,Paramètres!$G$5:$G$57,0)))+IF(RIGHT(TRIM(Paramètres!O22),3)="Fin",1-$H292,IF(LEFT(TRIM(Paramètres!O22),1)="F",1,0)))))))</f>
        <v/>
      </c>
      <c r="F292" s="19">
        <f>IF($A292="","",E292+$H292-1)</f>
        <v/>
      </c>
      <c r="G292" s="18" t="n"/>
      <c r="H292" s="18">
        <f>IF($A292="","",IF(I292&lt;&gt;"",I292,Paramètres!B22))</f>
        <v/>
      </c>
      <c r="I292" s="18" t="n"/>
    </row>
    <row r="293">
      <c r="A293" s="18">
        <f>IF(ISNUMBER(Dossiers!$D$9),Dossiers!$A$9&amp;" · "&amp;Dossiers!$B$9,"")</f>
        <v/>
      </c>
      <c r="B293" s="18">
        <f>IF($A293="","",Paramètres!G23)</f>
        <v/>
      </c>
      <c r="C293" s="18">
        <f>IF($A293="","",IF(Paramètres!H23="","",Paramètres!H23))</f>
        <v/>
      </c>
      <c r="D293" s="18">
        <f>IF($A293="","",IF(Paramètres!I23="","",Paramètres!I23))</f>
        <v/>
      </c>
      <c r="E293" s="19">
        <f>IF($A293="","",IF(Paramètres!J23&amp;Paramètres!L23&amp;Paramètres!N23="",Dossiers!$D$9,MAX(IF(Paramètres!J23="",0,IF(Paramètres!K23="",NA(),IF(LEFT(TRIM(Paramètres!K23),1)="F",INDEX($F$275:$F$327,MATCH(Paramètres!J23,Paramètres!$G$5:$G$57,0)),INDEX($E$275:$E$327,MATCH(Paramètres!J23,Paramètres!$G$5:$G$57,0)))+IF(RIGHT(TRIM(Paramètres!K23),3)="Fin",1-$H293,IF(LEFT(TRIM(Paramètres!K23),1)="F",1,0)))),IF(Paramètres!L23="",0,IF(Paramètres!M23="",NA(),IF(LEFT(TRIM(Paramètres!M23),1)="F",INDEX($F$275:$F$327,MATCH(Paramètres!L23,Paramètres!$G$5:$G$57,0)),INDEX($E$275:$E$327,MATCH(Paramètres!L23,Paramètres!$G$5:$G$57,0)))+IF(RIGHT(TRIM(Paramètres!M23),3)="Fin",1-$H293,IF(LEFT(TRIM(Paramètres!M23),1)="F",1,0)))),IF(Paramètres!N23="",0,IF(Paramètres!O23="",NA(),IF(LEFT(TRIM(Paramètres!O23),1)="F",INDEX($F$275:$F$327,MATCH(Paramètres!N23,Paramètres!$G$5:$G$57,0)),INDEX($E$275:$E$327,MATCH(Paramètres!N23,Paramètres!$G$5:$G$57,0)))+IF(RIGHT(TRIM(Paramètres!O23),3)="Fin",1-$H293,IF(LEFT(TRIM(Paramètres!O23),1)="F",1,0)))))))</f>
        <v/>
      </c>
      <c r="F293" s="19">
        <f>IF($A293="","",E293+$H293-1)</f>
        <v/>
      </c>
      <c r="G293" s="18" t="n"/>
      <c r="H293" s="18">
        <f>IF($A293="","",IF(I293&lt;&gt;"",I293,Paramètres!B23))</f>
        <v/>
      </c>
      <c r="I293" s="18" t="n"/>
    </row>
    <row r="294">
      <c r="A294" s="18">
        <f>IF(ISNUMBER(Dossiers!$D$9),Dossiers!$A$9&amp;" · "&amp;Dossiers!$B$9,"")</f>
        <v/>
      </c>
      <c r="B294" s="18">
        <f>IF($A294="","",Paramètres!G24)</f>
        <v/>
      </c>
      <c r="C294" s="18">
        <f>IF($A294="","",IF(Paramètres!H24="","",Paramètres!H24))</f>
        <v/>
      </c>
      <c r="D294" s="18">
        <f>IF($A294="","",IF(Paramètres!I24="","",Paramètres!I24))</f>
        <v/>
      </c>
      <c r="E294" s="19">
        <f>IF($A294="","",IF(Paramètres!J24&amp;Paramètres!L24&amp;Paramètres!N24="",Dossiers!$D$9,MAX(IF(Paramètres!J24="",0,IF(Paramètres!K24="",NA(),IF(LEFT(TRIM(Paramètres!K24),1)="F",INDEX($F$275:$F$327,MATCH(Paramètres!J24,Paramètres!$G$5:$G$57,0)),INDEX($E$275:$E$327,MATCH(Paramètres!J24,Paramètres!$G$5:$G$57,0)))+IF(RIGHT(TRIM(Paramètres!K24),3)="Fin",1-$H294,IF(LEFT(TRIM(Paramètres!K24),1)="F",1,0)))),IF(Paramètres!L24="",0,IF(Paramètres!M24="",NA(),IF(LEFT(TRIM(Paramètres!M24),1)="F",INDEX($F$275:$F$327,MATCH(Paramètres!L24,Paramètres!$G$5:$G$57,0)),INDEX($E$275:$E$327,MATCH(Paramètres!L24,Paramètres!$G$5:$G$57,0)))+IF(RIGHT(TRIM(Paramètres!M24),3)="Fin",1-$H294,IF(LEFT(TRIM(Paramètres!M24),1)="F",1,0)))),IF(Paramètres!N24="",0,IF(Paramètres!O24="",NA(),IF(LEFT(TRIM(Paramètres!O24),1)="F",INDEX($F$275:$F$327,MATCH(Paramètres!N24,Paramètres!$G$5:$G$57,0)),INDEX($E$275:$E$327,MATCH(Paramètres!N24,Paramètres!$G$5:$G$57,0)))+IF(RIGHT(TRIM(Paramètres!O24),3)="Fin",1-$H294,IF(LEFT(TRIM(Paramètres!O24),1)="F",1,0)))))))</f>
        <v/>
      </c>
      <c r="F294" s="19">
        <f>IF($A294="","",E294+$H294-1)</f>
        <v/>
      </c>
      <c r="G294" s="18" t="n"/>
      <c r="H294" s="18">
        <f>IF($A294="","",IF(I294&lt;&gt;"",I294,Paramètres!B24))</f>
        <v/>
      </c>
      <c r="I294" s="18" t="n"/>
    </row>
    <row r="295">
      <c r="A295" s="18">
        <f>IF(ISNUMBER(Dossiers!$D$9),Dossiers!$A$9&amp;" · "&amp;Dossiers!$B$9,"")</f>
        <v/>
      </c>
      <c r="B295" s="18">
        <f>IF($A295="","",Paramètres!G25)</f>
        <v/>
      </c>
      <c r="C295" s="18">
        <f>IF($A295="","",IF(Paramètres!H25="","",Paramètres!H25))</f>
        <v/>
      </c>
      <c r="D295" s="18">
        <f>IF($A295="","",IF(Paramètres!I25="","",Paramètres!I25))</f>
        <v/>
      </c>
      <c r="E295" s="19">
        <f>IF($A295="","",IF(Paramètres!J25&amp;Paramètres!L25&amp;Paramètres!N25="",Dossiers!$D$9,MAX(IF(Paramètres!J25="",0,IF(Paramètres!K25="",NA(),IF(LEFT(TRIM(Paramètres!K25),1)="F",INDEX($F$275:$F$327,MATCH(Paramètres!J25,Paramètres!$G$5:$G$57,0)),INDEX($E$275:$E$327,MATCH(Paramètres!J25,Paramètres!$G$5:$G$57,0)))+IF(RIGHT(TRIM(Paramètres!K25),3)="Fin",1-$H295,IF(LEFT(TRIM(Paramètres!K25),1)="F",1,0)))),IF(Paramètres!L25="",0,IF(Paramètres!M25="",NA(),IF(LEFT(TRIM(Paramètres!M25),1)="F",INDEX($F$275:$F$327,MATCH(Paramètres!L25,Paramètres!$G$5:$G$57,0)),INDEX($E$275:$E$327,MATCH(Paramètres!L25,Paramètres!$G$5:$G$57,0)))+IF(RIGHT(TRIM(Paramètres!M25),3)="Fin",1-$H295,IF(LEFT(TRIM(Paramètres!M25),1)="F",1,0)))),IF(Paramètres!N25="",0,IF(Paramètres!O25="",NA(),IF(LEFT(TRIM(Paramètres!O25),1)="F",INDEX($F$275:$F$327,MATCH(Paramètres!N25,Paramètres!$G$5:$G$57,0)),INDEX($E$275:$E$327,MATCH(Paramètres!N25,Paramètres!$G$5:$G$57,0)))+IF(RIGHT(TRIM(Paramètres!O25),3)="Fin",1-$H295,IF(LEFT(TRIM(Paramètres!O25),1)="F",1,0)))))))</f>
        <v/>
      </c>
      <c r="F295" s="19">
        <f>IF($A295="","",E295+$H295-1)</f>
        <v/>
      </c>
      <c r="G295" s="18" t="n"/>
      <c r="H295" s="18">
        <f>IF($A295="","",IF(I295&lt;&gt;"",I295,Paramètres!B25))</f>
        <v/>
      </c>
      <c r="I295" s="18" t="n"/>
    </row>
    <row r="296">
      <c r="A296" s="18">
        <f>IF(ISNUMBER(Dossiers!$D$9),Dossiers!$A$9&amp;" · "&amp;Dossiers!$B$9,"")</f>
        <v/>
      </c>
      <c r="B296" s="18">
        <f>IF($A296="","",Paramètres!G26)</f>
        <v/>
      </c>
      <c r="C296" s="18">
        <f>IF($A296="","",IF(Paramètres!H26="","",Paramètres!H26))</f>
        <v/>
      </c>
      <c r="D296" s="18">
        <f>IF($A296="","",IF(Paramètres!I26="","",Paramètres!I26))</f>
        <v/>
      </c>
      <c r="E296" s="19">
        <f>IF($A296="","",IF(Paramètres!J26&amp;Paramètres!L26&amp;Paramètres!N26="",Dossiers!$D$9,MAX(IF(Paramètres!J26="",0,IF(Paramètres!K26="",NA(),IF(LEFT(TRIM(Paramètres!K26),1)="F",INDEX($F$275:$F$327,MATCH(Paramètres!J26,Paramètres!$G$5:$G$57,0)),INDEX($E$275:$E$327,MATCH(Paramètres!J26,Paramètres!$G$5:$G$57,0)))+IF(RIGHT(TRIM(Paramètres!K26),3)="Fin",1-$H296,IF(LEFT(TRIM(Paramètres!K26),1)="F",1,0)))),IF(Paramètres!L26="",0,IF(Paramètres!M26="",NA(),IF(LEFT(TRIM(Paramètres!M26),1)="F",INDEX($F$275:$F$327,MATCH(Paramètres!L26,Paramètres!$G$5:$G$57,0)),INDEX($E$275:$E$327,MATCH(Paramètres!L26,Paramètres!$G$5:$G$57,0)))+IF(RIGHT(TRIM(Paramètres!M26),3)="Fin",1-$H296,IF(LEFT(TRIM(Paramètres!M26),1)="F",1,0)))),IF(Paramètres!N26="",0,IF(Paramètres!O26="",NA(),IF(LEFT(TRIM(Paramètres!O26),1)="F",INDEX($F$275:$F$327,MATCH(Paramètres!N26,Paramètres!$G$5:$G$57,0)),INDEX($E$275:$E$327,MATCH(Paramètres!N26,Paramètres!$G$5:$G$57,0)))+IF(RIGHT(TRIM(Paramètres!O26),3)="Fin",1-$H296,IF(LEFT(TRIM(Paramètres!O26),1)="F",1,0)))))))</f>
        <v/>
      </c>
      <c r="F296" s="19">
        <f>IF($A296="","",E296+$H296-1)</f>
        <v/>
      </c>
      <c r="G296" s="18" t="n"/>
      <c r="H296" s="18">
        <f>IF($A296="","",IF(I296&lt;&gt;"",I296,Paramètres!B26))</f>
        <v/>
      </c>
      <c r="I296" s="18" t="n"/>
    </row>
    <row r="297">
      <c r="A297" s="18">
        <f>IF(ISNUMBER(Dossiers!$D$9),Dossiers!$A$9&amp;" · "&amp;Dossiers!$B$9,"")</f>
        <v/>
      </c>
      <c r="B297" s="18">
        <f>IF($A297="","",Paramètres!G27)</f>
        <v/>
      </c>
      <c r="C297" s="18">
        <f>IF($A297="","",IF(Paramètres!H27="","",Paramètres!H27))</f>
        <v/>
      </c>
      <c r="D297" s="18">
        <f>IF($A297="","",IF(Paramètres!I27="","",Paramètres!I27))</f>
        <v/>
      </c>
      <c r="E297" s="19">
        <f>IF($A297="","",IF(Paramètres!J27&amp;Paramètres!L27&amp;Paramètres!N27="",Dossiers!$D$9,MAX(IF(Paramètres!J27="",0,IF(Paramètres!K27="",NA(),IF(LEFT(TRIM(Paramètres!K27),1)="F",INDEX($F$275:$F$327,MATCH(Paramètres!J27,Paramètres!$G$5:$G$57,0)),INDEX($E$275:$E$327,MATCH(Paramètres!J27,Paramètres!$G$5:$G$57,0)))+IF(RIGHT(TRIM(Paramètres!K27),3)="Fin",1-$H297,IF(LEFT(TRIM(Paramètres!K27),1)="F",1,0)))),IF(Paramètres!L27="",0,IF(Paramètres!M27="",NA(),IF(LEFT(TRIM(Paramètres!M27),1)="F",INDEX($F$275:$F$327,MATCH(Paramètres!L27,Paramètres!$G$5:$G$57,0)),INDEX($E$275:$E$327,MATCH(Paramètres!L27,Paramètres!$G$5:$G$57,0)))+IF(RIGHT(TRIM(Paramètres!M27),3)="Fin",1-$H297,IF(LEFT(TRIM(Paramètres!M27),1)="F",1,0)))),IF(Paramètres!N27="",0,IF(Paramètres!O27="",NA(),IF(LEFT(TRIM(Paramètres!O27),1)="F",INDEX($F$275:$F$327,MATCH(Paramètres!N27,Paramètres!$G$5:$G$57,0)),INDEX($E$275:$E$327,MATCH(Paramètres!N27,Paramètres!$G$5:$G$57,0)))+IF(RIGHT(TRIM(Paramètres!O27),3)="Fin",1-$H297,IF(LEFT(TRIM(Paramètres!O27),1)="F",1,0)))))))</f>
        <v/>
      </c>
      <c r="F297" s="19">
        <f>IF($A297="","",E297+$H297-1)</f>
        <v/>
      </c>
      <c r="G297" s="18" t="n"/>
      <c r="H297" s="18">
        <f>IF($A297="","",IF(I297&lt;&gt;"",I297,Paramètres!B27))</f>
        <v/>
      </c>
      <c r="I297" s="18" t="n"/>
    </row>
    <row r="298">
      <c r="A298" s="18">
        <f>IF(ISNUMBER(Dossiers!$D$9),Dossiers!$A$9&amp;" · "&amp;Dossiers!$B$9,"")</f>
        <v/>
      </c>
      <c r="B298" s="18">
        <f>IF($A298="","",Paramètres!G28)</f>
        <v/>
      </c>
      <c r="C298" s="18">
        <f>IF($A298="","",IF(Paramètres!H28="","",Paramètres!H28))</f>
        <v/>
      </c>
      <c r="D298" s="18">
        <f>IF($A298="","",IF(Paramètres!I28="","",Paramètres!I28))</f>
        <v/>
      </c>
      <c r="E298" s="19">
        <f>IF($A298="","",IF(Paramètres!J28&amp;Paramètres!L28&amp;Paramètres!N28="",Dossiers!$D$9,MAX(IF(Paramètres!J28="",0,IF(Paramètres!K28="",NA(),IF(LEFT(TRIM(Paramètres!K28),1)="F",INDEX($F$275:$F$327,MATCH(Paramètres!J28,Paramètres!$G$5:$G$57,0)),INDEX($E$275:$E$327,MATCH(Paramètres!J28,Paramètres!$G$5:$G$57,0)))+IF(RIGHT(TRIM(Paramètres!K28),3)="Fin",1-$H298,IF(LEFT(TRIM(Paramètres!K28),1)="F",1,0)))),IF(Paramètres!L28="",0,IF(Paramètres!M28="",NA(),IF(LEFT(TRIM(Paramètres!M28),1)="F",INDEX($F$275:$F$327,MATCH(Paramètres!L28,Paramètres!$G$5:$G$57,0)),INDEX($E$275:$E$327,MATCH(Paramètres!L28,Paramètres!$G$5:$G$57,0)))+IF(RIGHT(TRIM(Paramètres!M28),3)="Fin",1-$H298,IF(LEFT(TRIM(Paramètres!M28),1)="F",1,0)))),IF(Paramètres!N28="",0,IF(Paramètres!O28="",NA(),IF(LEFT(TRIM(Paramètres!O28),1)="F",INDEX($F$275:$F$327,MATCH(Paramètres!N28,Paramètres!$G$5:$G$57,0)),INDEX($E$275:$E$327,MATCH(Paramètres!N28,Paramètres!$G$5:$G$57,0)))+IF(RIGHT(TRIM(Paramètres!O28),3)="Fin",1-$H298,IF(LEFT(TRIM(Paramètres!O28),1)="F",1,0)))))))</f>
        <v/>
      </c>
      <c r="F298" s="19">
        <f>IF($A298="","",E298+$H298-1)</f>
        <v/>
      </c>
      <c r="G298" s="18" t="n"/>
      <c r="H298" s="18">
        <f>IF($A298="","",IF(I298&lt;&gt;"",I298,Paramètres!B28))</f>
        <v/>
      </c>
      <c r="I298" s="18" t="n"/>
    </row>
    <row r="299">
      <c r="A299" s="18">
        <f>IF(ISNUMBER(Dossiers!$D$9),Dossiers!$A$9&amp;" · "&amp;Dossiers!$B$9,"")</f>
        <v/>
      </c>
      <c r="B299" s="18">
        <f>IF($A299="","",Paramètres!G29)</f>
        <v/>
      </c>
      <c r="C299" s="18">
        <f>IF($A299="","",IF(Paramètres!H29="","",Paramètres!H29))</f>
        <v/>
      </c>
      <c r="D299" s="18">
        <f>IF($A299="","",IF(Paramètres!I29="","",Paramètres!I29))</f>
        <v/>
      </c>
      <c r="E299" s="19">
        <f>IF($A299="","",IF(Paramètres!J29&amp;Paramètres!L29&amp;Paramètres!N29="",Dossiers!$D$9,MAX(IF(Paramètres!J29="",0,IF(Paramètres!K29="",NA(),IF(LEFT(TRIM(Paramètres!K29),1)="F",INDEX($F$275:$F$327,MATCH(Paramètres!J29,Paramètres!$G$5:$G$57,0)),INDEX($E$275:$E$327,MATCH(Paramètres!J29,Paramètres!$G$5:$G$57,0)))+IF(RIGHT(TRIM(Paramètres!K29),3)="Fin",1-$H299,IF(LEFT(TRIM(Paramètres!K29),1)="F",1,0)))),IF(Paramètres!L29="",0,IF(Paramètres!M29="",NA(),IF(LEFT(TRIM(Paramètres!M29),1)="F",INDEX($F$275:$F$327,MATCH(Paramètres!L29,Paramètres!$G$5:$G$57,0)),INDEX($E$275:$E$327,MATCH(Paramètres!L29,Paramètres!$G$5:$G$57,0)))+IF(RIGHT(TRIM(Paramètres!M29),3)="Fin",1-$H299,IF(LEFT(TRIM(Paramètres!M29),1)="F",1,0)))),IF(Paramètres!N29="",0,IF(Paramètres!O29="",NA(),IF(LEFT(TRIM(Paramètres!O29),1)="F",INDEX($F$275:$F$327,MATCH(Paramètres!N29,Paramètres!$G$5:$G$57,0)),INDEX($E$275:$E$327,MATCH(Paramètres!N29,Paramètres!$G$5:$G$57,0)))+IF(RIGHT(TRIM(Paramètres!O29),3)="Fin",1-$H299,IF(LEFT(TRIM(Paramètres!O29),1)="F",1,0)))))))</f>
        <v/>
      </c>
      <c r="F299" s="19">
        <f>IF($A299="","",E299+$H299-1)</f>
        <v/>
      </c>
      <c r="G299" s="18" t="n"/>
      <c r="H299" s="18">
        <f>IF($A299="","",IF(I299&lt;&gt;"",I299,Paramètres!B29))</f>
        <v/>
      </c>
      <c r="I299" s="18" t="n"/>
    </row>
    <row r="300">
      <c r="A300" s="18">
        <f>IF(ISNUMBER(Dossiers!$D$9),Dossiers!$A$9&amp;" · "&amp;Dossiers!$B$9,"")</f>
        <v/>
      </c>
      <c r="B300" s="18">
        <f>IF($A300="","",Paramètres!G30)</f>
        <v/>
      </c>
      <c r="C300" s="18">
        <f>IF($A300="","",IF(Paramètres!H30="","",Paramètres!H30))</f>
        <v/>
      </c>
      <c r="D300" s="18">
        <f>IF($A300="","",IF(Paramètres!I30="","",Paramètres!I30))</f>
        <v/>
      </c>
      <c r="E300" s="19">
        <f>IF($A300="","",IF(Paramètres!J30&amp;Paramètres!L30&amp;Paramètres!N30="",Dossiers!$D$9,MAX(IF(Paramètres!J30="",0,IF(Paramètres!K30="",NA(),IF(LEFT(TRIM(Paramètres!K30),1)="F",INDEX($F$275:$F$327,MATCH(Paramètres!J30,Paramètres!$G$5:$G$57,0)),INDEX($E$275:$E$327,MATCH(Paramètres!J30,Paramètres!$G$5:$G$57,0)))+IF(RIGHT(TRIM(Paramètres!K30),3)="Fin",1-$H300,IF(LEFT(TRIM(Paramètres!K30),1)="F",1,0)))),IF(Paramètres!L30="",0,IF(Paramètres!M30="",NA(),IF(LEFT(TRIM(Paramètres!M30),1)="F",INDEX($F$275:$F$327,MATCH(Paramètres!L30,Paramètres!$G$5:$G$57,0)),INDEX($E$275:$E$327,MATCH(Paramètres!L30,Paramètres!$G$5:$G$57,0)))+IF(RIGHT(TRIM(Paramètres!M30),3)="Fin",1-$H300,IF(LEFT(TRIM(Paramètres!M30),1)="F",1,0)))),IF(Paramètres!N30="",0,IF(Paramètres!O30="",NA(),IF(LEFT(TRIM(Paramètres!O30),1)="F",INDEX($F$275:$F$327,MATCH(Paramètres!N30,Paramètres!$G$5:$G$57,0)),INDEX($E$275:$E$327,MATCH(Paramètres!N30,Paramètres!$G$5:$G$57,0)))+IF(RIGHT(TRIM(Paramètres!O30),3)="Fin",1-$H300,IF(LEFT(TRIM(Paramètres!O30),1)="F",1,0)))))))</f>
        <v/>
      </c>
      <c r="F300" s="19">
        <f>IF($A300="","",E300+$H300-1)</f>
        <v/>
      </c>
      <c r="G300" s="18" t="n"/>
      <c r="H300" s="18">
        <f>IF($A300="","",IF(I300&lt;&gt;"",I300,Paramètres!B30))</f>
        <v/>
      </c>
      <c r="I300" s="18" t="n"/>
    </row>
    <row r="301">
      <c r="A301" s="18">
        <f>IF(ISNUMBER(Dossiers!$D$9),Dossiers!$A$9&amp;" · "&amp;Dossiers!$B$9,"")</f>
        <v/>
      </c>
      <c r="B301" s="18">
        <f>IF($A301="","",Paramètres!G31)</f>
        <v/>
      </c>
      <c r="C301" s="20">
        <f>IF($A301="","",IF(Dossiers!$F$9="","",Dossiers!$F$9))</f>
        <v/>
      </c>
      <c r="D301" s="18">
        <f>IF($A301="","",IF(Paramètres!I31="","",Paramètres!I31))</f>
        <v/>
      </c>
      <c r="E301" s="19">
        <f>IF($A301="","",IF(Paramètres!J31&amp;Paramètres!L31&amp;Paramètres!N31="",Dossiers!$D$9,MAX(IF(Paramètres!J31="",0,IF(Paramètres!K31="",NA(),IF(LEFT(TRIM(Paramètres!K31),1)="F",INDEX($F$275:$F$327,MATCH(Paramètres!J31,Paramètres!$G$5:$G$57,0)),INDEX($E$275:$E$327,MATCH(Paramètres!J31,Paramètres!$G$5:$G$57,0)))+IF(RIGHT(TRIM(Paramètres!K31),3)="Fin",1-$H301,IF(LEFT(TRIM(Paramètres!K31),1)="F",1,0)))),IF(Paramètres!L31="",0,IF(Paramètres!M31="",NA(),IF(LEFT(TRIM(Paramètres!M31),1)="F",INDEX($F$275:$F$327,MATCH(Paramètres!L31,Paramètres!$G$5:$G$57,0)),INDEX($E$275:$E$327,MATCH(Paramètres!L31,Paramètres!$G$5:$G$57,0)))+IF(RIGHT(TRIM(Paramètres!M31),3)="Fin",1-$H301,IF(LEFT(TRIM(Paramètres!M31),1)="F",1,0)))),IF(Paramètres!N31="",0,IF(Paramètres!O31="",NA(),IF(LEFT(TRIM(Paramètres!O31),1)="F",INDEX($F$275:$F$327,MATCH(Paramètres!N31,Paramètres!$G$5:$G$57,0)),INDEX($E$275:$E$327,MATCH(Paramètres!N31,Paramètres!$G$5:$G$57,0)))+IF(RIGHT(TRIM(Paramètres!O31),3)="Fin",1-$H301,IF(LEFT(TRIM(Paramètres!O31),1)="F",1,0)))))))</f>
        <v/>
      </c>
      <c r="F301" s="19">
        <f>IF($A301="","",E301+$H301-1)</f>
        <v/>
      </c>
      <c r="G301" s="18" t="n"/>
      <c r="H301" s="18">
        <f>IF($A301="","",IF(I301&lt;&gt;"",I301,Paramètres!B31))</f>
        <v/>
      </c>
      <c r="I301" s="18" t="n"/>
    </row>
    <row r="302">
      <c r="A302" s="18">
        <f>IF(ISNUMBER(Dossiers!$D$9),Dossiers!$A$9&amp;" · "&amp;Dossiers!$B$9,"")</f>
        <v/>
      </c>
      <c r="B302" s="18">
        <f>IF($A302="","",Paramètres!G32)</f>
        <v/>
      </c>
      <c r="C302" s="18">
        <f>IF($A302="","",IF(Paramètres!H32="","",Paramètres!H32))</f>
        <v/>
      </c>
      <c r="D302" s="18">
        <f>IF($A302="","",IF(Paramètres!I32="","",Paramètres!I32))</f>
        <v/>
      </c>
      <c r="E302" s="19">
        <f>IF($A302="","",MIN(E303:E306))</f>
        <v/>
      </c>
      <c r="F302" s="19">
        <f>IF($A302="","",MAX(F303:F306))</f>
        <v/>
      </c>
      <c r="G302" s="18" t="n"/>
      <c r="H302" s="18">
        <f>IF($A302="","",F302-E302+1)</f>
        <v/>
      </c>
      <c r="I302" s="18" t="n"/>
    </row>
    <row r="303">
      <c r="A303" s="18">
        <f>IF(ISNUMBER(Dossiers!$D$9),Dossiers!$A$9&amp;" · "&amp;Dossiers!$B$9,"")</f>
        <v/>
      </c>
      <c r="B303" s="18">
        <f>IF($A303="","",Paramètres!G33)</f>
        <v/>
      </c>
      <c r="C303" s="18">
        <f>IF($A303="","",IF(Paramètres!H33="","",Paramètres!H33))</f>
        <v/>
      </c>
      <c r="D303" s="18">
        <f>IF($A303="","",IF(Paramètres!I33="","",Paramètres!I33))</f>
        <v/>
      </c>
      <c r="E303" s="19">
        <f>IF($A303="","",IF(Paramètres!J33&amp;Paramètres!L33&amp;Paramètres!N33="",Dossiers!$D$9,MAX(IF(Paramètres!J33="",0,IF(Paramètres!K33="",NA(),IF(LEFT(TRIM(Paramètres!K33),1)="F",INDEX($F$275:$F$327,MATCH(Paramètres!J33,Paramètres!$G$5:$G$57,0)),INDEX($E$275:$E$327,MATCH(Paramètres!J33,Paramètres!$G$5:$G$57,0)))+IF(RIGHT(TRIM(Paramètres!K33),3)="Fin",1-$H303,IF(LEFT(TRIM(Paramètres!K33),1)="F",1,0)))),IF(Paramètres!L33="",0,IF(Paramètres!M33="",NA(),IF(LEFT(TRIM(Paramètres!M33),1)="F",INDEX($F$275:$F$327,MATCH(Paramètres!L33,Paramètres!$G$5:$G$57,0)),INDEX($E$275:$E$327,MATCH(Paramètres!L33,Paramètres!$G$5:$G$57,0)))+IF(RIGHT(TRIM(Paramètres!M33),3)="Fin",1-$H303,IF(LEFT(TRIM(Paramètres!M33),1)="F",1,0)))),IF(Paramètres!N33="",0,IF(Paramètres!O33="",NA(),IF(LEFT(TRIM(Paramètres!O33),1)="F",INDEX($F$275:$F$327,MATCH(Paramètres!N33,Paramètres!$G$5:$G$57,0)),INDEX($E$275:$E$327,MATCH(Paramètres!N33,Paramètres!$G$5:$G$57,0)))+IF(RIGHT(TRIM(Paramètres!O33),3)="Fin",1-$H303,IF(LEFT(TRIM(Paramètres!O33),1)="F",1,0)))))))</f>
        <v/>
      </c>
      <c r="F303" s="19">
        <f>IF($A303="","",E303+$H303-1)</f>
        <v/>
      </c>
      <c r="G303" s="18" t="n"/>
      <c r="H303" s="18">
        <f>IF($A303="","",IF(I303&lt;&gt;"",I303,Paramètres!B33))</f>
        <v/>
      </c>
      <c r="I303" s="18" t="n"/>
    </row>
    <row r="304">
      <c r="A304" s="18">
        <f>IF(ISNUMBER(Dossiers!$D$9),Dossiers!$A$9&amp;" · "&amp;Dossiers!$B$9,"")</f>
        <v/>
      </c>
      <c r="B304" s="18">
        <f>IF($A304="","",Paramètres!G34)</f>
        <v/>
      </c>
      <c r="C304" s="18">
        <f>IF($A304="","",IF(Paramètres!H34="","",Paramètres!H34))</f>
        <v/>
      </c>
      <c r="D304" s="18">
        <f>IF($A304="","",IF(Paramètres!I34="","",Paramètres!I34))</f>
        <v/>
      </c>
      <c r="E304" s="19">
        <f>IF($A304="","",IF(Paramètres!J34&amp;Paramètres!L34&amp;Paramètres!N34="",Dossiers!$D$9,MAX(IF(Paramètres!J34="",0,IF(Paramètres!K34="",NA(),IF(LEFT(TRIM(Paramètres!K34),1)="F",INDEX($F$275:$F$327,MATCH(Paramètres!J34,Paramètres!$G$5:$G$57,0)),INDEX($E$275:$E$327,MATCH(Paramètres!J34,Paramètres!$G$5:$G$57,0)))+IF(RIGHT(TRIM(Paramètres!K34),3)="Fin",1-$H304,IF(LEFT(TRIM(Paramètres!K34),1)="F",1,0)))),IF(Paramètres!L34="",0,IF(Paramètres!M34="",NA(),IF(LEFT(TRIM(Paramètres!M34),1)="F",INDEX($F$275:$F$327,MATCH(Paramètres!L34,Paramètres!$G$5:$G$57,0)),INDEX($E$275:$E$327,MATCH(Paramètres!L34,Paramètres!$G$5:$G$57,0)))+IF(RIGHT(TRIM(Paramètres!M34),3)="Fin",1-$H304,IF(LEFT(TRIM(Paramètres!M34),1)="F",1,0)))),IF(Paramètres!N34="",0,IF(Paramètres!O34="",NA(),IF(LEFT(TRIM(Paramètres!O34),1)="F",INDEX($F$275:$F$327,MATCH(Paramètres!N34,Paramètres!$G$5:$G$57,0)),INDEX($E$275:$E$327,MATCH(Paramètres!N34,Paramètres!$G$5:$G$57,0)))+IF(RIGHT(TRIM(Paramètres!O34),3)="Fin",1-$H304,IF(LEFT(TRIM(Paramètres!O34),1)="F",1,0)))))))</f>
        <v/>
      </c>
      <c r="F304" s="19">
        <f>IF($A304="","",E304+$H304-1)</f>
        <v/>
      </c>
      <c r="G304" s="18" t="n"/>
      <c r="H304" s="18">
        <f>IF($A304="","",IF(I304&lt;&gt;"",I304,Paramètres!B34))</f>
        <v/>
      </c>
      <c r="I304" s="18" t="n"/>
    </row>
    <row r="305">
      <c r="A305" s="18">
        <f>IF(ISNUMBER(Dossiers!$D$9),Dossiers!$A$9&amp;" · "&amp;Dossiers!$B$9,"")</f>
        <v/>
      </c>
      <c r="B305" s="18">
        <f>IF($A305="","",Paramètres!G35)</f>
        <v/>
      </c>
      <c r="C305" s="18">
        <f>IF($A305="","",IF(Paramètres!H35="","",Paramètres!H35))</f>
        <v/>
      </c>
      <c r="D305" s="18">
        <f>IF($A305="","",IF(Paramètres!I35="","",Paramètres!I35))</f>
        <v/>
      </c>
      <c r="E305" s="19">
        <f>IF($A305="","",IF(Paramètres!J35&amp;Paramètres!L35&amp;Paramètres!N35="",Dossiers!$D$9,MAX(IF(Paramètres!J35="",0,IF(Paramètres!K35="",NA(),IF(LEFT(TRIM(Paramètres!K35),1)="F",INDEX($F$275:$F$327,MATCH(Paramètres!J35,Paramètres!$G$5:$G$57,0)),INDEX($E$275:$E$327,MATCH(Paramètres!J35,Paramètres!$G$5:$G$57,0)))+IF(RIGHT(TRIM(Paramètres!K35),3)="Fin",1-$H305,IF(LEFT(TRIM(Paramètres!K35),1)="F",1,0)))),IF(Paramètres!L35="",0,IF(Paramètres!M35="",NA(),IF(LEFT(TRIM(Paramètres!M35),1)="F",INDEX($F$275:$F$327,MATCH(Paramètres!L35,Paramètres!$G$5:$G$57,0)),INDEX($E$275:$E$327,MATCH(Paramètres!L35,Paramètres!$G$5:$G$57,0)))+IF(RIGHT(TRIM(Paramètres!M35),3)="Fin",1-$H305,IF(LEFT(TRIM(Paramètres!M35),1)="F",1,0)))),IF(Paramètres!N35="",0,IF(Paramètres!O35="",NA(),IF(LEFT(TRIM(Paramètres!O35),1)="F",INDEX($F$275:$F$327,MATCH(Paramètres!N35,Paramètres!$G$5:$G$57,0)),INDEX($E$275:$E$327,MATCH(Paramètres!N35,Paramètres!$G$5:$G$57,0)))+IF(RIGHT(TRIM(Paramètres!O35),3)="Fin",1-$H305,IF(LEFT(TRIM(Paramètres!O35),1)="F",1,0)))))))</f>
        <v/>
      </c>
      <c r="F305" s="19">
        <f>IF($A305="","",E305+$H305-1)</f>
        <v/>
      </c>
      <c r="G305" s="18" t="n"/>
      <c r="H305" s="18">
        <f>IF($A305="","",IF(I305&lt;&gt;"",I305,Paramètres!B35))</f>
        <v/>
      </c>
      <c r="I305" s="18" t="n"/>
    </row>
    <row r="306">
      <c r="A306" s="18">
        <f>IF(ISNUMBER(Dossiers!$D$9),Dossiers!$A$9&amp;" · "&amp;Dossiers!$B$9,"")</f>
        <v/>
      </c>
      <c r="B306" s="18">
        <f>IF($A306="","",Paramètres!G36)</f>
        <v/>
      </c>
      <c r="C306" s="18">
        <f>IF($A306="","",IF(Paramètres!H36="","",Paramètres!H36))</f>
        <v/>
      </c>
      <c r="D306" s="18">
        <f>IF($A306="","",IF(Paramètres!I36="","",Paramètres!I36))</f>
        <v/>
      </c>
      <c r="E306" s="19">
        <f>IF($A306="","",IF(Paramètres!J36&amp;Paramètres!L36&amp;Paramètres!N36="",Dossiers!$D$9,MAX(IF(Paramètres!J36="",0,IF(Paramètres!K36="",NA(),IF(LEFT(TRIM(Paramètres!K36),1)="F",INDEX($F$275:$F$327,MATCH(Paramètres!J36,Paramètres!$G$5:$G$57,0)),INDEX($E$275:$E$327,MATCH(Paramètres!J36,Paramètres!$G$5:$G$57,0)))+IF(RIGHT(TRIM(Paramètres!K36),3)="Fin",1-$H306,IF(LEFT(TRIM(Paramètres!K36),1)="F",1,0)))),IF(Paramètres!L36="",0,IF(Paramètres!M36="",NA(),IF(LEFT(TRIM(Paramètres!M36),1)="F",INDEX($F$275:$F$327,MATCH(Paramètres!L36,Paramètres!$G$5:$G$57,0)),INDEX($E$275:$E$327,MATCH(Paramètres!L36,Paramètres!$G$5:$G$57,0)))+IF(RIGHT(TRIM(Paramètres!M36),3)="Fin",1-$H306,IF(LEFT(TRIM(Paramètres!M36),1)="F",1,0)))),IF(Paramètres!N36="",0,IF(Paramètres!O36="",NA(),IF(LEFT(TRIM(Paramètres!O36),1)="F",INDEX($F$275:$F$327,MATCH(Paramètres!N36,Paramètres!$G$5:$G$57,0)),INDEX($E$275:$E$327,MATCH(Paramètres!N36,Paramètres!$G$5:$G$57,0)))+IF(RIGHT(TRIM(Paramètres!O36),3)="Fin",1-$H306,IF(LEFT(TRIM(Paramètres!O36),1)="F",1,0)))))))</f>
        <v/>
      </c>
      <c r="F306" s="19">
        <f>IF($A306="","",E306+$H306-1)</f>
        <v/>
      </c>
      <c r="G306" s="18" t="n"/>
      <c r="H306" s="18">
        <f>IF($A306="","",IF(I306&lt;&gt;"",I306,Paramètres!B36))</f>
        <v/>
      </c>
      <c r="I306" s="18" t="n"/>
    </row>
    <row r="307">
      <c r="A307" s="18">
        <f>IF(ISNUMBER(Dossiers!$D$9),Dossiers!$A$9&amp;" · "&amp;Dossiers!$B$9,"")</f>
        <v/>
      </c>
      <c r="B307" s="18">
        <f>IF($A307="","",Paramètres!G37)</f>
        <v/>
      </c>
      <c r="C307" s="18">
        <f>IF($A307="","",IF(Paramètres!H37="","",Paramètres!H37))</f>
        <v/>
      </c>
      <c r="D307" s="18">
        <f>IF($A307="","",IF(Paramètres!I37="","",Paramètres!I37))</f>
        <v/>
      </c>
      <c r="E307" s="19">
        <f>IF($A307="","",MIN(E308:E325))</f>
        <v/>
      </c>
      <c r="F307" s="19">
        <f>IF($A307="","",MAX(F308:F325))</f>
        <v/>
      </c>
      <c r="G307" s="18" t="n"/>
      <c r="H307" s="18">
        <f>IF($A307="","",F307-E307+1)</f>
        <v/>
      </c>
      <c r="I307" s="18" t="n"/>
    </row>
    <row r="308">
      <c r="A308" s="18">
        <f>IF(ISNUMBER(Dossiers!$D$9),Dossiers!$A$9&amp;" · "&amp;Dossiers!$B$9,"")</f>
        <v/>
      </c>
      <c r="B308" s="18">
        <f>IF($A308="","",Paramètres!G38)</f>
        <v/>
      </c>
      <c r="C308" s="18">
        <f>IF($A308="","",IF(Paramètres!H38="","",Paramètres!H38))</f>
        <v/>
      </c>
      <c r="D308" s="18">
        <f>IF($A308="","",IF(Paramètres!I38="","",Paramètres!I38))</f>
        <v/>
      </c>
      <c r="E308" s="19">
        <f>IF($A308="","",IF(Paramètres!J38&amp;Paramètres!L38&amp;Paramètres!N38="",Dossiers!$D$9,MAX(IF(Paramètres!J38="",0,IF(Paramètres!K38="",NA(),IF(LEFT(TRIM(Paramètres!K38),1)="F",INDEX($F$275:$F$327,MATCH(Paramètres!J38,Paramètres!$G$5:$G$57,0)),INDEX($E$275:$E$327,MATCH(Paramètres!J38,Paramètres!$G$5:$G$57,0)))+IF(RIGHT(TRIM(Paramètres!K38),3)="Fin",1-$H308,IF(LEFT(TRIM(Paramètres!K38),1)="F",1,0)))),IF(Paramètres!L38="",0,IF(Paramètres!M38="",NA(),IF(LEFT(TRIM(Paramètres!M38),1)="F",INDEX($F$275:$F$327,MATCH(Paramètres!L38,Paramètres!$G$5:$G$57,0)),INDEX($E$275:$E$327,MATCH(Paramètres!L38,Paramètres!$G$5:$G$57,0)))+IF(RIGHT(TRIM(Paramètres!M38),3)="Fin",1-$H308,IF(LEFT(TRIM(Paramètres!M38),1)="F",1,0)))),IF(Paramètres!N38="",0,IF(Paramètres!O38="",NA(),IF(LEFT(TRIM(Paramètres!O38),1)="F",INDEX($F$275:$F$327,MATCH(Paramètres!N38,Paramètres!$G$5:$G$57,0)),INDEX($E$275:$E$327,MATCH(Paramètres!N38,Paramètres!$G$5:$G$57,0)))+IF(RIGHT(TRIM(Paramètres!O38),3)="Fin",1-$H308,IF(LEFT(TRIM(Paramètres!O38),1)="F",1,0)))))))</f>
        <v/>
      </c>
      <c r="F308" s="19">
        <f>IF($A308="","",E308+$H308-1)</f>
        <v/>
      </c>
      <c r="G308" s="18" t="n"/>
      <c r="H308" s="18">
        <f>IF($A308="","",IF(I308&lt;&gt;"",I308,Paramètres!B38))</f>
        <v/>
      </c>
      <c r="I308" s="18" t="n"/>
    </row>
    <row r="309">
      <c r="A309" s="18">
        <f>IF(ISNUMBER(Dossiers!$D$9),Dossiers!$A$9&amp;" · "&amp;Dossiers!$B$9,"")</f>
        <v/>
      </c>
      <c r="B309" s="18">
        <f>IF($A309="","",Paramètres!G39)</f>
        <v/>
      </c>
      <c r="C309" s="18">
        <f>IF($A309="","",IF(Paramètres!H39="","",Paramètres!H39))</f>
        <v/>
      </c>
      <c r="D309" s="18">
        <f>IF($A309="","",IF(Paramètres!I39="","",Paramètres!I39))</f>
        <v/>
      </c>
      <c r="E309" s="19">
        <f>IF($A309="","",IF(Paramètres!J39&amp;Paramètres!L39&amp;Paramètres!N39="",Dossiers!$D$9,MAX(IF(Paramètres!J39="",0,IF(Paramètres!K39="",NA(),IF(LEFT(TRIM(Paramètres!K39),1)="F",INDEX($F$275:$F$327,MATCH(Paramètres!J39,Paramètres!$G$5:$G$57,0)),INDEX($E$275:$E$327,MATCH(Paramètres!J39,Paramètres!$G$5:$G$57,0)))+IF(RIGHT(TRIM(Paramètres!K39),3)="Fin",1-$H309,IF(LEFT(TRIM(Paramètres!K39),1)="F",1,0)))),IF(Paramètres!L39="",0,IF(Paramètres!M39="",NA(),IF(LEFT(TRIM(Paramètres!M39),1)="F",INDEX($F$275:$F$327,MATCH(Paramètres!L39,Paramètres!$G$5:$G$57,0)),INDEX($E$275:$E$327,MATCH(Paramètres!L39,Paramètres!$G$5:$G$57,0)))+IF(RIGHT(TRIM(Paramètres!M39),3)="Fin",1-$H309,IF(LEFT(TRIM(Paramètres!M39),1)="F",1,0)))),IF(Paramètres!N39="",0,IF(Paramètres!O39="",NA(),IF(LEFT(TRIM(Paramètres!O39),1)="F",INDEX($F$275:$F$327,MATCH(Paramètres!N39,Paramètres!$G$5:$G$57,0)),INDEX($E$275:$E$327,MATCH(Paramètres!N39,Paramètres!$G$5:$G$57,0)))+IF(RIGHT(TRIM(Paramètres!O39),3)="Fin",1-$H309,IF(LEFT(TRIM(Paramètres!O39),1)="F",1,0)))))))</f>
        <v/>
      </c>
      <c r="F309" s="19">
        <f>IF($A309="","",E309+$H309-1)</f>
        <v/>
      </c>
      <c r="G309" s="18" t="n"/>
      <c r="H309" s="18">
        <f>IF($A309="","",IF(I309&lt;&gt;"",I309,Paramètres!B39))</f>
        <v/>
      </c>
      <c r="I309" s="18" t="n"/>
    </row>
    <row r="310">
      <c r="A310" s="18">
        <f>IF(ISNUMBER(Dossiers!$D$9),Dossiers!$A$9&amp;" · "&amp;Dossiers!$B$9,"")</f>
        <v/>
      </c>
      <c r="B310" s="18">
        <f>IF($A310="","",Paramètres!G40)</f>
        <v/>
      </c>
      <c r="C310" s="18">
        <f>IF($A310="","",IF(Paramètres!H40="","",Paramètres!H40))</f>
        <v/>
      </c>
      <c r="D310" s="18">
        <f>IF($A310="","",IF(Paramètres!I40="","",Paramètres!I40))</f>
        <v/>
      </c>
      <c r="E310" s="19">
        <f>IF($A310="","",IF(Paramètres!J40&amp;Paramètres!L40&amp;Paramètres!N40="",Dossiers!$D$9,MAX(IF(Paramètres!J40="",0,IF(Paramètres!K40="",NA(),IF(LEFT(TRIM(Paramètres!K40),1)="F",INDEX($F$275:$F$327,MATCH(Paramètres!J40,Paramètres!$G$5:$G$57,0)),INDEX($E$275:$E$327,MATCH(Paramètres!J40,Paramètres!$G$5:$G$57,0)))+IF(RIGHT(TRIM(Paramètres!K40),3)="Fin",1-$H310,IF(LEFT(TRIM(Paramètres!K40),1)="F",1,0)))),IF(Paramètres!L40="",0,IF(Paramètres!M40="",NA(),IF(LEFT(TRIM(Paramètres!M40),1)="F",INDEX($F$275:$F$327,MATCH(Paramètres!L40,Paramètres!$G$5:$G$57,0)),INDEX($E$275:$E$327,MATCH(Paramètres!L40,Paramètres!$G$5:$G$57,0)))+IF(RIGHT(TRIM(Paramètres!M40),3)="Fin",1-$H310,IF(LEFT(TRIM(Paramètres!M40),1)="F",1,0)))),IF(Paramètres!N40="",0,IF(Paramètres!O40="",NA(),IF(LEFT(TRIM(Paramètres!O40),1)="F",INDEX($F$275:$F$327,MATCH(Paramètres!N40,Paramètres!$G$5:$G$57,0)),INDEX($E$275:$E$327,MATCH(Paramètres!N40,Paramètres!$G$5:$G$57,0)))+IF(RIGHT(TRIM(Paramètres!O40),3)="Fin",1-$H310,IF(LEFT(TRIM(Paramètres!O40),1)="F",1,0)))))))</f>
        <v/>
      </c>
      <c r="F310" s="19">
        <f>IF($A310="","",E310+$H310-1)</f>
        <v/>
      </c>
      <c r="G310" s="18" t="n"/>
      <c r="H310" s="18">
        <f>IF($A310="","",IF(I310&lt;&gt;"",I310,Paramètres!B40))</f>
        <v/>
      </c>
      <c r="I310" s="18" t="n"/>
    </row>
    <row r="311">
      <c r="A311" s="18">
        <f>IF(ISNUMBER(Dossiers!$D$9),Dossiers!$A$9&amp;" · "&amp;Dossiers!$B$9,"")</f>
        <v/>
      </c>
      <c r="B311" s="18">
        <f>IF($A311="","",Paramètres!G41)</f>
        <v/>
      </c>
      <c r="C311" s="18">
        <f>IF($A311="","",IF(Paramètres!H41="","",Paramètres!H41))</f>
        <v/>
      </c>
      <c r="D311" s="18">
        <f>IF($A311="","",IF(Paramètres!I41="","",Paramètres!I41))</f>
        <v/>
      </c>
      <c r="E311" s="19">
        <f>IF($A311="","",IF(Paramètres!J41&amp;Paramètres!L41&amp;Paramètres!N41="",Dossiers!$D$9,MAX(IF(Paramètres!J41="",0,IF(Paramètres!K41="",NA(),IF(LEFT(TRIM(Paramètres!K41),1)="F",INDEX($F$275:$F$327,MATCH(Paramètres!J41,Paramètres!$G$5:$G$57,0)),INDEX($E$275:$E$327,MATCH(Paramètres!J41,Paramètres!$G$5:$G$57,0)))+IF(RIGHT(TRIM(Paramètres!K41),3)="Fin",1-$H311,IF(LEFT(TRIM(Paramètres!K41),1)="F",1,0)))),IF(Paramètres!L41="",0,IF(Paramètres!M41="",NA(),IF(LEFT(TRIM(Paramètres!M41),1)="F",INDEX($F$275:$F$327,MATCH(Paramètres!L41,Paramètres!$G$5:$G$57,0)),INDEX($E$275:$E$327,MATCH(Paramètres!L41,Paramètres!$G$5:$G$57,0)))+IF(RIGHT(TRIM(Paramètres!M41),3)="Fin",1-$H311,IF(LEFT(TRIM(Paramètres!M41),1)="F",1,0)))),IF(Paramètres!N41="",0,IF(Paramètres!O41="",NA(),IF(LEFT(TRIM(Paramètres!O41),1)="F",INDEX($F$275:$F$327,MATCH(Paramètres!N41,Paramètres!$G$5:$G$57,0)),INDEX($E$275:$E$327,MATCH(Paramètres!N41,Paramètres!$G$5:$G$57,0)))+IF(RIGHT(TRIM(Paramètres!O41),3)="Fin",1-$H311,IF(LEFT(TRIM(Paramètres!O41),1)="F",1,0)))))))</f>
        <v/>
      </c>
      <c r="F311" s="19">
        <f>IF($A311="","",E311+$H311-1)</f>
        <v/>
      </c>
      <c r="G311" s="18" t="n"/>
      <c r="H311" s="18">
        <f>IF($A311="","",IF(I311&lt;&gt;"",I311,Paramètres!B41))</f>
        <v/>
      </c>
      <c r="I311" s="18" t="n"/>
    </row>
    <row r="312">
      <c r="A312" s="18">
        <f>IF(ISNUMBER(Dossiers!$D$9),Dossiers!$A$9&amp;" · "&amp;Dossiers!$B$9,"")</f>
        <v/>
      </c>
      <c r="B312" s="18">
        <f>IF($A312="","",Paramètres!G42)</f>
        <v/>
      </c>
      <c r="C312" s="18">
        <f>IF($A312="","",IF(Paramètres!H42="","",Paramètres!H42))</f>
        <v/>
      </c>
      <c r="D312" s="18">
        <f>IF($A312="","",IF(Paramètres!I42="","",Paramètres!I42))</f>
        <v/>
      </c>
      <c r="E312" s="19">
        <f>IF($A312="","",IF(Paramètres!J42&amp;Paramètres!L42&amp;Paramètres!N42="",Dossiers!$D$9,MAX(IF(Paramètres!J42="",0,IF(Paramètres!K42="",NA(),IF(LEFT(TRIM(Paramètres!K42),1)="F",INDEX($F$275:$F$327,MATCH(Paramètres!J42,Paramètres!$G$5:$G$57,0)),INDEX($E$275:$E$327,MATCH(Paramètres!J42,Paramètres!$G$5:$G$57,0)))+IF(RIGHT(TRIM(Paramètres!K42),3)="Fin",1-$H312,IF(LEFT(TRIM(Paramètres!K42),1)="F",1,0)))),IF(Paramètres!L42="",0,IF(Paramètres!M42="",NA(),IF(LEFT(TRIM(Paramètres!M42),1)="F",INDEX($F$275:$F$327,MATCH(Paramètres!L42,Paramètres!$G$5:$G$57,0)),INDEX($E$275:$E$327,MATCH(Paramètres!L42,Paramètres!$G$5:$G$57,0)))+IF(RIGHT(TRIM(Paramètres!M42),3)="Fin",1-$H312,IF(LEFT(TRIM(Paramètres!M42),1)="F",1,0)))),IF(Paramètres!N42="",0,IF(Paramètres!O42="",NA(),IF(LEFT(TRIM(Paramètres!O42),1)="F",INDEX($F$275:$F$327,MATCH(Paramètres!N42,Paramètres!$G$5:$G$57,0)),INDEX($E$275:$E$327,MATCH(Paramètres!N42,Paramètres!$G$5:$G$57,0)))+IF(RIGHT(TRIM(Paramètres!O42),3)="Fin",1-$H312,IF(LEFT(TRIM(Paramètres!O42),1)="F",1,0)))))))</f>
        <v/>
      </c>
      <c r="F312" s="19">
        <f>IF($A312="","",E312+$H312-1)</f>
        <v/>
      </c>
      <c r="G312" s="18" t="n"/>
      <c r="H312" s="18">
        <f>IF($A312="","",IF(I312&lt;&gt;"",I312,Paramètres!B42))</f>
        <v/>
      </c>
      <c r="I312" s="18" t="n"/>
    </row>
    <row r="313">
      <c r="A313" s="18">
        <f>IF(ISNUMBER(Dossiers!$D$9),Dossiers!$A$9&amp;" · "&amp;Dossiers!$B$9,"")</f>
        <v/>
      </c>
      <c r="B313" s="18">
        <f>IF($A313="","",Paramètres!G43)</f>
        <v/>
      </c>
      <c r="C313" s="18">
        <f>IF($A313="","",IF(Paramètres!H43="","",Paramètres!H43))</f>
        <v/>
      </c>
      <c r="D313" s="18">
        <f>IF($A313="","",IF(Paramètres!I43="","",Paramètres!I43))</f>
        <v/>
      </c>
      <c r="E313" s="19">
        <f>IF($A313="","",IF(Paramètres!J43&amp;Paramètres!L43&amp;Paramètres!N43="",Dossiers!$D$9,MAX(IF(Paramètres!J43="",0,IF(Paramètres!K43="",NA(),IF(LEFT(TRIM(Paramètres!K43),1)="F",INDEX($F$275:$F$327,MATCH(Paramètres!J43,Paramètres!$G$5:$G$57,0)),INDEX($E$275:$E$327,MATCH(Paramètres!J43,Paramètres!$G$5:$G$57,0)))+IF(RIGHT(TRIM(Paramètres!K43),3)="Fin",1-$H313,IF(LEFT(TRIM(Paramètres!K43),1)="F",1,0)))),IF(Paramètres!L43="",0,IF(Paramètres!M43="",NA(),IF(LEFT(TRIM(Paramètres!M43),1)="F",INDEX($F$275:$F$327,MATCH(Paramètres!L43,Paramètres!$G$5:$G$57,0)),INDEX($E$275:$E$327,MATCH(Paramètres!L43,Paramètres!$G$5:$G$57,0)))+IF(RIGHT(TRIM(Paramètres!M43),3)="Fin",1-$H313,IF(LEFT(TRIM(Paramètres!M43),1)="F",1,0)))),IF(Paramètres!N43="",0,IF(Paramètres!O43="",NA(),IF(LEFT(TRIM(Paramètres!O43),1)="F",INDEX($F$275:$F$327,MATCH(Paramètres!N43,Paramètres!$G$5:$G$57,0)),INDEX($E$275:$E$327,MATCH(Paramètres!N43,Paramètres!$G$5:$G$57,0)))+IF(RIGHT(TRIM(Paramètres!O43),3)="Fin",1-$H313,IF(LEFT(TRIM(Paramètres!O43),1)="F",1,0)))))))</f>
        <v/>
      </c>
      <c r="F313" s="19">
        <f>IF($A313="","",E313+$H313-1)</f>
        <v/>
      </c>
      <c r="G313" s="18" t="n"/>
      <c r="H313" s="18">
        <f>IF($A313="","",IF(I313&lt;&gt;"",I313,Paramètres!B43))</f>
        <v/>
      </c>
      <c r="I313" s="18" t="n"/>
    </row>
    <row r="314">
      <c r="A314" s="18">
        <f>IF(ISNUMBER(Dossiers!$D$9),Dossiers!$A$9&amp;" · "&amp;Dossiers!$B$9,"")</f>
        <v/>
      </c>
      <c r="B314" s="18">
        <f>IF($A314="","",Paramètres!G44)</f>
        <v/>
      </c>
      <c r="C314" s="18">
        <f>IF($A314="","",IF(Paramètres!H44="","",Paramètres!H44))</f>
        <v/>
      </c>
      <c r="D314" s="18">
        <f>IF($A314="","",IF(Paramètres!I44="","",Paramètres!I44))</f>
        <v/>
      </c>
      <c r="E314" s="19">
        <f>IF($A314="","",IF(Paramètres!J44&amp;Paramètres!L44&amp;Paramètres!N44="",Dossiers!$D$9,MAX(IF(Paramètres!J44="",0,IF(Paramètres!K44="",NA(),IF(LEFT(TRIM(Paramètres!K44),1)="F",INDEX($F$275:$F$327,MATCH(Paramètres!J44,Paramètres!$G$5:$G$57,0)),INDEX($E$275:$E$327,MATCH(Paramètres!J44,Paramètres!$G$5:$G$57,0)))+IF(RIGHT(TRIM(Paramètres!K44),3)="Fin",1-$H314,IF(LEFT(TRIM(Paramètres!K44),1)="F",1,0)))),IF(Paramètres!L44="",0,IF(Paramètres!M44="",NA(),IF(LEFT(TRIM(Paramètres!M44),1)="F",INDEX($F$275:$F$327,MATCH(Paramètres!L44,Paramètres!$G$5:$G$57,0)),INDEX($E$275:$E$327,MATCH(Paramètres!L44,Paramètres!$G$5:$G$57,0)))+IF(RIGHT(TRIM(Paramètres!M44),3)="Fin",1-$H314,IF(LEFT(TRIM(Paramètres!M44),1)="F",1,0)))),IF(Paramètres!N44="",0,IF(Paramètres!O44="",NA(),IF(LEFT(TRIM(Paramètres!O44),1)="F",INDEX($F$275:$F$327,MATCH(Paramètres!N44,Paramètres!$G$5:$G$57,0)),INDEX($E$275:$E$327,MATCH(Paramètres!N44,Paramètres!$G$5:$G$57,0)))+IF(RIGHT(TRIM(Paramètres!O44),3)="Fin",1-$H314,IF(LEFT(TRIM(Paramètres!O44),1)="F",1,0)))))))</f>
        <v/>
      </c>
      <c r="F314" s="19">
        <f>IF($A314="","",E314+$H314-1)</f>
        <v/>
      </c>
      <c r="G314" s="18" t="n"/>
      <c r="H314" s="18">
        <f>IF($A314="","",IF(I314&lt;&gt;"",I314,Paramètres!B44))</f>
        <v/>
      </c>
      <c r="I314" s="18" t="n"/>
    </row>
    <row r="315">
      <c r="A315" s="18">
        <f>IF(ISNUMBER(Dossiers!$D$9),Dossiers!$A$9&amp;" · "&amp;Dossiers!$B$9,"")</f>
        <v/>
      </c>
      <c r="B315" s="18">
        <f>IF($A315="","",Paramètres!G45)</f>
        <v/>
      </c>
      <c r="C315" s="20">
        <f>IF($A315="","",IF(Dossiers!$G$9="","",Dossiers!$G$9))</f>
        <v/>
      </c>
      <c r="D315" s="18">
        <f>IF($A315="","",IF(Paramètres!I45="","",Paramètres!I45))</f>
        <v/>
      </c>
      <c r="E315" s="19">
        <f>IF($A315="","",IF(Paramètres!J45&amp;Paramètres!L45&amp;Paramètres!N45="",Dossiers!$D$9,MAX(IF(Paramètres!J45="",0,IF(Paramètres!K45="",NA(),IF(LEFT(TRIM(Paramètres!K45),1)="F",INDEX($F$275:$F$327,MATCH(Paramètres!J45,Paramètres!$G$5:$G$57,0)),INDEX($E$275:$E$327,MATCH(Paramètres!J45,Paramètres!$G$5:$G$57,0)))+IF(RIGHT(TRIM(Paramètres!K45),3)="Fin",1-$H315,IF(LEFT(TRIM(Paramètres!K45),1)="F",1,0)))),IF(Paramètres!L45="",0,IF(Paramètres!M45="",NA(),IF(LEFT(TRIM(Paramètres!M45),1)="F",INDEX($F$275:$F$327,MATCH(Paramètres!L45,Paramètres!$G$5:$G$57,0)),INDEX($E$275:$E$327,MATCH(Paramètres!L45,Paramètres!$G$5:$G$57,0)))+IF(RIGHT(TRIM(Paramètres!M45),3)="Fin",1-$H315,IF(LEFT(TRIM(Paramètres!M45),1)="F",1,0)))),IF(Paramètres!N45="",0,IF(Paramètres!O45="",NA(),IF(LEFT(TRIM(Paramètres!O45),1)="F",INDEX($F$275:$F$327,MATCH(Paramètres!N45,Paramètres!$G$5:$G$57,0)),INDEX($E$275:$E$327,MATCH(Paramètres!N45,Paramètres!$G$5:$G$57,0)))+IF(RIGHT(TRIM(Paramètres!O45),3)="Fin",1-$H315,IF(LEFT(TRIM(Paramètres!O45),1)="F",1,0)))))))</f>
        <v/>
      </c>
      <c r="F315" s="19">
        <f>IF($A315="","",E315+$H315-1)</f>
        <v/>
      </c>
      <c r="G315" s="18" t="n"/>
      <c r="H315" s="18">
        <f>IF($A315="","",IF(I315&lt;&gt;"",I315,Paramètres!B45))</f>
        <v/>
      </c>
      <c r="I315" s="18" t="n"/>
    </row>
    <row r="316">
      <c r="A316" s="18">
        <f>IF(ISNUMBER(Dossiers!$D$9),Dossiers!$A$9&amp;" · "&amp;Dossiers!$B$9,"")</f>
        <v/>
      </c>
      <c r="B316" s="18">
        <f>IF($A316="","",Paramètres!G46)</f>
        <v/>
      </c>
      <c r="C316" s="18">
        <f>IF($A316="","",IF(Paramètres!H46="","",Paramètres!H46))</f>
        <v/>
      </c>
      <c r="D316" s="18">
        <f>IF($A316="","",IF(Paramètres!I46="","",Paramètres!I46))</f>
        <v/>
      </c>
      <c r="E316" s="19">
        <f>IF($A316="","",IF(Paramètres!J46&amp;Paramètres!L46&amp;Paramètres!N46="",Dossiers!$D$9,MAX(IF(Paramètres!J46="",0,IF(Paramètres!K46="",NA(),IF(LEFT(TRIM(Paramètres!K46),1)="F",INDEX($F$275:$F$327,MATCH(Paramètres!J46,Paramètres!$G$5:$G$57,0)),INDEX($E$275:$E$327,MATCH(Paramètres!J46,Paramètres!$G$5:$G$57,0)))+IF(RIGHT(TRIM(Paramètres!K46),3)="Fin",1-$H316,IF(LEFT(TRIM(Paramètres!K46),1)="F",1,0)))),IF(Paramètres!L46="",0,IF(Paramètres!M46="",NA(),IF(LEFT(TRIM(Paramètres!M46),1)="F",INDEX($F$275:$F$327,MATCH(Paramètres!L46,Paramètres!$G$5:$G$57,0)),INDEX($E$275:$E$327,MATCH(Paramètres!L46,Paramètres!$G$5:$G$57,0)))+IF(RIGHT(TRIM(Paramètres!M46),3)="Fin",1-$H316,IF(LEFT(TRIM(Paramètres!M46),1)="F",1,0)))),IF(Paramètres!N46="",0,IF(Paramètres!O46="",NA(),IF(LEFT(TRIM(Paramètres!O46),1)="F",INDEX($F$275:$F$327,MATCH(Paramètres!N46,Paramètres!$G$5:$G$57,0)),INDEX($E$275:$E$327,MATCH(Paramètres!N46,Paramètres!$G$5:$G$57,0)))+IF(RIGHT(TRIM(Paramètres!O46),3)="Fin",1-$H316,IF(LEFT(TRIM(Paramètres!O46),1)="F",1,0)))))))</f>
        <v/>
      </c>
      <c r="F316" s="19">
        <f>IF($A316="","",E316+$H316-1)</f>
        <v/>
      </c>
      <c r="G316" s="18" t="n"/>
      <c r="H316" s="18">
        <f>IF($A316="","",IF(I316&lt;&gt;"",I316,Paramètres!B46))</f>
        <v/>
      </c>
      <c r="I316" s="18" t="n"/>
    </row>
    <row r="317">
      <c r="A317" s="18">
        <f>IF(ISNUMBER(Dossiers!$D$9),Dossiers!$A$9&amp;" · "&amp;Dossiers!$B$9,"")</f>
        <v/>
      </c>
      <c r="B317" s="18">
        <f>IF($A317="","",Paramètres!G47)</f>
        <v/>
      </c>
      <c r="C317" s="18">
        <f>IF($A317="","",IF(Paramètres!H47="","",Paramètres!H47))</f>
        <v/>
      </c>
      <c r="D317" s="18">
        <f>IF($A317="","",IF(Paramètres!I47="","",Paramètres!I47))</f>
        <v/>
      </c>
      <c r="E317" s="19">
        <f>IF($A317="","",IF(Paramètres!J47&amp;Paramètres!L47&amp;Paramètres!N47="",Dossiers!$D$9,MAX(IF(Paramètres!J47="",0,IF(Paramètres!K47="",NA(),IF(LEFT(TRIM(Paramètres!K47),1)="F",INDEX($F$275:$F$327,MATCH(Paramètres!J47,Paramètres!$G$5:$G$57,0)),INDEX($E$275:$E$327,MATCH(Paramètres!J47,Paramètres!$G$5:$G$57,0)))+IF(RIGHT(TRIM(Paramètres!K47),3)="Fin",1-$H317,IF(LEFT(TRIM(Paramètres!K47),1)="F",1,0)))),IF(Paramètres!L47="",0,IF(Paramètres!M47="",NA(),IF(LEFT(TRIM(Paramètres!M47),1)="F",INDEX($F$275:$F$327,MATCH(Paramètres!L47,Paramètres!$G$5:$G$57,0)),INDEX($E$275:$E$327,MATCH(Paramètres!L47,Paramètres!$G$5:$G$57,0)))+IF(RIGHT(TRIM(Paramètres!M47),3)="Fin",1-$H317,IF(LEFT(TRIM(Paramètres!M47),1)="F",1,0)))),IF(Paramètres!N47="",0,IF(Paramètres!O47="",NA(),IF(LEFT(TRIM(Paramètres!O47),1)="F",INDEX($F$275:$F$327,MATCH(Paramètres!N47,Paramètres!$G$5:$G$57,0)),INDEX($E$275:$E$327,MATCH(Paramètres!N47,Paramètres!$G$5:$G$57,0)))+IF(RIGHT(TRIM(Paramètres!O47),3)="Fin",1-$H317,IF(LEFT(TRIM(Paramètres!O47),1)="F",1,0)))))))</f>
        <v/>
      </c>
      <c r="F317" s="19">
        <f>IF($A317="","",E317+$H317-1)</f>
        <v/>
      </c>
      <c r="G317" s="18" t="n"/>
      <c r="H317" s="18">
        <f>IF($A317="","",IF(I317&lt;&gt;"",I317,Paramètres!B47))</f>
        <v/>
      </c>
      <c r="I317" s="18" t="n"/>
    </row>
    <row r="318">
      <c r="A318" s="18">
        <f>IF(ISNUMBER(Dossiers!$D$9),Dossiers!$A$9&amp;" · "&amp;Dossiers!$B$9,"")</f>
        <v/>
      </c>
      <c r="B318" s="18">
        <f>IF($A318="","",Paramètres!G48)</f>
        <v/>
      </c>
      <c r="C318" s="18">
        <f>IF($A318="","",IF(Paramètres!H48="","",Paramètres!H48))</f>
        <v/>
      </c>
      <c r="D318" s="18">
        <f>IF($A318="","",IF(Paramètres!I48="","",Paramètres!I48))</f>
        <v/>
      </c>
      <c r="E318" s="19">
        <f>IF($A318="","",IF(Paramètres!J48&amp;Paramètres!L48&amp;Paramètres!N48="",Dossiers!$D$9,MAX(IF(Paramètres!J48="",0,IF(Paramètres!K48="",NA(),IF(LEFT(TRIM(Paramètres!K48),1)="F",INDEX($F$275:$F$327,MATCH(Paramètres!J48,Paramètres!$G$5:$G$57,0)),INDEX($E$275:$E$327,MATCH(Paramètres!J48,Paramètres!$G$5:$G$57,0)))+IF(RIGHT(TRIM(Paramètres!K48),3)="Fin",1-$H318,IF(LEFT(TRIM(Paramètres!K48),1)="F",1,0)))),IF(Paramètres!L48="",0,IF(Paramètres!M48="",NA(),IF(LEFT(TRIM(Paramètres!M48),1)="F",INDEX($F$275:$F$327,MATCH(Paramètres!L48,Paramètres!$G$5:$G$57,0)),INDEX($E$275:$E$327,MATCH(Paramètres!L48,Paramètres!$G$5:$G$57,0)))+IF(RIGHT(TRIM(Paramètres!M48),3)="Fin",1-$H318,IF(LEFT(TRIM(Paramètres!M48),1)="F",1,0)))),IF(Paramètres!N48="",0,IF(Paramètres!O48="",NA(),IF(LEFT(TRIM(Paramètres!O48),1)="F",INDEX($F$275:$F$327,MATCH(Paramètres!N48,Paramètres!$G$5:$G$57,0)),INDEX($E$275:$E$327,MATCH(Paramètres!N48,Paramètres!$G$5:$G$57,0)))+IF(RIGHT(TRIM(Paramètres!O48),3)="Fin",1-$H318,IF(LEFT(TRIM(Paramètres!O48),1)="F",1,0)))))))</f>
        <v/>
      </c>
      <c r="F318" s="19">
        <f>IF($A318="","",E318+$H318-1)</f>
        <v/>
      </c>
      <c r="G318" s="18" t="n"/>
      <c r="H318" s="18">
        <f>IF($A318="","",IF(I318&lt;&gt;"",I318,Paramètres!B48))</f>
        <v/>
      </c>
      <c r="I318" s="18" t="n"/>
    </row>
    <row r="319">
      <c r="A319" s="18">
        <f>IF(ISNUMBER(Dossiers!$D$9),Dossiers!$A$9&amp;" · "&amp;Dossiers!$B$9,"")</f>
        <v/>
      </c>
      <c r="B319" s="18">
        <f>IF($A319="","",Paramètres!G49)</f>
        <v/>
      </c>
      <c r="C319" s="18">
        <f>IF($A319="","",IF(Paramètres!H49="","",Paramètres!H49))</f>
        <v/>
      </c>
      <c r="D319" s="18">
        <f>IF($A319="","",IF(Paramètres!I49="","",Paramètres!I49))</f>
        <v/>
      </c>
      <c r="E319" s="19">
        <f>IF($A319="","",IF(Paramètres!J49&amp;Paramètres!L49&amp;Paramètres!N49="",Dossiers!$D$9,MAX(IF(Paramètres!J49="",0,IF(Paramètres!K49="",NA(),IF(LEFT(TRIM(Paramètres!K49),1)="F",INDEX($F$275:$F$327,MATCH(Paramètres!J49,Paramètres!$G$5:$G$57,0)),INDEX($E$275:$E$327,MATCH(Paramètres!J49,Paramètres!$G$5:$G$57,0)))+IF(RIGHT(TRIM(Paramètres!K49),3)="Fin",1-$H319,IF(LEFT(TRIM(Paramètres!K49),1)="F",1,0)))),IF(Paramètres!L49="",0,IF(Paramètres!M49="",NA(),IF(LEFT(TRIM(Paramètres!M49),1)="F",INDEX($F$275:$F$327,MATCH(Paramètres!L49,Paramètres!$G$5:$G$57,0)),INDEX($E$275:$E$327,MATCH(Paramètres!L49,Paramètres!$G$5:$G$57,0)))+IF(RIGHT(TRIM(Paramètres!M49),3)="Fin",1-$H319,IF(LEFT(TRIM(Paramètres!M49),1)="F",1,0)))),IF(Paramètres!N49="",0,IF(Paramètres!O49="",NA(),IF(LEFT(TRIM(Paramètres!O49),1)="F",INDEX($F$275:$F$327,MATCH(Paramètres!N49,Paramètres!$G$5:$G$57,0)),INDEX($E$275:$E$327,MATCH(Paramètres!N49,Paramètres!$G$5:$G$57,0)))+IF(RIGHT(TRIM(Paramètres!O49),3)="Fin",1-$H319,IF(LEFT(TRIM(Paramètres!O49),1)="F",1,0)))))))</f>
        <v/>
      </c>
      <c r="F319" s="19">
        <f>IF($A319="","",E319+$H319-1)</f>
        <v/>
      </c>
      <c r="G319" s="18" t="n"/>
      <c r="H319" s="18">
        <f>IF($A319="","",IF(I319&lt;&gt;"",I319,Paramètres!B49))</f>
        <v/>
      </c>
      <c r="I319" s="18" t="n"/>
    </row>
    <row r="320">
      <c r="A320" s="18">
        <f>IF(ISNUMBER(Dossiers!$D$9),Dossiers!$A$9&amp;" · "&amp;Dossiers!$B$9,"")</f>
        <v/>
      </c>
      <c r="B320" s="18">
        <f>IF($A320="","",Paramètres!G50)</f>
        <v/>
      </c>
      <c r="C320" s="18">
        <f>IF($A320="","",IF(Paramètres!H50="","",Paramètres!H50))</f>
        <v/>
      </c>
      <c r="D320" s="18">
        <f>IF($A320="","",IF(Paramètres!I50="","",Paramètres!I50))</f>
        <v/>
      </c>
      <c r="E320" s="19">
        <f>IF($A320="","",IF(Paramètres!J50&amp;Paramètres!L50&amp;Paramètres!N50="",Dossiers!$D$9,MAX(IF(Paramètres!J50="",0,IF(Paramètres!K50="",NA(),IF(LEFT(TRIM(Paramètres!K50),1)="F",INDEX($F$275:$F$327,MATCH(Paramètres!J50,Paramètres!$G$5:$G$57,0)),INDEX($E$275:$E$327,MATCH(Paramètres!J50,Paramètres!$G$5:$G$57,0)))+IF(RIGHT(TRIM(Paramètres!K50),3)="Fin",1-$H320,IF(LEFT(TRIM(Paramètres!K50),1)="F",1,0)))),IF(Paramètres!L50="",0,IF(Paramètres!M50="",NA(),IF(LEFT(TRIM(Paramètres!M50),1)="F",INDEX($F$275:$F$327,MATCH(Paramètres!L50,Paramètres!$G$5:$G$57,0)),INDEX($E$275:$E$327,MATCH(Paramètres!L50,Paramètres!$G$5:$G$57,0)))+IF(RIGHT(TRIM(Paramètres!M50),3)="Fin",1-$H320,IF(LEFT(TRIM(Paramètres!M50),1)="F",1,0)))),IF(Paramètres!N50="",0,IF(Paramètres!O50="",NA(),IF(LEFT(TRIM(Paramètres!O50),1)="F",INDEX($F$275:$F$327,MATCH(Paramètres!N50,Paramètres!$G$5:$G$57,0)),INDEX($E$275:$E$327,MATCH(Paramètres!N50,Paramètres!$G$5:$G$57,0)))+IF(RIGHT(TRIM(Paramètres!O50),3)="Fin",1-$H320,IF(LEFT(TRIM(Paramètres!O50),1)="F",1,0)))))))</f>
        <v/>
      </c>
      <c r="F320" s="19">
        <f>IF($A320="","",E320+$H320-1)</f>
        <v/>
      </c>
      <c r="G320" s="18" t="n"/>
      <c r="H320" s="18">
        <f>IF($A320="","",IF(I320&lt;&gt;"",I320,Paramètres!B50))</f>
        <v/>
      </c>
      <c r="I320" s="18" t="n"/>
    </row>
    <row r="321">
      <c r="A321" s="18">
        <f>IF(ISNUMBER(Dossiers!$D$9),Dossiers!$A$9&amp;" · "&amp;Dossiers!$B$9,"")</f>
        <v/>
      </c>
      <c r="B321" s="18">
        <f>IF($A321="","",Paramètres!G51)</f>
        <v/>
      </c>
      <c r="C321" s="18">
        <f>IF($A321="","",IF(Paramètres!H51="","",Paramètres!H51))</f>
        <v/>
      </c>
      <c r="D321" s="18">
        <f>IF($A321="","",IF(Paramètres!I51="","",Paramètres!I51))</f>
        <v/>
      </c>
      <c r="E321" s="19">
        <f>IF($A321="","",IF(Paramètres!J51&amp;Paramètres!L51&amp;Paramètres!N51="",Dossiers!$D$9,MAX(IF(Paramètres!J51="",0,IF(Paramètres!K51="",NA(),IF(LEFT(TRIM(Paramètres!K51),1)="F",INDEX($F$275:$F$327,MATCH(Paramètres!J51,Paramètres!$G$5:$G$57,0)),INDEX($E$275:$E$327,MATCH(Paramètres!J51,Paramètres!$G$5:$G$57,0)))+IF(RIGHT(TRIM(Paramètres!K51),3)="Fin",1-$H321,IF(LEFT(TRIM(Paramètres!K51),1)="F",1,0)))),IF(Paramètres!L51="",0,IF(Paramètres!M51="",NA(),IF(LEFT(TRIM(Paramètres!M51),1)="F",INDEX($F$275:$F$327,MATCH(Paramètres!L51,Paramètres!$G$5:$G$57,0)),INDEX($E$275:$E$327,MATCH(Paramètres!L51,Paramètres!$G$5:$G$57,0)))+IF(RIGHT(TRIM(Paramètres!M51),3)="Fin",1-$H321,IF(LEFT(TRIM(Paramètres!M51),1)="F",1,0)))),IF(Paramètres!N51="",0,IF(Paramètres!O51="",NA(),IF(LEFT(TRIM(Paramètres!O51),1)="F",INDEX($F$275:$F$327,MATCH(Paramètres!N51,Paramètres!$G$5:$G$57,0)),INDEX($E$275:$E$327,MATCH(Paramètres!N51,Paramètres!$G$5:$G$57,0)))+IF(RIGHT(TRIM(Paramètres!O51),3)="Fin",1-$H321,IF(LEFT(TRIM(Paramètres!O51),1)="F",1,0)))))))</f>
        <v/>
      </c>
      <c r="F321" s="19">
        <f>IF($A321="","",E321+$H321-1)</f>
        <v/>
      </c>
      <c r="G321" s="18" t="n"/>
      <c r="H321" s="18">
        <f>IF($A321="","",IF(I321&lt;&gt;"",I321,Paramètres!B51))</f>
        <v/>
      </c>
      <c r="I321" s="18" t="n"/>
    </row>
    <row r="322">
      <c r="A322" s="18">
        <f>IF(ISNUMBER(Dossiers!$D$9),Dossiers!$A$9&amp;" · "&amp;Dossiers!$B$9,"")</f>
        <v/>
      </c>
      <c r="B322" s="18">
        <f>IF($A322="","",Paramètres!G52)</f>
        <v/>
      </c>
      <c r="C322" s="18">
        <f>IF($A322="","",IF(Paramètres!H52="","",Paramètres!H52))</f>
        <v/>
      </c>
      <c r="D322" s="18">
        <f>IF($A322="","",IF(Paramètres!I52="","",Paramètres!I52))</f>
        <v/>
      </c>
      <c r="E322" s="19">
        <f>IF($A322="","",IF(Paramètres!J52&amp;Paramètres!L52&amp;Paramètres!N52="",Dossiers!$D$9,MAX(IF(Paramètres!J52="",0,IF(Paramètres!K52="",NA(),IF(LEFT(TRIM(Paramètres!K52),1)="F",INDEX($F$275:$F$327,MATCH(Paramètres!J52,Paramètres!$G$5:$G$57,0)),INDEX($E$275:$E$327,MATCH(Paramètres!J52,Paramètres!$G$5:$G$57,0)))+IF(RIGHT(TRIM(Paramètres!K52),3)="Fin",1-$H322,IF(LEFT(TRIM(Paramètres!K52),1)="F",1,0)))),IF(Paramètres!L52="",0,IF(Paramètres!M52="",NA(),IF(LEFT(TRIM(Paramètres!M52),1)="F",INDEX($F$275:$F$327,MATCH(Paramètres!L52,Paramètres!$G$5:$G$57,0)),INDEX($E$275:$E$327,MATCH(Paramètres!L52,Paramètres!$G$5:$G$57,0)))+IF(RIGHT(TRIM(Paramètres!M52),3)="Fin",1-$H322,IF(LEFT(TRIM(Paramètres!M52),1)="F",1,0)))),IF(Paramètres!N52="",0,IF(Paramètres!O52="",NA(),IF(LEFT(TRIM(Paramètres!O52),1)="F",INDEX($F$275:$F$327,MATCH(Paramètres!N52,Paramètres!$G$5:$G$57,0)),INDEX($E$275:$E$327,MATCH(Paramètres!N52,Paramètres!$G$5:$G$57,0)))+IF(RIGHT(TRIM(Paramètres!O52),3)="Fin",1-$H322,IF(LEFT(TRIM(Paramètres!O52),1)="F",1,0)))))))</f>
        <v/>
      </c>
      <c r="F322" s="19">
        <f>IF($A322="","",E322+$H322-1)</f>
        <v/>
      </c>
      <c r="G322" s="18" t="n"/>
      <c r="H322" s="18">
        <f>IF($A322="","",IF(I322&lt;&gt;"",I322,Paramètres!B52))</f>
        <v/>
      </c>
      <c r="I322" s="18" t="n"/>
    </row>
    <row r="323">
      <c r="A323" s="18">
        <f>IF(ISNUMBER(Dossiers!$D$9),Dossiers!$A$9&amp;" · "&amp;Dossiers!$B$9,"")</f>
        <v/>
      </c>
      <c r="B323" s="18">
        <f>IF($A323="","",Paramètres!G53)</f>
        <v/>
      </c>
      <c r="C323" s="18">
        <f>IF($A323="","",IF(Paramètres!H53="","",Paramètres!H53))</f>
        <v/>
      </c>
      <c r="D323" s="18">
        <f>IF($A323="","",IF(Paramètres!I53="","",Paramètres!I53))</f>
        <v/>
      </c>
      <c r="E323" s="19">
        <f>IF($A323="","",IF(Paramètres!J53&amp;Paramètres!L53&amp;Paramètres!N53="",Dossiers!$D$9,MAX(IF(Paramètres!J53="",0,IF(Paramètres!K53="",NA(),IF(LEFT(TRIM(Paramètres!K53),1)="F",INDEX($F$275:$F$327,MATCH(Paramètres!J53,Paramètres!$G$5:$G$57,0)),INDEX($E$275:$E$327,MATCH(Paramètres!J53,Paramètres!$G$5:$G$57,0)))+IF(RIGHT(TRIM(Paramètres!K53),3)="Fin",1-$H323,IF(LEFT(TRIM(Paramètres!K53),1)="F",1,0)))),IF(Paramètres!L53="",0,IF(Paramètres!M53="",NA(),IF(LEFT(TRIM(Paramètres!M53),1)="F",INDEX($F$275:$F$327,MATCH(Paramètres!L53,Paramètres!$G$5:$G$57,0)),INDEX($E$275:$E$327,MATCH(Paramètres!L53,Paramètres!$G$5:$G$57,0)))+IF(RIGHT(TRIM(Paramètres!M53),3)="Fin",1-$H323,IF(LEFT(TRIM(Paramètres!M53),1)="F",1,0)))),IF(Paramètres!N53="",0,IF(Paramètres!O53="",NA(),IF(LEFT(TRIM(Paramètres!O53),1)="F",INDEX($F$275:$F$327,MATCH(Paramètres!N53,Paramètres!$G$5:$G$57,0)),INDEX($E$275:$E$327,MATCH(Paramètres!N53,Paramètres!$G$5:$G$57,0)))+IF(RIGHT(TRIM(Paramètres!O53),3)="Fin",1-$H323,IF(LEFT(TRIM(Paramètres!O53),1)="F",1,0)))))))</f>
        <v/>
      </c>
      <c r="F323" s="19">
        <f>IF($A323="","",E323+$H323-1)</f>
        <v/>
      </c>
      <c r="G323" s="18" t="n"/>
      <c r="H323" s="18">
        <f>IF($A323="","",IF(I323&lt;&gt;"",I323,Paramètres!B53))</f>
        <v/>
      </c>
      <c r="I323" s="18" t="n"/>
    </row>
    <row r="324">
      <c r="A324" s="18">
        <f>IF(ISNUMBER(Dossiers!$D$9),Dossiers!$A$9&amp;" · "&amp;Dossiers!$B$9,"")</f>
        <v/>
      </c>
      <c r="B324" s="18">
        <f>IF($A324="","",Paramètres!G54)</f>
        <v/>
      </c>
      <c r="C324" s="18">
        <f>IF($A324="","",IF(Paramètres!H54="","",Paramètres!H54))</f>
        <v/>
      </c>
      <c r="D324" s="18">
        <f>IF($A324="","",IF(Paramètres!I54="","",Paramètres!I54))</f>
        <v/>
      </c>
      <c r="E324" s="19">
        <f>IF($A324="","",IF(Paramètres!J54&amp;Paramètres!L54&amp;Paramètres!N54="",Dossiers!$D$9,MAX(IF(Paramètres!J54="",0,IF(Paramètres!K54="",NA(),IF(LEFT(TRIM(Paramètres!K54),1)="F",INDEX($F$275:$F$327,MATCH(Paramètres!J54,Paramètres!$G$5:$G$57,0)),INDEX($E$275:$E$327,MATCH(Paramètres!J54,Paramètres!$G$5:$G$57,0)))+IF(RIGHT(TRIM(Paramètres!K54),3)="Fin",1-$H324,IF(LEFT(TRIM(Paramètres!K54),1)="F",1,0)))),IF(Paramètres!L54="",0,IF(Paramètres!M54="",NA(),IF(LEFT(TRIM(Paramètres!M54),1)="F",INDEX($F$275:$F$327,MATCH(Paramètres!L54,Paramètres!$G$5:$G$57,0)),INDEX($E$275:$E$327,MATCH(Paramètres!L54,Paramètres!$G$5:$G$57,0)))+IF(RIGHT(TRIM(Paramètres!M54),3)="Fin",1-$H324,IF(LEFT(TRIM(Paramètres!M54),1)="F",1,0)))),IF(Paramètres!N54="",0,IF(Paramètres!O54="",NA(),IF(LEFT(TRIM(Paramètres!O54),1)="F",INDEX($F$275:$F$327,MATCH(Paramètres!N54,Paramètres!$G$5:$G$57,0)),INDEX($E$275:$E$327,MATCH(Paramètres!N54,Paramètres!$G$5:$G$57,0)))+IF(RIGHT(TRIM(Paramètres!O54),3)="Fin",1-$H324,IF(LEFT(TRIM(Paramètres!O54),1)="F",1,0)))))))</f>
        <v/>
      </c>
      <c r="F324" s="19">
        <f>IF($A324="","",E324+$H324-1)</f>
        <v/>
      </c>
      <c r="G324" s="18" t="n"/>
      <c r="H324" s="18">
        <f>IF($A324="","",IF(I324&lt;&gt;"",I324,Paramètres!B54))</f>
        <v/>
      </c>
      <c r="I324" s="18" t="n"/>
    </row>
    <row r="325">
      <c r="A325" s="18">
        <f>IF(ISNUMBER(Dossiers!$D$9),Dossiers!$A$9&amp;" · "&amp;Dossiers!$B$9,"")</f>
        <v/>
      </c>
      <c r="B325" s="18">
        <f>IF($A325="","",Paramètres!G55)</f>
        <v/>
      </c>
      <c r="C325" s="18">
        <f>IF($A325="","",IF(Paramètres!H55="","",Paramètres!H55))</f>
        <v/>
      </c>
      <c r="D325" s="18">
        <f>IF($A325="","",IF(Paramètres!I55="","",Paramètres!I55))</f>
        <v/>
      </c>
      <c r="E325" s="19">
        <f>IF($A325="","",IF(Paramètres!J55&amp;Paramètres!L55&amp;Paramètres!N55="",Dossiers!$D$9,MAX(IF(Paramètres!J55="",0,IF(Paramètres!K55="",NA(),IF(LEFT(TRIM(Paramètres!K55),1)="F",INDEX($F$275:$F$327,MATCH(Paramètres!J55,Paramètres!$G$5:$G$57,0)),INDEX($E$275:$E$327,MATCH(Paramètres!J55,Paramètres!$G$5:$G$57,0)))+IF(RIGHT(TRIM(Paramètres!K55),3)="Fin",1-$H325,IF(LEFT(TRIM(Paramètres!K55),1)="F",1,0)))),IF(Paramètres!L55="",0,IF(Paramètres!M55="",NA(),IF(LEFT(TRIM(Paramètres!M55),1)="F",INDEX($F$275:$F$327,MATCH(Paramètres!L55,Paramètres!$G$5:$G$57,0)),INDEX($E$275:$E$327,MATCH(Paramètres!L55,Paramètres!$G$5:$G$57,0)))+IF(RIGHT(TRIM(Paramètres!M55),3)="Fin",1-$H325,IF(LEFT(TRIM(Paramètres!M55),1)="F",1,0)))),IF(Paramètres!N55="",0,IF(Paramètres!O55="",NA(),IF(LEFT(TRIM(Paramètres!O55),1)="F",INDEX($F$275:$F$327,MATCH(Paramètres!N55,Paramètres!$G$5:$G$57,0)),INDEX($E$275:$E$327,MATCH(Paramètres!N55,Paramètres!$G$5:$G$57,0)))+IF(RIGHT(TRIM(Paramètres!O55),3)="Fin",1-$H325,IF(LEFT(TRIM(Paramètres!O55),1)="F",1,0)))))))</f>
        <v/>
      </c>
      <c r="F325" s="19">
        <f>IF($A325="","",E325+$H325-1)</f>
        <v/>
      </c>
      <c r="G325" s="18" t="n"/>
      <c r="H325" s="18">
        <f>IF($A325="","",IF(I325&lt;&gt;"",I325,Paramètres!B55))</f>
        <v/>
      </c>
      <c r="I325" s="18" t="n"/>
    </row>
    <row r="326">
      <c r="A326" s="18">
        <f>IF(ISNUMBER(Dossiers!$D$9),Dossiers!$A$9&amp;" · "&amp;Dossiers!$B$9,"")</f>
        <v/>
      </c>
      <c r="B326" s="18">
        <f>IF($A326="","",Paramètres!G56)</f>
        <v/>
      </c>
      <c r="C326" s="18">
        <f>IF($A326="","",IF(Paramètres!H56="","",Paramètres!H56))</f>
        <v/>
      </c>
      <c r="D326" s="18">
        <f>IF($A326="","",IF(Paramètres!I56="","",Paramètres!I56))</f>
        <v/>
      </c>
      <c r="E326" s="19">
        <f>IF($A326="","",MIN(E327:E327))</f>
        <v/>
      </c>
      <c r="F326" s="19">
        <f>IF($A326="","",MAX(F327:F327))</f>
        <v/>
      </c>
      <c r="G326" s="18" t="n"/>
      <c r="H326" s="18">
        <f>IF($A326="","",F326-E326+1)</f>
        <v/>
      </c>
      <c r="I326" s="18" t="n"/>
    </row>
    <row r="327">
      <c r="A327" s="18">
        <f>IF(ISNUMBER(Dossiers!$D$9),Dossiers!$A$9&amp;" · "&amp;Dossiers!$B$9,"")</f>
        <v/>
      </c>
      <c r="B327" s="18">
        <f>IF($A327="","",Paramètres!G57)</f>
        <v/>
      </c>
      <c r="C327" s="18">
        <f>IF($A327="","",IF(Paramètres!H57="","",Paramètres!H57))</f>
        <v/>
      </c>
      <c r="D327" s="18">
        <f>IF($A327="","",IF(Paramètres!I57="","",Paramètres!I57))</f>
        <v/>
      </c>
      <c r="E327" s="19">
        <f>IF($A327="","",IF(Paramètres!J57&amp;Paramètres!L57&amp;Paramètres!N57="",Dossiers!$D$9,MAX(IF(Paramètres!J57="",0,IF(Paramètres!K57="",NA(),IF(LEFT(TRIM(Paramètres!K57),1)="F",INDEX($F$275:$F$327,MATCH(Paramètres!J57,Paramètres!$G$5:$G$57,0)),INDEX($E$275:$E$327,MATCH(Paramètres!J57,Paramètres!$G$5:$G$57,0)))+IF(RIGHT(TRIM(Paramètres!K57),3)="Fin",1-$H327,IF(LEFT(TRIM(Paramètres!K57),1)="F",1,0)))),IF(Paramètres!L57="",0,IF(Paramètres!M57="",NA(),IF(LEFT(TRIM(Paramètres!M57),1)="F",INDEX($F$275:$F$327,MATCH(Paramètres!L57,Paramètres!$G$5:$G$57,0)),INDEX($E$275:$E$327,MATCH(Paramètres!L57,Paramètres!$G$5:$G$57,0)))+IF(RIGHT(TRIM(Paramètres!M57),3)="Fin",1-$H327,IF(LEFT(TRIM(Paramètres!M57),1)="F",1,0)))),IF(Paramètres!N57="",0,IF(Paramètres!O57="",NA(),IF(LEFT(TRIM(Paramètres!O57),1)="F",INDEX($F$275:$F$327,MATCH(Paramètres!N57,Paramètres!$G$5:$G$57,0)),INDEX($E$275:$E$327,MATCH(Paramètres!N57,Paramètres!$G$5:$G$57,0)))+IF(RIGHT(TRIM(Paramètres!O57),3)="Fin",1-$H327,IF(LEFT(TRIM(Paramètres!O57),1)="F",1,0)))))))</f>
        <v/>
      </c>
      <c r="F327" s="19">
        <f>IF($A327="","",E327+$H327-1)</f>
        <v/>
      </c>
      <c r="G327" s="18" t="n"/>
      <c r="H327" s="18">
        <f>IF($A327="","",IF(I327&lt;&gt;"",I327,Paramètres!B57))</f>
        <v/>
      </c>
      <c r="I327" s="18" t="n"/>
    </row>
    <row r="328">
      <c r="A328" s="16">
        <f>IF(ISNUMBER(Dossiers!$D$10),Dossiers!$E$10,"")</f>
        <v/>
      </c>
      <c r="B328" s="16">
        <f>IF($A328="","","Identifiant")</f>
        <v/>
      </c>
      <c r="C328" s="16">
        <f>IF($A328="","","Macro Etape")</f>
        <v/>
      </c>
      <c r="D328" s="16">
        <f>IF($A328="","","Etape")</f>
        <v/>
      </c>
      <c r="E328" s="17">
        <f>IF($A328="","","Début le")</f>
        <v/>
      </c>
      <c r="F328" s="17">
        <f>IF($A328="","","Fin prévue le")</f>
        <v/>
      </c>
      <c r="G328" s="16">
        <f>IF($A328="","","Statut")</f>
        <v/>
      </c>
      <c r="H328" s="16">
        <f>IF($A328="","","Durée (jours)")</f>
        <v/>
      </c>
      <c r="I328" s="16">
        <f>IF($A328="","","Durée particulière")</f>
        <v/>
      </c>
      <c r="J328" s="10">
        <f>IF($A328="","",HYPERLINK("#'Tableau de bord'!A1","↑ Tableau de bord"))</f>
        <v/>
      </c>
    </row>
    <row r="329">
      <c r="A329" s="18">
        <f>IF(ISNUMBER(Dossiers!$D$10),Dossiers!$A$10&amp;" · "&amp;Dossiers!$B$10,"")</f>
        <v/>
      </c>
      <c r="B329" s="18">
        <f>IF($A329="","",Paramètres!G5)</f>
        <v/>
      </c>
      <c r="C329" s="18">
        <f>IF($A329="","",IF(Paramètres!H5="","",Paramètres!H5))</f>
        <v/>
      </c>
      <c r="D329" s="18">
        <f>IF($A329="","",IF(Paramètres!I5="","",Paramètres!I5))</f>
        <v/>
      </c>
      <c r="E329" s="19">
        <f>IF($A329="","",MIN(E330:E333))</f>
        <v/>
      </c>
      <c r="F329" s="19">
        <f>IF($A329="","",MAX(F330:F333))</f>
        <v/>
      </c>
      <c r="G329" s="18" t="n"/>
      <c r="H329" s="18">
        <f>IF($A329="","",F329-E329+1)</f>
        <v/>
      </c>
      <c r="I329" s="18" t="n"/>
    </row>
    <row r="330">
      <c r="A330" s="18">
        <f>IF(ISNUMBER(Dossiers!$D$10),Dossiers!$A$10&amp;" · "&amp;Dossiers!$B$10,"")</f>
        <v/>
      </c>
      <c r="B330" s="18">
        <f>IF($A330="","",Paramètres!G6)</f>
        <v/>
      </c>
      <c r="C330" s="18">
        <f>IF($A330="","",IF(Paramètres!H6="","",Paramètres!H6))</f>
        <v/>
      </c>
      <c r="D330" s="18">
        <f>IF($A330="","",IF(Paramètres!I6="","",Paramètres!I6))</f>
        <v/>
      </c>
      <c r="E330" s="19">
        <f>IF($A330="","",IF(Paramètres!J6&amp;Paramètres!L6&amp;Paramètres!N6="",Dossiers!$D$10,MAX(IF(Paramètres!J6="",0,IF(Paramètres!K6="",NA(),IF(LEFT(TRIM(Paramètres!K6),1)="F",INDEX($F$329:$F$381,MATCH(Paramètres!J6,Paramètres!$G$5:$G$57,0)),INDEX($E$329:$E$381,MATCH(Paramètres!J6,Paramètres!$G$5:$G$57,0)))+IF(RIGHT(TRIM(Paramètres!K6),3)="Fin",1-$H330,IF(LEFT(TRIM(Paramètres!K6),1)="F",1,0)))),IF(Paramètres!L6="",0,IF(Paramètres!M6="",NA(),IF(LEFT(TRIM(Paramètres!M6),1)="F",INDEX($F$329:$F$381,MATCH(Paramètres!L6,Paramètres!$G$5:$G$57,0)),INDEX($E$329:$E$381,MATCH(Paramètres!L6,Paramètres!$G$5:$G$57,0)))+IF(RIGHT(TRIM(Paramètres!M6),3)="Fin",1-$H330,IF(LEFT(TRIM(Paramètres!M6),1)="F",1,0)))),IF(Paramètres!N6="",0,IF(Paramètres!O6="",NA(),IF(LEFT(TRIM(Paramètres!O6),1)="F",INDEX($F$329:$F$381,MATCH(Paramètres!N6,Paramètres!$G$5:$G$57,0)),INDEX($E$329:$E$381,MATCH(Paramètres!N6,Paramètres!$G$5:$G$57,0)))+IF(RIGHT(TRIM(Paramètres!O6),3)="Fin",1-$H330,IF(LEFT(TRIM(Paramètres!O6),1)="F",1,0)))))))</f>
        <v/>
      </c>
      <c r="F330" s="19">
        <f>IF($A330="","",E330+$H330-1)</f>
        <v/>
      </c>
      <c r="G330" s="18" t="n"/>
      <c r="H330" s="18">
        <f>IF($A330="","",IF(I330&lt;&gt;"",I330,Paramètres!B6))</f>
        <v/>
      </c>
      <c r="I330" s="18" t="n"/>
    </row>
    <row r="331">
      <c r="A331" s="18">
        <f>IF(ISNUMBER(Dossiers!$D$10),Dossiers!$A$10&amp;" · "&amp;Dossiers!$B$10,"")</f>
        <v/>
      </c>
      <c r="B331" s="18">
        <f>IF($A331="","",Paramètres!G7)</f>
        <v/>
      </c>
      <c r="C331" s="18">
        <f>IF($A331="","",IF(Paramètres!H7="","",Paramètres!H7))</f>
        <v/>
      </c>
      <c r="D331" s="18">
        <f>IF($A331="","",IF(Paramètres!I7="","",Paramètres!I7))</f>
        <v/>
      </c>
      <c r="E331" s="19">
        <f>IF($A331="","",IF(Paramètres!J7&amp;Paramètres!L7&amp;Paramètres!N7="",Dossiers!$D$10,MAX(IF(Paramètres!J7="",0,IF(Paramètres!K7="",NA(),IF(LEFT(TRIM(Paramètres!K7),1)="F",INDEX($F$329:$F$381,MATCH(Paramètres!J7,Paramètres!$G$5:$G$57,0)),INDEX($E$329:$E$381,MATCH(Paramètres!J7,Paramètres!$G$5:$G$57,0)))+IF(RIGHT(TRIM(Paramètres!K7),3)="Fin",1-$H331,IF(LEFT(TRIM(Paramètres!K7),1)="F",1,0)))),IF(Paramètres!L7="",0,IF(Paramètres!M7="",NA(),IF(LEFT(TRIM(Paramètres!M7),1)="F",INDEX($F$329:$F$381,MATCH(Paramètres!L7,Paramètres!$G$5:$G$57,0)),INDEX($E$329:$E$381,MATCH(Paramètres!L7,Paramètres!$G$5:$G$57,0)))+IF(RIGHT(TRIM(Paramètres!M7),3)="Fin",1-$H331,IF(LEFT(TRIM(Paramètres!M7),1)="F",1,0)))),IF(Paramètres!N7="",0,IF(Paramètres!O7="",NA(),IF(LEFT(TRIM(Paramètres!O7),1)="F",INDEX($F$329:$F$381,MATCH(Paramètres!N7,Paramètres!$G$5:$G$57,0)),INDEX($E$329:$E$381,MATCH(Paramètres!N7,Paramètres!$G$5:$G$57,0)))+IF(RIGHT(TRIM(Paramètres!O7),3)="Fin",1-$H331,IF(LEFT(TRIM(Paramètres!O7),1)="F",1,0)))))))</f>
        <v/>
      </c>
      <c r="F331" s="19">
        <f>IF($A331="","",E331+$H331-1)</f>
        <v/>
      </c>
      <c r="G331" s="18" t="n"/>
      <c r="H331" s="18">
        <f>IF($A331="","",IF(I331&lt;&gt;"",I331,Paramètres!B7))</f>
        <v/>
      </c>
      <c r="I331" s="18" t="n"/>
    </row>
    <row r="332">
      <c r="A332" s="18">
        <f>IF(ISNUMBER(Dossiers!$D$10),Dossiers!$A$10&amp;" · "&amp;Dossiers!$B$10,"")</f>
        <v/>
      </c>
      <c r="B332" s="18">
        <f>IF($A332="","",Paramètres!G8)</f>
        <v/>
      </c>
      <c r="C332" s="18">
        <f>IF($A332="","",IF(Paramètres!H8="","",Paramètres!H8))</f>
        <v/>
      </c>
      <c r="D332" s="18">
        <f>IF($A332="","",IF(Paramètres!I8="","",Paramètres!I8))</f>
        <v/>
      </c>
      <c r="E332" s="19">
        <f>IF($A332="","",IF(Paramètres!J8&amp;Paramètres!L8&amp;Paramètres!N8="",Dossiers!$D$10,MAX(IF(Paramètres!J8="",0,IF(Paramètres!K8="",NA(),IF(LEFT(TRIM(Paramètres!K8),1)="F",INDEX($F$329:$F$381,MATCH(Paramètres!J8,Paramètres!$G$5:$G$57,0)),INDEX($E$329:$E$381,MATCH(Paramètres!J8,Paramètres!$G$5:$G$57,0)))+IF(RIGHT(TRIM(Paramètres!K8),3)="Fin",1-$H332,IF(LEFT(TRIM(Paramètres!K8),1)="F",1,0)))),IF(Paramètres!L8="",0,IF(Paramètres!M8="",NA(),IF(LEFT(TRIM(Paramètres!M8),1)="F",INDEX($F$329:$F$381,MATCH(Paramètres!L8,Paramètres!$G$5:$G$57,0)),INDEX($E$329:$E$381,MATCH(Paramètres!L8,Paramètres!$G$5:$G$57,0)))+IF(RIGHT(TRIM(Paramètres!M8),3)="Fin",1-$H332,IF(LEFT(TRIM(Paramètres!M8),1)="F",1,0)))),IF(Paramètres!N8="",0,IF(Paramètres!O8="",NA(),IF(LEFT(TRIM(Paramètres!O8),1)="F",INDEX($F$329:$F$381,MATCH(Paramètres!N8,Paramètres!$G$5:$G$57,0)),INDEX($E$329:$E$381,MATCH(Paramètres!N8,Paramètres!$G$5:$G$57,0)))+IF(RIGHT(TRIM(Paramètres!O8),3)="Fin",1-$H332,IF(LEFT(TRIM(Paramètres!O8),1)="F",1,0)))))))</f>
        <v/>
      </c>
      <c r="F332" s="19">
        <f>IF($A332="","",E332+$H332-1)</f>
        <v/>
      </c>
      <c r="G332" s="18" t="n"/>
      <c r="H332" s="18">
        <f>IF($A332="","",IF(I332&lt;&gt;"",I332,Paramètres!B8))</f>
        <v/>
      </c>
      <c r="I332" s="18" t="n"/>
    </row>
    <row r="333">
      <c r="A333" s="18">
        <f>IF(ISNUMBER(Dossiers!$D$10),Dossiers!$A$10&amp;" · "&amp;Dossiers!$B$10,"")</f>
        <v/>
      </c>
      <c r="B333" s="18">
        <f>IF($A333="","",Paramètres!G9)</f>
        <v/>
      </c>
      <c r="C333" s="18">
        <f>IF($A333="","",IF(Paramètres!H9="","",Paramètres!H9))</f>
        <v/>
      </c>
      <c r="D333" s="18">
        <f>IF($A333="","",IF(Paramètres!I9="","",Paramètres!I9))</f>
        <v/>
      </c>
      <c r="E333" s="19">
        <f>IF($A333="","",IF(Paramètres!J9&amp;Paramètres!L9&amp;Paramètres!N9="",Dossiers!$D$10,MAX(IF(Paramètres!J9="",0,IF(Paramètres!K9="",NA(),IF(LEFT(TRIM(Paramètres!K9),1)="F",INDEX($F$329:$F$381,MATCH(Paramètres!J9,Paramètres!$G$5:$G$57,0)),INDEX($E$329:$E$381,MATCH(Paramètres!J9,Paramètres!$G$5:$G$57,0)))+IF(RIGHT(TRIM(Paramètres!K9),3)="Fin",1-$H333,IF(LEFT(TRIM(Paramètres!K9),1)="F",1,0)))),IF(Paramètres!L9="",0,IF(Paramètres!M9="",NA(),IF(LEFT(TRIM(Paramètres!M9),1)="F",INDEX($F$329:$F$381,MATCH(Paramètres!L9,Paramètres!$G$5:$G$57,0)),INDEX($E$329:$E$381,MATCH(Paramètres!L9,Paramètres!$G$5:$G$57,0)))+IF(RIGHT(TRIM(Paramètres!M9),3)="Fin",1-$H333,IF(LEFT(TRIM(Paramètres!M9),1)="F",1,0)))),IF(Paramètres!N9="",0,IF(Paramètres!O9="",NA(),IF(LEFT(TRIM(Paramètres!O9),1)="F",INDEX($F$329:$F$381,MATCH(Paramètres!N9,Paramètres!$G$5:$G$57,0)),INDEX($E$329:$E$381,MATCH(Paramètres!N9,Paramètres!$G$5:$G$57,0)))+IF(RIGHT(TRIM(Paramètres!O9),3)="Fin",1-$H333,IF(LEFT(TRIM(Paramètres!O9),1)="F",1,0)))))))</f>
        <v/>
      </c>
      <c r="F333" s="19">
        <f>IF($A333="","",E333+$H333-1)</f>
        <v/>
      </c>
      <c r="G333" s="18" t="n"/>
      <c r="H333" s="18">
        <f>IF($A333="","",IF(I333&lt;&gt;"",I333,Paramètres!B9))</f>
        <v/>
      </c>
      <c r="I333" s="18" t="n"/>
    </row>
    <row r="334">
      <c r="A334" s="18">
        <f>IF(ISNUMBER(Dossiers!$D$10),Dossiers!$A$10&amp;" · "&amp;Dossiers!$B$10,"")</f>
        <v/>
      </c>
      <c r="B334" s="18">
        <f>IF($A334="","",Paramètres!G10)</f>
        <v/>
      </c>
      <c r="C334" s="18">
        <f>IF($A334="","",IF(Paramètres!H10="","",Paramètres!H10))</f>
        <v/>
      </c>
      <c r="D334" s="18">
        <f>IF($A334="","",IF(Paramètres!I10="","",Paramètres!I10))</f>
        <v/>
      </c>
      <c r="E334" s="19">
        <f>IF($A334="","",MIN(E335:E338))</f>
        <v/>
      </c>
      <c r="F334" s="19">
        <f>IF($A334="","",MAX(F335:F338))</f>
        <v/>
      </c>
      <c r="G334" s="18" t="n"/>
      <c r="H334" s="18">
        <f>IF($A334="","",F334-E334+1)</f>
        <v/>
      </c>
      <c r="I334" s="18" t="n"/>
    </row>
    <row r="335">
      <c r="A335" s="18">
        <f>IF(ISNUMBER(Dossiers!$D$10),Dossiers!$A$10&amp;" · "&amp;Dossiers!$B$10,"")</f>
        <v/>
      </c>
      <c r="B335" s="18">
        <f>IF($A335="","",Paramètres!G11)</f>
        <v/>
      </c>
      <c r="C335" s="18">
        <f>IF($A335="","",IF(Paramètres!H11="","",Paramètres!H11))</f>
        <v/>
      </c>
      <c r="D335" s="18">
        <f>IF($A335="","",IF(Paramètres!I11="","",Paramètres!I11))</f>
        <v/>
      </c>
      <c r="E335" s="19">
        <f>IF($A335="","",IF(Paramètres!J11&amp;Paramètres!L11&amp;Paramètres!N11="",Dossiers!$D$10,MAX(IF(Paramètres!J11="",0,IF(Paramètres!K11="",NA(),IF(LEFT(TRIM(Paramètres!K11),1)="F",INDEX($F$329:$F$381,MATCH(Paramètres!J11,Paramètres!$G$5:$G$57,0)),INDEX($E$329:$E$381,MATCH(Paramètres!J11,Paramètres!$G$5:$G$57,0)))+IF(RIGHT(TRIM(Paramètres!K11),3)="Fin",1-$H335,IF(LEFT(TRIM(Paramètres!K11),1)="F",1,0)))),IF(Paramètres!L11="",0,IF(Paramètres!M11="",NA(),IF(LEFT(TRIM(Paramètres!M11),1)="F",INDEX($F$329:$F$381,MATCH(Paramètres!L11,Paramètres!$G$5:$G$57,0)),INDEX($E$329:$E$381,MATCH(Paramètres!L11,Paramètres!$G$5:$G$57,0)))+IF(RIGHT(TRIM(Paramètres!M11),3)="Fin",1-$H335,IF(LEFT(TRIM(Paramètres!M11),1)="F",1,0)))),IF(Paramètres!N11="",0,IF(Paramètres!O11="",NA(),IF(LEFT(TRIM(Paramètres!O11),1)="F",INDEX($F$329:$F$381,MATCH(Paramètres!N11,Paramètres!$G$5:$G$57,0)),INDEX($E$329:$E$381,MATCH(Paramètres!N11,Paramètres!$G$5:$G$57,0)))+IF(RIGHT(TRIM(Paramètres!O11),3)="Fin",1-$H335,IF(LEFT(TRIM(Paramètres!O11),1)="F",1,0)))))))</f>
        <v/>
      </c>
      <c r="F335" s="19">
        <f>IF($A335="","",E335+$H335-1)</f>
        <v/>
      </c>
      <c r="G335" s="18" t="n"/>
      <c r="H335" s="18">
        <f>IF($A335="","",IF(I335&lt;&gt;"",I335,Paramètres!B11))</f>
        <v/>
      </c>
      <c r="I335" s="18" t="n"/>
    </row>
    <row r="336">
      <c r="A336" s="18">
        <f>IF(ISNUMBER(Dossiers!$D$10),Dossiers!$A$10&amp;" · "&amp;Dossiers!$B$10,"")</f>
        <v/>
      </c>
      <c r="B336" s="18">
        <f>IF($A336="","",Paramètres!G12)</f>
        <v/>
      </c>
      <c r="C336" s="18">
        <f>IF($A336="","",IF(Paramètres!H12="","",Paramètres!H12))</f>
        <v/>
      </c>
      <c r="D336" s="18">
        <f>IF($A336="","",IF(Paramètres!I12="","",Paramètres!I12))</f>
        <v/>
      </c>
      <c r="E336" s="19">
        <f>IF($A336="","",IF(Paramètres!J12&amp;Paramètres!L12&amp;Paramètres!N12="",Dossiers!$D$10,MAX(IF(Paramètres!J12="",0,IF(Paramètres!K12="",NA(),IF(LEFT(TRIM(Paramètres!K12),1)="F",INDEX($F$329:$F$381,MATCH(Paramètres!J12,Paramètres!$G$5:$G$57,0)),INDEX($E$329:$E$381,MATCH(Paramètres!J12,Paramètres!$G$5:$G$57,0)))+IF(RIGHT(TRIM(Paramètres!K12),3)="Fin",1-$H336,IF(LEFT(TRIM(Paramètres!K12),1)="F",1,0)))),IF(Paramètres!L12="",0,IF(Paramètres!M12="",NA(),IF(LEFT(TRIM(Paramètres!M12),1)="F",INDEX($F$329:$F$381,MATCH(Paramètres!L12,Paramètres!$G$5:$G$57,0)),INDEX($E$329:$E$381,MATCH(Paramètres!L12,Paramètres!$G$5:$G$57,0)))+IF(RIGHT(TRIM(Paramètres!M12),3)="Fin",1-$H336,IF(LEFT(TRIM(Paramètres!M12),1)="F",1,0)))),IF(Paramètres!N12="",0,IF(Paramètres!O12="",NA(),IF(LEFT(TRIM(Paramètres!O12),1)="F",INDEX($F$329:$F$381,MATCH(Paramètres!N12,Paramètres!$G$5:$G$57,0)),INDEX($E$329:$E$381,MATCH(Paramètres!N12,Paramètres!$G$5:$G$57,0)))+IF(RIGHT(TRIM(Paramètres!O12),3)="Fin",1-$H336,IF(LEFT(TRIM(Paramètres!O12),1)="F",1,0)))))))</f>
        <v/>
      </c>
      <c r="F336" s="19">
        <f>IF($A336="","",E336+$H336-1)</f>
        <v/>
      </c>
      <c r="G336" s="18" t="n"/>
      <c r="H336" s="18">
        <f>IF($A336="","",IF(I336&lt;&gt;"",I336,Paramètres!B12))</f>
        <v/>
      </c>
      <c r="I336" s="18" t="n"/>
    </row>
    <row r="337">
      <c r="A337" s="18">
        <f>IF(ISNUMBER(Dossiers!$D$10),Dossiers!$A$10&amp;" · "&amp;Dossiers!$B$10,"")</f>
        <v/>
      </c>
      <c r="B337" s="18">
        <f>IF($A337="","",Paramètres!G13)</f>
        <v/>
      </c>
      <c r="C337" s="18">
        <f>IF($A337="","",IF(Paramètres!H13="","",Paramètres!H13))</f>
        <v/>
      </c>
      <c r="D337" s="18">
        <f>IF($A337="","",IF(Paramètres!I13="","",Paramètres!I13))</f>
        <v/>
      </c>
      <c r="E337" s="19">
        <f>IF($A337="","",IF(Paramètres!J13&amp;Paramètres!L13&amp;Paramètres!N13="",Dossiers!$D$10,MAX(IF(Paramètres!J13="",0,IF(Paramètres!K13="",NA(),IF(LEFT(TRIM(Paramètres!K13),1)="F",INDEX($F$329:$F$381,MATCH(Paramètres!J13,Paramètres!$G$5:$G$57,0)),INDEX($E$329:$E$381,MATCH(Paramètres!J13,Paramètres!$G$5:$G$57,0)))+IF(RIGHT(TRIM(Paramètres!K13),3)="Fin",1-$H337,IF(LEFT(TRIM(Paramètres!K13),1)="F",1,0)))),IF(Paramètres!L13="",0,IF(Paramètres!M13="",NA(),IF(LEFT(TRIM(Paramètres!M13),1)="F",INDEX($F$329:$F$381,MATCH(Paramètres!L13,Paramètres!$G$5:$G$57,0)),INDEX($E$329:$E$381,MATCH(Paramètres!L13,Paramètres!$G$5:$G$57,0)))+IF(RIGHT(TRIM(Paramètres!M13),3)="Fin",1-$H337,IF(LEFT(TRIM(Paramètres!M13),1)="F",1,0)))),IF(Paramètres!N13="",0,IF(Paramètres!O13="",NA(),IF(LEFT(TRIM(Paramètres!O13),1)="F",INDEX($F$329:$F$381,MATCH(Paramètres!N13,Paramètres!$G$5:$G$57,0)),INDEX($E$329:$E$381,MATCH(Paramètres!N13,Paramètres!$G$5:$G$57,0)))+IF(RIGHT(TRIM(Paramètres!O13),3)="Fin",1-$H337,IF(LEFT(TRIM(Paramètres!O13),1)="F",1,0)))))))</f>
        <v/>
      </c>
      <c r="F337" s="19">
        <f>IF($A337="","",E337+$H337-1)</f>
        <v/>
      </c>
      <c r="G337" s="18" t="n"/>
      <c r="H337" s="18">
        <f>IF($A337="","",IF(I337&lt;&gt;"",I337,Paramètres!B13))</f>
        <v/>
      </c>
      <c r="I337" s="18" t="n"/>
    </row>
    <row r="338">
      <c r="A338" s="18">
        <f>IF(ISNUMBER(Dossiers!$D$10),Dossiers!$A$10&amp;" · "&amp;Dossiers!$B$10,"")</f>
        <v/>
      </c>
      <c r="B338" s="18">
        <f>IF($A338="","",Paramètres!G14)</f>
        <v/>
      </c>
      <c r="C338" s="18">
        <f>IF($A338="","",IF(Paramètres!H14="","",Paramètres!H14))</f>
        <v/>
      </c>
      <c r="D338" s="18">
        <f>IF($A338="","",IF(Paramètres!I14="","",Paramètres!I14))</f>
        <v/>
      </c>
      <c r="E338" s="19">
        <f>IF($A338="","",IF(Paramètres!J14&amp;Paramètres!L14&amp;Paramètres!N14="",Dossiers!$D$10,MAX(IF(Paramètres!J14="",0,IF(Paramètres!K14="",NA(),IF(LEFT(TRIM(Paramètres!K14),1)="F",INDEX($F$329:$F$381,MATCH(Paramètres!J14,Paramètres!$G$5:$G$57,0)),INDEX($E$329:$E$381,MATCH(Paramètres!J14,Paramètres!$G$5:$G$57,0)))+IF(RIGHT(TRIM(Paramètres!K14),3)="Fin",1-$H338,IF(LEFT(TRIM(Paramètres!K14),1)="F",1,0)))),IF(Paramètres!L14="",0,IF(Paramètres!M14="",NA(),IF(LEFT(TRIM(Paramètres!M14),1)="F",INDEX($F$329:$F$381,MATCH(Paramètres!L14,Paramètres!$G$5:$G$57,0)),INDEX($E$329:$E$381,MATCH(Paramètres!L14,Paramètres!$G$5:$G$57,0)))+IF(RIGHT(TRIM(Paramètres!M14),3)="Fin",1-$H338,IF(LEFT(TRIM(Paramètres!M14),1)="F",1,0)))),IF(Paramètres!N14="",0,IF(Paramètres!O14="",NA(),IF(LEFT(TRIM(Paramètres!O14),1)="F",INDEX($F$329:$F$381,MATCH(Paramètres!N14,Paramètres!$G$5:$G$57,0)),INDEX($E$329:$E$381,MATCH(Paramètres!N14,Paramètres!$G$5:$G$57,0)))+IF(RIGHT(TRIM(Paramètres!O14),3)="Fin",1-$H338,IF(LEFT(TRIM(Paramètres!O14),1)="F",1,0)))))))</f>
        <v/>
      </c>
      <c r="F338" s="19">
        <f>IF($A338="","",E338+$H338-1)</f>
        <v/>
      </c>
      <c r="G338" s="18" t="n"/>
      <c r="H338" s="18">
        <f>IF($A338="","",IF(I338&lt;&gt;"",I338,Paramètres!B14))</f>
        <v/>
      </c>
      <c r="I338" s="18" t="n"/>
    </row>
    <row r="339">
      <c r="A339" s="18">
        <f>IF(ISNUMBER(Dossiers!$D$10),Dossiers!$A$10&amp;" · "&amp;Dossiers!$B$10,"")</f>
        <v/>
      </c>
      <c r="B339" s="18">
        <f>IF($A339="","",Paramètres!G15)</f>
        <v/>
      </c>
      <c r="C339" s="18">
        <f>IF($A339="","",IF(Paramètres!H15="","",Paramètres!H15))</f>
        <v/>
      </c>
      <c r="D339" s="18">
        <f>IF($A339="","",IF(Paramètres!I15="","",Paramètres!I15))</f>
        <v/>
      </c>
      <c r="E339" s="19">
        <f>IF($A339="","",MIN(E340:E355))</f>
        <v/>
      </c>
      <c r="F339" s="19">
        <f>IF($A339="","",MAX(F340:F355))</f>
        <v/>
      </c>
      <c r="G339" s="18" t="n"/>
      <c r="H339" s="18">
        <f>IF($A339="","",F339-E339+1)</f>
        <v/>
      </c>
      <c r="I339" s="18" t="n"/>
    </row>
    <row r="340">
      <c r="A340" s="18">
        <f>IF(ISNUMBER(Dossiers!$D$10),Dossiers!$A$10&amp;" · "&amp;Dossiers!$B$10,"")</f>
        <v/>
      </c>
      <c r="B340" s="18">
        <f>IF($A340="","",Paramètres!G16)</f>
        <v/>
      </c>
      <c r="C340" s="18">
        <f>IF($A340="","",IF(Paramètres!H16="","",Paramètres!H16))</f>
        <v/>
      </c>
      <c r="D340" s="18">
        <f>IF($A340="","",IF(Paramètres!I16="","",Paramètres!I16))</f>
        <v/>
      </c>
      <c r="E340" s="19">
        <f>IF($A340="","",IF(Paramètres!J16&amp;Paramètres!L16&amp;Paramètres!N16="",Dossiers!$D$10,MAX(IF(Paramètres!J16="",0,IF(Paramètres!K16="",NA(),IF(LEFT(TRIM(Paramètres!K16),1)="F",INDEX($F$329:$F$381,MATCH(Paramètres!J16,Paramètres!$G$5:$G$57,0)),INDEX($E$329:$E$381,MATCH(Paramètres!J16,Paramètres!$G$5:$G$57,0)))+IF(RIGHT(TRIM(Paramètres!K16),3)="Fin",1-$H340,IF(LEFT(TRIM(Paramètres!K16),1)="F",1,0)))),IF(Paramètres!L16="",0,IF(Paramètres!M16="",NA(),IF(LEFT(TRIM(Paramètres!M16),1)="F",INDEX($F$329:$F$381,MATCH(Paramètres!L16,Paramètres!$G$5:$G$57,0)),INDEX($E$329:$E$381,MATCH(Paramètres!L16,Paramètres!$G$5:$G$57,0)))+IF(RIGHT(TRIM(Paramètres!M16),3)="Fin",1-$H340,IF(LEFT(TRIM(Paramètres!M16),1)="F",1,0)))),IF(Paramètres!N16="",0,IF(Paramètres!O16="",NA(),IF(LEFT(TRIM(Paramètres!O16),1)="F",INDEX($F$329:$F$381,MATCH(Paramètres!N16,Paramètres!$G$5:$G$57,0)),INDEX($E$329:$E$381,MATCH(Paramètres!N16,Paramètres!$G$5:$G$57,0)))+IF(RIGHT(TRIM(Paramètres!O16),3)="Fin",1-$H340,IF(LEFT(TRIM(Paramètres!O16),1)="F",1,0)))))))</f>
        <v/>
      </c>
      <c r="F340" s="19">
        <f>IF($A340="","",E340+$H340-1)</f>
        <v/>
      </c>
      <c r="G340" s="18" t="n"/>
      <c r="H340" s="18">
        <f>IF($A340="","",IF(I340&lt;&gt;"",I340,Paramètres!B16))</f>
        <v/>
      </c>
      <c r="I340" s="18" t="n"/>
    </row>
    <row r="341">
      <c r="A341" s="18">
        <f>IF(ISNUMBER(Dossiers!$D$10),Dossiers!$A$10&amp;" · "&amp;Dossiers!$B$10,"")</f>
        <v/>
      </c>
      <c r="B341" s="18">
        <f>IF($A341="","",Paramètres!G17)</f>
        <v/>
      </c>
      <c r="C341" s="18">
        <f>IF($A341="","",IF(Paramètres!H17="","",Paramètres!H17))</f>
        <v/>
      </c>
      <c r="D341" s="18">
        <f>IF($A341="","",IF(Paramètres!I17="","",Paramètres!I17))</f>
        <v/>
      </c>
      <c r="E341" s="19">
        <f>IF($A341="","",IF(Paramètres!J17&amp;Paramètres!L17&amp;Paramètres!N17="",Dossiers!$D$10,MAX(IF(Paramètres!J17="",0,IF(Paramètres!K17="",NA(),IF(LEFT(TRIM(Paramètres!K17),1)="F",INDEX($F$329:$F$381,MATCH(Paramètres!J17,Paramètres!$G$5:$G$57,0)),INDEX($E$329:$E$381,MATCH(Paramètres!J17,Paramètres!$G$5:$G$57,0)))+IF(RIGHT(TRIM(Paramètres!K17),3)="Fin",1-$H341,IF(LEFT(TRIM(Paramètres!K17),1)="F",1,0)))),IF(Paramètres!L17="",0,IF(Paramètres!M17="",NA(),IF(LEFT(TRIM(Paramètres!M17),1)="F",INDEX($F$329:$F$381,MATCH(Paramètres!L17,Paramètres!$G$5:$G$57,0)),INDEX($E$329:$E$381,MATCH(Paramètres!L17,Paramètres!$G$5:$G$57,0)))+IF(RIGHT(TRIM(Paramètres!M17),3)="Fin",1-$H341,IF(LEFT(TRIM(Paramètres!M17),1)="F",1,0)))),IF(Paramètres!N17="",0,IF(Paramètres!O17="",NA(),IF(LEFT(TRIM(Paramètres!O17),1)="F",INDEX($F$329:$F$381,MATCH(Paramètres!N17,Paramètres!$G$5:$G$57,0)),INDEX($E$329:$E$381,MATCH(Paramètres!N17,Paramètres!$G$5:$G$57,0)))+IF(RIGHT(TRIM(Paramètres!O17),3)="Fin",1-$H341,IF(LEFT(TRIM(Paramètres!O17),1)="F",1,0)))))))</f>
        <v/>
      </c>
      <c r="F341" s="19">
        <f>IF($A341="","",E341+$H341-1)</f>
        <v/>
      </c>
      <c r="G341" s="18" t="n"/>
      <c r="H341" s="18">
        <f>IF($A341="","",IF(I341&lt;&gt;"",I341,Paramètres!B17))</f>
        <v/>
      </c>
      <c r="I341" s="18" t="n"/>
    </row>
    <row r="342">
      <c r="A342" s="18">
        <f>IF(ISNUMBER(Dossiers!$D$10),Dossiers!$A$10&amp;" · "&amp;Dossiers!$B$10,"")</f>
        <v/>
      </c>
      <c r="B342" s="18">
        <f>IF($A342="","",Paramètres!G18)</f>
        <v/>
      </c>
      <c r="C342" s="18">
        <f>IF($A342="","",IF(Paramètres!H18="","",Paramètres!H18))</f>
        <v/>
      </c>
      <c r="D342" s="18">
        <f>IF($A342="","",IF(Paramètres!I18="","",Paramètres!I18))</f>
        <v/>
      </c>
      <c r="E342" s="19">
        <f>IF($A342="","",IF(Paramètres!J18&amp;Paramètres!L18&amp;Paramètres!N18="",Dossiers!$D$10,MAX(IF(Paramètres!J18="",0,IF(Paramètres!K18="",NA(),IF(LEFT(TRIM(Paramètres!K18),1)="F",INDEX($F$329:$F$381,MATCH(Paramètres!J18,Paramètres!$G$5:$G$57,0)),INDEX($E$329:$E$381,MATCH(Paramètres!J18,Paramètres!$G$5:$G$57,0)))+IF(RIGHT(TRIM(Paramètres!K18),3)="Fin",1-$H342,IF(LEFT(TRIM(Paramètres!K18),1)="F",1,0)))),IF(Paramètres!L18="",0,IF(Paramètres!M18="",NA(),IF(LEFT(TRIM(Paramètres!M18),1)="F",INDEX($F$329:$F$381,MATCH(Paramètres!L18,Paramètres!$G$5:$G$57,0)),INDEX($E$329:$E$381,MATCH(Paramètres!L18,Paramètres!$G$5:$G$57,0)))+IF(RIGHT(TRIM(Paramètres!M18),3)="Fin",1-$H342,IF(LEFT(TRIM(Paramètres!M18),1)="F",1,0)))),IF(Paramètres!N18="",0,IF(Paramètres!O18="",NA(),IF(LEFT(TRIM(Paramètres!O18),1)="F",INDEX($F$329:$F$381,MATCH(Paramètres!N18,Paramètres!$G$5:$G$57,0)),INDEX($E$329:$E$381,MATCH(Paramètres!N18,Paramètres!$G$5:$G$57,0)))+IF(RIGHT(TRIM(Paramètres!O18),3)="Fin",1-$H342,IF(LEFT(TRIM(Paramètres!O18),1)="F",1,0)))))))</f>
        <v/>
      </c>
      <c r="F342" s="19">
        <f>IF($A342="","",E342+$H342-1)</f>
        <v/>
      </c>
      <c r="G342" s="18" t="n"/>
      <c r="H342" s="18">
        <f>IF($A342="","",IF(I342&lt;&gt;"",I342,Paramètres!B18))</f>
        <v/>
      </c>
      <c r="I342" s="18" t="n"/>
    </row>
    <row r="343">
      <c r="A343" s="18">
        <f>IF(ISNUMBER(Dossiers!$D$10),Dossiers!$A$10&amp;" · "&amp;Dossiers!$B$10,"")</f>
        <v/>
      </c>
      <c r="B343" s="18">
        <f>IF($A343="","",Paramètres!G19)</f>
        <v/>
      </c>
      <c r="C343" s="18">
        <f>IF($A343="","",IF(Paramètres!H19="","",Paramètres!H19))</f>
        <v/>
      </c>
      <c r="D343" s="18">
        <f>IF($A343="","",IF(Paramètres!I19="","",Paramètres!I19))</f>
        <v/>
      </c>
      <c r="E343" s="19">
        <f>IF($A343="","",IF(Paramètres!J19&amp;Paramètres!L19&amp;Paramètres!N19="",Dossiers!$D$10,MAX(IF(Paramètres!J19="",0,IF(Paramètres!K19="",NA(),IF(LEFT(TRIM(Paramètres!K19),1)="F",INDEX($F$329:$F$381,MATCH(Paramètres!J19,Paramètres!$G$5:$G$57,0)),INDEX($E$329:$E$381,MATCH(Paramètres!J19,Paramètres!$G$5:$G$57,0)))+IF(RIGHT(TRIM(Paramètres!K19),3)="Fin",1-$H343,IF(LEFT(TRIM(Paramètres!K19),1)="F",1,0)))),IF(Paramètres!L19="",0,IF(Paramètres!M19="",NA(),IF(LEFT(TRIM(Paramètres!M19),1)="F",INDEX($F$329:$F$381,MATCH(Paramètres!L19,Paramètres!$G$5:$G$57,0)),INDEX($E$329:$E$381,MATCH(Paramètres!L19,Paramètres!$G$5:$G$57,0)))+IF(RIGHT(TRIM(Paramètres!M19),3)="Fin",1-$H343,IF(LEFT(TRIM(Paramètres!M19),1)="F",1,0)))),IF(Paramètres!N19="",0,IF(Paramètres!O19="",NA(),IF(LEFT(TRIM(Paramètres!O19),1)="F",INDEX($F$329:$F$381,MATCH(Paramètres!N19,Paramètres!$G$5:$G$57,0)),INDEX($E$329:$E$381,MATCH(Paramètres!N19,Paramètres!$G$5:$G$57,0)))+IF(RIGHT(TRIM(Paramètres!O19),3)="Fin",1-$H343,IF(LEFT(TRIM(Paramètres!O19),1)="F",1,0)))))))</f>
        <v/>
      </c>
      <c r="F343" s="19">
        <f>IF($A343="","",E343+$H343-1)</f>
        <v/>
      </c>
      <c r="G343" s="18" t="n"/>
      <c r="H343" s="18">
        <f>IF($A343="","",IF(I343&lt;&gt;"",I343,Paramètres!B19))</f>
        <v/>
      </c>
      <c r="I343" s="18" t="n"/>
    </row>
    <row r="344">
      <c r="A344" s="18">
        <f>IF(ISNUMBER(Dossiers!$D$10),Dossiers!$A$10&amp;" · "&amp;Dossiers!$B$10,"")</f>
        <v/>
      </c>
      <c r="B344" s="18">
        <f>IF($A344="","",Paramètres!G20)</f>
        <v/>
      </c>
      <c r="C344" s="18">
        <f>IF($A344="","",IF(Paramètres!H20="","",Paramètres!H20))</f>
        <v/>
      </c>
      <c r="D344" s="18">
        <f>IF($A344="","",IF(Paramètres!I20="","",Paramètres!I20))</f>
        <v/>
      </c>
      <c r="E344" s="19">
        <f>IF($A344="","",IF(Paramètres!J20&amp;Paramètres!L20&amp;Paramètres!N20="",Dossiers!$D$10,MAX(IF(Paramètres!J20="",0,IF(Paramètres!K20="",NA(),IF(LEFT(TRIM(Paramètres!K20),1)="F",INDEX($F$329:$F$381,MATCH(Paramètres!J20,Paramètres!$G$5:$G$57,0)),INDEX($E$329:$E$381,MATCH(Paramètres!J20,Paramètres!$G$5:$G$57,0)))+IF(RIGHT(TRIM(Paramètres!K20),3)="Fin",1-$H344,IF(LEFT(TRIM(Paramètres!K20),1)="F",1,0)))),IF(Paramètres!L20="",0,IF(Paramètres!M20="",NA(),IF(LEFT(TRIM(Paramètres!M20),1)="F",INDEX($F$329:$F$381,MATCH(Paramètres!L20,Paramètres!$G$5:$G$57,0)),INDEX($E$329:$E$381,MATCH(Paramètres!L20,Paramètres!$G$5:$G$57,0)))+IF(RIGHT(TRIM(Paramètres!M20),3)="Fin",1-$H344,IF(LEFT(TRIM(Paramètres!M20),1)="F",1,0)))),IF(Paramètres!N20="",0,IF(Paramètres!O20="",NA(),IF(LEFT(TRIM(Paramètres!O20),1)="F",INDEX($F$329:$F$381,MATCH(Paramètres!N20,Paramètres!$G$5:$G$57,0)),INDEX($E$329:$E$381,MATCH(Paramètres!N20,Paramètres!$G$5:$G$57,0)))+IF(RIGHT(TRIM(Paramètres!O20),3)="Fin",1-$H344,IF(LEFT(TRIM(Paramètres!O20),1)="F",1,0)))))))</f>
        <v/>
      </c>
      <c r="F344" s="19">
        <f>IF($A344="","",E344+$H344-1)</f>
        <v/>
      </c>
      <c r="G344" s="18" t="n"/>
      <c r="H344" s="18">
        <f>IF($A344="","",IF(I344&lt;&gt;"",I344,Paramètres!B20))</f>
        <v/>
      </c>
      <c r="I344" s="18" t="n"/>
    </row>
    <row r="345">
      <c r="A345" s="18">
        <f>IF(ISNUMBER(Dossiers!$D$10),Dossiers!$A$10&amp;" · "&amp;Dossiers!$B$10,"")</f>
        <v/>
      </c>
      <c r="B345" s="18">
        <f>IF($A345="","",Paramètres!G21)</f>
        <v/>
      </c>
      <c r="C345" s="18">
        <f>IF($A345="","",IF(Paramètres!H21="","",Paramètres!H21))</f>
        <v/>
      </c>
      <c r="D345" s="18">
        <f>IF($A345="","",IF(Paramètres!I21="","",Paramètres!I21))</f>
        <v/>
      </c>
      <c r="E345" s="19">
        <f>IF($A345="","",IF(Paramètres!J21&amp;Paramètres!L21&amp;Paramètres!N21="",Dossiers!$D$10,MAX(IF(Paramètres!J21="",0,IF(Paramètres!K21="",NA(),IF(LEFT(TRIM(Paramètres!K21),1)="F",INDEX($F$329:$F$381,MATCH(Paramètres!J21,Paramètres!$G$5:$G$57,0)),INDEX($E$329:$E$381,MATCH(Paramètres!J21,Paramètres!$G$5:$G$57,0)))+IF(RIGHT(TRIM(Paramètres!K21),3)="Fin",1-$H345,IF(LEFT(TRIM(Paramètres!K21),1)="F",1,0)))),IF(Paramètres!L21="",0,IF(Paramètres!M21="",NA(),IF(LEFT(TRIM(Paramètres!M21),1)="F",INDEX($F$329:$F$381,MATCH(Paramètres!L21,Paramètres!$G$5:$G$57,0)),INDEX($E$329:$E$381,MATCH(Paramètres!L21,Paramètres!$G$5:$G$57,0)))+IF(RIGHT(TRIM(Paramètres!M21),3)="Fin",1-$H345,IF(LEFT(TRIM(Paramètres!M21),1)="F",1,0)))),IF(Paramètres!N21="",0,IF(Paramètres!O21="",NA(),IF(LEFT(TRIM(Paramètres!O21),1)="F",INDEX($F$329:$F$381,MATCH(Paramètres!N21,Paramètres!$G$5:$G$57,0)),INDEX($E$329:$E$381,MATCH(Paramètres!N21,Paramètres!$G$5:$G$57,0)))+IF(RIGHT(TRIM(Paramètres!O21),3)="Fin",1-$H345,IF(LEFT(TRIM(Paramètres!O21),1)="F",1,0)))))))</f>
        <v/>
      </c>
      <c r="F345" s="19">
        <f>IF($A345="","",E345+$H345-1)</f>
        <v/>
      </c>
      <c r="G345" s="18" t="n"/>
      <c r="H345" s="18">
        <f>IF($A345="","",IF(I345&lt;&gt;"",I345,Paramètres!B21))</f>
        <v/>
      </c>
      <c r="I345" s="18" t="n"/>
    </row>
    <row r="346">
      <c r="A346" s="18">
        <f>IF(ISNUMBER(Dossiers!$D$10),Dossiers!$A$10&amp;" · "&amp;Dossiers!$B$10,"")</f>
        <v/>
      </c>
      <c r="B346" s="18">
        <f>IF($A346="","",Paramètres!G22)</f>
        <v/>
      </c>
      <c r="C346" s="18">
        <f>IF($A346="","",IF(Paramètres!H22="","",Paramètres!H22))</f>
        <v/>
      </c>
      <c r="D346" s="18">
        <f>IF($A346="","",IF(Paramètres!I22="","",Paramètres!I22))</f>
        <v/>
      </c>
      <c r="E346" s="19">
        <f>IF($A346="","",IF(Paramètres!J22&amp;Paramètres!L22&amp;Paramètres!N22="",Dossiers!$D$10,MAX(IF(Paramètres!J22="",0,IF(Paramètres!K22="",NA(),IF(LEFT(TRIM(Paramètres!K22),1)="F",INDEX($F$329:$F$381,MATCH(Paramètres!J22,Paramètres!$G$5:$G$57,0)),INDEX($E$329:$E$381,MATCH(Paramètres!J22,Paramètres!$G$5:$G$57,0)))+IF(RIGHT(TRIM(Paramètres!K22),3)="Fin",1-$H346,IF(LEFT(TRIM(Paramètres!K22),1)="F",1,0)))),IF(Paramètres!L22="",0,IF(Paramètres!M22="",NA(),IF(LEFT(TRIM(Paramètres!M22),1)="F",INDEX($F$329:$F$381,MATCH(Paramètres!L22,Paramètres!$G$5:$G$57,0)),INDEX($E$329:$E$381,MATCH(Paramètres!L22,Paramètres!$G$5:$G$57,0)))+IF(RIGHT(TRIM(Paramètres!M22),3)="Fin",1-$H346,IF(LEFT(TRIM(Paramètres!M22),1)="F",1,0)))),IF(Paramètres!N22="",0,IF(Paramètres!O22="",NA(),IF(LEFT(TRIM(Paramètres!O22),1)="F",INDEX($F$329:$F$381,MATCH(Paramètres!N22,Paramètres!$G$5:$G$57,0)),INDEX($E$329:$E$381,MATCH(Paramètres!N22,Paramètres!$G$5:$G$57,0)))+IF(RIGHT(TRIM(Paramètres!O22),3)="Fin",1-$H346,IF(LEFT(TRIM(Paramètres!O22),1)="F",1,0)))))))</f>
        <v/>
      </c>
      <c r="F346" s="19">
        <f>IF($A346="","",E346+$H346-1)</f>
        <v/>
      </c>
      <c r="G346" s="18" t="n"/>
      <c r="H346" s="18">
        <f>IF($A346="","",IF(I346&lt;&gt;"",I346,Paramètres!B22))</f>
        <v/>
      </c>
      <c r="I346" s="18" t="n"/>
    </row>
    <row r="347">
      <c r="A347" s="18">
        <f>IF(ISNUMBER(Dossiers!$D$10),Dossiers!$A$10&amp;" · "&amp;Dossiers!$B$10,"")</f>
        <v/>
      </c>
      <c r="B347" s="18">
        <f>IF($A347="","",Paramètres!G23)</f>
        <v/>
      </c>
      <c r="C347" s="18">
        <f>IF($A347="","",IF(Paramètres!H23="","",Paramètres!H23))</f>
        <v/>
      </c>
      <c r="D347" s="18">
        <f>IF($A347="","",IF(Paramètres!I23="","",Paramètres!I23))</f>
        <v/>
      </c>
      <c r="E347" s="19">
        <f>IF($A347="","",IF(Paramètres!J23&amp;Paramètres!L23&amp;Paramètres!N23="",Dossiers!$D$10,MAX(IF(Paramètres!J23="",0,IF(Paramètres!K23="",NA(),IF(LEFT(TRIM(Paramètres!K23),1)="F",INDEX($F$329:$F$381,MATCH(Paramètres!J23,Paramètres!$G$5:$G$57,0)),INDEX($E$329:$E$381,MATCH(Paramètres!J23,Paramètres!$G$5:$G$57,0)))+IF(RIGHT(TRIM(Paramètres!K23),3)="Fin",1-$H347,IF(LEFT(TRIM(Paramètres!K23),1)="F",1,0)))),IF(Paramètres!L23="",0,IF(Paramètres!M23="",NA(),IF(LEFT(TRIM(Paramètres!M23),1)="F",INDEX($F$329:$F$381,MATCH(Paramètres!L23,Paramètres!$G$5:$G$57,0)),INDEX($E$329:$E$381,MATCH(Paramètres!L23,Paramètres!$G$5:$G$57,0)))+IF(RIGHT(TRIM(Paramètres!M23),3)="Fin",1-$H347,IF(LEFT(TRIM(Paramètres!M23),1)="F",1,0)))),IF(Paramètres!N23="",0,IF(Paramètres!O23="",NA(),IF(LEFT(TRIM(Paramètres!O23),1)="F",INDEX($F$329:$F$381,MATCH(Paramètres!N23,Paramètres!$G$5:$G$57,0)),INDEX($E$329:$E$381,MATCH(Paramètres!N23,Paramètres!$G$5:$G$57,0)))+IF(RIGHT(TRIM(Paramètres!O23),3)="Fin",1-$H347,IF(LEFT(TRIM(Paramètres!O23),1)="F",1,0)))))))</f>
        <v/>
      </c>
      <c r="F347" s="19">
        <f>IF($A347="","",E347+$H347-1)</f>
        <v/>
      </c>
      <c r="G347" s="18" t="n"/>
      <c r="H347" s="18">
        <f>IF($A347="","",IF(I347&lt;&gt;"",I347,Paramètres!B23))</f>
        <v/>
      </c>
      <c r="I347" s="18" t="n"/>
    </row>
    <row r="348">
      <c r="A348" s="18">
        <f>IF(ISNUMBER(Dossiers!$D$10),Dossiers!$A$10&amp;" · "&amp;Dossiers!$B$10,"")</f>
        <v/>
      </c>
      <c r="B348" s="18">
        <f>IF($A348="","",Paramètres!G24)</f>
        <v/>
      </c>
      <c r="C348" s="18">
        <f>IF($A348="","",IF(Paramètres!H24="","",Paramètres!H24))</f>
        <v/>
      </c>
      <c r="D348" s="18">
        <f>IF($A348="","",IF(Paramètres!I24="","",Paramètres!I24))</f>
        <v/>
      </c>
      <c r="E348" s="19">
        <f>IF($A348="","",IF(Paramètres!J24&amp;Paramètres!L24&amp;Paramètres!N24="",Dossiers!$D$10,MAX(IF(Paramètres!J24="",0,IF(Paramètres!K24="",NA(),IF(LEFT(TRIM(Paramètres!K24),1)="F",INDEX($F$329:$F$381,MATCH(Paramètres!J24,Paramètres!$G$5:$G$57,0)),INDEX($E$329:$E$381,MATCH(Paramètres!J24,Paramètres!$G$5:$G$57,0)))+IF(RIGHT(TRIM(Paramètres!K24),3)="Fin",1-$H348,IF(LEFT(TRIM(Paramètres!K24),1)="F",1,0)))),IF(Paramètres!L24="",0,IF(Paramètres!M24="",NA(),IF(LEFT(TRIM(Paramètres!M24),1)="F",INDEX($F$329:$F$381,MATCH(Paramètres!L24,Paramètres!$G$5:$G$57,0)),INDEX($E$329:$E$381,MATCH(Paramètres!L24,Paramètres!$G$5:$G$57,0)))+IF(RIGHT(TRIM(Paramètres!M24),3)="Fin",1-$H348,IF(LEFT(TRIM(Paramètres!M24),1)="F",1,0)))),IF(Paramètres!N24="",0,IF(Paramètres!O24="",NA(),IF(LEFT(TRIM(Paramètres!O24),1)="F",INDEX($F$329:$F$381,MATCH(Paramètres!N24,Paramètres!$G$5:$G$57,0)),INDEX($E$329:$E$381,MATCH(Paramètres!N24,Paramètres!$G$5:$G$57,0)))+IF(RIGHT(TRIM(Paramètres!O24),3)="Fin",1-$H348,IF(LEFT(TRIM(Paramètres!O24),1)="F",1,0)))))))</f>
        <v/>
      </c>
      <c r="F348" s="19">
        <f>IF($A348="","",E348+$H348-1)</f>
        <v/>
      </c>
      <c r="G348" s="18" t="n"/>
      <c r="H348" s="18">
        <f>IF($A348="","",IF(I348&lt;&gt;"",I348,Paramètres!B24))</f>
        <v/>
      </c>
      <c r="I348" s="18" t="n"/>
    </row>
    <row r="349">
      <c r="A349" s="18">
        <f>IF(ISNUMBER(Dossiers!$D$10),Dossiers!$A$10&amp;" · "&amp;Dossiers!$B$10,"")</f>
        <v/>
      </c>
      <c r="B349" s="18">
        <f>IF($A349="","",Paramètres!G25)</f>
        <v/>
      </c>
      <c r="C349" s="18">
        <f>IF($A349="","",IF(Paramètres!H25="","",Paramètres!H25))</f>
        <v/>
      </c>
      <c r="D349" s="18">
        <f>IF($A349="","",IF(Paramètres!I25="","",Paramètres!I25))</f>
        <v/>
      </c>
      <c r="E349" s="19">
        <f>IF($A349="","",IF(Paramètres!J25&amp;Paramètres!L25&amp;Paramètres!N25="",Dossiers!$D$10,MAX(IF(Paramètres!J25="",0,IF(Paramètres!K25="",NA(),IF(LEFT(TRIM(Paramètres!K25),1)="F",INDEX($F$329:$F$381,MATCH(Paramètres!J25,Paramètres!$G$5:$G$57,0)),INDEX($E$329:$E$381,MATCH(Paramètres!J25,Paramètres!$G$5:$G$57,0)))+IF(RIGHT(TRIM(Paramètres!K25),3)="Fin",1-$H349,IF(LEFT(TRIM(Paramètres!K25),1)="F",1,0)))),IF(Paramètres!L25="",0,IF(Paramètres!M25="",NA(),IF(LEFT(TRIM(Paramètres!M25),1)="F",INDEX($F$329:$F$381,MATCH(Paramètres!L25,Paramètres!$G$5:$G$57,0)),INDEX($E$329:$E$381,MATCH(Paramètres!L25,Paramètres!$G$5:$G$57,0)))+IF(RIGHT(TRIM(Paramètres!M25),3)="Fin",1-$H349,IF(LEFT(TRIM(Paramètres!M25),1)="F",1,0)))),IF(Paramètres!N25="",0,IF(Paramètres!O25="",NA(),IF(LEFT(TRIM(Paramètres!O25),1)="F",INDEX($F$329:$F$381,MATCH(Paramètres!N25,Paramètres!$G$5:$G$57,0)),INDEX($E$329:$E$381,MATCH(Paramètres!N25,Paramètres!$G$5:$G$57,0)))+IF(RIGHT(TRIM(Paramètres!O25),3)="Fin",1-$H349,IF(LEFT(TRIM(Paramètres!O25),1)="F",1,0)))))))</f>
        <v/>
      </c>
      <c r="F349" s="19">
        <f>IF($A349="","",E349+$H349-1)</f>
        <v/>
      </c>
      <c r="G349" s="18" t="n"/>
      <c r="H349" s="18">
        <f>IF($A349="","",IF(I349&lt;&gt;"",I349,Paramètres!B25))</f>
        <v/>
      </c>
      <c r="I349" s="18" t="n"/>
    </row>
    <row r="350">
      <c r="A350" s="18">
        <f>IF(ISNUMBER(Dossiers!$D$10),Dossiers!$A$10&amp;" · "&amp;Dossiers!$B$10,"")</f>
        <v/>
      </c>
      <c r="B350" s="18">
        <f>IF($A350="","",Paramètres!G26)</f>
        <v/>
      </c>
      <c r="C350" s="18">
        <f>IF($A350="","",IF(Paramètres!H26="","",Paramètres!H26))</f>
        <v/>
      </c>
      <c r="D350" s="18">
        <f>IF($A350="","",IF(Paramètres!I26="","",Paramètres!I26))</f>
        <v/>
      </c>
      <c r="E350" s="19">
        <f>IF($A350="","",IF(Paramètres!J26&amp;Paramètres!L26&amp;Paramètres!N26="",Dossiers!$D$10,MAX(IF(Paramètres!J26="",0,IF(Paramètres!K26="",NA(),IF(LEFT(TRIM(Paramètres!K26),1)="F",INDEX($F$329:$F$381,MATCH(Paramètres!J26,Paramètres!$G$5:$G$57,0)),INDEX($E$329:$E$381,MATCH(Paramètres!J26,Paramètres!$G$5:$G$57,0)))+IF(RIGHT(TRIM(Paramètres!K26),3)="Fin",1-$H350,IF(LEFT(TRIM(Paramètres!K26),1)="F",1,0)))),IF(Paramètres!L26="",0,IF(Paramètres!M26="",NA(),IF(LEFT(TRIM(Paramètres!M26),1)="F",INDEX($F$329:$F$381,MATCH(Paramètres!L26,Paramètres!$G$5:$G$57,0)),INDEX($E$329:$E$381,MATCH(Paramètres!L26,Paramètres!$G$5:$G$57,0)))+IF(RIGHT(TRIM(Paramètres!M26),3)="Fin",1-$H350,IF(LEFT(TRIM(Paramètres!M26),1)="F",1,0)))),IF(Paramètres!N26="",0,IF(Paramètres!O26="",NA(),IF(LEFT(TRIM(Paramètres!O26),1)="F",INDEX($F$329:$F$381,MATCH(Paramètres!N26,Paramètres!$G$5:$G$57,0)),INDEX($E$329:$E$381,MATCH(Paramètres!N26,Paramètres!$G$5:$G$57,0)))+IF(RIGHT(TRIM(Paramètres!O26),3)="Fin",1-$H350,IF(LEFT(TRIM(Paramètres!O26),1)="F",1,0)))))))</f>
        <v/>
      </c>
      <c r="F350" s="19">
        <f>IF($A350="","",E350+$H350-1)</f>
        <v/>
      </c>
      <c r="G350" s="18" t="n"/>
      <c r="H350" s="18">
        <f>IF($A350="","",IF(I350&lt;&gt;"",I350,Paramètres!B26))</f>
        <v/>
      </c>
      <c r="I350" s="18" t="n"/>
    </row>
    <row r="351">
      <c r="A351" s="18">
        <f>IF(ISNUMBER(Dossiers!$D$10),Dossiers!$A$10&amp;" · "&amp;Dossiers!$B$10,"")</f>
        <v/>
      </c>
      <c r="B351" s="18">
        <f>IF($A351="","",Paramètres!G27)</f>
        <v/>
      </c>
      <c r="C351" s="18">
        <f>IF($A351="","",IF(Paramètres!H27="","",Paramètres!H27))</f>
        <v/>
      </c>
      <c r="D351" s="18">
        <f>IF($A351="","",IF(Paramètres!I27="","",Paramètres!I27))</f>
        <v/>
      </c>
      <c r="E351" s="19">
        <f>IF($A351="","",IF(Paramètres!J27&amp;Paramètres!L27&amp;Paramètres!N27="",Dossiers!$D$10,MAX(IF(Paramètres!J27="",0,IF(Paramètres!K27="",NA(),IF(LEFT(TRIM(Paramètres!K27),1)="F",INDEX($F$329:$F$381,MATCH(Paramètres!J27,Paramètres!$G$5:$G$57,0)),INDEX($E$329:$E$381,MATCH(Paramètres!J27,Paramètres!$G$5:$G$57,0)))+IF(RIGHT(TRIM(Paramètres!K27),3)="Fin",1-$H351,IF(LEFT(TRIM(Paramètres!K27),1)="F",1,0)))),IF(Paramètres!L27="",0,IF(Paramètres!M27="",NA(),IF(LEFT(TRIM(Paramètres!M27),1)="F",INDEX($F$329:$F$381,MATCH(Paramètres!L27,Paramètres!$G$5:$G$57,0)),INDEX($E$329:$E$381,MATCH(Paramètres!L27,Paramètres!$G$5:$G$57,0)))+IF(RIGHT(TRIM(Paramètres!M27),3)="Fin",1-$H351,IF(LEFT(TRIM(Paramètres!M27),1)="F",1,0)))),IF(Paramètres!N27="",0,IF(Paramètres!O27="",NA(),IF(LEFT(TRIM(Paramètres!O27),1)="F",INDEX($F$329:$F$381,MATCH(Paramètres!N27,Paramètres!$G$5:$G$57,0)),INDEX($E$329:$E$381,MATCH(Paramètres!N27,Paramètres!$G$5:$G$57,0)))+IF(RIGHT(TRIM(Paramètres!O27),3)="Fin",1-$H351,IF(LEFT(TRIM(Paramètres!O27),1)="F",1,0)))))))</f>
        <v/>
      </c>
      <c r="F351" s="19">
        <f>IF($A351="","",E351+$H351-1)</f>
        <v/>
      </c>
      <c r="G351" s="18" t="n"/>
      <c r="H351" s="18">
        <f>IF($A351="","",IF(I351&lt;&gt;"",I351,Paramètres!B27))</f>
        <v/>
      </c>
      <c r="I351" s="18" t="n"/>
    </row>
    <row r="352">
      <c r="A352" s="18">
        <f>IF(ISNUMBER(Dossiers!$D$10),Dossiers!$A$10&amp;" · "&amp;Dossiers!$B$10,"")</f>
        <v/>
      </c>
      <c r="B352" s="18">
        <f>IF($A352="","",Paramètres!G28)</f>
        <v/>
      </c>
      <c r="C352" s="18">
        <f>IF($A352="","",IF(Paramètres!H28="","",Paramètres!H28))</f>
        <v/>
      </c>
      <c r="D352" s="18">
        <f>IF($A352="","",IF(Paramètres!I28="","",Paramètres!I28))</f>
        <v/>
      </c>
      <c r="E352" s="19">
        <f>IF($A352="","",IF(Paramètres!J28&amp;Paramètres!L28&amp;Paramètres!N28="",Dossiers!$D$10,MAX(IF(Paramètres!J28="",0,IF(Paramètres!K28="",NA(),IF(LEFT(TRIM(Paramètres!K28),1)="F",INDEX($F$329:$F$381,MATCH(Paramètres!J28,Paramètres!$G$5:$G$57,0)),INDEX($E$329:$E$381,MATCH(Paramètres!J28,Paramètres!$G$5:$G$57,0)))+IF(RIGHT(TRIM(Paramètres!K28),3)="Fin",1-$H352,IF(LEFT(TRIM(Paramètres!K28),1)="F",1,0)))),IF(Paramètres!L28="",0,IF(Paramètres!M28="",NA(),IF(LEFT(TRIM(Paramètres!M28),1)="F",INDEX($F$329:$F$381,MATCH(Paramètres!L28,Paramètres!$G$5:$G$57,0)),INDEX($E$329:$E$381,MATCH(Paramètres!L28,Paramètres!$G$5:$G$57,0)))+IF(RIGHT(TRIM(Paramètres!M28),3)="Fin",1-$H352,IF(LEFT(TRIM(Paramètres!M28),1)="F",1,0)))),IF(Paramètres!N28="",0,IF(Paramètres!O28="",NA(),IF(LEFT(TRIM(Paramètres!O28),1)="F",INDEX($F$329:$F$381,MATCH(Paramètres!N28,Paramètres!$G$5:$G$57,0)),INDEX($E$329:$E$381,MATCH(Paramètres!N28,Paramètres!$G$5:$G$57,0)))+IF(RIGHT(TRIM(Paramètres!O28),3)="Fin",1-$H352,IF(LEFT(TRIM(Paramètres!O28),1)="F",1,0)))))))</f>
        <v/>
      </c>
      <c r="F352" s="19">
        <f>IF($A352="","",E352+$H352-1)</f>
        <v/>
      </c>
      <c r="G352" s="18" t="n"/>
      <c r="H352" s="18">
        <f>IF($A352="","",IF(I352&lt;&gt;"",I352,Paramètres!B28))</f>
        <v/>
      </c>
      <c r="I352" s="18" t="n"/>
    </row>
    <row r="353">
      <c r="A353" s="18">
        <f>IF(ISNUMBER(Dossiers!$D$10),Dossiers!$A$10&amp;" · "&amp;Dossiers!$B$10,"")</f>
        <v/>
      </c>
      <c r="B353" s="18">
        <f>IF($A353="","",Paramètres!G29)</f>
        <v/>
      </c>
      <c r="C353" s="18">
        <f>IF($A353="","",IF(Paramètres!H29="","",Paramètres!H29))</f>
        <v/>
      </c>
      <c r="D353" s="18">
        <f>IF($A353="","",IF(Paramètres!I29="","",Paramètres!I29))</f>
        <v/>
      </c>
      <c r="E353" s="19">
        <f>IF($A353="","",IF(Paramètres!J29&amp;Paramètres!L29&amp;Paramètres!N29="",Dossiers!$D$10,MAX(IF(Paramètres!J29="",0,IF(Paramètres!K29="",NA(),IF(LEFT(TRIM(Paramètres!K29),1)="F",INDEX($F$329:$F$381,MATCH(Paramètres!J29,Paramètres!$G$5:$G$57,0)),INDEX($E$329:$E$381,MATCH(Paramètres!J29,Paramètres!$G$5:$G$57,0)))+IF(RIGHT(TRIM(Paramètres!K29),3)="Fin",1-$H353,IF(LEFT(TRIM(Paramètres!K29),1)="F",1,0)))),IF(Paramètres!L29="",0,IF(Paramètres!M29="",NA(),IF(LEFT(TRIM(Paramètres!M29),1)="F",INDEX($F$329:$F$381,MATCH(Paramètres!L29,Paramètres!$G$5:$G$57,0)),INDEX($E$329:$E$381,MATCH(Paramètres!L29,Paramètres!$G$5:$G$57,0)))+IF(RIGHT(TRIM(Paramètres!M29),3)="Fin",1-$H353,IF(LEFT(TRIM(Paramètres!M29),1)="F",1,0)))),IF(Paramètres!N29="",0,IF(Paramètres!O29="",NA(),IF(LEFT(TRIM(Paramètres!O29),1)="F",INDEX($F$329:$F$381,MATCH(Paramètres!N29,Paramètres!$G$5:$G$57,0)),INDEX($E$329:$E$381,MATCH(Paramètres!N29,Paramètres!$G$5:$G$57,0)))+IF(RIGHT(TRIM(Paramètres!O29),3)="Fin",1-$H353,IF(LEFT(TRIM(Paramètres!O29),1)="F",1,0)))))))</f>
        <v/>
      </c>
      <c r="F353" s="19">
        <f>IF($A353="","",E353+$H353-1)</f>
        <v/>
      </c>
      <c r="G353" s="18" t="n"/>
      <c r="H353" s="18">
        <f>IF($A353="","",IF(I353&lt;&gt;"",I353,Paramètres!B29))</f>
        <v/>
      </c>
      <c r="I353" s="18" t="n"/>
    </row>
    <row r="354">
      <c r="A354" s="18">
        <f>IF(ISNUMBER(Dossiers!$D$10),Dossiers!$A$10&amp;" · "&amp;Dossiers!$B$10,"")</f>
        <v/>
      </c>
      <c r="B354" s="18">
        <f>IF($A354="","",Paramètres!G30)</f>
        <v/>
      </c>
      <c r="C354" s="18">
        <f>IF($A354="","",IF(Paramètres!H30="","",Paramètres!H30))</f>
        <v/>
      </c>
      <c r="D354" s="18">
        <f>IF($A354="","",IF(Paramètres!I30="","",Paramètres!I30))</f>
        <v/>
      </c>
      <c r="E354" s="19">
        <f>IF($A354="","",IF(Paramètres!J30&amp;Paramètres!L30&amp;Paramètres!N30="",Dossiers!$D$10,MAX(IF(Paramètres!J30="",0,IF(Paramètres!K30="",NA(),IF(LEFT(TRIM(Paramètres!K30),1)="F",INDEX($F$329:$F$381,MATCH(Paramètres!J30,Paramètres!$G$5:$G$57,0)),INDEX($E$329:$E$381,MATCH(Paramètres!J30,Paramètres!$G$5:$G$57,0)))+IF(RIGHT(TRIM(Paramètres!K30),3)="Fin",1-$H354,IF(LEFT(TRIM(Paramètres!K30),1)="F",1,0)))),IF(Paramètres!L30="",0,IF(Paramètres!M30="",NA(),IF(LEFT(TRIM(Paramètres!M30),1)="F",INDEX($F$329:$F$381,MATCH(Paramètres!L30,Paramètres!$G$5:$G$57,0)),INDEX($E$329:$E$381,MATCH(Paramètres!L30,Paramètres!$G$5:$G$57,0)))+IF(RIGHT(TRIM(Paramètres!M30),3)="Fin",1-$H354,IF(LEFT(TRIM(Paramètres!M30),1)="F",1,0)))),IF(Paramètres!N30="",0,IF(Paramètres!O30="",NA(),IF(LEFT(TRIM(Paramètres!O30),1)="F",INDEX($F$329:$F$381,MATCH(Paramètres!N30,Paramètres!$G$5:$G$57,0)),INDEX($E$329:$E$381,MATCH(Paramètres!N30,Paramètres!$G$5:$G$57,0)))+IF(RIGHT(TRIM(Paramètres!O30),3)="Fin",1-$H354,IF(LEFT(TRIM(Paramètres!O30),1)="F",1,0)))))))</f>
        <v/>
      </c>
      <c r="F354" s="19">
        <f>IF($A354="","",E354+$H354-1)</f>
        <v/>
      </c>
      <c r="G354" s="18" t="n"/>
      <c r="H354" s="18">
        <f>IF($A354="","",IF(I354&lt;&gt;"",I354,Paramètres!B30))</f>
        <v/>
      </c>
      <c r="I354" s="18" t="n"/>
    </row>
    <row r="355">
      <c r="A355" s="18">
        <f>IF(ISNUMBER(Dossiers!$D$10),Dossiers!$A$10&amp;" · "&amp;Dossiers!$B$10,"")</f>
        <v/>
      </c>
      <c r="B355" s="18">
        <f>IF($A355="","",Paramètres!G31)</f>
        <v/>
      </c>
      <c r="C355" s="20">
        <f>IF($A355="","",IF(Dossiers!$F$10="","",Dossiers!$F$10))</f>
        <v/>
      </c>
      <c r="D355" s="18">
        <f>IF($A355="","",IF(Paramètres!I31="","",Paramètres!I31))</f>
        <v/>
      </c>
      <c r="E355" s="19">
        <f>IF($A355="","",IF(Paramètres!J31&amp;Paramètres!L31&amp;Paramètres!N31="",Dossiers!$D$10,MAX(IF(Paramètres!J31="",0,IF(Paramètres!K31="",NA(),IF(LEFT(TRIM(Paramètres!K31),1)="F",INDEX($F$329:$F$381,MATCH(Paramètres!J31,Paramètres!$G$5:$G$57,0)),INDEX($E$329:$E$381,MATCH(Paramètres!J31,Paramètres!$G$5:$G$57,0)))+IF(RIGHT(TRIM(Paramètres!K31),3)="Fin",1-$H355,IF(LEFT(TRIM(Paramètres!K31),1)="F",1,0)))),IF(Paramètres!L31="",0,IF(Paramètres!M31="",NA(),IF(LEFT(TRIM(Paramètres!M31),1)="F",INDEX($F$329:$F$381,MATCH(Paramètres!L31,Paramètres!$G$5:$G$57,0)),INDEX($E$329:$E$381,MATCH(Paramètres!L31,Paramètres!$G$5:$G$57,0)))+IF(RIGHT(TRIM(Paramètres!M31),3)="Fin",1-$H355,IF(LEFT(TRIM(Paramètres!M31),1)="F",1,0)))),IF(Paramètres!N31="",0,IF(Paramètres!O31="",NA(),IF(LEFT(TRIM(Paramètres!O31),1)="F",INDEX($F$329:$F$381,MATCH(Paramètres!N31,Paramètres!$G$5:$G$57,0)),INDEX($E$329:$E$381,MATCH(Paramètres!N31,Paramètres!$G$5:$G$57,0)))+IF(RIGHT(TRIM(Paramètres!O31),3)="Fin",1-$H355,IF(LEFT(TRIM(Paramètres!O31),1)="F",1,0)))))))</f>
        <v/>
      </c>
      <c r="F355" s="19">
        <f>IF($A355="","",E355+$H355-1)</f>
        <v/>
      </c>
      <c r="G355" s="18" t="n"/>
      <c r="H355" s="18">
        <f>IF($A355="","",IF(I355&lt;&gt;"",I355,Paramètres!B31))</f>
        <v/>
      </c>
      <c r="I355" s="18" t="n"/>
    </row>
    <row r="356">
      <c r="A356" s="18">
        <f>IF(ISNUMBER(Dossiers!$D$10),Dossiers!$A$10&amp;" · "&amp;Dossiers!$B$10,"")</f>
        <v/>
      </c>
      <c r="B356" s="18">
        <f>IF($A356="","",Paramètres!G32)</f>
        <v/>
      </c>
      <c r="C356" s="18">
        <f>IF($A356="","",IF(Paramètres!H32="","",Paramètres!H32))</f>
        <v/>
      </c>
      <c r="D356" s="18">
        <f>IF($A356="","",IF(Paramètres!I32="","",Paramètres!I32))</f>
        <v/>
      </c>
      <c r="E356" s="19">
        <f>IF($A356="","",MIN(E357:E360))</f>
        <v/>
      </c>
      <c r="F356" s="19">
        <f>IF($A356="","",MAX(F357:F360))</f>
        <v/>
      </c>
      <c r="G356" s="18" t="n"/>
      <c r="H356" s="18">
        <f>IF($A356="","",F356-E356+1)</f>
        <v/>
      </c>
      <c r="I356" s="18" t="n"/>
    </row>
    <row r="357">
      <c r="A357" s="18">
        <f>IF(ISNUMBER(Dossiers!$D$10),Dossiers!$A$10&amp;" · "&amp;Dossiers!$B$10,"")</f>
        <v/>
      </c>
      <c r="B357" s="18">
        <f>IF($A357="","",Paramètres!G33)</f>
        <v/>
      </c>
      <c r="C357" s="18">
        <f>IF($A357="","",IF(Paramètres!H33="","",Paramètres!H33))</f>
        <v/>
      </c>
      <c r="D357" s="18">
        <f>IF($A357="","",IF(Paramètres!I33="","",Paramètres!I33))</f>
        <v/>
      </c>
      <c r="E357" s="19">
        <f>IF($A357="","",IF(Paramètres!J33&amp;Paramètres!L33&amp;Paramètres!N33="",Dossiers!$D$10,MAX(IF(Paramètres!J33="",0,IF(Paramètres!K33="",NA(),IF(LEFT(TRIM(Paramètres!K33),1)="F",INDEX($F$329:$F$381,MATCH(Paramètres!J33,Paramètres!$G$5:$G$57,0)),INDEX($E$329:$E$381,MATCH(Paramètres!J33,Paramètres!$G$5:$G$57,0)))+IF(RIGHT(TRIM(Paramètres!K33),3)="Fin",1-$H357,IF(LEFT(TRIM(Paramètres!K33),1)="F",1,0)))),IF(Paramètres!L33="",0,IF(Paramètres!M33="",NA(),IF(LEFT(TRIM(Paramètres!M33),1)="F",INDEX($F$329:$F$381,MATCH(Paramètres!L33,Paramètres!$G$5:$G$57,0)),INDEX($E$329:$E$381,MATCH(Paramètres!L33,Paramètres!$G$5:$G$57,0)))+IF(RIGHT(TRIM(Paramètres!M33),3)="Fin",1-$H357,IF(LEFT(TRIM(Paramètres!M33),1)="F",1,0)))),IF(Paramètres!N33="",0,IF(Paramètres!O33="",NA(),IF(LEFT(TRIM(Paramètres!O33),1)="F",INDEX($F$329:$F$381,MATCH(Paramètres!N33,Paramètres!$G$5:$G$57,0)),INDEX($E$329:$E$381,MATCH(Paramètres!N33,Paramètres!$G$5:$G$57,0)))+IF(RIGHT(TRIM(Paramètres!O33),3)="Fin",1-$H357,IF(LEFT(TRIM(Paramètres!O33),1)="F",1,0)))))))</f>
        <v/>
      </c>
      <c r="F357" s="19">
        <f>IF($A357="","",E357+$H357-1)</f>
        <v/>
      </c>
      <c r="G357" s="18" t="n"/>
      <c r="H357" s="18">
        <f>IF($A357="","",IF(I357&lt;&gt;"",I357,Paramètres!B33))</f>
        <v/>
      </c>
      <c r="I357" s="18" t="n"/>
    </row>
    <row r="358">
      <c r="A358" s="18">
        <f>IF(ISNUMBER(Dossiers!$D$10),Dossiers!$A$10&amp;" · "&amp;Dossiers!$B$10,"")</f>
        <v/>
      </c>
      <c r="B358" s="18">
        <f>IF($A358="","",Paramètres!G34)</f>
        <v/>
      </c>
      <c r="C358" s="18">
        <f>IF($A358="","",IF(Paramètres!H34="","",Paramètres!H34))</f>
        <v/>
      </c>
      <c r="D358" s="18">
        <f>IF($A358="","",IF(Paramètres!I34="","",Paramètres!I34))</f>
        <v/>
      </c>
      <c r="E358" s="19">
        <f>IF($A358="","",IF(Paramètres!J34&amp;Paramètres!L34&amp;Paramètres!N34="",Dossiers!$D$10,MAX(IF(Paramètres!J34="",0,IF(Paramètres!K34="",NA(),IF(LEFT(TRIM(Paramètres!K34),1)="F",INDEX($F$329:$F$381,MATCH(Paramètres!J34,Paramètres!$G$5:$G$57,0)),INDEX($E$329:$E$381,MATCH(Paramètres!J34,Paramètres!$G$5:$G$57,0)))+IF(RIGHT(TRIM(Paramètres!K34),3)="Fin",1-$H358,IF(LEFT(TRIM(Paramètres!K34),1)="F",1,0)))),IF(Paramètres!L34="",0,IF(Paramètres!M34="",NA(),IF(LEFT(TRIM(Paramètres!M34),1)="F",INDEX($F$329:$F$381,MATCH(Paramètres!L34,Paramètres!$G$5:$G$57,0)),INDEX($E$329:$E$381,MATCH(Paramètres!L34,Paramètres!$G$5:$G$57,0)))+IF(RIGHT(TRIM(Paramètres!M34),3)="Fin",1-$H358,IF(LEFT(TRIM(Paramètres!M34),1)="F",1,0)))),IF(Paramètres!N34="",0,IF(Paramètres!O34="",NA(),IF(LEFT(TRIM(Paramètres!O34),1)="F",INDEX($F$329:$F$381,MATCH(Paramètres!N34,Paramètres!$G$5:$G$57,0)),INDEX($E$329:$E$381,MATCH(Paramètres!N34,Paramètres!$G$5:$G$57,0)))+IF(RIGHT(TRIM(Paramètres!O34),3)="Fin",1-$H358,IF(LEFT(TRIM(Paramètres!O34),1)="F",1,0)))))))</f>
        <v/>
      </c>
      <c r="F358" s="19">
        <f>IF($A358="","",E358+$H358-1)</f>
        <v/>
      </c>
      <c r="G358" s="18" t="n"/>
      <c r="H358" s="18">
        <f>IF($A358="","",IF(I358&lt;&gt;"",I358,Paramètres!B34))</f>
        <v/>
      </c>
      <c r="I358" s="18" t="n"/>
    </row>
    <row r="359">
      <c r="A359" s="18">
        <f>IF(ISNUMBER(Dossiers!$D$10),Dossiers!$A$10&amp;" · "&amp;Dossiers!$B$10,"")</f>
        <v/>
      </c>
      <c r="B359" s="18">
        <f>IF($A359="","",Paramètres!G35)</f>
        <v/>
      </c>
      <c r="C359" s="18">
        <f>IF($A359="","",IF(Paramètres!H35="","",Paramètres!H35))</f>
        <v/>
      </c>
      <c r="D359" s="18">
        <f>IF($A359="","",IF(Paramètres!I35="","",Paramètres!I35))</f>
        <v/>
      </c>
      <c r="E359" s="19">
        <f>IF($A359="","",IF(Paramètres!J35&amp;Paramètres!L35&amp;Paramètres!N35="",Dossiers!$D$10,MAX(IF(Paramètres!J35="",0,IF(Paramètres!K35="",NA(),IF(LEFT(TRIM(Paramètres!K35),1)="F",INDEX($F$329:$F$381,MATCH(Paramètres!J35,Paramètres!$G$5:$G$57,0)),INDEX($E$329:$E$381,MATCH(Paramètres!J35,Paramètres!$G$5:$G$57,0)))+IF(RIGHT(TRIM(Paramètres!K35),3)="Fin",1-$H359,IF(LEFT(TRIM(Paramètres!K35),1)="F",1,0)))),IF(Paramètres!L35="",0,IF(Paramètres!M35="",NA(),IF(LEFT(TRIM(Paramètres!M35),1)="F",INDEX($F$329:$F$381,MATCH(Paramètres!L35,Paramètres!$G$5:$G$57,0)),INDEX($E$329:$E$381,MATCH(Paramètres!L35,Paramètres!$G$5:$G$57,0)))+IF(RIGHT(TRIM(Paramètres!M35),3)="Fin",1-$H359,IF(LEFT(TRIM(Paramètres!M35),1)="F",1,0)))),IF(Paramètres!N35="",0,IF(Paramètres!O35="",NA(),IF(LEFT(TRIM(Paramètres!O35),1)="F",INDEX($F$329:$F$381,MATCH(Paramètres!N35,Paramètres!$G$5:$G$57,0)),INDEX($E$329:$E$381,MATCH(Paramètres!N35,Paramètres!$G$5:$G$57,0)))+IF(RIGHT(TRIM(Paramètres!O35),3)="Fin",1-$H359,IF(LEFT(TRIM(Paramètres!O35),1)="F",1,0)))))))</f>
        <v/>
      </c>
      <c r="F359" s="19">
        <f>IF($A359="","",E359+$H359-1)</f>
        <v/>
      </c>
      <c r="G359" s="18" t="n"/>
      <c r="H359" s="18">
        <f>IF($A359="","",IF(I359&lt;&gt;"",I359,Paramètres!B35))</f>
        <v/>
      </c>
      <c r="I359" s="18" t="n"/>
    </row>
    <row r="360">
      <c r="A360" s="18">
        <f>IF(ISNUMBER(Dossiers!$D$10),Dossiers!$A$10&amp;" · "&amp;Dossiers!$B$10,"")</f>
        <v/>
      </c>
      <c r="B360" s="18">
        <f>IF($A360="","",Paramètres!G36)</f>
        <v/>
      </c>
      <c r="C360" s="18">
        <f>IF($A360="","",IF(Paramètres!H36="","",Paramètres!H36))</f>
        <v/>
      </c>
      <c r="D360" s="18">
        <f>IF($A360="","",IF(Paramètres!I36="","",Paramètres!I36))</f>
        <v/>
      </c>
      <c r="E360" s="19">
        <f>IF($A360="","",IF(Paramètres!J36&amp;Paramètres!L36&amp;Paramètres!N36="",Dossiers!$D$10,MAX(IF(Paramètres!J36="",0,IF(Paramètres!K36="",NA(),IF(LEFT(TRIM(Paramètres!K36),1)="F",INDEX($F$329:$F$381,MATCH(Paramètres!J36,Paramètres!$G$5:$G$57,0)),INDEX($E$329:$E$381,MATCH(Paramètres!J36,Paramètres!$G$5:$G$57,0)))+IF(RIGHT(TRIM(Paramètres!K36),3)="Fin",1-$H360,IF(LEFT(TRIM(Paramètres!K36),1)="F",1,0)))),IF(Paramètres!L36="",0,IF(Paramètres!M36="",NA(),IF(LEFT(TRIM(Paramètres!M36),1)="F",INDEX($F$329:$F$381,MATCH(Paramètres!L36,Paramètres!$G$5:$G$57,0)),INDEX($E$329:$E$381,MATCH(Paramètres!L36,Paramètres!$G$5:$G$57,0)))+IF(RIGHT(TRIM(Paramètres!M36),3)="Fin",1-$H360,IF(LEFT(TRIM(Paramètres!M36),1)="F",1,0)))),IF(Paramètres!N36="",0,IF(Paramètres!O36="",NA(),IF(LEFT(TRIM(Paramètres!O36),1)="F",INDEX($F$329:$F$381,MATCH(Paramètres!N36,Paramètres!$G$5:$G$57,0)),INDEX($E$329:$E$381,MATCH(Paramètres!N36,Paramètres!$G$5:$G$57,0)))+IF(RIGHT(TRIM(Paramètres!O36),3)="Fin",1-$H360,IF(LEFT(TRIM(Paramètres!O36),1)="F",1,0)))))))</f>
        <v/>
      </c>
      <c r="F360" s="19">
        <f>IF($A360="","",E360+$H360-1)</f>
        <v/>
      </c>
      <c r="G360" s="18" t="n"/>
      <c r="H360" s="18">
        <f>IF($A360="","",IF(I360&lt;&gt;"",I360,Paramètres!B36))</f>
        <v/>
      </c>
      <c r="I360" s="18" t="n"/>
    </row>
    <row r="361">
      <c r="A361" s="18">
        <f>IF(ISNUMBER(Dossiers!$D$10),Dossiers!$A$10&amp;" · "&amp;Dossiers!$B$10,"")</f>
        <v/>
      </c>
      <c r="B361" s="18">
        <f>IF($A361="","",Paramètres!G37)</f>
        <v/>
      </c>
      <c r="C361" s="18">
        <f>IF($A361="","",IF(Paramètres!H37="","",Paramètres!H37))</f>
        <v/>
      </c>
      <c r="D361" s="18">
        <f>IF($A361="","",IF(Paramètres!I37="","",Paramètres!I37))</f>
        <v/>
      </c>
      <c r="E361" s="19">
        <f>IF($A361="","",MIN(E362:E379))</f>
        <v/>
      </c>
      <c r="F361" s="19">
        <f>IF($A361="","",MAX(F362:F379))</f>
        <v/>
      </c>
      <c r="G361" s="18" t="n"/>
      <c r="H361" s="18">
        <f>IF($A361="","",F361-E361+1)</f>
        <v/>
      </c>
      <c r="I361" s="18" t="n"/>
    </row>
    <row r="362">
      <c r="A362" s="18">
        <f>IF(ISNUMBER(Dossiers!$D$10),Dossiers!$A$10&amp;" · "&amp;Dossiers!$B$10,"")</f>
        <v/>
      </c>
      <c r="B362" s="18">
        <f>IF($A362="","",Paramètres!G38)</f>
        <v/>
      </c>
      <c r="C362" s="18">
        <f>IF($A362="","",IF(Paramètres!H38="","",Paramètres!H38))</f>
        <v/>
      </c>
      <c r="D362" s="18">
        <f>IF($A362="","",IF(Paramètres!I38="","",Paramètres!I38))</f>
        <v/>
      </c>
      <c r="E362" s="19">
        <f>IF($A362="","",IF(Paramètres!J38&amp;Paramètres!L38&amp;Paramètres!N38="",Dossiers!$D$10,MAX(IF(Paramètres!J38="",0,IF(Paramètres!K38="",NA(),IF(LEFT(TRIM(Paramètres!K38),1)="F",INDEX($F$329:$F$381,MATCH(Paramètres!J38,Paramètres!$G$5:$G$57,0)),INDEX($E$329:$E$381,MATCH(Paramètres!J38,Paramètres!$G$5:$G$57,0)))+IF(RIGHT(TRIM(Paramètres!K38),3)="Fin",1-$H362,IF(LEFT(TRIM(Paramètres!K38),1)="F",1,0)))),IF(Paramètres!L38="",0,IF(Paramètres!M38="",NA(),IF(LEFT(TRIM(Paramètres!M38),1)="F",INDEX($F$329:$F$381,MATCH(Paramètres!L38,Paramètres!$G$5:$G$57,0)),INDEX($E$329:$E$381,MATCH(Paramètres!L38,Paramètres!$G$5:$G$57,0)))+IF(RIGHT(TRIM(Paramètres!M38),3)="Fin",1-$H362,IF(LEFT(TRIM(Paramètres!M38),1)="F",1,0)))),IF(Paramètres!N38="",0,IF(Paramètres!O38="",NA(),IF(LEFT(TRIM(Paramètres!O38),1)="F",INDEX($F$329:$F$381,MATCH(Paramètres!N38,Paramètres!$G$5:$G$57,0)),INDEX($E$329:$E$381,MATCH(Paramètres!N38,Paramètres!$G$5:$G$57,0)))+IF(RIGHT(TRIM(Paramètres!O38),3)="Fin",1-$H362,IF(LEFT(TRIM(Paramètres!O38),1)="F",1,0)))))))</f>
        <v/>
      </c>
      <c r="F362" s="19">
        <f>IF($A362="","",E362+$H362-1)</f>
        <v/>
      </c>
      <c r="G362" s="18" t="n"/>
      <c r="H362" s="18">
        <f>IF($A362="","",IF(I362&lt;&gt;"",I362,Paramètres!B38))</f>
        <v/>
      </c>
      <c r="I362" s="18" t="n"/>
    </row>
    <row r="363">
      <c r="A363" s="18">
        <f>IF(ISNUMBER(Dossiers!$D$10),Dossiers!$A$10&amp;" · "&amp;Dossiers!$B$10,"")</f>
        <v/>
      </c>
      <c r="B363" s="18">
        <f>IF($A363="","",Paramètres!G39)</f>
        <v/>
      </c>
      <c r="C363" s="18">
        <f>IF($A363="","",IF(Paramètres!H39="","",Paramètres!H39))</f>
        <v/>
      </c>
      <c r="D363" s="18">
        <f>IF($A363="","",IF(Paramètres!I39="","",Paramètres!I39))</f>
        <v/>
      </c>
      <c r="E363" s="19">
        <f>IF($A363="","",IF(Paramètres!J39&amp;Paramètres!L39&amp;Paramètres!N39="",Dossiers!$D$10,MAX(IF(Paramètres!J39="",0,IF(Paramètres!K39="",NA(),IF(LEFT(TRIM(Paramètres!K39),1)="F",INDEX($F$329:$F$381,MATCH(Paramètres!J39,Paramètres!$G$5:$G$57,0)),INDEX($E$329:$E$381,MATCH(Paramètres!J39,Paramètres!$G$5:$G$57,0)))+IF(RIGHT(TRIM(Paramètres!K39),3)="Fin",1-$H363,IF(LEFT(TRIM(Paramètres!K39),1)="F",1,0)))),IF(Paramètres!L39="",0,IF(Paramètres!M39="",NA(),IF(LEFT(TRIM(Paramètres!M39),1)="F",INDEX($F$329:$F$381,MATCH(Paramètres!L39,Paramètres!$G$5:$G$57,0)),INDEX($E$329:$E$381,MATCH(Paramètres!L39,Paramètres!$G$5:$G$57,0)))+IF(RIGHT(TRIM(Paramètres!M39),3)="Fin",1-$H363,IF(LEFT(TRIM(Paramètres!M39),1)="F",1,0)))),IF(Paramètres!N39="",0,IF(Paramètres!O39="",NA(),IF(LEFT(TRIM(Paramètres!O39),1)="F",INDEX($F$329:$F$381,MATCH(Paramètres!N39,Paramètres!$G$5:$G$57,0)),INDEX($E$329:$E$381,MATCH(Paramètres!N39,Paramètres!$G$5:$G$57,0)))+IF(RIGHT(TRIM(Paramètres!O39),3)="Fin",1-$H363,IF(LEFT(TRIM(Paramètres!O39),1)="F",1,0)))))))</f>
        <v/>
      </c>
      <c r="F363" s="19">
        <f>IF($A363="","",E363+$H363-1)</f>
        <v/>
      </c>
      <c r="G363" s="18" t="n"/>
      <c r="H363" s="18">
        <f>IF($A363="","",IF(I363&lt;&gt;"",I363,Paramètres!B39))</f>
        <v/>
      </c>
      <c r="I363" s="18" t="n"/>
    </row>
    <row r="364">
      <c r="A364" s="18">
        <f>IF(ISNUMBER(Dossiers!$D$10),Dossiers!$A$10&amp;" · "&amp;Dossiers!$B$10,"")</f>
        <v/>
      </c>
      <c r="B364" s="18">
        <f>IF($A364="","",Paramètres!G40)</f>
        <v/>
      </c>
      <c r="C364" s="18">
        <f>IF($A364="","",IF(Paramètres!H40="","",Paramètres!H40))</f>
        <v/>
      </c>
      <c r="D364" s="18">
        <f>IF($A364="","",IF(Paramètres!I40="","",Paramètres!I40))</f>
        <v/>
      </c>
      <c r="E364" s="19">
        <f>IF($A364="","",IF(Paramètres!J40&amp;Paramètres!L40&amp;Paramètres!N40="",Dossiers!$D$10,MAX(IF(Paramètres!J40="",0,IF(Paramètres!K40="",NA(),IF(LEFT(TRIM(Paramètres!K40),1)="F",INDEX($F$329:$F$381,MATCH(Paramètres!J40,Paramètres!$G$5:$G$57,0)),INDEX($E$329:$E$381,MATCH(Paramètres!J40,Paramètres!$G$5:$G$57,0)))+IF(RIGHT(TRIM(Paramètres!K40),3)="Fin",1-$H364,IF(LEFT(TRIM(Paramètres!K40),1)="F",1,0)))),IF(Paramètres!L40="",0,IF(Paramètres!M40="",NA(),IF(LEFT(TRIM(Paramètres!M40),1)="F",INDEX($F$329:$F$381,MATCH(Paramètres!L40,Paramètres!$G$5:$G$57,0)),INDEX($E$329:$E$381,MATCH(Paramètres!L40,Paramètres!$G$5:$G$57,0)))+IF(RIGHT(TRIM(Paramètres!M40),3)="Fin",1-$H364,IF(LEFT(TRIM(Paramètres!M40),1)="F",1,0)))),IF(Paramètres!N40="",0,IF(Paramètres!O40="",NA(),IF(LEFT(TRIM(Paramètres!O40),1)="F",INDEX($F$329:$F$381,MATCH(Paramètres!N40,Paramètres!$G$5:$G$57,0)),INDEX($E$329:$E$381,MATCH(Paramètres!N40,Paramètres!$G$5:$G$57,0)))+IF(RIGHT(TRIM(Paramètres!O40),3)="Fin",1-$H364,IF(LEFT(TRIM(Paramètres!O40),1)="F",1,0)))))))</f>
        <v/>
      </c>
      <c r="F364" s="19">
        <f>IF($A364="","",E364+$H364-1)</f>
        <v/>
      </c>
      <c r="G364" s="18" t="n"/>
      <c r="H364" s="18">
        <f>IF($A364="","",IF(I364&lt;&gt;"",I364,Paramètres!B40))</f>
        <v/>
      </c>
      <c r="I364" s="18" t="n"/>
    </row>
    <row r="365">
      <c r="A365" s="18">
        <f>IF(ISNUMBER(Dossiers!$D$10),Dossiers!$A$10&amp;" · "&amp;Dossiers!$B$10,"")</f>
        <v/>
      </c>
      <c r="B365" s="18">
        <f>IF($A365="","",Paramètres!G41)</f>
        <v/>
      </c>
      <c r="C365" s="18">
        <f>IF($A365="","",IF(Paramètres!H41="","",Paramètres!H41))</f>
        <v/>
      </c>
      <c r="D365" s="18">
        <f>IF($A365="","",IF(Paramètres!I41="","",Paramètres!I41))</f>
        <v/>
      </c>
      <c r="E365" s="19">
        <f>IF($A365="","",IF(Paramètres!J41&amp;Paramètres!L41&amp;Paramètres!N41="",Dossiers!$D$10,MAX(IF(Paramètres!J41="",0,IF(Paramètres!K41="",NA(),IF(LEFT(TRIM(Paramètres!K41),1)="F",INDEX($F$329:$F$381,MATCH(Paramètres!J41,Paramètres!$G$5:$G$57,0)),INDEX($E$329:$E$381,MATCH(Paramètres!J41,Paramètres!$G$5:$G$57,0)))+IF(RIGHT(TRIM(Paramètres!K41),3)="Fin",1-$H365,IF(LEFT(TRIM(Paramètres!K41),1)="F",1,0)))),IF(Paramètres!L41="",0,IF(Paramètres!M41="",NA(),IF(LEFT(TRIM(Paramètres!M41),1)="F",INDEX($F$329:$F$381,MATCH(Paramètres!L41,Paramètres!$G$5:$G$57,0)),INDEX($E$329:$E$381,MATCH(Paramètres!L41,Paramètres!$G$5:$G$57,0)))+IF(RIGHT(TRIM(Paramètres!M41),3)="Fin",1-$H365,IF(LEFT(TRIM(Paramètres!M41),1)="F",1,0)))),IF(Paramètres!N41="",0,IF(Paramètres!O41="",NA(),IF(LEFT(TRIM(Paramètres!O41),1)="F",INDEX($F$329:$F$381,MATCH(Paramètres!N41,Paramètres!$G$5:$G$57,0)),INDEX($E$329:$E$381,MATCH(Paramètres!N41,Paramètres!$G$5:$G$57,0)))+IF(RIGHT(TRIM(Paramètres!O41),3)="Fin",1-$H365,IF(LEFT(TRIM(Paramètres!O41),1)="F",1,0)))))))</f>
        <v/>
      </c>
      <c r="F365" s="19">
        <f>IF($A365="","",E365+$H365-1)</f>
        <v/>
      </c>
      <c r="G365" s="18" t="n"/>
      <c r="H365" s="18">
        <f>IF($A365="","",IF(I365&lt;&gt;"",I365,Paramètres!B41))</f>
        <v/>
      </c>
      <c r="I365" s="18" t="n"/>
    </row>
    <row r="366">
      <c r="A366" s="18">
        <f>IF(ISNUMBER(Dossiers!$D$10),Dossiers!$A$10&amp;" · "&amp;Dossiers!$B$10,"")</f>
        <v/>
      </c>
      <c r="B366" s="18">
        <f>IF($A366="","",Paramètres!G42)</f>
        <v/>
      </c>
      <c r="C366" s="18">
        <f>IF($A366="","",IF(Paramètres!H42="","",Paramètres!H42))</f>
        <v/>
      </c>
      <c r="D366" s="18">
        <f>IF($A366="","",IF(Paramètres!I42="","",Paramètres!I42))</f>
        <v/>
      </c>
      <c r="E366" s="19">
        <f>IF($A366="","",IF(Paramètres!J42&amp;Paramètres!L42&amp;Paramètres!N42="",Dossiers!$D$10,MAX(IF(Paramètres!J42="",0,IF(Paramètres!K42="",NA(),IF(LEFT(TRIM(Paramètres!K42),1)="F",INDEX($F$329:$F$381,MATCH(Paramètres!J42,Paramètres!$G$5:$G$57,0)),INDEX($E$329:$E$381,MATCH(Paramètres!J42,Paramètres!$G$5:$G$57,0)))+IF(RIGHT(TRIM(Paramètres!K42),3)="Fin",1-$H366,IF(LEFT(TRIM(Paramètres!K42),1)="F",1,0)))),IF(Paramètres!L42="",0,IF(Paramètres!M42="",NA(),IF(LEFT(TRIM(Paramètres!M42),1)="F",INDEX($F$329:$F$381,MATCH(Paramètres!L42,Paramètres!$G$5:$G$57,0)),INDEX($E$329:$E$381,MATCH(Paramètres!L42,Paramètres!$G$5:$G$57,0)))+IF(RIGHT(TRIM(Paramètres!M42),3)="Fin",1-$H366,IF(LEFT(TRIM(Paramètres!M42),1)="F",1,0)))),IF(Paramètres!N42="",0,IF(Paramètres!O42="",NA(),IF(LEFT(TRIM(Paramètres!O42),1)="F",INDEX($F$329:$F$381,MATCH(Paramètres!N42,Paramètres!$G$5:$G$57,0)),INDEX($E$329:$E$381,MATCH(Paramètres!N42,Paramètres!$G$5:$G$57,0)))+IF(RIGHT(TRIM(Paramètres!O42),3)="Fin",1-$H366,IF(LEFT(TRIM(Paramètres!O42),1)="F",1,0)))))))</f>
        <v/>
      </c>
      <c r="F366" s="19">
        <f>IF($A366="","",E366+$H366-1)</f>
        <v/>
      </c>
      <c r="G366" s="18" t="n"/>
      <c r="H366" s="18">
        <f>IF($A366="","",IF(I366&lt;&gt;"",I366,Paramètres!B42))</f>
        <v/>
      </c>
      <c r="I366" s="18" t="n"/>
    </row>
    <row r="367">
      <c r="A367" s="18">
        <f>IF(ISNUMBER(Dossiers!$D$10),Dossiers!$A$10&amp;" · "&amp;Dossiers!$B$10,"")</f>
        <v/>
      </c>
      <c r="B367" s="18">
        <f>IF($A367="","",Paramètres!G43)</f>
        <v/>
      </c>
      <c r="C367" s="18">
        <f>IF($A367="","",IF(Paramètres!H43="","",Paramètres!H43))</f>
        <v/>
      </c>
      <c r="D367" s="18">
        <f>IF($A367="","",IF(Paramètres!I43="","",Paramètres!I43))</f>
        <v/>
      </c>
      <c r="E367" s="19">
        <f>IF($A367="","",IF(Paramètres!J43&amp;Paramètres!L43&amp;Paramètres!N43="",Dossiers!$D$10,MAX(IF(Paramètres!J43="",0,IF(Paramètres!K43="",NA(),IF(LEFT(TRIM(Paramètres!K43),1)="F",INDEX($F$329:$F$381,MATCH(Paramètres!J43,Paramètres!$G$5:$G$57,0)),INDEX($E$329:$E$381,MATCH(Paramètres!J43,Paramètres!$G$5:$G$57,0)))+IF(RIGHT(TRIM(Paramètres!K43),3)="Fin",1-$H367,IF(LEFT(TRIM(Paramètres!K43),1)="F",1,0)))),IF(Paramètres!L43="",0,IF(Paramètres!M43="",NA(),IF(LEFT(TRIM(Paramètres!M43),1)="F",INDEX($F$329:$F$381,MATCH(Paramètres!L43,Paramètres!$G$5:$G$57,0)),INDEX($E$329:$E$381,MATCH(Paramètres!L43,Paramètres!$G$5:$G$57,0)))+IF(RIGHT(TRIM(Paramètres!M43),3)="Fin",1-$H367,IF(LEFT(TRIM(Paramètres!M43),1)="F",1,0)))),IF(Paramètres!N43="",0,IF(Paramètres!O43="",NA(),IF(LEFT(TRIM(Paramètres!O43),1)="F",INDEX($F$329:$F$381,MATCH(Paramètres!N43,Paramètres!$G$5:$G$57,0)),INDEX($E$329:$E$381,MATCH(Paramètres!N43,Paramètres!$G$5:$G$57,0)))+IF(RIGHT(TRIM(Paramètres!O43),3)="Fin",1-$H367,IF(LEFT(TRIM(Paramètres!O43),1)="F",1,0)))))))</f>
        <v/>
      </c>
      <c r="F367" s="19">
        <f>IF($A367="","",E367+$H367-1)</f>
        <v/>
      </c>
      <c r="G367" s="18" t="n"/>
      <c r="H367" s="18">
        <f>IF($A367="","",IF(I367&lt;&gt;"",I367,Paramètres!B43))</f>
        <v/>
      </c>
      <c r="I367" s="18" t="n"/>
    </row>
    <row r="368">
      <c r="A368" s="18">
        <f>IF(ISNUMBER(Dossiers!$D$10),Dossiers!$A$10&amp;" · "&amp;Dossiers!$B$10,"")</f>
        <v/>
      </c>
      <c r="B368" s="18">
        <f>IF($A368="","",Paramètres!G44)</f>
        <v/>
      </c>
      <c r="C368" s="18">
        <f>IF($A368="","",IF(Paramètres!H44="","",Paramètres!H44))</f>
        <v/>
      </c>
      <c r="D368" s="18">
        <f>IF($A368="","",IF(Paramètres!I44="","",Paramètres!I44))</f>
        <v/>
      </c>
      <c r="E368" s="19">
        <f>IF($A368="","",IF(Paramètres!J44&amp;Paramètres!L44&amp;Paramètres!N44="",Dossiers!$D$10,MAX(IF(Paramètres!J44="",0,IF(Paramètres!K44="",NA(),IF(LEFT(TRIM(Paramètres!K44),1)="F",INDEX($F$329:$F$381,MATCH(Paramètres!J44,Paramètres!$G$5:$G$57,0)),INDEX($E$329:$E$381,MATCH(Paramètres!J44,Paramètres!$G$5:$G$57,0)))+IF(RIGHT(TRIM(Paramètres!K44),3)="Fin",1-$H368,IF(LEFT(TRIM(Paramètres!K44),1)="F",1,0)))),IF(Paramètres!L44="",0,IF(Paramètres!M44="",NA(),IF(LEFT(TRIM(Paramètres!M44),1)="F",INDEX($F$329:$F$381,MATCH(Paramètres!L44,Paramètres!$G$5:$G$57,0)),INDEX($E$329:$E$381,MATCH(Paramètres!L44,Paramètres!$G$5:$G$57,0)))+IF(RIGHT(TRIM(Paramètres!M44),3)="Fin",1-$H368,IF(LEFT(TRIM(Paramètres!M44),1)="F",1,0)))),IF(Paramètres!N44="",0,IF(Paramètres!O44="",NA(),IF(LEFT(TRIM(Paramètres!O44),1)="F",INDEX($F$329:$F$381,MATCH(Paramètres!N44,Paramètres!$G$5:$G$57,0)),INDEX($E$329:$E$381,MATCH(Paramètres!N44,Paramètres!$G$5:$G$57,0)))+IF(RIGHT(TRIM(Paramètres!O44),3)="Fin",1-$H368,IF(LEFT(TRIM(Paramètres!O44),1)="F",1,0)))))))</f>
        <v/>
      </c>
      <c r="F368" s="19">
        <f>IF($A368="","",E368+$H368-1)</f>
        <v/>
      </c>
      <c r="G368" s="18" t="n"/>
      <c r="H368" s="18">
        <f>IF($A368="","",IF(I368&lt;&gt;"",I368,Paramètres!B44))</f>
        <v/>
      </c>
      <c r="I368" s="18" t="n"/>
    </row>
    <row r="369">
      <c r="A369" s="18">
        <f>IF(ISNUMBER(Dossiers!$D$10),Dossiers!$A$10&amp;" · "&amp;Dossiers!$B$10,"")</f>
        <v/>
      </c>
      <c r="B369" s="18">
        <f>IF($A369="","",Paramètres!G45)</f>
        <v/>
      </c>
      <c r="C369" s="20">
        <f>IF($A369="","",IF(Dossiers!$G$10="","",Dossiers!$G$10))</f>
        <v/>
      </c>
      <c r="D369" s="18">
        <f>IF($A369="","",IF(Paramètres!I45="","",Paramètres!I45))</f>
        <v/>
      </c>
      <c r="E369" s="19">
        <f>IF($A369="","",IF(Paramètres!J45&amp;Paramètres!L45&amp;Paramètres!N45="",Dossiers!$D$10,MAX(IF(Paramètres!J45="",0,IF(Paramètres!K45="",NA(),IF(LEFT(TRIM(Paramètres!K45),1)="F",INDEX($F$329:$F$381,MATCH(Paramètres!J45,Paramètres!$G$5:$G$57,0)),INDEX($E$329:$E$381,MATCH(Paramètres!J45,Paramètres!$G$5:$G$57,0)))+IF(RIGHT(TRIM(Paramètres!K45),3)="Fin",1-$H369,IF(LEFT(TRIM(Paramètres!K45),1)="F",1,0)))),IF(Paramètres!L45="",0,IF(Paramètres!M45="",NA(),IF(LEFT(TRIM(Paramètres!M45),1)="F",INDEX($F$329:$F$381,MATCH(Paramètres!L45,Paramètres!$G$5:$G$57,0)),INDEX($E$329:$E$381,MATCH(Paramètres!L45,Paramètres!$G$5:$G$57,0)))+IF(RIGHT(TRIM(Paramètres!M45),3)="Fin",1-$H369,IF(LEFT(TRIM(Paramètres!M45),1)="F",1,0)))),IF(Paramètres!N45="",0,IF(Paramètres!O45="",NA(),IF(LEFT(TRIM(Paramètres!O45),1)="F",INDEX($F$329:$F$381,MATCH(Paramètres!N45,Paramètres!$G$5:$G$57,0)),INDEX($E$329:$E$381,MATCH(Paramètres!N45,Paramètres!$G$5:$G$57,0)))+IF(RIGHT(TRIM(Paramètres!O45),3)="Fin",1-$H369,IF(LEFT(TRIM(Paramètres!O45),1)="F",1,0)))))))</f>
        <v/>
      </c>
      <c r="F369" s="19">
        <f>IF($A369="","",E369+$H369-1)</f>
        <v/>
      </c>
      <c r="G369" s="18" t="n"/>
      <c r="H369" s="18">
        <f>IF($A369="","",IF(I369&lt;&gt;"",I369,Paramètres!B45))</f>
        <v/>
      </c>
      <c r="I369" s="18" t="n"/>
    </row>
    <row r="370">
      <c r="A370" s="18">
        <f>IF(ISNUMBER(Dossiers!$D$10),Dossiers!$A$10&amp;" · "&amp;Dossiers!$B$10,"")</f>
        <v/>
      </c>
      <c r="B370" s="18">
        <f>IF($A370="","",Paramètres!G46)</f>
        <v/>
      </c>
      <c r="C370" s="18">
        <f>IF($A370="","",IF(Paramètres!H46="","",Paramètres!H46))</f>
        <v/>
      </c>
      <c r="D370" s="18">
        <f>IF($A370="","",IF(Paramètres!I46="","",Paramètres!I46))</f>
        <v/>
      </c>
      <c r="E370" s="19">
        <f>IF($A370="","",IF(Paramètres!J46&amp;Paramètres!L46&amp;Paramètres!N46="",Dossiers!$D$10,MAX(IF(Paramètres!J46="",0,IF(Paramètres!K46="",NA(),IF(LEFT(TRIM(Paramètres!K46),1)="F",INDEX($F$329:$F$381,MATCH(Paramètres!J46,Paramètres!$G$5:$G$57,0)),INDEX($E$329:$E$381,MATCH(Paramètres!J46,Paramètres!$G$5:$G$57,0)))+IF(RIGHT(TRIM(Paramètres!K46),3)="Fin",1-$H370,IF(LEFT(TRIM(Paramètres!K46),1)="F",1,0)))),IF(Paramètres!L46="",0,IF(Paramètres!M46="",NA(),IF(LEFT(TRIM(Paramètres!M46),1)="F",INDEX($F$329:$F$381,MATCH(Paramètres!L46,Paramètres!$G$5:$G$57,0)),INDEX($E$329:$E$381,MATCH(Paramètres!L46,Paramètres!$G$5:$G$57,0)))+IF(RIGHT(TRIM(Paramètres!M46),3)="Fin",1-$H370,IF(LEFT(TRIM(Paramètres!M46),1)="F",1,0)))),IF(Paramètres!N46="",0,IF(Paramètres!O46="",NA(),IF(LEFT(TRIM(Paramètres!O46),1)="F",INDEX($F$329:$F$381,MATCH(Paramètres!N46,Paramètres!$G$5:$G$57,0)),INDEX($E$329:$E$381,MATCH(Paramètres!N46,Paramètres!$G$5:$G$57,0)))+IF(RIGHT(TRIM(Paramètres!O46),3)="Fin",1-$H370,IF(LEFT(TRIM(Paramètres!O46),1)="F",1,0)))))))</f>
        <v/>
      </c>
      <c r="F370" s="19">
        <f>IF($A370="","",E370+$H370-1)</f>
        <v/>
      </c>
      <c r="G370" s="18" t="n"/>
      <c r="H370" s="18">
        <f>IF($A370="","",IF(I370&lt;&gt;"",I370,Paramètres!B46))</f>
        <v/>
      </c>
      <c r="I370" s="18" t="n"/>
    </row>
    <row r="371">
      <c r="A371" s="18">
        <f>IF(ISNUMBER(Dossiers!$D$10),Dossiers!$A$10&amp;" · "&amp;Dossiers!$B$10,"")</f>
        <v/>
      </c>
      <c r="B371" s="18">
        <f>IF($A371="","",Paramètres!G47)</f>
        <v/>
      </c>
      <c r="C371" s="18">
        <f>IF($A371="","",IF(Paramètres!H47="","",Paramètres!H47))</f>
        <v/>
      </c>
      <c r="D371" s="18">
        <f>IF($A371="","",IF(Paramètres!I47="","",Paramètres!I47))</f>
        <v/>
      </c>
      <c r="E371" s="19">
        <f>IF($A371="","",IF(Paramètres!J47&amp;Paramètres!L47&amp;Paramètres!N47="",Dossiers!$D$10,MAX(IF(Paramètres!J47="",0,IF(Paramètres!K47="",NA(),IF(LEFT(TRIM(Paramètres!K47),1)="F",INDEX($F$329:$F$381,MATCH(Paramètres!J47,Paramètres!$G$5:$G$57,0)),INDEX($E$329:$E$381,MATCH(Paramètres!J47,Paramètres!$G$5:$G$57,0)))+IF(RIGHT(TRIM(Paramètres!K47),3)="Fin",1-$H371,IF(LEFT(TRIM(Paramètres!K47),1)="F",1,0)))),IF(Paramètres!L47="",0,IF(Paramètres!M47="",NA(),IF(LEFT(TRIM(Paramètres!M47),1)="F",INDEX($F$329:$F$381,MATCH(Paramètres!L47,Paramètres!$G$5:$G$57,0)),INDEX($E$329:$E$381,MATCH(Paramètres!L47,Paramètres!$G$5:$G$57,0)))+IF(RIGHT(TRIM(Paramètres!M47),3)="Fin",1-$H371,IF(LEFT(TRIM(Paramètres!M47),1)="F",1,0)))),IF(Paramètres!N47="",0,IF(Paramètres!O47="",NA(),IF(LEFT(TRIM(Paramètres!O47),1)="F",INDEX($F$329:$F$381,MATCH(Paramètres!N47,Paramètres!$G$5:$G$57,0)),INDEX($E$329:$E$381,MATCH(Paramètres!N47,Paramètres!$G$5:$G$57,0)))+IF(RIGHT(TRIM(Paramètres!O47),3)="Fin",1-$H371,IF(LEFT(TRIM(Paramètres!O47),1)="F",1,0)))))))</f>
        <v/>
      </c>
      <c r="F371" s="19">
        <f>IF($A371="","",E371+$H371-1)</f>
        <v/>
      </c>
      <c r="G371" s="18" t="n"/>
      <c r="H371" s="18">
        <f>IF($A371="","",IF(I371&lt;&gt;"",I371,Paramètres!B47))</f>
        <v/>
      </c>
      <c r="I371" s="18" t="n"/>
    </row>
    <row r="372">
      <c r="A372" s="18">
        <f>IF(ISNUMBER(Dossiers!$D$10),Dossiers!$A$10&amp;" · "&amp;Dossiers!$B$10,"")</f>
        <v/>
      </c>
      <c r="B372" s="18">
        <f>IF($A372="","",Paramètres!G48)</f>
        <v/>
      </c>
      <c r="C372" s="18">
        <f>IF($A372="","",IF(Paramètres!H48="","",Paramètres!H48))</f>
        <v/>
      </c>
      <c r="D372" s="18">
        <f>IF($A372="","",IF(Paramètres!I48="","",Paramètres!I48))</f>
        <v/>
      </c>
      <c r="E372" s="19">
        <f>IF($A372="","",IF(Paramètres!J48&amp;Paramètres!L48&amp;Paramètres!N48="",Dossiers!$D$10,MAX(IF(Paramètres!J48="",0,IF(Paramètres!K48="",NA(),IF(LEFT(TRIM(Paramètres!K48),1)="F",INDEX($F$329:$F$381,MATCH(Paramètres!J48,Paramètres!$G$5:$G$57,0)),INDEX($E$329:$E$381,MATCH(Paramètres!J48,Paramètres!$G$5:$G$57,0)))+IF(RIGHT(TRIM(Paramètres!K48),3)="Fin",1-$H372,IF(LEFT(TRIM(Paramètres!K48),1)="F",1,0)))),IF(Paramètres!L48="",0,IF(Paramètres!M48="",NA(),IF(LEFT(TRIM(Paramètres!M48),1)="F",INDEX($F$329:$F$381,MATCH(Paramètres!L48,Paramètres!$G$5:$G$57,0)),INDEX($E$329:$E$381,MATCH(Paramètres!L48,Paramètres!$G$5:$G$57,0)))+IF(RIGHT(TRIM(Paramètres!M48),3)="Fin",1-$H372,IF(LEFT(TRIM(Paramètres!M48),1)="F",1,0)))),IF(Paramètres!N48="",0,IF(Paramètres!O48="",NA(),IF(LEFT(TRIM(Paramètres!O48),1)="F",INDEX($F$329:$F$381,MATCH(Paramètres!N48,Paramètres!$G$5:$G$57,0)),INDEX($E$329:$E$381,MATCH(Paramètres!N48,Paramètres!$G$5:$G$57,0)))+IF(RIGHT(TRIM(Paramètres!O48),3)="Fin",1-$H372,IF(LEFT(TRIM(Paramètres!O48),1)="F",1,0)))))))</f>
        <v/>
      </c>
      <c r="F372" s="19">
        <f>IF($A372="","",E372+$H372-1)</f>
        <v/>
      </c>
      <c r="G372" s="18" t="n"/>
      <c r="H372" s="18">
        <f>IF($A372="","",IF(I372&lt;&gt;"",I372,Paramètres!B48))</f>
        <v/>
      </c>
      <c r="I372" s="18" t="n"/>
    </row>
    <row r="373">
      <c r="A373" s="18">
        <f>IF(ISNUMBER(Dossiers!$D$10),Dossiers!$A$10&amp;" · "&amp;Dossiers!$B$10,"")</f>
        <v/>
      </c>
      <c r="B373" s="18">
        <f>IF($A373="","",Paramètres!G49)</f>
        <v/>
      </c>
      <c r="C373" s="18">
        <f>IF($A373="","",IF(Paramètres!H49="","",Paramètres!H49))</f>
        <v/>
      </c>
      <c r="D373" s="18">
        <f>IF($A373="","",IF(Paramètres!I49="","",Paramètres!I49))</f>
        <v/>
      </c>
      <c r="E373" s="19">
        <f>IF($A373="","",IF(Paramètres!J49&amp;Paramètres!L49&amp;Paramètres!N49="",Dossiers!$D$10,MAX(IF(Paramètres!J49="",0,IF(Paramètres!K49="",NA(),IF(LEFT(TRIM(Paramètres!K49),1)="F",INDEX($F$329:$F$381,MATCH(Paramètres!J49,Paramètres!$G$5:$G$57,0)),INDEX($E$329:$E$381,MATCH(Paramètres!J49,Paramètres!$G$5:$G$57,0)))+IF(RIGHT(TRIM(Paramètres!K49),3)="Fin",1-$H373,IF(LEFT(TRIM(Paramètres!K49),1)="F",1,0)))),IF(Paramètres!L49="",0,IF(Paramètres!M49="",NA(),IF(LEFT(TRIM(Paramètres!M49),1)="F",INDEX($F$329:$F$381,MATCH(Paramètres!L49,Paramètres!$G$5:$G$57,0)),INDEX($E$329:$E$381,MATCH(Paramètres!L49,Paramètres!$G$5:$G$57,0)))+IF(RIGHT(TRIM(Paramètres!M49),3)="Fin",1-$H373,IF(LEFT(TRIM(Paramètres!M49),1)="F",1,0)))),IF(Paramètres!N49="",0,IF(Paramètres!O49="",NA(),IF(LEFT(TRIM(Paramètres!O49),1)="F",INDEX($F$329:$F$381,MATCH(Paramètres!N49,Paramètres!$G$5:$G$57,0)),INDEX($E$329:$E$381,MATCH(Paramètres!N49,Paramètres!$G$5:$G$57,0)))+IF(RIGHT(TRIM(Paramètres!O49),3)="Fin",1-$H373,IF(LEFT(TRIM(Paramètres!O49),1)="F",1,0)))))))</f>
        <v/>
      </c>
      <c r="F373" s="19">
        <f>IF($A373="","",E373+$H373-1)</f>
        <v/>
      </c>
      <c r="G373" s="18" t="n"/>
      <c r="H373" s="18">
        <f>IF($A373="","",IF(I373&lt;&gt;"",I373,Paramètres!B49))</f>
        <v/>
      </c>
      <c r="I373" s="18" t="n"/>
    </row>
    <row r="374">
      <c r="A374" s="18">
        <f>IF(ISNUMBER(Dossiers!$D$10),Dossiers!$A$10&amp;" · "&amp;Dossiers!$B$10,"")</f>
        <v/>
      </c>
      <c r="B374" s="18">
        <f>IF($A374="","",Paramètres!G50)</f>
        <v/>
      </c>
      <c r="C374" s="18">
        <f>IF($A374="","",IF(Paramètres!H50="","",Paramètres!H50))</f>
        <v/>
      </c>
      <c r="D374" s="18">
        <f>IF($A374="","",IF(Paramètres!I50="","",Paramètres!I50))</f>
        <v/>
      </c>
      <c r="E374" s="19">
        <f>IF($A374="","",IF(Paramètres!J50&amp;Paramètres!L50&amp;Paramètres!N50="",Dossiers!$D$10,MAX(IF(Paramètres!J50="",0,IF(Paramètres!K50="",NA(),IF(LEFT(TRIM(Paramètres!K50),1)="F",INDEX($F$329:$F$381,MATCH(Paramètres!J50,Paramètres!$G$5:$G$57,0)),INDEX($E$329:$E$381,MATCH(Paramètres!J50,Paramètres!$G$5:$G$57,0)))+IF(RIGHT(TRIM(Paramètres!K50),3)="Fin",1-$H374,IF(LEFT(TRIM(Paramètres!K50),1)="F",1,0)))),IF(Paramètres!L50="",0,IF(Paramètres!M50="",NA(),IF(LEFT(TRIM(Paramètres!M50),1)="F",INDEX($F$329:$F$381,MATCH(Paramètres!L50,Paramètres!$G$5:$G$57,0)),INDEX($E$329:$E$381,MATCH(Paramètres!L50,Paramètres!$G$5:$G$57,0)))+IF(RIGHT(TRIM(Paramètres!M50),3)="Fin",1-$H374,IF(LEFT(TRIM(Paramètres!M50),1)="F",1,0)))),IF(Paramètres!N50="",0,IF(Paramètres!O50="",NA(),IF(LEFT(TRIM(Paramètres!O50),1)="F",INDEX($F$329:$F$381,MATCH(Paramètres!N50,Paramètres!$G$5:$G$57,0)),INDEX($E$329:$E$381,MATCH(Paramètres!N50,Paramètres!$G$5:$G$57,0)))+IF(RIGHT(TRIM(Paramètres!O50),3)="Fin",1-$H374,IF(LEFT(TRIM(Paramètres!O50),1)="F",1,0)))))))</f>
        <v/>
      </c>
      <c r="F374" s="19">
        <f>IF($A374="","",E374+$H374-1)</f>
        <v/>
      </c>
      <c r="G374" s="18" t="n"/>
      <c r="H374" s="18">
        <f>IF($A374="","",IF(I374&lt;&gt;"",I374,Paramètres!B50))</f>
        <v/>
      </c>
      <c r="I374" s="18" t="n"/>
    </row>
    <row r="375">
      <c r="A375" s="18">
        <f>IF(ISNUMBER(Dossiers!$D$10),Dossiers!$A$10&amp;" · "&amp;Dossiers!$B$10,"")</f>
        <v/>
      </c>
      <c r="B375" s="18">
        <f>IF($A375="","",Paramètres!G51)</f>
        <v/>
      </c>
      <c r="C375" s="18">
        <f>IF($A375="","",IF(Paramètres!H51="","",Paramètres!H51))</f>
        <v/>
      </c>
      <c r="D375" s="18">
        <f>IF($A375="","",IF(Paramètres!I51="","",Paramètres!I51))</f>
        <v/>
      </c>
      <c r="E375" s="19">
        <f>IF($A375="","",IF(Paramètres!J51&amp;Paramètres!L51&amp;Paramètres!N51="",Dossiers!$D$10,MAX(IF(Paramètres!J51="",0,IF(Paramètres!K51="",NA(),IF(LEFT(TRIM(Paramètres!K51),1)="F",INDEX($F$329:$F$381,MATCH(Paramètres!J51,Paramètres!$G$5:$G$57,0)),INDEX($E$329:$E$381,MATCH(Paramètres!J51,Paramètres!$G$5:$G$57,0)))+IF(RIGHT(TRIM(Paramètres!K51),3)="Fin",1-$H375,IF(LEFT(TRIM(Paramètres!K51),1)="F",1,0)))),IF(Paramètres!L51="",0,IF(Paramètres!M51="",NA(),IF(LEFT(TRIM(Paramètres!M51),1)="F",INDEX($F$329:$F$381,MATCH(Paramètres!L51,Paramètres!$G$5:$G$57,0)),INDEX($E$329:$E$381,MATCH(Paramètres!L51,Paramètres!$G$5:$G$57,0)))+IF(RIGHT(TRIM(Paramètres!M51),3)="Fin",1-$H375,IF(LEFT(TRIM(Paramètres!M51),1)="F",1,0)))),IF(Paramètres!N51="",0,IF(Paramètres!O51="",NA(),IF(LEFT(TRIM(Paramètres!O51),1)="F",INDEX($F$329:$F$381,MATCH(Paramètres!N51,Paramètres!$G$5:$G$57,0)),INDEX($E$329:$E$381,MATCH(Paramètres!N51,Paramètres!$G$5:$G$57,0)))+IF(RIGHT(TRIM(Paramètres!O51),3)="Fin",1-$H375,IF(LEFT(TRIM(Paramètres!O51),1)="F",1,0)))))))</f>
        <v/>
      </c>
      <c r="F375" s="19">
        <f>IF($A375="","",E375+$H375-1)</f>
        <v/>
      </c>
      <c r="G375" s="18" t="n"/>
      <c r="H375" s="18">
        <f>IF($A375="","",IF(I375&lt;&gt;"",I375,Paramètres!B51))</f>
        <v/>
      </c>
      <c r="I375" s="18" t="n"/>
    </row>
    <row r="376">
      <c r="A376" s="18">
        <f>IF(ISNUMBER(Dossiers!$D$10),Dossiers!$A$10&amp;" · "&amp;Dossiers!$B$10,"")</f>
        <v/>
      </c>
      <c r="B376" s="18">
        <f>IF($A376="","",Paramètres!G52)</f>
        <v/>
      </c>
      <c r="C376" s="18">
        <f>IF($A376="","",IF(Paramètres!H52="","",Paramètres!H52))</f>
        <v/>
      </c>
      <c r="D376" s="18">
        <f>IF($A376="","",IF(Paramètres!I52="","",Paramètres!I52))</f>
        <v/>
      </c>
      <c r="E376" s="19">
        <f>IF($A376="","",IF(Paramètres!J52&amp;Paramètres!L52&amp;Paramètres!N52="",Dossiers!$D$10,MAX(IF(Paramètres!J52="",0,IF(Paramètres!K52="",NA(),IF(LEFT(TRIM(Paramètres!K52),1)="F",INDEX($F$329:$F$381,MATCH(Paramètres!J52,Paramètres!$G$5:$G$57,0)),INDEX($E$329:$E$381,MATCH(Paramètres!J52,Paramètres!$G$5:$G$57,0)))+IF(RIGHT(TRIM(Paramètres!K52),3)="Fin",1-$H376,IF(LEFT(TRIM(Paramètres!K52),1)="F",1,0)))),IF(Paramètres!L52="",0,IF(Paramètres!M52="",NA(),IF(LEFT(TRIM(Paramètres!M52),1)="F",INDEX($F$329:$F$381,MATCH(Paramètres!L52,Paramètres!$G$5:$G$57,0)),INDEX($E$329:$E$381,MATCH(Paramètres!L52,Paramètres!$G$5:$G$57,0)))+IF(RIGHT(TRIM(Paramètres!M52),3)="Fin",1-$H376,IF(LEFT(TRIM(Paramètres!M52),1)="F",1,0)))),IF(Paramètres!N52="",0,IF(Paramètres!O52="",NA(),IF(LEFT(TRIM(Paramètres!O52),1)="F",INDEX($F$329:$F$381,MATCH(Paramètres!N52,Paramètres!$G$5:$G$57,0)),INDEX($E$329:$E$381,MATCH(Paramètres!N52,Paramètres!$G$5:$G$57,0)))+IF(RIGHT(TRIM(Paramètres!O52),3)="Fin",1-$H376,IF(LEFT(TRIM(Paramètres!O52),1)="F",1,0)))))))</f>
        <v/>
      </c>
      <c r="F376" s="19">
        <f>IF($A376="","",E376+$H376-1)</f>
        <v/>
      </c>
      <c r="G376" s="18" t="n"/>
      <c r="H376" s="18">
        <f>IF($A376="","",IF(I376&lt;&gt;"",I376,Paramètres!B52))</f>
        <v/>
      </c>
      <c r="I376" s="18" t="n"/>
    </row>
    <row r="377">
      <c r="A377" s="18">
        <f>IF(ISNUMBER(Dossiers!$D$10),Dossiers!$A$10&amp;" · "&amp;Dossiers!$B$10,"")</f>
        <v/>
      </c>
      <c r="B377" s="18">
        <f>IF($A377="","",Paramètres!G53)</f>
        <v/>
      </c>
      <c r="C377" s="18">
        <f>IF($A377="","",IF(Paramètres!H53="","",Paramètres!H53))</f>
        <v/>
      </c>
      <c r="D377" s="18">
        <f>IF($A377="","",IF(Paramètres!I53="","",Paramètres!I53))</f>
        <v/>
      </c>
      <c r="E377" s="19">
        <f>IF($A377="","",IF(Paramètres!J53&amp;Paramètres!L53&amp;Paramètres!N53="",Dossiers!$D$10,MAX(IF(Paramètres!J53="",0,IF(Paramètres!K53="",NA(),IF(LEFT(TRIM(Paramètres!K53),1)="F",INDEX($F$329:$F$381,MATCH(Paramètres!J53,Paramètres!$G$5:$G$57,0)),INDEX($E$329:$E$381,MATCH(Paramètres!J53,Paramètres!$G$5:$G$57,0)))+IF(RIGHT(TRIM(Paramètres!K53),3)="Fin",1-$H377,IF(LEFT(TRIM(Paramètres!K53),1)="F",1,0)))),IF(Paramètres!L53="",0,IF(Paramètres!M53="",NA(),IF(LEFT(TRIM(Paramètres!M53),1)="F",INDEX($F$329:$F$381,MATCH(Paramètres!L53,Paramètres!$G$5:$G$57,0)),INDEX($E$329:$E$381,MATCH(Paramètres!L53,Paramètres!$G$5:$G$57,0)))+IF(RIGHT(TRIM(Paramètres!M53),3)="Fin",1-$H377,IF(LEFT(TRIM(Paramètres!M53),1)="F",1,0)))),IF(Paramètres!N53="",0,IF(Paramètres!O53="",NA(),IF(LEFT(TRIM(Paramètres!O53),1)="F",INDEX($F$329:$F$381,MATCH(Paramètres!N53,Paramètres!$G$5:$G$57,0)),INDEX($E$329:$E$381,MATCH(Paramètres!N53,Paramètres!$G$5:$G$57,0)))+IF(RIGHT(TRIM(Paramètres!O53),3)="Fin",1-$H377,IF(LEFT(TRIM(Paramètres!O53),1)="F",1,0)))))))</f>
        <v/>
      </c>
      <c r="F377" s="19">
        <f>IF($A377="","",E377+$H377-1)</f>
        <v/>
      </c>
      <c r="G377" s="18" t="n"/>
      <c r="H377" s="18">
        <f>IF($A377="","",IF(I377&lt;&gt;"",I377,Paramètres!B53))</f>
        <v/>
      </c>
      <c r="I377" s="18" t="n"/>
    </row>
    <row r="378">
      <c r="A378" s="18">
        <f>IF(ISNUMBER(Dossiers!$D$10),Dossiers!$A$10&amp;" · "&amp;Dossiers!$B$10,"")</f>
        <v/>
      </c>
      <c r="B378" s="18">
        <f>IF($A378="","",Paramètres!G54)</f>
        <v/>
      </c>
      <c r="C378" s="18">
        <f>IF($A378="","",IF(Paramètres!H54="","",Paramètres!H54))</f>
        <v/>
      </c>
      <c r="D378" s="18">
        <f>IF($A378="","",IF(Paramètres!I54="","",Paramètres!I54))</f>
        <v/>
      </c>
      <c r="E378" s="19">
        <f>IF($A378="","",IF(Paramètres!J54&amp;Paramètres!L54&amp;Paramètres!N54="",Dossiers!$D$10,MAX(IF(Paramètres!J54="",0,IF(Paramètres!K54="",NA(),IF(LEFT(TRIM(Paramètres!K54),1)="F",INDEX($F$329:$F$381,MATCH(Paramètres!J54,Paramètres!$G$5:$G$57,0)),INDEX($E$329:$E$381,MATCH(Paramètres!J54,Paramètres!$G$5:$G$57,0)))+IF(RIGHT(TRIM(Paramètres!K54),3)="Fin",1-$H378,IF(LEFT(TRIM(Paramètres!K54),1)="F",1,0)))),IF(Paramètres!L54="",0,IF(Paramètres!M54="",NA(),IF(LEFT(TRIM(Paramètres!M54),1)="F",INDEX($F$329:$F$381,MATCH(Paramètres!L54,Paramètres!$G$5:$G$57,0)),INDEX($E$329:$E$381,MATCH(Paramètres!L54,Paramètres!$G$5:$G$57,0)))+IF(RIGHT(TRIM(Paramètres!M54),3)="Fin",1-$H378,IF(LEFT(TRIM(Paramètres!M54),1)="F",1,0)))),IF(Paramètres!N54="",0,IF(Paramètres!O54="",NA(),IF(LEFT(TRIM(Paramètres!O54),1)="F",INDEX($F$329:$F$381,MATCH(Paramètres!N54,Paramètres!$G$5:$G$57,0)),INDEX($E$329:$E$381,MATCH(Paramètres!N54,Paramètres!$G$5:$G$57,0)))+IF(RIGHT(TRIM(Paramètres!O54),3)="Fin",1-$H378,IF(LEFT(TRIM(Paramètres!O54),1)="F",1,0)))))))</f>
        <v/>
      </c>
      <c r="F378" s="19">
        <f>IF($A378="","",E378+$H378-1)</f>
        <v/>
      </c>
      <c r="G378" s="18" t="n"/>
      <c r="H378" s="18">
        <f>IF($A378="","",IF(I378&lt;&gt;"",I378,Paramètres!B54))</f>
        <v/>
      </c>
      <c r="I378" s="18" t="n"/>
    </row>
    <row r="379">
      <c r="A379" s="18">
        <f>IF(ISNUMBER(Dossiers!$D$10),Dossiers!$A$10&amp;" · "&amp;Dossiers!$B$10,"")</f>
        <v/>
      </c>
      <c r="B379" s="18">
        <f>IF($A379="","",Paramètres!G55)</f>
        <v/>
      </c>
      <c r="C379" s="18">
        <f>IF($A379="","",IF(Paramètres!H55="","",Paramètres!H55))</f>
        <v/>
      </c>
      <c r="D379" s="18">
        <f>IF($A379="","",IF(Paramètres!I55="","",Paramètres!I55))</f>
        <v/>
      </c>
      <c r="E379" s="19">
        <f>IF($A379="","",IF(Paramètres!J55&amp;Paramètres!L55&amp;Paramètres!N55="",Dossiers!$D$10,MAX(IF(Paramètres!J55="",0,IF(Paramètres!K55="",NA(),IF(LEFT(TRIM(Paramètres!K55),1)="F",INDEX($F$329:$F$381,MATCH(Paramètres!J55,Paramètres!$G$5:$G$57,0)),INDEX($E$329:$E$381,MATCH(Paramètres!J55,Paramètres!$G$5:$G$57,0)))+IF(RIGHT(TRIM(Paramètres!K55),3)="Fin",1-$H379,IF(LEFT(TRIM(Paramètres!K55),1)="F",1,0)))),IF(Paramètres!L55="",0,IF(Paramètres!M55="",NA(),IF(LEFT(TRIM(Paramètres!M55),1)="F",INDEX($F$329:$F$381,MATCH(Paramètres!L55,Paramètres!$G$5:$G$57,0)),INDEX($E$329:$E$381,MATCH(Paramètres!L55,Paramètres!$G$5:$G$57,0)))+IF(RIGHT(TRIM(Paramètres!M55),3)="Fin",1-$H379,IF(LEFT(TRIM(Paramètres!M55),1)="F",1,0)))),IF(Paramètres!N55="",0,IF(Paramètres!O55="",NA(),IF(LEFT(TRIM(Paramètres!O55),1)="F",INDEX($F$329:$F$381,MATCH(Paramètres!N55,Paramètres!$G$5:$G$57,0)),INDEX($E$329:$E$381,MATCH(Paramètres!N55,Paramètres!$G$5:$G$57,0)))+IF(RIGHT(TRIM(Paramètres!O55),3)="Fin",1-$H379,IF(LEFT(TRIM(Paramètres!O55),1)="F",1,0)))))))</f>
        <v/>
      </c>
      <c r="F379" s="19">
        <f>IF($A379="","",E379+$H379-1)</f>
        <v/>
      </c>
      <c r="G379" s="18" t="n"/>
      <c r="H379" s="18">
        <f>IF($A379="","",IF(I379&lt;&gt;"",I379,Paramètres!B55))</f>
        <v/>
      </c>
      <c r="I379" s="18" t="n"/>
    </row>
    <row r="380">
      <c r="A380" s="18">
        <f>IF(ISNUMBER(Dossiers!$D$10),Dossiers!$A$10&amp;" · "&amp;Dossiers!$B$10,"")</f>
        <v/>
      </c>
      <c r="B380" s="18">
        <f>IF($A380="","",Paramètres!G56)</f>
        <v/>
      </c>
      <c r="C380" s="18">
        <f>IF($A380="","",IF(Paramètres!H56="","",Paramètres!H56))</f>
        <v/>
      </c>
      <c r="D380" s="18">
        <f>IF($A380="","",IF(Paramètres!I56="","",Paramètres!I56))</f>
        <v/>
      </c>
      <c r="E380" s="19">
        <f>IF($A380="","",MIN(E381:E381))</f>
        <v/>
      </c>
      <c r="F380" s="19">
        <f>IF($A380="","",MAX(F381:F381))</f>
        <v/>
      </c>
      <c r="G380" s="18" t="n"/>
      <c r="H380" s="18">
        <f>IF($A380="","",F380-E380+1)</f>
        <v/>
      </c>
      <c r="I380" s="18" t="n"/>
    </row>
    <row r="381">
      <c r="A381" s="18">
        <f>IF(ISNUMBER(Dossiers!$D$10),Dossiers!$A$10&amp;" · "&amp;Dossiers!$B$10,"")</f>
        <v/>
      </c>
      <c r="B381" s="18">
        <f>IF($A381="","",Paramètres!G57)</f>
        <v/>
      </c>
      <c r="C381" s="18">
        <f>IF($A381="","",IF(Paramètres!H57="","",Paramètres!H57))</f>
        <v/>
      </c>
      <c r="D381" s="18">
        <f>IF($A381="","",IF(Paramètres!I57="","",Paramètres!I57))</f>
        <v/>
      </c>
      <c r="E381" s="19">
        <f>IF($A381="","",IF(Paramètres!J57&amp;Paramètres!L57&amp;Paramètres!N57="",Dossiers!$D$10,MAX(IF(Paramètres!J57="",0,IF(Paramètres!K57="",NA(),IF(LEFT(TRIM(Paramètres!K57),1)="F",INDEX($F$329:$F$381,MATCH(Paramètres!J57,Paramètres!$G$5:$G$57,0)),INDEX($E$329:$E$381,MATCH(Paramètres!J57,Paramètres!$G$5:$G$57,0)))+IF(RIGHT(TRIM(Paramètres!K57),3)="Fin",1-$H381,IF(LEFT(TRIM(Paramètres!K57),1)="F",1,0)))),IF(Paramètres!L57="",0,IF(Paramètres!M57="",NA(),IF(LEFT(TRIM(Paramètres!M57),1)="F",INDEX($F$329:$F$381,MATCH(Paramètres!L57,Paramètres!$G$5:$G$57,0)),INDEX($E$329:$E$381,MATCH(Paramètres!L57,Paramètres!$G$5:$G$57,0)))+IF(RIGHT(TRIM(Paramètres!M57),3)="Fin",1-$H381,IF(LEFT(TRIM(Paramètres!M57),1)="F",1,0)))),IF(Paramètres!N57="",0,IF(Paramètres!O57="",NA(),IF(LEFT(TRIM(Paramètres!O57),1)="F",INDEX($F$329:$F$381,MATCH(Paramètres!N57,Paramètres!$G$5:$G$57,0)),INDEX($E$329:$E$381,MATCH(Paramètres!N57,Paramètres!$G$5:$G$57,0)))+IF(RIGHT(TRIM(Paramètres!O57),3)="Fin",1-$H381,IF(LEFT(TRIM(Paramètres!O57),1)="F",1,0)))))))</f>
        <v/>
      </c>
      <c r="F381" s="19">
        <f>IF($A381="","",E381+$H381-1)</f>
        <v/>
      </c>
      <c r="G381" s="18" t="n"/>
      <c r="H381" s="18">
        <f>IF($A381="","",IF(I381&lt;&gt;"",I381,Paramètres!B57))</f>
        <v/>
      </c>
      <c r="I381" s="18" t="n"/>
    </row>
    <row r="382">
      <c r="A382" s="16">
        <f>IF(ISNUMBER(Dossiers!$D$11),Dossiers!$E$11,"")</f>
        <v/>
      </c>
      <c r="B382" s="16">
        <f>IF($A382="","","Identifiant")</f>
        <v/>
      </c>
      <c r="C382" s="16">
        <f>IF($A382="","","Macro Etape")</f>
        <v/>
      </c>
      <c r="D382" s="16">
        <f>IF($A382="","","Etape")</f>
        <v/>
      </c>
      <c r="E382" s="17">
        <f>IF($A382="","","Début le")</f>
        <v/>
      </c>
      <c r="F382" s="17">
        <f>IF($A382="","","Fin prévue le")</f>
        <v/>
      </c>
      <c r="G382" s="16">
        <f>IF($A382="","","Statut")</f>
        <v/>
      </c>
      <c r="H382" s="16">
        <f>IF($A382="","","Durée (jours)")</f>
        <v/>
      </c>
      <c r="I382" s="16">
        <f>IF($A382="","","Durée particulière")</f>
        <v/>
      </c>
      <c r="J382" s="10">
        <f>IF($A382="","",HYPERLINK("#'Tableau de bord'!A1","↑ Tableau de bord"))</f>
        <v/>
      </c>
    </row>
    <row r="383">
      <c r="A383" s="18">
        <f>IF(ISNUMBER(Dossiers!$D$11),Dossiers!$A$11&amp;" · "&amp;Dossiers!$B$11,"")</f>
        <v/>
      </c>
      <c r="B383" s="18">
        <f>IF($A383="","",Paramètres!G5)</f>
        <v/>
      </c>
      <c r="C383" s="18">
        <f>IF($A383="","",IF(Paramètres!H5="","",Paramètres!H5))</f>
        <v/>
      </c>
      <c r="D383" s="18">
        <f>IF($A383="","",IF(Paramètres!I5="","",Paramètres!I5))</f>
        <v/>
      </c>
      <c r="E383" s="19">
        <f>IF($A383="","",MIN(E384:E387))</f>
        <v/>
      </c>
      <c r="F383" s="19">
        <f>IF($A383="","",MAX(F384:F387))</f>
        <v/>
      </c>
      <c r="G383" s="18" t="n"/>
      <c r="H383" s="18">
        <f>IF($A383="","",F383-E383+1)</f>
        <v/>
      </c>
      <c r="I383" s="18" t="n"/>
    </row>
    <row r="384">
      <c r="A384" s="18">
        <f>IF(ISNUMBER(Dossiers!$D$11),Dossiers!$A$11&amp;" · "&amp;Dossiers!$B$11,"")</f>
        <v/>
      </c>
      <c r="B384" s="18">
        <f>IF($A384="","",Paramètres!G6)</f>
        <v/>
      </c>
      <c r="C384" s="18">
        <f>IF($A384="","",IF(Paramètres!H6="","",Paramètres!H6))</f>
        <v/>
      </c>
      <c r="D384" s="18">
        <f>IF($A384="","",IF(Paramètres!I6="","",Paramètres!I6))</f>
        <v/>
      </c>
      <c r="E384" s="19">
        <f>IF($A384="","",IF(Paramètres!J6&amp;Paramètres!L6&amp;Paramètres!N6="",Dossiers!$D$11,MAX(IF(Paramètres!J6="",0,IF(Paramètres!K6="",NA(),IF(LEFT(TRIM(Paramètres!K6),1)="F",INDEX($F$383:$F$435,MATCH(Paramètres!J6,Paramètres!$G$5:$G$57,0)),INDEX($E$383:$E$435,MATCH(Paramètres!J6,Paramètres!$G$5:$G$57,0)))+IF(RIGHT(TRIM(Paramètres!K6),3)="Fin",1-$H384,IF(LEFT(TRIM(Paramètres!K6),1)="F",1,0)))),IF(Paramètres!L6="",0,IF(Paramètres!M6="",NA(),IF(LEFT(TRIM(Paramètres!M6),1)="F",INDEX($F$383:$F$435,MATCH(Paramètres!L6,Paramètres!$G$5:$G$57,0)),INDEX($E$383:$E$435,MATCH(Paramètres!L6,Paramètres!$G$5:$G$57,0)))+IF(RIGHT(TRIM(Paramètres!M6),3)="Fin",1-$H384,IF(LEFT(TRIM(Paramètres!M6),1)="F",1,0)))),IF(Paramètres!N6="",0,IF(Paramètres!O6="",NA(),IF(LEFT(TRIM(Paramètres!O6),1)="F",INDEX($F$383:$F$435,MATCH(Paramètres!N6,Paramètres!$G$5:$G$57,0)),INDEX($E$383:$E$435,MATCH(Paramètres!N6,Paramètres!$G$5:$G$57,0)))+IF(RIGHT(TRIM(Paramètres!O6),3)="Fin",1-$H384,IF(LEFT(TRIM(Paramètres!O6),1)="F",1,0)))))))</f>
        <v/>
      </c>
      <c r="F384" s="19">
        <f>IF($A384="","",E384+$H384-1)</f>
        <v/>
      </c>
      <c r="G384" s="18" t="n"/>
      <c r="H384" s="18">
        <f>IF($A384="","",IF(I384&lt;&gt;"",I384,Paramètres!B6))</f>
        <v/>
      </c>
      <c r="I384" s="18" t="n"/>
    </row>
    <row r="385">
      <c r="A385" s="18">
        <f>IF(ISNUMBER(Dossiers!$D$11),Dossiers!$A$11&amp;" · "&amp;Dossiers!$B$11,"")</f>
        <v/>
      </c>
      <c r="B385" s="18">
        <f>IF($A385="","",Paramètres!G7)</f>
        <v/>
      </c>
      <c r="C385" s="18">
        <f>IF($A385="","",IF(Paramètres!H7="","",Paramètres!H7))</f>
        <v/>
      </c>
      <c r="D385" s="18">
        <f>IF($A385="","",IF(Paramètres!I7="","",Paramètres!I7))</f>
        <v/>
      </c>
      <c r="E385" s="19">
        <f>IF($A385="","",IF(Paramètres!J7&amp;Paramètres!L7&amp;Paramètres!N7="",Dossiers!$D$11,MAX(IF(Paramètres!J7="",0,IF(Paramètres!K7="",NA(),IF(LEFT(TRIM(Paramètres!K7),1)="F",INDEX($F$383:$F$435,MATCH(Paramètres!J7,Paramètres!$G$5:$G$57,0)),INDEX($E$383:$E$435,MATCH(Paramètres!J7,Paramètres!$G$5:$G$57,0)))+IF(RIGHT(TRIM(Paramètres!K7),3)="Fin",1-$H385,IF(LEFT(TRIM(Paramètres!K7),1)="F",1,0)))),IF(Paramètres!L7="",0,IF(Paramètres!M7="",NA(),IF(LEFT(TRIM(Paramètres!M7),1)="F",INDEX($F$383:$F$435,MATCH(Paramètres!L7,Paramètres!$G$5:$G$57,0)),INDEX($E$383:$E$435,MATCH(Paramètres!L7,Paramètres!$G$5:$G$57,0)))+IF(RIGHT(TRIM(Paramètres!M7),3)="Fin",1-$H385,IF(LEFT(TRIM(Paramètres!M7),1)="F",1,0)))),IF(Paramètres!N7="",0,IF(Paramètres!O7="",NA(),IF(LEFT(TRIM(Paramètres!O7),1)="F",INDEX($F$383:$F$435,MATCH(Paramètres!N7,Paramètres!$G$5:$G$57,0)),INDEX($E$383:$E$435,MATCH(Paramètres!N7,Paramètres!$G$5:$G$57,0)))+IF(RIGHT(TRIM(Paramètres!O7),3)="Fin",1-$H385,IF(LEFT(TRIM(Paramètres!O7),1)="F",1,0)))))))</f>
        <v/>
      </c>
      <c r="F385" s="19">
        <f>IF($A385="","",E385+$H385-1)</f>
        <v/>
      </c>
      <c r="G385" s="18" t="n"/>
      <c r="H385" s="18">
        <f>IF($A385="","",IF(I385&lt;&gt;"",I385,Paramètres!B7))</f>
        <v/>
      </c>
      <c r="I385" s="18" t="n"/>
    </row>
    <row r="386">
      <c r="A386" s="18">
        <f>IF(ISNUMBER(Dossiers!$D$11),Dossiers!$A$11&amp;" · "&amp;Dossiers!$B$11,"")</f>
        <v/>
      </c>
      <c r="B386" s="18">
        <f>IF($A386="","",Paramètres!G8)</f>
        <v/>
      </c>
      <c r="C386" s="18">
        <f>IF($A386="","",IF(Paramètres!H8="","",Paramètres!H8))</f>
        <v/>
      </c>
      <c r="D386" s="18">
        <f>IF($A386="","",IF(Paramètres!I8="","",Paramètres!I8))</f>
        <v/>
      </c>
      <c r="E386" s="19">
        <f>IF($A386="","",IF(Paramètres!J8&amp;Paramètres!L8&amp;Paramètres!N8="",Dossiers!$D$11,MAX(IF(Paramètres!J8="",0,IF(Paramètres!K8="",NA(),IF(LEFT(TRIM(Paramètres!K8),1)="F",INDEX($F$383:$F$435,MATCH(Paramètres!J8,Paramètres!$G$5:$G$57,0)),INDEX($E$383:$E$435,MATCH(Paramètres!J8,Paramètres!$G$5:$G$57,0)))+IF(RIGHT(TRIM(Paramètres!K8),3)="Fin",1-$H386,IF(LEFT(TRIM(Paramètres!K8),1)="F",1,0)))),IF(Paramètres!L8="",0,IF(Paramètres!M8="",NA(),IF(LEFT(TRIM(Paramètres!M8),1)="F",INDEX($F$383:$F$435,MATCH(Paramètres!L8,Paramètres!$G$5:$G$57,0)),INDEX($E$383:$E$435,MATCH(Paramètres!L8,Paramètres!$G$5:$G$57,0)))+IF(RIGHT(TRIM(Paramètres!M8),3)="Fin",1-$H386,IF(LEFT(TRIM(Paramètres!M8),1)="F",1,0)))),IF(Paramètres!N8="",0,IF(Paramètres!O8="",NA(),IF(LEFT(TRIM(Paramètres!O8),1)="F",INDEX($F$383:$F$435,MATCH(Paramètres!N8,Paramètres!$G$5:$G$57,0)),INDEX($E$383:$E$435,MATCH(Paramètres!N8,Paramètres!$G$5:$G$57,0)))+IF(RIGHT(TRIM(Paramètres!O8),3)="Fin",1-$H386,IF(LEFT(TRIM(Paramètres!O8),1)="F",1,0)))))))</f>
        <v/>
      </c>
      <c r="F386" s="19">
        <f>IF($A386="","",E386+$H386-1)</f>
        <v/>
      </c>
      <c r="G386" s="18" t="n"/>
      <c r="H386" s="18">
        <f>IF($A386="","",IF(I386&lt;&gt;"",I386,Paramètres!B8))</f>
        <v/>
      </c>
      <c r="I386" s="18" t="n"/>
    </row>
    <row r="387">
      <c r="A387" s="18">
        <f>IF(ISNUMBER(Dossiers!$D$11),Dossiers!$A$11&amp;" · "&amp;Dossiers!$B$11,"")</f>
        <v/>
      </c>
      <c r="B387" s="18">
        <f>IF($A387="","",Paramètres!G9)</f>
        <v/>
      </c>
      <c r="C387" s="18">
        <f>IF($A387="","",IF(Paramètres!H9="","",Paramètres!H9))</f>
        <v/>
      </c>
      <c r="D387" s="18">
        <f>IF($A387="","",IF(Paramètres!I9="","",Paramètres!I9))</f>
        <v/>
      </c>
      <c r="E387" s="19">
        <f>IF($A387="","",IF(Paramètres!J9&amp;Paramètres!L9&amp;Paramètres!N9="",Dossiers!$D$11,MAX(IF(Paramètres!J9="",0,IF(Paramètres!K9="",NA(),IF(LEFT(TRIM(Paramètres!K9),1)="F",INDEX($F$383:$F$435,MATCH(Paramètres!J9,Paramètres!$G$5:$G$57,0)),INDEX($E$383:$E$435,MATCH(Paramètres!J9,Paramètres!$G$5:$G$57,0)))+IF(RIGHT(TRIM(Paramètres!K9),3)="Fin",1-$H387,IF(LEFT(TRIM(Paramètres!K9),1)="F",1,0)))),IF(Paramètres!L9="",0,IF(Paramètres!M9="",NA(),IF(LEFT(TRIM(Paramètres!M9),1)="F",INDEX($F$383:$F$435,MATCH(Paramètres!L9,Paramètres!$G$5:$G$57,0)),INDEX($E$383:$E$435,MATCH(Paramètres!L9,Paramètres!$G$5:$G$57,0)))+IF(RIGHT(TRIM(Paramètres!M9),3)="Fin",1-$H387,IF(LEFT(TRIM(Paramètres!M9),1)="F",1,0)))),IF(Paramètres!N9="",0,IF(Paramètres!O9="",NA(),IF(LEFT(TRIM(Paramètres!O9),1)="F",INDEX($F$383:$F$435,MATCH(Paramètres!N9,Paramètres!$G$5:$G$57,0)),INDEX($E$383:$E$435,MATCH(Paramètres!N9,Paramètres!$G$5:$G$57,0)))+IF(RIGHT(TRIM(Paramètres!O9),3)="Fin",1-$H387,IF(LEFT(TRIM(Paramètres!O9),1)="F",1,0)))))))</f>
        <v/>
      </c>
      <c r="F387" s="19">
        <f>IF($A387="","",E387+$H387-1)</f>
        <v/>
      </c>
      <c r="G387" s="18" t="n"/>
      <c r="H387" s="18">
        <f>IF($A387="","",IF(I387&lt;&gt;"",I387,Paramètres!B9))</f>
        <v/>
      </c>
      <c r="I387" s="18" t="n"/>
    </row>
    <row r="388">
      <c r="A388" s="18">
        <f>IF(ISNUMBER(Dossiers!$D$11),Dossiers!$A$11&amp;" · "&amp;Dossiers!$B$11,"")</f>
        <v/>
      </c>
      <c r="B388" s="18">
        <f>IF($A388="","",Paramètres!G10)</f>
        <v/>
      </c>
      <c r="C388" s="18">
        <f>IF($A388="","",IF(Paramètres!H10="","",Paramètres!H10))</f>
        <v/>
      </c>
      <c r="D388" s="18">
        <f>IF($A388="","",IF(Paramètres!I10="","",Paramètres!I10))</f>
        <v/>
      </c>
      <c r="E388" s="19">
        <f>IF($A388="","",MIN(E389:E392))</f>
        <v/>
      </c>
      <c r="F388" s="19">
        <f>IF($A388="","",MAX(F389:F392))</f>
        <v/>
      </c>
      <c r="G388" s="18" t="n"/>
      <c r="H388" s="18">
        <f>IF($A388="","",F388-E388+1)</f>
        <v/>
      </c>
      <c r="I388" s="18" t="n"/>
    </row>
    <row r="389">
      <c r="A389" s="18">
        <f>IF(ISNUMBER(Dossiers!$D$11),Dossiers!$A$11&amp;" · "&amp;Dossiers!$B$11,"")</f>
        <v/>
      </c>
      <c r="B389" s="18">
        <f>IF($A389="","",Paramètres!G11)</f>
        <v/>
      </c>
      <c r="C389" s="18">
        <f>IF($A389="","",IF(Paramètres!H11="","",Paramètres!H11))</f>
        <v/>
      </c>
      <c r="D389" s="18">
        <f>IF($A389="","",IF(Paramètres!I11="","",Paramètres!I11))</f>
        <v/>
      </c>
      <c r="E389" s="19">
        <f>IF($A389="","",IF(Paramètres!J11&amp;Paramètres!L11&amp;Paramètres!N11="",Dossiers!$D$11,MAX(IF(Paramètres!J11="",0,IF(Paramètres!K11="",NA(),IF(LEFT(TRIM(Paramètres!K11),1)="F",INDEX($F$383:$F$435,MATCH(Paramètres!J11,Paramètres!$G$5:$G$57,0)),INDEX($E$383:$E$435,MATCH(Paramètres!J11,Paramètres!$G$5:$G$57,0)))+IF(RIGHT(TRIM(Paramètres!K11),3)="Fin",1-$H389,IF(LEFT(TRIM(Paramètres!K11),1)="F",1,0)))),IF(Paramètres!L11="",0,IF(Paramètres!M11="",NA(),IF(LEFT(TRIM(Paramètres!M11),1)="F",INDEX($F$383:$F$435,MATCH(Paramètres!L11,Paramètres!$G$5:$G$57,0)),INDEX($E$383:$E$435,MATCH(Paramètres!L11,Paramètres!$G$5:$G$57,0)))+IF(RIGHT(TRIM(Paramètres!M11),3)="Fin",1-$H389,IF(LEFT(TRIM(Paramètres!M11),1)="F",1,0)))),IF(Paramètres!N11="",0,IF(Paramètres!O11="",NA(),IF(LEFT(TRIM(Paramètres!O11),1)="F",INDEX($F$383:$F$435,MATCH(Paramètres!N11,Paramètres!$G$5:$G$57,0)),INDEX($E$383:$E$435,MATCH(Paramètres!N11,Paramètres!$G$5:$G$57,0)))+IF(RIGHT(TRIM(Paramètres!O11),3)="Fin",1-$H389,IF(LEFT(TRIM(Paramètres!O11),1)="F",1,0)))))))</f>
        <v/>
      </c>
      <c r="F389" s="19">
        <f>IF($A389="","",E389+$H389-1)</f>
        <v/>
      </c>
      <c r="G389" s="18" t="n"/>
      <c r="H389" s="18">
        <f>IF($A389="","",IF(I389&lt;&gt;"",I389,Paramètres!B11))</f>
        <v/>
      </c>
      <c r="I389" s="18" t="n"/>
    </row>
    <row r="390">
      <c r="A390" s="18">
        <f>IF(ISNUMBER(Dossiers!$D$11),Dossiers!$A$11&amp;" · "&amp;Dossiers!$B$11,"")</f>
        <v/>
      </c>
      <c r="B390" s="18">
        <f>IF($A390="","",Paramètres!G12)</f>
        <v/>
      </c>
      <c r="C390" s="18">
        <f>IF($A390="","",IF(Paramètres!H12="","",Paramètres!H12))</f>
        <v/>
      </c>
      <c r="D390" s="18">
        <f>IF($A390="","",IF(Paramètres!I12="","",Paramètres!I12))</f>
        <v/>
      </c>
      <c r="E390" s="19">
        <f>IF($A390="","",IF(Paramètres!J12&amp;Paramètres!L12&amp;Paramètres!N12="",Dossiers!$D$11,MAX(IF(Paramètres!J12="",0,IF(Paramètres!K12="",NA(),IF(LEFT(TRIM(Paramètres!K12),1)="F",INDEX($F$383:$F$435,MATCH(Paramètres!J12,Paramètres!$G$5:$G$57,0)),INDEX($E$383:$E$435,MATCH(Paramètres!J12,Paramètres!$G$5:$G$57,0)))+IF(RIGHT(TRIM(Paramètres!K12),3)="Fin",1-$H390,IF(LEFT(TRIM(Paramètres!K12),1)="F",1,0)))),IF(Paramètres!L12="",0,IF(Paramètres!M12="",NA(),IF(LEFT(TRIM(Paramètres!M12),1)="F",INDEX($F$383:$F$435,MATCH(Paramètres!L12,Paramètres!$G$5:$G$57,0)),INDEX($E$383:$E$435,MATCH(Paramètres!L12,Paramètres!$G$5:$G$57,0)))+IF(RIGHT(TRIM(Paramètres!M12),3)="Fin",1-$H390,IF(LEFT(TRIM(Paramètres!M12),1)="F",1,0)))),IF(Paramètres!N12="",0,IF(Paramètres!O12="",NA(),IF(LEFT(TRIM(Paramètres!O12),1)="F",INDEX($F$383:$F$435,MATCH(Paramètres!N12,Paramètres!$G$5:$G$57,0)),INDEX($E$383:$E$435,MATCH(Paramètres!N12,Paramètres!$G$5:$G$57,0)))+IF(RIGHT(TRIM(Paramètres!O12),3)="Fin",1-$H390,IF(LEFT(TRIM(Paramètres!O12),1)="F",1,0)))))))</f>
        <v/>
      </c>
      <c r="F390" s="19">
        <f>IF($A390="","",E390+$H390-1)</f>
        <v/>
      </c>
      <c r="G390" s="18" t="n"/>
      <c r="H390" s="18">
        <f>IF($A390="","",IF(I390&lt;&gt;"",I390,Paramètres!B12))</f>
        <v/>
      </c>
      <c r="I390" s="18" t="n"/>
    </row>
    <row r="391">
      <c r="A391" s="18">
        <f>IF(ISNUMBER(Dossiers!$D$11),Dossiers!$A$11&amp;" · "&amp;Dossiers!$B$11,"")</f>
        <v/>
      </c>
      <c r="B391" s="18">
        <f>IF($A391="","",Paramètres!G13)</f>
        <v/>
      </c>
      <c r="C391" s="18">
        <f>IF($A391="","",IF(Paramètres!H13="","",Paramètres!H13))</f>
        <v/>
      </c>
      <c r="D391" s="18">
        <f>IF($A391="","",IF(Paramètres!I13="","",Paramètres!I13))</f>
        <v/>
      </c>
      <c r="E391" s="19">
        <f>IF($A391="","",IF(Paramètres!J13&amp;Paramètres!L13&amp;Paramètres!N13="",Dossiers!$D$11,MAX(IF(Paramètres!J13="",0,IF(Paramètres!K13="",NA(),IF(LEFT(TRIM(Paramètres!K13),1)="F",INDEX($F$383:$F$435,MATCH(Paramètres!J13,Paramètres!$G$5:$G$57,0)),INDEX($E$383:$E$435,MATCH(Paramètres!J13,Paramètres!$G$5:$G$57,0)))+IF(RIGHT(TRIM(Paramètres!K13),3)="Fin",1-$H391,IF(LEFT(TRIM(Paramètres!K13),1)="F",1,0)))),IF(Paramètres!L13="",0,IF(Paramètres!M13="",NA(),IF(LEFT(TRIM(Paramètres!M13),1)="F",INDEX($F$383:$F$435,MATCH(Paramètres!L13,Paramètres!$G$5:$G$57,0)),INDEX($E$383:$E$435,MATCH(Paramètres!L13,Paramètres!$G$5:$G$57,0)))+IF(RIGHT(TRIM(Paramètres!M13),3)="Fin",1-$H391,IF(LEFT(TRIM(Paramètres!M13),1)="F",1,0)))),IF(Paramètres!N13="",0,IF(Paramètres!O13="",NA(),IF(LEFT(TRIM(Paramètres!O13),1)="F",INDEX($F$383:$F$435,MATCH(Paramètres!N13,Paramètres!$G$5:$G$57,0)),INDEX($E$383:$E$435,MATCH(Paramètres!N13,Paramètres!$G$5:$G$57,0)))+IF(RIGHT(TRIM(Paramètres!O13),3)="Fin",1-$H391,IF(LEFT(TRIM(Paramètres!O13),1)="F",1,0)))))))</f>
        <v/>
      </c>
      <c r="F391" s="19">
        <f>IF($A391="","",E391+$H391-1)</f>
        <v/>
      </c>
      <c r="G391" s="18" t="n"/>
      <c r="H391" s="18">
        <f>IF($A391="","",IF(I391&lt;&gt;"",I391,Paramètres!B13))</f>
        <v/>
      </c>
      <c r="I391" s="18" t="n"/>
    </row>
    <row r="392">
      <c r="A392" s="18">
        <f>IF(ISNUMBER(Dossiers!$D$11),Dossiers!$A$11&amp;" · "&amp;Dossiers!$B$11,"")</f>
        <v/>
      </c>
      <c r="B392" s="18">
        <f>IF($A392="","",Paramètres!G14)</f>
        <v/>
      </c>
      <c r="C392" s="18">
        <f>IF($A392="","",IF(Paramètres!H14="","",Paramètres!H14))</f>
        <v/>
      </c>
      <c r="D392" s="18">
        <f>IF($A392="","",IF(Paramètres!I14="","",Paramètres!I14))</f>
        <v/>
      </c>
      <c r="E392" s="19">
        <f>IF($A392="","",IF(Paramètres!J14&amp;Paramètres!L14&amp;Paramètres!N14="",Dossiers!$D$11,MAX(IF(Paramètres!J14="",0,IF(Paramètres!K14="",NA(),IF(LEFT(TRIM(Paramètres!K14),1)="F",INDEX($F$383:$F$435,MATCH(Paramètres!J14,Paramètres!$G$5:$G$57,0)),INDEX($E$383:$E$435,MATCH(Paramètres!J14,Paramètres!$G$5:$G$57,0)))+IF(RIGHT(TRIM(Paramètres!K14),3)="Fin",1-$H392,IF(LEFT(TRIM(Paramètres!K14),1)="F",1,0)))),IF(Paramètres!L14="",0,IF(Paramètres!M14="",NA(),IF(LEFT(TRIM(Paramètres!M14),1)="F",INDEX($F$383:$F$435,MATCH(Paramètres!L14,Paramètres!$G$5:$G$57,0)),INDEX($E$383:$E$435,MATCH(Paramètres!L14,Paramètres!$G$5:$G$57,0)))+IF(RIGHT(TRIM(Paramètres!M14),3)="Fin",1-$H392,IF(LEFT(TRIM(Paramètres!M14),1)="F",1,0)))),IF(Paramètres!N14="",0,IF(Paramètres!O14="",NA(),IF(LEFT(TRIM(Paramètres!O14),1)="F",INDEX($F$383:$F$435,MATCH(Paramètres!N14,Paramètres!$G$5:$G$57,0)),INDEX($E$383:$E$435,MATCH(Paramètres!N14,Paramètres!$G$5:$G$57,0)))+IF(RIGHT(TRIM(Paramètres!O14),3)="Fin",1-$H392,IF(LEFT(TRIM(Paramètres!O14),1)="F",1,0)))))))</f>
        <v/>
      </c>
      <c r="F392" s="19">
        <f>IF($A392="","",E392+$H392-1)</f>
        <v/>
      </c>
      <c r="G392" s="18" t="n"/>
      <c r="H392" s="18">
        <f>IF($A392="","",IF(I392&lt;&gt;"",I392,Paramètres!B14))</f>
        <v/>
      </c>
      <c r="I392" s="18" t="n"/>
    </row>
    <row r="393">
      <c r="A393" s="18">
        <f>IF(ISNUMBER(Dossiers!$D$11),Dossiers!$A$11&amp;" · "&amp;Dossiers!$B$11,"")</f>
        <v/>
      </c>
      <c r="B393" s="18">
        <f>IF($A393="","",Paramètres!G15)</f>
        <v/>
      </c>
      <c r="C393" s="18">
        <f>IF($A393="","",IF(Paramètres!H15="","",Paramètres!H15))</f>
        <v/>
      </c>
      <c r="D393" s="18">
        <f>IF($A393="","",IF(Paramètres!I15="","",Paramètres!I15))</f>
        <v/>
      </c>
      <c r="E393" s="19">
        <f>IF($A393="","",MIN(E394:E409))</f>
        <v/>
      </c>
      <c r="F393" s="19">
        <f>IF($A393="","",MAX(F394:F409))</f>
        <v/>
      </c>
      <c r="G393" s="18" t="n"/>
      <c r="H393" s="18">
        <f>IF($A393="","",F393-E393+1)</f>
        <v/>
      </c>
      <c r="I393" s="18" t="n"/>
    </row>
    <row r="394">
      <c r="A394" s="18">
        <f>IF(ISNUMBER(Dossiers!$D$11),Dossiers!$A$11&amp;" · "&amp;Dossiers!$B$11,"")</f>
        <v/>
      </c>
      <c r="B394" s="18">
        <f>IF($A394="","",Paramètres!G16)</f>
        <v/>
      </c>
      <c r="C394" s="18">
        <f>IF($A394="","",IF(Paramètres!H16="","",Paramètres!H16))</f>
        <v/>
      </c>
      <c r="D394" s="18">
        <f>IF($A394="","",IF(Paramètres!I16="","",Paramètres!I16))</f>
        <v/>
      </c>
      <c r="E394" s="19">
        <f>IF($A394="","",IF(Paramètres!J16&amp;Paramètres!L16&amp;Paramètres!N16="",Dossiers!$D$11,MAX(IF(Paramètres!J16="",0,IF(Paramètres!K16="",NA(),IF(LEFT(TRIM(Paramètres!K16),1)="F",INDEX($F$383:$F$435,MATCH(Paramètres!J16,Paramètres!$G$5:$G$57,0)),INDEX($E$383:$E$435,MATCH(Paramètres!J16,Paramètres!$G$5:$G$57,0)))+IF(RIGHT(TRIM(Paramètres!K16),3)="Fin",1-$H394,IF(LEFT(TRIM(Paramètres!K16),1)="F",1,0)))),IF(Paramètres!L16="",0,IF(Paramètres!M16="",NA(),IF(LEFT(TRIM(Paramètres!M16),1)="F",INDEX($F$383:$F$435,MATCH(Paramètres!L16,Paramètres!$G$5:$G$57,0)),INDEX($E$383:$E$435,MATCH(Paramètres!L16,Paramètres!$G$5:$G$57,0)))+IF(RIGHT(TRIM(Paramètres!M16),3)="Fin",1-$H394,IF(LEFT(TRIM(Paramètres!M16),1)="F",1,0)))),IF(Paramètres!N16="",0,IF(Paramètres!O16="",NA(),IF(LEFT(TRIM(Paramètres!O16),1)="F",INDEX($F$383:$F$435,MATCH(Paramètres!N16,Paramètres!$G$5:$G$57,0)),INDEX($E$383:$E$435,MATCH(Paramètres!N16,Paramètres!$G$5:$G$57,0)))+IF(RIGHT(TRIM(Paramètres!O16),3)="Fin",1-$H394,IF(LEFT(TRIM(Paramètres!O16),1)="F",1,0)))))))</f>
        <v/>
      </c>
      <c r="F394" s="19">
        <f>IF($A394="","",E394+$H394-1)</f>
        <v/>
      </c>
      <c r="G394" s="18" t="n"/>
      <c r="H394" s="18">
        <f>IF($A394="","",IF(I394&lt;&gt;"",I394,Paramètres!B16))</f>
        <v/>
      </c>
      <c r="I394" s="18" t="n"/>
    </row>
    <row r="395">
      <c r="A395" s="18">
        <f>IF(ISNUMBER(Dossiers!$D$11),Dossiers!$A$11&amp;" · "&amp;Dossiers!$B$11,"")</f>
        <v/>
      </c>
      <c r="B395" s="18">
        <f>IF($A395="","",Paramètres!G17)</f>
        <v/>
      </c>
      <c r="C395" s="18">
        <f>IF($A395="","",IF(Paramètres!H17="","",Paramètres!H17))</f>
        <v/>
      </c>
      <c r="D395" s="18">
        <f>IF($A395="","",IF(Paramètres!I17="","",Paramètres!I17))</f>
        <v/>
      </c>
      <c r="E395" s="19">
        <f>IF($A395="","",IF(Paramètres!J17&amp;Paramètres!L17&amp;Paramètres!N17="",Dossiers!$D$11,MAX(IF(Paramètres!J17="",0,IF(Paramètres!K17="",NA(),IF(LEFT(TRIM(Paramètres!K17),1)="F",INDEX($F$383:$F$435,MATCH(Paramètres!J17,Paramètres!$G$5:$G$57,0)),INDEX($E$383:$E$435,MATCH(Paramètres!J17,Paramètres!$G$5:$G$57,0)))+IF(RIGHT(TRIM(Paramètres!K17),3)="Fin",1-$H395,IF(LEFT(TRIM(Paramètres!K17),1)="F",1,0)))),IF(Paramètres!L17="",0,IF(Paramètres!M17="",NA(),IF(LEFT(TRIM(Paramètres!M17),1)="F",INDEX($F$383:$F$435,MATCH(Paramètres!L17,Paramètres!$G$5:$G$57,0)),INDEX($E$383:$E$435,MATCH(Paramètres!L17,Paramètres!$G$5:$G$57,0)))+IF(RIGHT(TRIM(Paramètres!M17),3)="Fin",1-$H395,IF(LEFT(TRIM(Paramètres!M17),1)="F",1,0)))),IF(Paramètres!N17="",0,IF(Paramètres!O17="",NA(),IF(LEFT(TRIM(Paramètres!O17),1)="F",INDEX($F$383:$F$435,MATCH(Paramètres!N17,Paramètres!$G$5:$G$57,0)),INDEX($E$383:$E$435,MATCH(Paramètres!N17,Paramètres!$G$5:$G$57,0)))+IF(RIGHT(TRIM(Paramètres!O17),3)="Fin",1-$H395,IF(LEFT(TRIM(Paramètres!O17),1)="F",1,0)))))))</f>
        <v/>
      </c>
      <c r="F395" s="19">
        <f>IF($A395="","",E395+$H395-1)</f>
        <v/>
      </c>
      <c r="G395" s="18" t="n"/>
      <c r="H395" s="18">
        <f>IF($A395="","",IF(I395&lt;&gt;"",I395,Paramètres!B17))</f>
        <v/>
      </c>
      <c r="I395" s="18" t="n"/>
    </row>
    <row r="396">
      <c r="A396" s="18">
        <f>IF(ISNUMBER(Dossiers!$D$11),Dossiers!$A$11&amp;" · "&amp;Dossiers!$B$11,"")</f>
        <v/>
      </c>
      <c r="B396" s="18">
        <f>IF($A396="","",Paramètres!G18)</f>
        <v/>
      </c>
      <c r="C396" s="18">
        <f>IF($A396="","",IF(Paramètres!H18="","",Paramètres!H18))</f>
        <v/>
      </c>
      <c r="D396" s="18">
        <f>IF($A396="","",IF(Paramètres!I18="","",Paramètres!I18))</f>
        <v/>
      </c>
      <c r="E396" s="19">
        <f>IF($A396="","",IF(Paramètres!J18&amp;Paramètres!L18&amp;Paramètres!N18="",Dossiers!$D$11,MAX(IF(Paramètres!J18="",0,IF(Paramètres!K18="",NA(),IF(LEFT(TRIM(Paramètres!K18),1)="F",INDEX($F$383:$F$435,MATCH(Paramètres!J18,Paramètres!$G$5:$G$57,0)),INDEX($E$383:$E$435,MATCH(Paramètres!J18,Paramètres!$G$5:$G$57,0)))+IF(RIGHT(TRIM(Paramètres!K18),3)="Fin",1-$H396,IF(LEFT(TRIM(Paramètres!K18),1)="F",1,0)))),IF(Paramètres!L18="",0,IF(Paramètres!M18="",NA(),IF(LEFT(TRIM(Paramètres!M18),1)="F",INDEX($F$383:$F$435,MATCH(Paramètres!L18,Paramètres!$G$5:$G$57,0)),INDEX($E$383:$E$435,MATCH(Paramètres!L18,Paramètres!$G$5:$G$57,0)))+IF(RIGHT(TRIM(Paramètres!M18),3)="Fin",1-$H396,IF(LEFT(TRIM(Paramètres!M18),1)="F",1,0)))),IF(Paramètres!N18="",0,IF(Paramètres!O18="",NA(),IF(LEFT(TRIM(Paramètres!O18),1)="F",INDEX($F$383:$F$435,MATCH(Paramètres!N18,Paramètres!$G$5:$G$57,0)),INDEX($E$383:$E$435,MATCH(Paramètres!N18,Paramètres!$G$5:$G$57,0)))+IF(RIGHT(TRIM(Paramètres!O18),3)="Fin",1-$H396,IF(LEFT(TRIM(Paramètres!O18),1)="F",1,0)))))))</f>
        <v/>
      </c>
      <c r="F396" s="19">
        <f>IF($A396="","",E396+$H396-1)</f>
        <v/>
      </c>
      <c r="G396" s="18" t="n"/>
      <c r="H396" s="18">
        <f>IF($A396="","",IF(I396&lt;&gt;"",I396,Paramètres!B18))</f>
        <v/>
      </c>
      <c r="I396" s="18" t="n"/>
    </row>
    <row r="397">
      <c r="A397" s="18">
        <f>IF(ISNUMBER(Dossiers!$D$11),Dossiers!$A$11&amp;" · "&amp;Dossiers!$B$11,"")</f>
        <v/>
      </c>
      <c r="B397" s="18">
        <f>IF($A397="","",Paramètres!G19)</f>
        <v/>
      </c>
      <c r="C397" s="18">
        <f>IF($A397="","",IF(Paramètres!H19="","",Paramètres!H19))</f>
        <v/>
      </c>
      <c r="D397" s="18">
        <f>IF($A397="","",IF(Paramètres!I19="","",Paramètres!I19))</f>
        <v/>
      </c>
      <c r="E397" s="19">
        <f>IF($A397="","",IF(Paramètres!J19&amp;Paramètres!L19&amp;Paramètres!N19="",Dossiers!$D$11,MAX(IF(Paramètres!J19="",0,IF(Paramètres!K19="",NA(),IF(LEFT(TRIM(Paramètres!K19),1)="F",INDEX($F$383:$F$435,MATCH(Paramètres!J19,Paramètres!$G$5:$G$57,0)),INDEX($E$383:$E$435,MATCH(Paramètres!J19,Paramètres!$G$5:$G$57,0)))+IF(RIGHT(TRIM(Paramètres!K19),3)="Fin",1-$H397,IF(LEFT(TRIM(Paramètres!K19),1)="F",1,0)))),IF(Paramètres!L19="",0,IF(Paramètres!M19="",NA(),IF(LEFT(TRIM(Paramètres!M19),1)="F",INDEX($F$383:$F$435,MATCH(Paramètres!L19,Paramètres!$G$5:$G$57,0)),INDEX($E$383:$E$435,MATCH(Paramètres!L19,Paramètres!$G$5:$G$57,0)))+IF(RIGHT(TRIM(Paramètres!M19),3)="Fin",1-$H397,IF(LEFT(TRIM(Paramètres!M19),1)="F",1,0)))),IF(Paramètres!N19="",0,IF(Paramètres!O19="",NA(),IF(LEFT(TRIM(Paramètres!O19),1)="F",INDEX($F$383:$F$435,MATCH(Paramètres!N19,Paramètres!$G$5:$G$57,0)),INDEX($E$383:$E$435,MATCH(Paramètres!N19,Paramètres!$G$5:$G$57,0)))+IF(RIGHT(TRIM(Paramètres!O19),3)="Fin",1-$H397,IF(LEFT(TRIM(Paramètres!O19),1)="F",1,0)))))))</f>
        <v/>
      </c>
      <c r="F397" s="19">
        <f>IF($A397="","",E397+$H397-1)</f>
        <v/>
      </c>
      <c r="G397" s="18" t="n"/>
      <c r="H397" s="18">
        <f>IF($A397="","",IF(I397&lt;&gt;"",I397,Paramètres!B19))</f>
        <v/>
      </c>
      <c r="I397" s="18" t="n"/>
    </row>
    <row r="398">
      <c r="A398" s="18">
        <f>IF(ISNUMBER(Dossiers!$D$11),Dossiers!$A$11&amp;" · "&amp;Dossiers!$B$11,"")</f>
        <v/>
      </c>
      <c r="B398" s="18">
        <f>IF($A398="","",Paramètres!G20)</f>
        <v/>
      </c>
      <c r="C398" s="18">
        <f>IF($A398="","",IF(Paramètres!H20="","",Paramètres!H20))</f>
        <v/>
      </c>
      <c r="D398" s="18">
        <f>IF($A398="","",IF(Paramètres!I20="","",Paramètres!I20))</f>
        <v/>
      </c>
      <c r="E398" s="19">
        <f>IF($A398="","",IF(Paramètres!J20&amp;Paramètres!L20&amp;Paramètres!N20="",Dossiers!$D$11,MAX(IF(Paramètres!J20="",0,IF(Paramètres!K20="",NA(),IF(LEFT(TRIM(Paramètres!K20),1)="F",INDEX($F$383:$F$435,MATCH(Paramètres!J20,Paramètres!$G$5:$G$57,0)),INDEX($E$383:$E$435,MATCH(Paramètres!J20,Paramètres!$G$5:$G$57,0)))+IF(RIGHT(TRIM(Paramètres!K20),3)="Fin",1-$H398,IF(LEFT(TRIM(Paramètres!K20),1)="F",1,0)))),IF(Paramètres!L20="",0,IF(Paramètres!M20="",NA(),IF(LEFT(TRIM(Paramètres!M20),1)="F",INDEX($F$383:$F$435,MATCH(Paramètres!L20,Paramètres!$G$5:$G$57,0)),INDEX($E$383:$E$435,MATCH(Paramètres!L20,Paramètres!$G$5:$G$57,0)))+IF(RIGHT(TRIM(Paramètres!M20),3)="Fin",1-$H398,IF(LEFT(TRIM(Paramètres!M20),1)="F",1,0)))),IF(Paramètres!N20="",0,IF(Paramètres!O20="",NA(),IF(LEFT(TRIM(Paramètres!O20),1)="F",INDEX($F$383:$F$435,MATCH(Paramètres!N20,Paramètres!$G$5:$G$57,0)),INDEX($E$383:$E$435,MATCH(Paramètres!N20,Paramètres!$G$5:$G$57,0)))+IF(RIGHT(TRIM(Paramètres!O20),3)="Fin",1-$H398,IF(LEFT(TRIM(Paramètres!O20),1)="F",1,0)))))))</f>
        <v/>
      </c>
      <c r="F398" s="19">
        <f>IF($A398="","",E398+$H398-1)</f>
        <v/>
      </c>
      <c r="G398" s="18" t="n"/>
      <c r="H398" s="18">
        <f>IF($A398="","",IF(I398&lt;&gt;"",I398,Paramètres!B20))</f>
        <v/>
      </c>
      <c r="I398" s="18" t="n"/>
    </row>
    <row r="399">
      <c r="A399" s="18">
        <f>IF(ISNUMBER(Dossiers!$D$11),Dossiers!$A$11&amp;" · "&amp;Dossiers!$B$11,"")</f>
        <v/>
      </c>
      <c r="B399" s="18">
        <f>IF($A399="","",Paramètres!G21)</f>
        <v/>
      </c>
      <c r="C399" s="18">
        <f>IF($A399="","",IF(Paramètres!H21="","",Paramètres!H21))</f>
        <v/>
      </c>
      <c r="D399" s="18">
        <f>IF($A399="","",IF(Paramètres!I21="","",Paramètres!I21))</f>
        <v/>
      </c>
      <c r="E399" s="19">
        <f>IF($A399="","",IF(Paramètres!J21&amp;Paramètres!L21&amp;Paramètres!N21="",Dossiers!$D$11,MAX(IF(Paramètres!J21="",0,IF(Paramètres!K21="",NA(),IF(LEFT(TRIM(Paramètres!K21),1)="F",INDEX($F$383:$F$435,MATCH(Paramètres!J21,Paramètres!$G$5:$G$57,0)),INDEX($E$383:$E$435,MATCH(Paramètres!J21,Paramètres!$G$5:$G$57,0)))+IF(RIGHT(TRIM(Paramètres!K21),3)="Fin",1-$H399,IF(LEFT(TRIM(Paramètres!K21),1)="F",1,0)))),IF(Paramètres!L21="",0,IF(Paramètres!M21="",NA(),IF(LEFT(TRIM(Paramètres!M21),1)="F",INDEX($F$383:$F$435,MATCH(Paramètres!L21,Paramètres!$G$5:$G$57,0)),INDEX($E$383:$E$435,MATCH(Paramètres!L21,Paramètres!$G$5:$G$57,0)))+IF(RIGHT(TRIM(Paramètres!M21),3)="Fin",1-$H399,IF(LEFT(TRIM(Paramètres!M21),1)="F",1,0)))),IF(Paramètres!N21="",0,IF(Paramètres!O21="",NA(),IF(LEFT(TRIM(Paramètres!O21),1)="F",INDEX($F$383:$F$435,MATCH(Paramètres!N21,Paramètres!$G$5:$G$57,0)),INDEX($E$383:$E$435,MATCH(Paramètres!N21,Paramètres!$G$5:$G$57,0)))+IF(RIGHT(TRIM(Paramètres!O21),3)="Fin",1-$H399,IF(LEFT(TRIM(Paramètres!O21),1)="F",1,0)))))))</f>
        <v/>
      </c>
      <c r="F399" s="19">
        <f>IF($A399="","",E399+$H399-1)</f>
        <v/>
      </c>
      <c r="G399" s="18" t="n"/>
      <c r="H399" s="18">
        <f>IF($A399="","",IF(I399&lt;&gt;"",I399,Paramètres!B21))</f>
        <v/>
      </c>
      <c r="I399" s="18" t="n"/>
    </row>
    <row r="400">
      <c r="A400" s="18">
        <f>IF(ISNUMBER(Dossiers!$D$11),Dossiers!$A$11&amp;" · "&amp;Dossiers!$B$11,"")</f>
        <v/>
      </c>
      <c r="B400" s="18">
        <f>IF($A400="","",Paramètres!G22)</f>
        <v/>
      </c>
      <c r="C400" s="18">
        <f>IF($A400="","",IF(Paramètres!H22="","",Paramètres!H22))</f>
        <v/>
      </c>
      <c r="D400" s="18">
        <f>IF($A400="","",IF(Paramètres!I22="","",Paramètres!I22))</f>
        <v/>
      </c>
      <c r="E400" s="19">
        <f>IF($A400="","",IF(Paramètres!J22&amp;Paramètres!L22&amp;Paramètres!N22="",Dossiers!$D$11,MAX(IF(Paramètres!J22="",0,IF(Paramètres!K22="",NA(),IF(LEFT(TRIM(Paramètres!K22),1)="F",INDEX($F$383:$F$435,MATCH(Paramètres!J22,Paramètres!$G$5:$G$57,0)),INDEX($E$383:$E$435,MATCH(Paramètres!J22,Paramètres!$G$5:$G$57,0)))+IF(RIGHT(TRIM(Paramètres!K22),3)="Fin",1-$H400,IF(LEFT(TRIM(Paramètres!K22),1)="F",1,0)))),IF(Paramètres!L22="",0,IF(Paramètres!M22="",NA(),IF(LEFT(TRIM(Paramètres!M22),1)="F",INDEX($F$383:$F$435,MATCH(Paramètres!L22,Paramètres!$G$5:$G$57,0)),INDEX($E$383:$E$435,MATCH(Paramètres!L22,Paramètres!$G$5:$G$57,0)))+IF(RIGHT(TRIM(Paramètres!M22),3)="Fin",1-$H400,IF(LEFT(TRIM(Paramètres!M22),1)="F",1,0)))),IF(Paramètres!N22="",0,IF(Paramètres!O22="",NA(),IF(LEFT(TRIM(Paramètres!O22),1)="F",INDEX($F$383:$F$435,MATCH(Paramètres!N22,Paramètres!$G$5:$G$57,0)),INDEX($E$383:$E$435,MATCH(Paramètres!N22,Paramètres!$G$5:$G$57,0)))+IF(RIGHT(TRIM(Paramètres!O22),3)="Fin",1-$H400,IF(LEFT(TRIM(Paramètres!O22),1)="F",1,0)))))))</f>
        <v/>
      </c>
      <c r="F400" s="19">
        <f>IF($A400="","",E400+$H400-1)</f>
        <v/>
      </c>
      <c r="G400" s="18" t="n"/>
      <c r="H400" s="18">
        <f>IF($A400="","",IF(I400&lt;&gt;"",I400,Paramètres!B22))</f>
        <v/>
      </c>
      <c r="I400" s="18" t="n"/>
    </row>
    <row r="401">
      <c r="A401" s="18">
        <f>IF(ISNUMBER(Dossiers!$D$11),Dossiers!$A$11&amp;" · "&amp;Dossiers!$B$11,"")</f>
        <v/>
      </c>
      <c r="B401" s="18">
        <f>IF($A401="","",Paramètres!G23)</f>
        <v/>
      </c>
      <c r="C401" s="18">
        <f>IF($A401="","",IF(Paramètres!H23="","",Paramètres!H23))</f>
        <v/>
      </c>
      <c r="D401" s="18">
        <f>IF($A401="","",IF(Paramètres!I23="","",Paramètres!I23))</f>
        <v/>
      </c>
      <c r="E401" s="19">
        <f>IF($A401="","",IF(Paramètres!J23&amp;Paramètres!L23&amp;Paramètres!N23="",Dossiers!$D$11,MAX(IF(Paramètres!J23="",0,IF(Paramètres!K23="",NA(),IF(LEFT(TRIM(Paramètres!K23),1)="F",INDEX($F$383:$F$435,MATCH(Paramètres!J23,Paramètres!$G$5:$G$57,0)),INDEX($E$383:$E$435,MATCH(Paramètres!J23,Paramètres!$G$5:$G$57,0)))+IF(RIGHT(TRIM(Paramètres!K23),3)="Fin",1-$H401,IF(LEFT(TRIM(Paramètres!K23),1)="F",1,0)))),IF(Paramètres!L23="",0,IF(Paramètres!M23="",NA(),IF(LEFT(TRIM(Paramètres!M23),1)="F",INDEX($F$383:$F$435,MATCH(Paramètres!L23,Paramètres!$G$5:$G$57,0)),INDEX($E$383:$E$435,MATCH(Paramètres!L23,Paramètres!$G$5:$G$57,0)))+IF(RIGHT(TRIM(Paramètres!M23),3)="Fin",1-$H401,IF(LEFT(TRIM(Paramètres!M23),1)="F",1,0)))),IF(Paramètres!N23="",0,IF(Paramètres!O23="",NA(),IF(LEFT(TRIM(Paramètres!O23),1)="F",INDEX($F$383:$F$435,MATCH(Paramètres!N23,Paramètres!$G$5:$G$57,0)),INDEX($E$383:$E$435,MATCH(Paramètres!N23,Paramètres!$G$5:$G$57,0)))+IF(RIGHT(TRIM(Paramètres!O23),3)="Fin",1-$H401,IF(LEFT(TRIM(Paramètres!O23),1)="F",1,0)))))))</f>
        <v/>
      </c>
      <c r="F401" s="19">
        <f>IF($A401="","",E401+$H401-1)</f>
        <v/>
      </c>
      <c r="G401" s="18" t="n"/>
      <c r="H401" s="18">
        <f>IF($A401="","",IF(I401&lt;&gt;"",I401,Paramètres!B23))</f>
        <v/>
      </c>
      <c r="I401" s="18" t="n"/>
    </row>
    <row r="402">
      <c r="A402" s="18">
        <f>IF(ISNUMBER(Dossiers!$D$11),Dossiers!$A$11&amp;" · "&amp;Dossiers!$B$11,"")</f>
        <v/>
      </c>
      <c r="B402" s="18">
        <f>IF($A402="","",Paramètres!G24)</f>
        <v/>
      </c>
      <c r="C402" s="18">
        <f>IF($A402="","",IF(Paramètres!H24="","",Paramètres!H24))</f>
        <v/>
      </c>
      <c r="D402" s="18">
        <f>IF($A402="","",IF(Paramètres!I24="","",Paramètres!I24))</f>
        <v/>
      </c>
      <c r="E402" s="19">
        <f>IF($A402="","",IF(Paramètres!J24&amp;Paramètres!L24&amp;Paramètres!N24="",Dossiers!$D$11,MAX(IF(Paramètres!J24="",0,IF(Paramètres!K24="",NA(),IF(LEFT(TRIM(Paramètres!K24),1)="F",INDEX($F$383:$F$435,MATCH(Paramètres!J24,Paramètres!$G$5:$G$57,0)),INDEX($E$383:$E$435,MATCH(Paramètres!J24,Paramètres!$G$5:$G$57,0)))+IF(RIGHT(TRIM(Paramètres!K24),3)="Fin",1-$H402,IF(LEFT(TRIM(Paramètres!K24),1)="F",1,0)))),IF(Paramètres!L24="",0,IF(Paramètres!M24="",NA(),IF(LEFT(TRIM(Paramètres!M24),1)="F",INDEX($F$383:$F$435,MATCH(Paramètres!L24,Paramètres!$G$5:$G$57,0)),INDEX($E$383:$E$435,MATCH(Paramètres!L24,Paramètres!$G$5:$G$57,0)))+IF(RIGHT(TRIM(Paramètres!M24),3)="Fin",1-$H402,IF(LEFT(TRIM(Paramètres!M24),1)="F",1,0)))),IF(Paramètres!N24="",0,IF(Paramètres!O24="",NA(),IF(LEFT(TRIM(Paramètres!O24),1)="F",INDEX($F$383:$F$435,MATCH(Paramètres!N24,Paramètres!$G$5:$G$57,0)),INDEX($E$383:$E$435,MATCH(Paramètres!N24,Paramètres!$G$5:$G$57,0)))+IF(RIGHT(TRIM(Paramètres!O24),3)="Fin",1-$H402,IF(LEFT(TRIM(Paramètres!O24),1)="F",1,0)))))))</f>
        <v/>
      </c>
      <c r="F402" s="19">
        <f>IF($A402="","",E402+$H402-1)</f>
        <v/>
      </c>
      <c r="G402" s="18" t="n"/>
      <c r="H402" s="18">
        <f>IF($A402="","",IF(I402&lt;&gt;"",I402,Paramètres!B24))</f>
        <v/>
      </c>
      <c r="I402" s="18" t="n"/>
    </row>
    <row r="403">
      <c r="A403" s="18">
        <f>IF(ISNUMBER(Dossiers!$D$11),Dossiers!$A$11&amp;" · "&amp;Dossiers!$B$11,"")</f>
        <v/>
      </c>
      <c r="B403" s="18">
        <f>IF($A403="","",Paramètres!G25)</f>
        <v/>
      </c>
      <c r="C403" s="18">
        <f>IF($A403="","",IF(Paramètres!H25="","",Paramètres!H25))</f>
        <v/>
      </c>
      <c r="D403" s="18">
        <f>IF($A403="","",IF(Paramètres!I25="","",Paramètres!I25))</f>
        <v/>
      </c>
      <c r="E403" s="19">
        <f>IF($A403="","",IF(Paramètres!J25&amp;Paramètres!L25&amp;Paramètres!N25="",Dossiers!$D$11,MAX(IF(Paramètres!J25="",0,IF(Paramètres!K25="",NA(),IF(LEFT(TRIM(Paramètres!K25),1)="F",INDEX($F$383:$F$435,MATCH(Paramètres!J25,Paramètres!$G$5:$G$57,0)),INDEX($E$383:$E$435,MATCH(Paramètres!J25,Paramètres!$G$5:$G$57,0)))+IF(RIGHT(TRIM(Paramètres!K25),3)="Fin",1-$H403,IF(LEFT(TRIM(Paramètres!K25),1)="F",1,0)))),IF(Paramètres!L25="",0,IF(Paramètres!M25="",NA(),IF(LEFT(TRIM(Paramètres!M25),1)="F",INDEX($F$383:$F$435,MATCH(Paramètres!L25,Paramètres!$G$5:$G$57,0)),INDEX($E$383:$E$435,MATCH(Paramètres!L25,Paramètres!$G$5:$G$57,0)))+IF(RIGHT(TRIM(Paramètres!M25),3)="Fin",1-$H403,IF(LEFT(TRIM(Paramètres!M25),1)="F",1,0)))),IF(Paramètres!N25="",0,IF(Paramètres!O25="",NA(),IF(LEFT(TRIM(Paramètres!O25),1)="F",INDEX($F$383:$F$435,MATCH(Paramètres!N25,Paramètres!$G$5:$G$57,0)),INDEX($E$383:$E$435,MATCH(Paramètres!N25,Paramètres!$G$5:$G$57,0)))+IF(RIGHT(TRIM(Paramètres!O25),3)="Fin",1-$H403,IF(LEFT(TRIM(Paramètres!O25),1)="F",1,0)))))))</f>
        <v/>
      </c>
      <c r="F403" s="19">
        <f>IF($A403="","",E403+$H403-1)</f>
        <v/>
      </c>
      <c r="G403" s="18" t="n"/>
      <c r="H403" s="18">
        <f>IF($A403="","",IF(I403&lt;&gt;"",I403,Paramètres!B25))</f>
        <v/>
      </c>
      <c r="I403" s="18" t="n"/>
    </row>
    <row r="404">
      <c r="A404" s="18">
        <f>IF(ISNUMBER(Dossiers!$D$11),Dossiers!$A$11&amp;" · "&amp;Dossiers!$B$11,"")</f>
        <v/>
      </c>
      <c r="B404" s="18">
        <f>IF($A404="","",Paramètres!G26)</f>
        <v/>
      </c>
      <c r="C404" s="18">
        <f>IF($A404="","",IF(Paramètres!H26="","",Paramètres!H26))</f>
        <v/>
      </c>
      <c r="D404" s="18">
        <f>IF($A404="","",IF(Paramètres!I26="","",Paramètres!I26))</f>
        <v/>
      </c>
      <c r="E404" s="19">
        <f>IF($A404="","",IF(Paramètres!J26&amp;Paramètres!L26&amp;Paramètres!N26="",Dossiers!$D$11,MAX(IF(Paramètres!J26="",0,IF(Paramètres!K26="",NA(),IF(LEFT(TRIM(Paramètres!K26),1)="F",INDEX($F$383:$F$435,MATCH(Paramètres!J26,Paramètres!$G$5:$G$57,0)),INDEX($E$383:$E$435,MATCH(Paramètres!J26,Paramètres!$G$5:$G$57,0)))+IF(RIGHT(TRIM(Paramètres!K26),3)="Fin",1-$H404,IF(LEFT(TRIM(Paramètres!K26),1)="F",1,0)))),IF(Paramètres!L26="",0,IF(Paramètres!M26="",NA(),IF(LEFT(TRIM(Paramètres!M26),1)="F",INDEX($F$383:$F$435,MATCH(Paramètres!L26,Paramètres!$G$5:$G$57,0)),INDEX($E$383:$E$435,MATCH(Paramètres!L26,Paramètres!$G$5:$G$57,0)))+IF(RIGHT(TRIM(Paramètres!M26),3)="Fin",1-$H404,IF(LEFT(TRIM(Paramètres!M26),1)="F",1,0)))),IF(Paramètres!N26="",0,IF(Paramètres!O26="",NA(),IF(LEFT(TRIM(Paramètres!O26),1)="F",INDEX($F$383:$F$435,MATCH(Paramètres!N26,Paramètres!$G$5:$G$57,0)),INDEX($E$383:$E$435,MATCH(Paramètres!N26,Paramètres!$G$5:$G$57,0)))+IF(RIGHT(TRIM(Paramètres!O26),3)="Fin",1-$H404,IF(LEFT(TRIM(Paramètres!O26),1)="F",1,0)))))))</f>
        <v/>
      </c>
      <c r="F404" s="19">
        <f>IF($A404="","",E404+$H404-1)</f>
        <v/>
      </c>
      <c r="G404" s="18" t="n"/>
      <c r="H404" s="18">
        <f>IF($A404="","",IF(I404&lt;&gt;"",I404,Paramètres!B26))</f>
        <v/>
      </c>
      <c r="I404" s="18" t="n"/>
    </row>
    <row r="405">
      <c r="A405" s="18">
        <f>IF(ISNUMBER(Dossiers!$D$11),Dossiers!$A$11&amp;" · "&amp;Dossiers!$B$11,"")</f>
        <v/>
      </c>
      <c r="B405" s="18">
        <f>IF($A405="","",Paramètres!G27)</f>
        <v/>
      </c>
      <c r="C405" s="18">
        <f>IF($A405="","",IF(Paramètres!H27="","",Paramètres!H27))</f>
        <v/>
      </c>
      <c r="D405" s="18">
        <f>IF($A405="","",IF(Paramètres!I27="","",Paramètres!I27))</f>
        <v/>
      </c>
      <c r="E405" s="19">
        <f>IF($A405="","",IF(Paramètres!J27&amp;Paramètres!L27&amp;Paramètres!N27="",Dossiers!$D$11,MAX(IF(Paramètres!J27="",0,IF(Paramètres!K27="",NA(),IF(LEFT(TRIM(Paramètres!K27),1)="F",INDEX($F$383:$F$435,MATCH(Paramètres!J27,Paramètres!$G$5:$G$57,0)),INDEX($E$383:$E$435,MATCH(Paramètres!J27,Paramètres!$G$5:$G$57,0)))+IF(RIGHT(TRIM(Paramètres!K27),3)="Fin",1-$H405,IF(LEFT(TRIM(Paramètres!K27),1)="F",1,0)))),IF(Paramètres!L27="",0,IF(Paramètres!M27="",NA(),IF(LEFT(TRIM(Paramètres!M27),1)="F",INDEX($F$383:$F$435,MATCH(Paramètres!L27,Paramètres!$G$5:$G$57,0)),INDEX($E$383:$E$435,MATCH(Paramètres!L27,Paramètres!$G$5:$G$57,0)))+IF(RIGHT(TRIM(Paramètres!M27),3)="Fin",1-$H405,IF(LEFT(TRIM(Paramètres!M27),1)="F",1,0)))),IF(Paramètres!N27="",0,IF(Paramètres!O27="",NA(),IF(LEFT(TRIM(Paramètres!O27),1)="F",INDEX($F$383:$F$435,MATCH(Paramètres!N27,Paramètres!$G$5:$G$57,0)),INDEX($E$383:$E$435,MATCH(Paramètres!N27,Paramètres!$G$5:$G$57,0)))+IF(RIGHT(TRIM(Paramètres!O27),3)="Fin",1-$H405,IF(LEFT(TRIM(Paramètres!O27),1)="F",1,0)))))))</f>
        <v/>
      </c>
      <c r="F405" s="19">
        <f>IF($A405="","",E405+$H405-1)</f>
        <v/>
      </c>
      <c r="G405" s="18" t="n"/>
      <c r="H405" s="18">
        <f>IF($A405="","",IF(I405&lt;&gt;"",I405,Paramètres!B27))</f>
        <v/>
      </c>
      <c r="I405" s="18" t="n"/>
    </row>
    <row r="406">
      <c r="A406" s="18">
        <f>IF(ISNUMBER(Dossiers!$D$11),Dossiers!$A$11&amp;" · "&amp;Dossiers!$B$11,"")</f>
        <v/>
      </c>
      <c r="B406" s="18">
        <f>IF($A406="","",Paramètres!G28)</f>
        <v/>
      </c>
      <c r="C406" s="18">
        <f>IF($A406="","",IF(Paramètres!H28="","",Paramètres!H28))</f>
        <v/>
      </c>
      <c r="D406" s="18">
        <f>IF($A406="","",IF(Paramètres!I28="","",Paramètres!I28))</f>
        <v/>
      </c>
      <c r="E406" s="19">
        <f>IF($A406="","",IF(Paramètres!J28&amp;Paramètres!L28&amp;Paramètres!N28="",Dossiers!$D$11,MAX(IF(Paramètres!J28="",0,IF(Paramètres!K28="",NA(),IF(LEFT(TRIM(Paramètres!K28),1)="F",INDEX($F$383:$F$435,MATCH(Paramètres!J28,Paramètres!$G$5:$G$57,0)),INDEX($E$383:$E$435,MATCH(Paramètres!J28,Paramètres!$G$5:$G$57,0)))+IF(RIGHT(TRIM(Paramètres!K28),3)="Fin",1-$H406,IF(LEFT(TRIM(Paramètres!K28),1)="F",1,0)))),IF(Paramètres!L28="",0,IF(Paramètres!M28="",NA(),IF(LEFT(TRIM(Paramètres!M28),1)="F",INDEX($F$383:$F$435,MATCH(Paramètres!L28,Paramètres!$G$5:$G$57,0)),INDEX($E$383:$E$435,MATCH(Paramètres!L28,Paramètres!$G$5:$G$57,0)))+IF(RIGHT(TRIM(Paramètres!M28),3)="Fin",1-$H406,IF(LEFT(TRIM(Paramètres!M28),1)="F",1,0)))),IF(Paramètres!N28="",0,IF(Paramètres!O28="",NA(),IF(LEFT(TRIM(Paramètres!O28),1)="F",INDEX($F$383:$F$435,MATCH(Paramètres!N28,Paramètres!$G$5:$G$57,0)),INDEX($E$383:$E$435,MATCH(Paramètres!N28,Paramètres!$G$5:$G$57,0)))+IF(RIGHT(TRIM(Paramètres!O28),3)="Fin",1-$H406,IF(LEFT(TRIM(Paramètres!O28),1)="F",1,0)))))))</f>
        <v/>
      </c>
      <c r="F406" s="19">
        <f>IF($A406="","",E406+$H406-1)</f>
        <v/>
      </c>
      <c r="G406" s="18" t="n"/>
      <c r="H406" s="18">
        <f>IF($A406="","",IF(I406&lt;&gt;"",I406,Paramètres!B28))</f>
        <v/>
      </c>
      <c r="I406" s="18" t="n"/>
    </row>
    <row r="407">
      <c r="A407" s="18">
        <f>IF(ISNUMBER(Dossiers!$D$11),Dossiers!$A$11&amp;" · "&amp;Dossiers!$B$11,"")</f>
        <v/>
      </c>
      <c r="B407" s="18">
        <f>IF($A407="","",Paramètres!G29)</f>
        <v/>
      </c>
      <c r="C407" s="18">
        <f>IF($A407="","",IF(Paramètres!H29="","",Paramètres!H29))</f>
        <v/>
      </c>
      <c r="D407" s="18">
        <f>IF($A407="","",IF(Paramètres!I29="","",Paramètres!I29))</f>
        <v/>
      </c>
      <c r="E407" s="19">
        <f>IF($A407="","",IF(Paramètres!J29&amp;Paramètres!L29&amp;Paramètres!N29="",Dossiers!$D$11,MAX(IF(Paramètres!J29="",0,IF(Paramètres!K29="",NA(),IF(LEFT(TRIM(Paramètres!K29),1)="F",INDEX($F$383:$F$435,MATCH(Paramètres!J29,Paramètres!$G$5:$G$57,0)),INDEX($E$383:$E$435,MATCH(Paramètres!J29,Paramètres!$G$5:$G$57,0)))+IF(RIGHT(TRIM(Paramètres!K29),3)="Fin",1-$H407,IF(LEFT(TRIM(Paramètres!K29),1)="F",1,0)))),IF(Paramètres!L29="",0,IF(Paramètres!M29="",NA(),IF(LEFT(TRIM(Paramètres!M29),1)="F",INDEX($F$383:$F$435,MATCH(Paramètres!L29,Paramètres!$G$5:$G$57,0)),INDEX($E$383:$E$435,MATCH(Paramètres!L29,Paramètres!$G$5:$G$57,0)))+IF(RIGHT(TRIM(Paramètres!M29),3)="Fin",1-$H407,IF(LEFT(TRIM(Paramètres!M29),1)="F",1,0)))),IF(Paramètres!N29="",0,IF(Paramètres!O29="",NA(),IF(LEFT(TRIM(Paramètres!O29),1)="F",INDEX($F$383:$F$435,MATCH(Paramètres!N29,Paramètres!$G$5:$G$57,0)),INDEX($E$383:$E$435,MATCH(Paramètres!N29,Paramètres!$G$5:$G$57,0)))+IF(RIGHT(TRIM(Paramètres!O29),3)="Fin",1-$H407,IF(LEFT(TRIM(Paramètres!O29),1)="F",1,0)))))))</f>
        <v/>
      </c>
      <c r="F407" s="19">
        <f>IF($A407="","",E407+$H407-1)</f>
        <v/>
      </c>
      <c r="G407" s="18" t="n"/>
      <c r="H407" s="18">
        <f>IF($A407="","",IF(I407&lt;&gt;"",I407,Paramètres!B29))</f>
        <v/>
      </c>
      <c r="I407" s="18" t="n"/>
    </row>
    <row r="408">
      <c r="A408" s="18">
        <f>IF(ISNUMBER(Dossiers!$D$11),Dossiers!$A$11&amp;" · "&amp;Dossiers!$B$11,"")</f>
        <v/>
      </c>
      <c r="B408" s="18">
        <f>IF($A408="","",Paramètres!G30)</f>
        <v/>
      </c>
      <c r="C408" s="18">
        <f>IF($A408="","",IF(Paramètres!H30="","",Paramètres!H30))</f>
        <v/>
      </c>
      <c r="D408" s="18">
        <f>IF($A408="","",IF(Paramètres!I30="","",Paramètres!I30))</f>
        <v/>
      </c>
      <c r="E408" s="19">
        <f>IF($A408="","",IF(Paramètres!J30&amp;Paramètres!L30&amp;Paramètres!N30="",Dossiers!$D$11,MAX(IF(Paramètres!J30="",0,IF(Paramètres!K30="",NA(),IF(LEFT(TRIM(Paramètres!K30),1)="F",INDEX($F$383:$F$435,MATCH(Paramètres!J30,Paramètres!$G$5:$G$57,0)),INDEX($E$383:$E$435,MATCH(Paramètres!J30,Paramètres!$G$5:$G$57,0)))+IF(RIGHT(TRIM(Paramètres!K30),3)="Fin",1-$H408,IF(LEFT(TRIM(Paramètres!K30),1)="F",1,0)))),IF(Paramètres!L30="",0,IF(Paramètres!M30="",NA(),IF(LEFT(TRIM(Paramètres!M30),1)="F",INDEX($F$383:$F$435,MATCH(Paramètres!L30,Paramètres!$G$5:$G$57,0)),INDEX($E$383:$E$435,MATCH(Paramètres!L30,Paramètres!$G$5:$G$57,0)))+IF(RIGHT(TRIM(Paramètres!M30),3)="Fin",1-$H408,IF(LEFT(TRIM(Paramètres!M30),1)="F",1,0)))),IF(Paramètres!N30="",0,IF(Paramètres!O30="",NA(),IF(LEFT(TRIM(Paramètres!O30),1)="F",INDEX($F$383:$F$435,MATCH(Paramètres!N30,Paramètres!$G$5:$G$57,0)),INDEX($E$383:$E$435,MATCH(Paramètres!N30,Paramètres!$G$5:$G$57,0)))+IF(RIGHT(TRIM(Paramètres!O30),3)="Fin",1-$H408,IF(LEFT(TRIM(Paramètres!O30),1)="F",1,0)))))))</f>
        <v/>
      </c>
      <c r="F408" s="19">
        <f>IF($A408="","",E408+$H408-1)</f>
        <v/>
      </c>
      <c r="G408" s="18" t="n"/>
      <c r="H408" s="18">
        <f>IF($A408="","",IF(I408&lt;&gt;"",I408,Paramètres!B30))</f>
        <v/>
      </c>
      <c r="I408" s="18" t="n"/>
    </row>
    <row r="409">
      <c r="A409" s="18">
        <f>IF(ISNUMBER(Dossiers!$D$11),Dossiers!$A$11&amp;" · "&amp;Dossiers!$B$11,"")</f>
        <v/>
      </c>
      <c r="B409" s="18">
        <f>IF($A409="","",Paramètres!G31)</f>
        <v/>
      </c>
      <c r="C409" s="20">
        <f>IF($A409="","",IF(Dossiers!$F$11="","",Dossiers!$F$11))</f>
        <v/>
      </c>
      <c r="D409" s="18">
        <f>IF($A409="","",IF(Paramètres!I31="","",Paramètres!I31))</f>
        <v/>
      </c>
      <c r="E409" s="19">
        <f>IF($A409="","",IF(Paramètres!J31&amp;Paramètres!L31&amp;Paramètres!N31="",Dossiers!$D$11,MAX(IF(Paramètres!J31="",0,IF(Paramètres!K31="",NA(),IF(LEFT(TRIM(Paramètres!K31),1)="F",INDEX($F$383:$F$435,MATCH(Paramètres!J31,Paramètres!$G$5:$G$57,0)),INDEX($E$383:$E$435,MATCH(Paramètres!J31,Paramètres!$G$5:$G$57,0)))+IF(RIGHT(TRIM(Paramètres!K31),3)="Fin",1-$H409,IF(LEFT(TRIM(Paramètres!K31),1)="F",1,0)))),IF(Paramètres!L31="",0,IF(Paramètres!M31="",NA(),IF(LEFT(TRIM(Paramètres!M31),1)="F",INDEX($F$383:$F$435,MATCH(Paramètres!L31,Paramètres!$G$5:$G$57,0)),INDEX($E$383:$E$435,MATCH(Paramètres!L31,Paramètres!$G$5:$G$57,0)))+IF(RIGHT(TRIM(Paramètres!M31),3)="Fin",1-$H409,IF(LEFT(TRIM(Paramètres!M31),1)="F",1,0)))),IF(Paramètres!N31="",0,IF(Paramètres!O31="",NA(),IF(LEFT(TRIM(Paramètres!O31),1)="F",INDEX($F$383:$F$435,MATCH(Paramètres!N31,Paramètres!$G$5:$G$57,0)),INDEX($E$383:$E$435,MATCH(Paramètres!N31,Paramètres!$G$5:$G$57,0)))+IF(RIGHT(TRIM(Paramètres!O31),3)="Fin",1-$H409,IF(LEFT(TRIM(Paramètres!O31),1)="F",1,0)))))))</f>
        <v/>
      </c>
      <c r="F409" s="19">
        <f>IF($A409="","",E409+$H409-1)</f>
        <v/>
      </c>
      <c r="G409" s="18" t="n"/>
      <c r="H409" s="18">
        <f>IF($A409="","",IF(I409&lt;&gt;"",I409,Paramètres!B31))</f>
        <v/>
      </c>
      <c r="I409" s="18" t="n"/>
    </row>
    <row r="410">
      <c r="A410" s="18">
        <f>IF(ISNUMBER(Dossiers!$D$11),Dossiers!$A$11&amp;" · "&amp;Dossiers!$B$11,"")</f>
        <v/>
      </c>
      <c r="B410" s="18">
        <f>IF($A410="","",Paramètres!G32)</f>
        <v/>
      </c>
      <c r="C410" s="18">
        <f>IF($A410="","",IF(Paramètres!H32="","",Paramètres!H32))</f>
        <v/>
      </c>
      <c r="D410" s="18">
        <f>IF($A410="","",IF(Paramètres!I32="","",Paramètres!I32))</f>
        <v/>
      </c>
      <c r="E410" s="19">
        <f>IF($A410="","",MIN(E411:E414))</f>
        <v/>
      </c>
      <c r="F410" s="19">
        <f>IF($A410="","",MAX(F411:F414))</f>
        <v/>
      </c>
      <c r="G410" s="18" t="n"/>
      <c r="H410" s="18">
        <f>IF($A410="","",F410-E410+1)</f>
        <v/>
      </c>
      <c r="I410" s="18" t="n"/>
    </row>
    <row r="411">
      <c r="A411" s="18">
        <f>IF(ISNUMBER(Dossiers!$D$11),Dossiers!$A$11&amp;" · "&amp;Dossiers!$B$11,"")</f>
        <v/>
      </c>
      <c r="B411" s="18">
        <f>IF($A411="","",Paramètres!G33)</f>
        <v/>
      </c>
      <c r="C411" s="18">
        <f>IF($A411="","",IF(Paramètres!H33="","",Paramètres!H33))</f>
        <v/>
      </c>
      <c r="D411" s="18">
        <f>IF($A411="","",IF(Paramètres!I33="","",Paramètres!I33))</f>
        <v/>
      </c>
      <c r="E411" s="19">
        <f>IF($A411="","",IF(Paramètres!J33&amp;Paramètres!L33&amp;Paramètres!N33="",Dossiers!$D$11,MAX(IF(Paramètres!J33="",0,IF(Paramètres!K33="",NA(),IF(LEFT(TRIM(Paramètres!K33),1)="F",INDEX($F$383:$F$435,MATCH(Paramètres!J33,Paramètres!$G$5:$G$57,0)),INDEX($E$383:$E$435,MATCH(Paramètres!J33,Paramètres!$G$5:$G$57,0)))+IF(RIGHT(TRIM(Paramètres!K33),3)="Fin",1-$H411,IF(LEFT(TRIM(Paramètres!K33),1)="F",1,0)))),IF(Paramètres!L33="",0,IF(Paramètres!M33="",NA(),IF(LEFT(TRIM(Paramètres!M33),1)="F",INDEX($F$383:$F$435,MATCH(Paramètres!L33,Paramètres!$G$5:$G$57,0)),INDEX($E$383:$E$435,MATCH(Paramètres!L33,Paramètres!$G$5:$G$57,0)))+IF(RIGHT(TRIM(Paramètres!M33),3)="Fin",1-$H411,IF(LEFT(TRIM(Paramètres!M33),1)="F",1,0)))),IF(Paramètres!N33="",0,IF(Paramètres!O33="",NA(),IF(LEFT(TRIM(Paramètres!O33),1)="F",INDEX($F$383:$F$435,MATCH(Paramètres!N33,Paramètres!$G$5:$G$57,0)),INDEX($E$383:$E$435,MATCH(Paramètres!N33,Paramètres!$G$5:$G$57,0)))+IF(RIGHT(TRIM(Paramètres!O33),3)="Fin",1-$H411,IF(LEFT(TRIM(Paramètres!O33),1)="F",1,0)))))))</f>
        <v/>
      </c>
      <c r="F411" s="19">
        <f>IF($A411="","",E411+$H411-1)</f>
        <v/>
      </c>
      <c r="G411" s="18" t="n"/>
      <c r="H411" s="18">
        <f>IF($A411="","",IF(I411&lt;&gt;"",I411,Paramètres!B33))</f>
        <v/>
      </c>
      <c r="I411" s="18" t="n"/>
    </row>
    <row r="412">
      <c r="A412" s="18">
        <f>IF(ISNUMBER(Dossiers!$D$11),Dossiers!$A$11&amp;" · "&amp;Dossiers!$B$11,"")</f>
        <v/>
      </c>
      <c r="B412" s="18">
        <f>IF($A412="","",Paramètres!G34)</f>
        <v/>
      </c>
      <c r="C412" s="18">
        <f>IF($A412="","",IF(Paramètres!H34="","",Paramètres!H34))</f>
        <v/>
      </c>
      <c r="D412" s="18">
        <f>IF($A412="","",IF(Paramètres!I34="","",Paramètres!I34))</f>
        <v/>
      </c>
      <c r="E412" s="19">
        <f>IF($A412="","",IF(Paramètres!J34&amp;Paramètres!L34&amp;Paramètres!N34="",Dossiers!$D$11,MAX(IF(Paramètres!J34="",0,IF(Paramètres!K34="",NA(),IF(LEFT(TRIM(Paramètres!K34),1)="F",INDEX($F$383:$F$435,MATCH(Paramètres!J34,Paramètres!$G$5:$G$57,0)),INDEX($E$383:$E$435,MATCH(Paramètres!J34,Paramètres!$G$5:$G$57,0)))+IF(RIGHT(TRIM(Paramètres!K34),3)="Fin",1-$H412,IF(LEFT(TRIM(Paramètres!K34),1)="F",1,0)))),IF(Paramètres!L34="",0,IF(Paramètres!M34="",NA(),IF(LEFT(TRIM(Paramètres!M34),1)="F",INDEX($F$383:$F$435,MATCH(Paramètres!L34,Paramètres!$G$5:$G$57,0)),INDEX($E$383:$E$435,MATCH(Paramètres!L34,Paramètres!$G$5:$G$57,0)))+IF(RIGHT(TRIM(Paramètres!M34),3)="Fin",1-$H412,IF(LEFT(TRIM(Paramètres!M34),1)="F",1,0)))),IF(Paramètres!N34="",0,IF(Paramètres!O34="",NA(),IF(LEFT(TRIM(Paramètres!O34),1)="F",INDEX($F$383:$F$435,MATCH(Paramètres!N34,Paramètres!$G$5:$G$57,0)),INDEX($E$383:$E$435,MATCH(Paramètres!N34,Paramètres!$G$5:$G$57,0)))+IF(RIGHT(TRIM(Paramètres!O34),3)="Fin",1-$H412,IF(LEFT(TRIM(Paramètres!O34),1)="F",1,0)))))))</f>
        <v/>
      </c>
      <c r="F412" s="19">
        <f>IF($A412="","",E412+$H412-1)</f>
        <v/>
      </c>
      <c r="G412" s="18" t="n"/>
      <c r="H412" s="18">
        <f>IF($A412="","",IF(I412&lt;&gt;"",I412,Paramètres!B34))</f>
        <v/>
      </c>
      <c r="I412" s="18" t="n"/>
    </row>
    <row r="413">
      <c r="A413" s="18">
        <f>IF(ISNUMBER(Dossiers!$D$11),Dossiers!$A$11&amp;" · "&amp;Dossiers!$B$11,"")</f>
        <v/>
      </c>
      <c r="B413" s="18">
        <f>IF($A413="","",Paramètres!G35)</f>
        <v/>
      </c>
      <c r="C413" s="18">
        <f>IF($A413="","",IF(Paramètres!H35="","",Paramètres!H35))</f>
        <v/>
      </c>
      <c r="D413" s="18">
        <f>IF($A413="","",IF(Paramètres!I35="","",Paramètres!I35))</f>
        <v/>
      </c>
      <c r="E413" s="19">
        <f>IF($A413="","",IF(Paramètres!J35&amp;Paramètres!L35&amp;Paramètres!N35="",Dossiers!$D$11,MAX(IF(Paramètres!J35="",0,IF(Paramètres!K35="",NA(),IF(LEFT(TRIM(Paramètres!K35),1)="F",INDEX($F$383:$F$435,MATCH(Paramètres!J35,Paramètres!$G$5:$G$57,0)),INDEX($E$383:$E$435,MATCH(Paramètres!J35,Paramètres!$G$5:$G$57,0)))+IF(RIGHT(TRIM(Paramètres!K35),3)="Fin",1-$H413,IF(LEFT(TRIM(Paramètres!K35),1)="F",1,0)))),IF(Paramètres!L35="",0,IF(Paramètres!M35="",NA(),IF(LEFT(TRIM(Paramètres!M35),1)="F",INDEX($F$383:$F$435,MATCH(Paramètres!L35,Paramètres!$G$5:$G$57,0)),INDEX($E$383:$E$435,MATCH(Paramètres!L35,Paramètres!$G$5:$G$57,0)))+IF(RIGHT(TRIM(Paramètres!M35),3)="Fin",1-$H413,IF(LEFT(TRIM(Paramètres!M35),1)="F",1,0)))),IF(Paramètres!N35="",0,IF(Paramètres!O35="",NA(),IF(LEFT(TRIM(Paramètres!O35),1)="F",INDEX($F$383:$F$435,MATCH(Paramètres!N35,Paramètres!$G$5:$G$57,0)),INDEX($E$383:$E$435,MATCH(Paramètres!N35,Paramètres!$G$5:$G$57,0)))+IF(RIGHT(TRIM(Paramètres!O35),3)="Fin",1-$H413,IF(LEFT(TRIM(Paramètres!O35),1)="F",1,0)))))))</f>
        <v/>
      </c>
      <c r="F413" s="19">
        <f>IF($A413="","",E413+$H413-1)</f>
        <v/>
      </c>
      <c r="G413" s="18" t="n"/>
      <c r="H413" s="18">
        <f>IF($A413="","",IF(I413&lt;&gt;"",I413,Paramètres!B35))</f>
        <v/>
      </c>
      <c r="I413" s="18" t="n"/>
    </row>
    <row r="414">
      <c r="A414" s="18">
        <f>IF(ISNUMBER(Dossiers!$D$11),Dossiers!$A$11&amp;" · "&amp;Dossiers!$B$11,"")</f>
        <v/>
      </c>
      <c r="B414" s="18">
        <f>IF($A414="","",Paramètres!G36)</f>
        <v/>
      </c>
      <c r="C414" s="18">
        <f>IF($A414="","",IF(Paramètres!H36="","",Paramètres!H36))</f>
        <v/>
      </c>
      <c r="D414" s="18">
        <f>IF($A414="","",IF(Paramètres!I36="","",Paramètres!I36))</f>
        <v/>
      </c>
      <c r="E414" s="19">
        <f>IF($A414="","",IF(Paramètres!J36&amp;Paramètres!L36&amp;Paramètres!N36="",Dossiers!$D$11,MAX(IF(Paramètres!J36="",0,IF(Paramètres!K36="",NA(),IF(LEFT(TRIM(Paramètres!K36),1)="F",INDEX($F$383:$F$435,MATCH(Paramètres!J36,Paramètres!$G$5:$G$57,0)),INDEX($E$383:$E$435,MATCH(Paramètres!J36,Paramètres!$G$5:$G$57,0)))+IF(RIGHT(TRIM(Paramètres!K36),3)="Fin",1-$H414,IF(LEFT(TRIM(Paramètres!K36),1)="F",1,0)))),IF(Paramètres!L36="",0,IF(Paramètres!M36="",NA(),IF(LEFT(TRIM(Paramètres!M36),1)="F",INDEX($F$383:$F$435,MATCH(Paramètres!L36,Paramètres!$G$5:$G$57,0)),INDEX($E$383:$E$435,MATCH(Paramètres!L36,Paramètres!$G$5:$G$57,0)))+IF(RIGHT(TRIM(Paramètres!M36),3)="Fin",1-$H414,IF(LEFT(TRIM(Paramètres!M36),1)="F",1,0)))),IF(Paramètres!N36="",0,IF(Paramètres!O36="",NA(),IF(LEFT(TRIM(Paramètres!O36),1)="F",INDEX($F$383:$F$435,MATCH(Paramètres!N36,Paramètres!$G$5:$G$57,0)),INDEX($E$383:$E$435,MATCH(Paramètres!N36,Paramètres!$G$5:$G$57,0)))+IF(RIGHT(TRIM(Paramètres!O36),3)="Fin",1-$H414,IF(LEFT(TRIM(Paramètres!O36),1)="F",1,0)))))))</f>
        <v/>
      </c>
      <c r="F414" s="19">
        <f>IF($A414="","",E414+$H414-1)</f>
        <v/>
      </c>
      <c r="G414" s="18" t="n"/>
      <c r="H414" s="18">
        <f>IF($A414="","",IF(I414&lt;&gt;"",I414,Paramètres!B36))</f>
        <v/>
      </c>
      <c r="I414" s="18" t="n"/>
    </row>
    <row r="415">
      <c r="A415" s="18">
        <f>IF(ISNUMBER(Dossiers!$D$11),Dossiers!$A$11&amp;" · "&amp;Dossiers!$B$11,"")</f>
        <v/>
      </c>
      <c r="B415" s="18">
        <f>IF($A415="","",Paramètres!G37)</f>
        <v/>
      </c>
      <c r="C415" s="18">
        <f>IF($A415="","",IF(Paramètres!H37="","",Paramètres!H37))</f>
        <v/>
      </c>
      <c r="D415" s="18">
        <f>IF($A415="","",IF(Paramètres!I37="","",Paramètres!I37))</f>
        <v/>
      </c>
      <c r="E415" s="19">
        <f>IF($A415="","",MIN(E416:E433))</f>
        <v/>
      </c>
      <c r="F415" s="19">
        <f>IF($A415="","",MAX(F416:F433))</f>
        <v/>
      </c>
      <c r="G415" s="18" t="n"/>
      <c r="H415" s="18">
        <f>IF($A415="","",F415-E415+1)</f>
        <v/>
      </c>
      <c r="I415" s="18" t="n"/>
    </row>
    <row r="416">
      <c r="A416" s="18">
        <f>IF(ISNUMBER(Dossiers!$D$11),Dossiers!$A$11&amp;" · "&amp;Dossiers!$B$11,"")</f>
        <v/>
      </c>
      <c r="B416" s="18">
        <f>IF($A416="","",Paramètres!G38)</f>
        <v/>
      </c>
      <c r="C416" s="18">
        <f>IF($A416="","",IF(Paramètres!H38="","",Paramètres!H38))</f>
        <v/>
      </c>
      <c r="D416" s="18">
        <f>IF($A416="","",IF(Paramètres!I38="","",Paramètres!I38))</f>
        <v/>
      </c>
      <c r="E416" s="19">
        <f>IF($A416="","",IF(Paramètres!J38&amp;Paramètres!L38&amp;Paramètres!N38="",Dossiers!$D$11,MAX(IF(Paramètres!J38="",0,IF(Paramètres!K38="",NA(),IF(LEFT(TRIM(Paramètres!K38),1)="F",INDEX($F$383:$F$435,MATCH(Paramètres!J38,Paramètres!$G$5:$G$57,0)),INDEX($E$383:$E$435,MATCH(Paramètres!J38,Paramètres!$G$5:$G$57,0)))+IF(RIGHT(TRIM(Paramètres!K38),3)="Fin",1-$H416,IF(LEFT(TRIM(Paramètres!K38),1)="F",1,0)))),IF(Paramètres!L38="",0,IF(Paramètres!M38="",NA(),IF(LEFT(TRIM(Paramètres!M38),1)="F",INDEX($F$383:$F$435,MATCH(Paramètres!L38,Paramètres!$G$5:$G$57,0)),INDEX($E$383:$E$435,MATCH(Paramètres!L38,Paramètres!$G$5:$G$57,0)))+IF(RIGHT(TRIM(Paramètres!M38),3)="Fin",1-$H416,IF(LEFT(TRIM(Paramètres!M38),1)="F",1,0)))),IF(Paramètres!N38="",0,IF(Paramètres!O38="",NA(),IF(LEFT(TRIM(Paramètres!O38),1)="F",INDEX($F$383:$F$435,MATCH(Paramètres!N38,Paramètres!$G$5:$G$57,0)),INDEX($E$383:$E$435,MATCH(Paramètres!N38,Paramètres!$G$5:$G$57,0)))+IF(RIGHT(TRIM(Paramètres!O38),3)="Fin",1-$H416,IF(LEFT(TRIM(Paramètres!O38),1)="F",1,0)))))))</f>
        <v/>
      </c>
      <c r="F416" s="19">
        <f>IF($A416="","",E416+$H416-1)</f>
        <v/>
      </c>
      <c r="G416" s="18" t="n"/>
      <c r="H416" s="18">
        <f>IF($A416="","",IF(I416&lt;&gt;"",I416,Paramètres!B38))</f>
        <v/>
      </c>
      <c r="I416" s="18" t="n"/>
    </row>
    <row r="417">
      <c r="A417" s="18">
        <f>IF(ISNUMBER(Dossiers!$D$11),Dossiers!$A$11&amp;" · "&amp;Dossiers!$B$11,"")</f>
        <v/>
      </c>
      <c r="B417" s="18">
        <f>IF($A417="","",Paramètres!G39)</f>
        <v/>
      </c>
      <c r="C417" s="18">
        <f>IF($A417="","",IF(Paramètres!H39="","",Paramètres!H39))</f>
        <v/>
      </c>
      <c r="D417" s="18">
        <f>IF($A417="","",IF(Paramètres!I39="","",Paramètres!I39))</f>
        <v/>
      </c>
      <c r="E417" s="19">
        <f>IF($A417="","",IF(Paramètres!J39&amp;Paramètres!L39&amp;Paramètres!N39="",Dossiers!$D$11,MAX(IF(Paramètres!J39="",0,IF(Paramètres!K39="",NA(),IF(LEFT(TRIM(Paramètres!K39),1)="F",INDEX($F$383:$F$435,MATCH(Paramètres!J39,Paramètres!$G$5:$G$57,0)),INDEX($E$383:$E$435,MATCH(Paramètres!J39,Paramètres!$G$5:$G$57,0)))+IF(RIGHT(TRIM(Paramètres!K39),3)="Fin",1-$H417,IF(LEFT(TRIM(Paramètres!K39),1)="F",1,0)))),IF(Paramètres!L39="",0,IF(Paramètres!M39="",NA(),IF(LEFT(TRIM(Paramètres!M39),1)="F",INDEX($F$383:$F$435,MATCH(Paramètres!L39,Paramètres!$G$5:$G$57,0)),INDEX($E$383:$E$435,MATCH(Paramètres!L39,Paramètres!$G$5:$G$57,0)))+IF(RIGHT(TRIM(Paramètres!M39),3)="Fin",1-$H417,IF(LEFT(TRIM(Paramètres!M39),1)="F",1,0)))),IF(Paramètres!N39="",0,IF(Paramètres!O39="",NA(),IF(LEFT(TRIM(Paramètres!O39),1)="F",INDEX($F$383:$F$435,MATCH(Paramètres!N39,Paramètres!$G$5:$G$57,0)),INDEX($E$383:$E$435,MATCH(Paramètres!N39,Paramètres!$G$5:$G$57,0)))+IF(RIGHT(TRIM(Paramètres!O39),3)="Fin",1-$H417,IF(LEFT(TRIM(Paramètres!O39),1)="F",1,0)))))))</f>
        <v/>
      </c>
      <c r="F417" s="19">
        <f>IF($A417="","",E417+$H417-1)</f>
        <v/>
      </c>
      <c r="G417" s="18" t="n"/>
      <c r="H417" s="18">
        <f>IF($A417="","",IF(I417&lt;&gt;"",I417,Paramètres!B39))</f>
        <v/>
      </c>
      <c r="I417" s="18" t="n"/>
    </row>
    <row r="418">
      <c r="A418" s="18">
        <f>IF(ISNUMBER(Dossiers!$D$11),Dossiers!$A$11&amp;" · "&amp;Dossiers!$B$11,"")</f>
        <v/>
      </c>
      <c r="B418" s="18">
        <f>IF($A418="","",Paramètres!G40)</f>
        <v/>
      </c>
      <c r="C418" s="18">
        <f>IF($A418="","",IF(Paramètres!H40="","",Paramètres!H40))</f>
        <v/>
      </c>
      <c r="D418" s="18">
        <f>IF($A418="","",IF(Paramètres!I40="","",Paramètres!I40))</f>
        <v/>
      </c>
      <c r="E418" s="19">
        <f>IF($A418="","",IF(Paramètres!J40&amp;Paramètres!L40&amp;Paramètres!N40="",Dossiers!$D$11,MAX(IF(Paramètres!J40="",0,IF(Paramètres!K40="",NA(),IF(LEFT(TRIM(Paramètres!K40),1)="F",INDEX($F$383:$F$435,MATCH(Paramètres!J40,Paramètres!$G$5:$G$57,0)),INDEX($E$383:$E$435,MATCH(Paramètres!J40,Paramètres!$G$5:$G$57,0)))+IF(RIGHT(TRIM(Paramètres!K40),3)="Fin",1-$H418,IF(LEFT(TRIM(Paramètres!K40),1)="F",1,0)))),IF(Paramètres!L40="",0,IF(Paramètres!M40="",NA(),IF(LEFT(TRIM(Paramètres!M40),1)="F",INDEX($F$383:$F$435,MATCH(Paramètres!L40,Paramètres!$G$5:$G$57,0)),INDEX($E$383:$E$435,MATCH(Paramètres!L40,Paramètres!$G$5:$G$57,0)))+IF(RIGHT(TRIM(Paramètres!M40),3)="Fin",1-$H418,IF(LEFT(TRIM(Paramètres!M40),1)="F",1,0)))),IF(Paramètres!N40="",0,IF(Paramètres!O40="",NA(),IF(LEFT(TRIM(Paramètres!O40),1)="F",INDEX($F$383:$F$435,MATCH(Paramètres!N40,Paramètres!$G$5:$G$57,0)),INDEX($E$383:$E$435,MATCH(Paramètres!N40,Paramètres!$G$5:$G$57,0)))+IF(RIGHT(TRIM(Paramètres!O40),3)="Fin",1-$H418,IF(LEFT(TRIM(Paramètres!O40),1)="F",1,0)))))))</f>
        <v/>
      </c>
      <c r="F418" s="19">
        <f>IF($A418="","",E418+$H418-1)</f>
        <v/>
      </c>
      <c r="G418" s="18" t="n"/>
      <c r="H418" s="18">
        <f>IF($A418="","",IF(I418&lt;&gt;"",I418,Paramètres!B40))</f>
        <v/>
      </c>
      <c r="I418" s="18" t="n"/>
    </row>
    <row r="419">
      <c r="A419" s="18">
        <f>IF(ISNUMBER(Dossiers!$D$11),Dossiers!$A$11&amp;" · "&amp;Dossiers!$B$11,"")</f>
        <v/>
      </c>
      <c r="B419" s="18">
        <f>IF($A419="","",Paramètres!G41)</f>
        <v/>
      </c>
      <c r="C419" s="18">
        <f>IF($A419="","",IF(Paramètres!H41="","",Paramètres!H41))</f>
        <v/>
      </c>
      <c r="D419" s="18">
        <f>IF($A419="","",IF(Paramètres!I41="","",Paramètres!I41))</f>
        <v/>
      </c>
      <c r="E419" s="19">
        <f>IF($A419="","",IF(Paramètres!J41&amp;Paramètres!L41&amp;Paramètres!N41="",Dossiers!$D$11,MAX(IF(Paramètres!J41="",0,IF(Paramètres!K41="",NA(),IF(LEFT(TRIM(Paramètres!K41),1)="F",INDEX($F$383:$F$435,MATCH(Paramètres!J41,Paramètres!$G$5:$G$57,0)),INDEX($E$383:$E$435,MATCH(Paramètres!J41,Paramètres!$G$5:$G$57,0)))+IF(RIGHT(TRIM(Paramètres!K41),3)="Fin",1-$H419,IF(LEFT(TRIM(Paramètres!K41),1)="F",1,0)))),IF(Paramètres!L41="",0,IF(Paramètres!M41="",NA(),IF(LEFT(TRIM(Paramètres!M41),1)="F",INDEX($F$383:$F$435,MATCH(Paramètres!L41,Paramètres!$G$5:$G$57,0)),INDEX($E$383:$E$435,MATCH(Paramètres!L41,Paramètres!$G$5:$G$57,0)))+IF(RIGHT(TRIM(Paramètres!M41),3)="Fin",1-$H419,IF(LEFT(TRIM(Paramètres!M41),1)="F",1,0)))),IF(Paramètres!N41="",0,IF(Paramètres!O41="",NA(),IF(LEFT(TRIM(Paramètres!O41),1)="F",INDEX($F$383:$F$435,MATCH(Paramètres!N41,Paramètres!$G$5:$G$57,0)),INDEX($E$383:$E$435,MATCH(Paramètres!N41,Paramètres!$G$5:$G$57,0)))+IF(RIGHT(TRIM(Paramètres!O41),3)="Fin",1-$H419,IF(LEFT(TRIM(Paramètres!O41),1)="F",1,0)))))))</f>
        <v/>
      </c>
      <c r="F419" s="19">
        <f>IF($A419="","",E419+$H419-1)</f>
        <v/>
      </c>
      <c r="G419" s="18" t="n"/>
      <c r="H419" s="18">
        <f>IF($A419="","",IF(I419&lt;&gt;"",I419,Paramètres!B41))</f>
        <v/>
      </c>
      <c r="I419" s="18" t="n"/>
    </row>
    <row r="420">
      <c r="A420" s="18">
        <f>IF(ISNUMBER(Dossiers!$D$11),Dossiers!$A$11&amp;" · "&amp;Dossiers!$B$11,"")</f>
        <v/>
      </c>
      <c r="B420" s="18">
        <f>IF($A420="","",Paramètres!G42)</f>
        <v/>
      </c>
      <c r="C420" s="18">
        <f>IF($A420="","",IF(Paramètres!H42="","",Paramètres!H42))</f>
        <v/>
      </c>
      <c r="D420" s="18">
        <f>IF($A420="","",IF(Paramètres!I42="","",Paramètres!I42))</f>
        <v/>
      </c>
      <c r="E420" s="19">
        <f>IF($A420="","",IF(Paramètres!J42&amp;Paramètres!L42&amp;Paramètres!N42="",Dossiers!$D$11,MAX(IF(Paramètres!J42="",0,IF(Paramètres!K42="",NA(),IF(LEFT(TRIM(Paramètres!K42),1)="F",INDEX($F$383:$F$435,MATCH(Paramètres!J42,Paramètres!$G$5:$G$57,0)),INDEX($E$383:$E$435,MATCH(Paramètres!J42,Paramètres!$G$5:$G$57,0)))+IF(RIGHT(TRIM(Paramètres!K42),3)="Fin",1-$H420,IF(LEFT(TRIM(Paramètres!K42),1)="F",1,0)))),IF(Paramètres!L42="",0,IF(Paramètres!M42="",NA(),IF(LEFT(TRIM(Paramètres!M42),1)="F",INDEX($F$383:$F$435,MATCH(Paramètres!L42,Paramètres!$G$5:$G$57,0)),INDEX($E$383:$E$435,MATCH(Paramètres!L42,Paramètres!$G$5:$G$57,0)))+IF(RIGHT(TRIM(Paramètres!M42),3)="Fin",1-$H420,IF(LEFT(TRIM(Paramètres!M42),1)="F",1,0)))),IF(Paramètres!N42="",0,IF(Paramètres!O42="",NA(),IF(LEFT(TRIM(Paramètres!O42),1)="F",INDEX($F$383:$F$435,MATCH(Paramètres!N42,Paramètres!$G$5:$G$57,0)),INDEX($E$383:$E$435,MATCH(Paramètres!N42,Paramètres!$G$5:$G$57,0)))+IF(RIGHT(TRIM(Paramètres!O42),3)="Fin",1-$H420,IF(LEFT(TRIM(Paramètres!O42),1)="F",1,0)))))))</f>
        <v/>
      </c>
      <c r="F420" s="19">
        <f>IF($A420="","",E420+$H420-1)</f>
        <v/>
      </c>
      <c r="G420" s="18" t="n"/>
      <c r="H420" s="18">
        <f>IF($A420="","",IF(I420&lt;&gt;"",I420,Paramètres!B42))</f>
        <v/>
      </c>
      <c r="I420" s="18" t="n"/>
    </row>
    <row r="421">
      <c r="A421" s="18">
        <f>IF(ISNUMBER(Dossiers!$D$11),Dossiers!$A$11&amp;" · "&amp;Dossiers!$B$11,"")</f>
        <v/>
      </c>
      <c r="B421" s="18">
        <f>IF($A421="","",Paramètres!G43)</f>
        <v/>
      </c>
      <c r="C421" s="18">
        <f>IF($A421="","",IF(Paramètres!H43="","",Paramètres!H43))</f>
        <v/>
      </c>
      <c r="D421" s="18">
        <f>IF($A421="","",IF(Paramètres!I43="","",Paramètres!I43))</f>
        <v/>
      </c>
      <c r="E421" s="19">
        <f>IF($A421="","",IF(Paramètres!J43&amp;Paramètres!L43&amp;Paramètres!N43="",Dossiers!$D$11,MAX(IF(Paramètres!J43="",0,IF(Paramètres!K43="",NA(),IF(LEFT(TRIM(Paramètres!K43),1)="F",INDEX($F$383:$F$435,MATCH(Paramètres!J43,Paramètres!$G$5:$G$57,0)),INDEX($E$383:$E$435,MATCH(Paramètres!J43,Paramètres!$G$5:$G$57,0)))+IF(RIGHT(TRIM(Paramètres!K43),3)="Fin",1-$H421,IF(LEFT(TRIM(Paramètres!K43),1)="F",1,0)))),IF(Paramètres!L43="",0,IF(Paramètres!M43="",NA(),IF(LEFT(TRIM(Paramètres!M43),1)="F",INDEX($F$383:$F$435,MATCH(Paramètres!L43,Paramètres!$G$5:$G$57,0)),INDEX($E$383:$E$435,MATCH(Paramètres!L43,Paramètres!$G$5:$G$57,0)))+IF(RIGHT(TRIM(Paramètres!M43),3)="Fin",1-$H421,IF(LEFT(TRIM(Paramètres!M43),1)="F",1,0)))),IF(Paramètres!N43="",0,IF(Paramètres!O43="",NA(),IF(LEFT(TRIM(Paramètres!O43),1)="F",INDEX($F$383:$F$435,MATCH(Paramètres!N43,Paramètres!$G$5:$G$57,0)),INDEX($E$383:$E$435,MATCH(Paramètres!N43,Paramètres!$G$5:$G$57,0)))+IF(RIGHT(TRIM(Paramètres!O43),3)="Fin",1-$H421,IF(LEFT(TRIM(Paramètres!O43),1)="F",1,0)))))))</f>
        <v/>
      </c>
      <c r="F421" s="19">
        <f>IF($A421="","",E421+$H421-1)</f>
        <v/>
      </c>
      <c r="G421" s="18" t="n"/>
      <c r="H421" s="18">
        <f>IF($A421="","",IF(I421&lt;&gt;"",I421,Paramètres!B43))</f>
        <v/>
      </c>
      <c r="I421" s="18" t="n"/>
    </row>
    <row r="422">
      <c r="A422" s="18">
        <f>IF(ISNUMBER(Dossiers!$D$11),Dossiers!$A$11&amp;" · "&amp;Dossiers!$B$11,"")</f>
        <v/>
      </c>
      <c r="B422" s="18">
        <f>IF($A422="","",Paramètres!G44)</f>
        <v/>
      </c>
      <c r="C422" s="18">
        <f>IF($A422="","",IF(Paramètres!H44="","",Paramètres!H44))</f>
        <v/>
      </c>
      <c r="D422" s="18">
        <f>IF($A422="","",IF(Paramètres!I44="","",Paramètres!I44))</f>
        <v/>
      </c>
      <c r="E422" s="19">
        <f>IF($A422="","",IF(Paramètres!J44&amp;Paramètres!L44&amp;Paramètres!N44="",Dossiers!$D$11,MAX(IF(Paramètres!J44="",0,IF(Paramètres!K44="",NA(),IF(LEFT(TRIM(Paramètres!K44),1)="F",INDEX($F$383:$F$435,MATCH(Paramètres!J44,Paramètres!$G$5:$G$57,0)),INDEX($E$383:$E$435,MATCH(Paramètres!J44,Paramètres!$G$5:$G$57,0)))+IF(RIGHT(TRIM(Paramètres!K44),3)="Fin",1-$H422,IF(LEFT(TRIM(Paramètres!K44),1)="F",1,0)))),IF(Paramètres!L44="",0,IF(Paramètres!M44="",NA(),IF(LEFT(TRIM(Paramètres!M44),1)="F",INDEX($F$383:$F$435,MATCH(Paramètres!L44,Paramètres!$G$5:$G$57,0)),INDEX($E$383:$E$435,MATCH(Paramètres!L44,Paramètres!$G$5:$G$57,0)))+IF(RIGHT(TRIM(Paramètres!M44),3)="Fin",1-$H422,IF(LEFT(TRIM(Paramètres!M44),1)="F",1,0)))),IF(Paramètres!N44="",0,IF(Paramètres!O44="",NA(),IF(LEFT(TRIM(Paramètres!O44),1)="F",INDEX($F$383:$F$435,MATCH(Paramètres!N44,Paramètres!$G$5:$G$57,0)),INDEX($E$383:$E$435,MATCH(Paramètres!N44,Paramètres!$G$5:$G$57,0)))+IF(RIGHT(TRIM(Paramètres!O44),3)="Fin",1-$H422,IF(LEFT(TRIM(Paramètres!O44),1)="F",1,0)))))))</f>
        <v/>
      </c>
      <c r="F422" s="19">
        <f>IF($A422="","",E422+$H422-1)</f>
        <v/>
      </c>
      <c r="G422" s="18" t="n"/>
      <c r="H422" s="18">
        <f>IF($A422="","",IF(I422&lt;&gt;"",I422,Paramètres!B44))</f>
        <v/>
      </c>
      <c r="I422" s="18" t="n"/>
    </row>
    <row r="423">
      <c r="A423" s="18">
        <f>IF(ISNUMBER(Dossiers!$D$11),Dossiers!$A$11&amp;" · "&amp;Dossiers!$B$11,"")</f>
        <v/>
      </c>
      <c r="B423" s="18">
        <f>IF($A423="","",Paramètres!G45)</f>
        <v/>
      </c>
      <c r="C423" s="20">
        <f>IF($A423="","",IF(Dossiers!$G$11="","",Dossiers!$G$11))</f>
        <v/>
      </c>
      <c r="D423" s="18">
        <f>IF($A423="","",IF(Paramètres!I45="","",Paramètres!I45))</f>
        <v/>
      </c>
      <c r="E423" s="19">
        <f>IF($A423="","",IF(Paramètres!J45&amp;Paramètres!L45&amp;Paramètres!N45="",Dossiers!$D$11,MAX(IF(Paramètres!J45="",0,IF(Paramètres!K45="",NA(),IF(LEFT(TRIM(Paramètres!K45),1)="F",INDEX($F$383:$F$435,MATCH(Paramètres!J45,Paramètres!$G$5:$G$57,0)),INDEX($E$383:$E$435,MATCH(Paramètres!J45,Paramètres!$G$5:$G$57,0)))+IF(RIGHT(TRIM(Paramètres!K45),3)="Fin",1-$H423,IF(LEFT(TRIM(Paramètres!K45),1)="F",1,0)))),IF(Paramètres!L45="",0,IF(Paramètres!M45="",NA(),IF(LEFT(TRIM(Paramètres!M45),1)="F",INDEX($F$383:$F$435,MATCH(Paramètres!L45,Paramètres!$G$5:$G$57,0)),INDEX($E$383:$E$435,MATCH(Paramètres!L45,Paramètres!$G$5:$G$57,0)))+IF(RIGHT(TRIM(Paramètres!M45),3)="Fin",1-$H423,IF(LEFT(TRIM(Paramètres!M45),1)="F",1,0)))),IF(Paramètres!N45="",0,IF(Paramètres!O45="",NA(),IF(LEFT(TRIM(Paramètres!O45),1)="F",INDEX($F$383:$F$435,MATCH(Paramètres!N45,Paramètres!$G$5:$G$57,0)),INDEX($E$383:$E$435,MATCH(Paramètres!N45,Paramètres!$G$5:$G$57,0)))+IF(RIGHT(TRIM(Paramètres!O45),3)="Fin",1-$H423,IF(LEFT(TRIM(Paramètres!O45),1)="F",1,0)))))))</f>
        <v/>
      </c>
      <c r="F423" s="19">
        <f>IF($A423="","",E423+$H423-1)</f>
        <v/>
      </c>
      <c r="G423" s="18" t="n"/>
      <c r="H423" s="18">
        <f>IF($A423="","",IF(I423&lt;&gt;"",I423,Paramètres!B45))</f>
        <v/>
      </c>
      <c r="I423" s="18" t="n"/>
    </row>
    <row r="424">
      <c r="A424" s="18">
        <f>IF(ISNUMBER(Dossiers!$D$11),Dossiers!$A$11&amp;" · "&amp;Dossiers!$B$11,"")</f>
        <v/>
      </c>
      <c r="B424" s="18">
        <f>IF($A424="","",Paramètres!G46)</f>
        <v/>
      </c>
      <c r="C424" s="18">
        <f>IF($A424="","",IF(Paramètres!H46="","",Paramètres!H46))</f>
        <v/>
      </c>
      <c r="D424" s="18">
        <f>IF($A424="","",IF(Paramètres!I46="","",Paramètres!I46))</f>
        <v/>
      </c>
      <c r="E424" s="19">
        <f>IF($A424="","",IF(Paramètres!J46&amp;Paramètres!L46&amp;Paramètres!N46="",Dossiers!$D$11,MAX(IF(Paramètres!J46="",0,IF(Paramètres!K46="",NA(),IF(LEFT(TRIM(Paramètres!K46),1)="F",INDEX($F$383:$F$435,MATCH(Paramètres!J46,Paramètres!$G$5:$G$57,0)),INDEX($E$383:$E$435,MATCH(Paramètres!J46,Paramètres!$G$5:$G$57,0)))+IF(RIGHT(TRIM(Paramètres!K46),3)="Fin",1-$H424,IF(LEFT(TRIM(Paramètres!K46),1)="F",1,0)))),IF(Paramètres!L46="",0,IF(Paramètres!M46="",NA(),IF(LEFT(TRIM(Paramètres!M46),1)="F",INDEX($F$383:$F$435,MATCH(Paramètres!L46,Paramètres!$G$5:$G$57,0)),INDEX($E$383:$E$435,MATCH(Paramètres!L46,Paramètres!$G$5:$G$57,0)))+IF(RIGHT(TRIM(Paramètres!M46),3)="Fin",1-$H424,IF(LEFT(TRIM(Paramètres!M46),1)="F",1,0)))),IF(Paramètres!N46="",0,IF(Paramètres!O46="",NA(),IF(LEFT(TRIM(Paramètres!O46),1)="F",INDEX($F$383:$F$435,MATCH(Paramètres!N46,Paramètres!$G$5:$G$57,0)),INDEX($E$383:$E$435,MATCH(Paramètres!N46,Paramètres!$G$5:$G$57,0)))+IF(RIGHT(TRIM(Paramètres!O46),3)="Fin",1-$H424,IF(LEFT(TRIM(Paramètres!O46),1)="F",1,0)))))))</f>
        <v/>
      </c>
      <c r="F424" s="19">
        <f>IF($A424="","",E424+$H424-1)</f>
        <v/>
      </c>
      <c r="G424" s="18" t="n"/>
      <c r="H424" s="18">
        <f>IF($A424="","",IF(I424&lt;&gt;"",I424,Paramètres!B46))</f>
        <v/>
      </c>
      <c r="I424" s="18" t="n"/>
    </row>
    <row r="425">
      <c r="A425" s="18">
        <f>IF(ISNUMBER(Dossiers!$D$11),Dossiers!$A$11&amp;" · "&amp;Dossiers!$B$11,"")</f>
        <v/>
      </c>
      <c r="B425" s="18">
        <f>IF($A425="","",Paramètres!G47)</f>
        <v/>
      </c>
      <c r="C425" s="18">
        <f>IF($A425="","",IF(Paramètres!H47="","",Paramètres!H47))</f>
        <v/>
      </c>
      <c r="D425" s="18">
        <f>IF($A425="","",IF(Paramètres!I47="","",Paramètres!I47))</f>
        <v/>
      </c>
      <c r="E425" s="19">
        <f>IF($A425="","",IF(Paramètres!J47&amp;Paramètres!L47&amp;Paramètres!N47="",Dossiers!$D$11,MAX(IF(Paramètres!J47="",0,IF(Paramètres!K47="",NA(),IF(LEFT(TRIM(Paramètres!K47),1)="F",INDEX($F$383:$F$435,MATCH(Paramètres!J47,Paramètres!$G$5:$G$57,0)),INDEX($E$383:$E$435,MATCH(Paramètres!J47,Paramètres!$G$5:$G$57,0)))+IF(RIGHT(TRIM(Paramètres!K47),3)="Fin",1-$H425,IF(LEFT(TRIM(Paramètres!K47),1)="F",1,0)))),IF(Paramètres!L47="",0,IF(Paramètres!M47="",NA(),IF(LEFT(TRIM(Paramètres!M47),1)="F",INDEX($F$383:$F$435,MATCH(Paramètres!L47,Paramètres!$G$5:$G$57,0)),INDEX($E$383:$E$435,MATCH(Paramètres!L47,Paramètres!$G$5:$G$57,0)))+IF(RIGHT(TRIM(Paramètres!M47),3)="Fin",1-$H425,IF(LEFT(TRIM(Paramètres!M47),1)="F",1,0)))),IF(Paramètres!N47="",0,IF(Paramètres!O47="",NA(),IF(LEFT(TRIM(Paramètres!O47),1)="F",INDEX($F$383:$F$435,MATCH(Paramètres!N47,Paramètres!$G$5:$G$57,0)),INDEX($E$383:$E$435,MATCH(Paramètres!N47,Paramètres!$G$5:$G$57,0)))+IF(RIGHT(TRIM(Paramètres!O47),3)="Fin",1-$H425,IF(LEFT(TRIM(Paramètres!O47),1)="F",1,0)))))))</f>
        <v/>
      </c>
      <c r="F425" s="19">
        <f>IF($A425="","",E425+$H425-1)</f>
        <v/>
      </c>
      <c r="G425" s="18" t="n"/>
      <c r="H425" s="18">
        <f>IF($A425="","",IF(I425&lt;&gt;"",I425,Paramètres!B47))</f>
        <v/>
      </c>
      <c r="I425" s="18" t="n"/>
    </row>
    <row r="426">
      <c r="A426" s="18">
        <f>IF(ISNUMBER(Dossiers!$D$11),Dossiers!$A$11&amp;" · "&amp;Dossiers!$B$11,"")</f>
        <v/>
      </c>
      <c r="B426" s="18">
        <f>IF($A426="","",Paramètres!G48)</f>
        <v/>
      </c>
      <c r="C426" s="18">
        <f>IF($A426="","",IF(Paramètres!H48="","",Paramètres!H48))</f>
        <v/>
      </c>
      <c r="D426" s="18">
        <f>IF($A426="","",IF(Paramètres!I48="","",Paramètres!I48))</f>
        <v/>
      </c>
      <c r="E426" s="19">
        <f>IF($A426="","",IF(Paramètres!J48&amp;Paramètres!L48&amp;Paramètres!N48="",Dossiers!$D$11,MAX(IF(Paramètres!J48="",0,IF(Paramètres!K48="",NA(),IF(LEFT(TRIM(Paramètres!K48),1)="F",INDEX($F$383:$F$435,MATCH(Paramètres!J48,Paramètres!$G$5:$G$57,0)),INDEX($E$383:$E$435,MATCH(Paramètres!J48,Paramètres!$G$5:$G$57,0)))+IF(RIGHT(TRIM(Paramètres!K48),3)="Fin",1-$H426,IF(LEFT(TRIM(Paramètres!K48),1)="F",1,0)))),IF(Paramètres!L48="",0,IF(Paramètres!M48="",NA(),IF(LEFT(TRIM(Paramètres!M48),1)="F",INDEX($F$383:$F$435,MATCH(Paramètres!L48,Paramètres!$G$5:$G$57,0)),INDEX($E$383:$E$435,MATCH(Paramètres!L48,Paramètres!$G$5:$G$57,0)))+IF(RIGHT(TRIM(Paramètres!M48),3)="Fin",1-$H426,IF(LEFT(TRIM(Paramètres!M48),1)="F",1,0)))),IF(Paramètres!N48="",0,IF(Paramètres!O48="",NA(),IF(LEFT(TRIM(Paramètres!O48),1)="F",INDEX($F$383:$F$435,MATCH(Paramètres!N48,Paramètres!$G$5:$G$57,0)),INDEX($E$383:$E$435,MATCH(Paramètres!N48,Paramètres!$G$5:$G$57,0)))+IF(RIGHT(TRIM(Paramètres!O48),3)="Fin",1-$H426,IF(LEFT(TRIM(Paramètres!O48),1)="F",1,0)))))))</f>
        <v/>
      </c>
      <c r="F426" s="19">
        <f>IF($A426="","",E426+$H426-1)</f>
        <v/>
      </c>
      <c r="G426" s="18" t="n"/>
      <c r="H426" s="18">
        <f>IF($A426="","",IF(I426&lt;&gt;"",I426,Paramètres!B48))</f>
        <v/>
      </c>
      <c r="I426" s="18" t="n"/>
    </row>
    <row r="427">
      <c r="A427" s="18">
        <f>IF(ISNUMBER(Dossiers!$D$11),Dossiers!$A$11&amp;" · "&amp;Dossiers!$B$11,"")</f>
        <v/>
      </c>
      <c r="B427" s="18">
        <f>IF($A427="","",Paramètres!G49)</f>
        <v/>
      </c>
      <c r="C427" s="18">
        <f>IF($A427="","",IF(Paramètres!H49="","",Paramètres!H49))</f>
        <v/>
      </c>
      <c r="D427" s="18">
        <f>IF($A427="","",IF(Paramètres!I49="","",Paramètres!I49))</f>
        <v/>
      </c>
      <c r="E427" s="19">
        <f>IF($A427="","",IF(Paramètres!J49&amp;Paramètres!L49&amp;Paramètres!N49="",Dossiers!$D$11,MAX(IF(Paramètres!J49="",0,IF(Paramètres!K49="",NA(),IF(LEFT(TRIM(Paramètres!K49),1)="F",INDEX($F$383:$F$435,MATCH(Paramètres!J49,Paramètres!$G$5:$G$57,0)),INDEX($E$383:$E$435,MATCH(Paramètres!J49,Paramètres!$G$5:$G$57,0)))+IF(RIGHT(TRIM(Paramètres!K49),3)="Fin",1-$H427,IF(LEFT(TRIM(Paramètres!K49),1)="F",1,0)))),IF(Paramètres!L49="",0,IF(Paramètres!M49="",NA(),IF(LEFT(TRIM(Paramètres!M49),1)="F",INDEX($F$383:$F$435,MATCH(Paramètres!L49,Paramètres!$G$5:$G$57,0)),INDEX($E$383:$E$435,MATCH(Paramètres!L49,Paramètres!$G$5:$G$57,0)))+IF(RIGHT(TRIM(Paramètres!M49),3)="Fin",1-$H427,IF(LEFT(TRIM(Paramètres!M49),1)="F",1,0)))),IF(Paramètres!N49="",0,IF(Paramètres!O49="",NA(),IF(LEFT(TRIM(Paramètres!O49),1)="F",INDEX($F$383:$F$435,MATCH(Paramètres!N49,Paramètres!$G$5:$G$57,0)),INDEX($E$383:$E$435,MATCH(Paramètres!N49,Paramètres!$G$5:$G$57,0)))+IF(RIGHT(TRIM(Paramètres!O49),3)="Fin",1-$H427,IF(LEFT(TRIM(Paramètres!O49),1)="F",1,0)))))))</f>
        <v/>
      </c>
      <c r="F427" s="19">
        <f>IF($A427="","",E427+$H427-1)</f>
        <v/>
      </c>
      <c r="G427" s="18" t="n"/>
      <c r="H427" s="18">
        <f>IF($A427="","",IF(I427&lt;&gt;"",I427,Paramètres!B49))</f>
        <v/>
      </c>
      <c r="I427" s="18" t="n"/>
    </row>
    <row r="428">
      <c r="A428" s="18">
        <f>IF(ISNUMBER(Dossiers!$D$11),Dossiers!$A$11&amp;" · "&amp;Dossiers!$B$11,"")</f>
        <v/>
      </c>
      <c r="B428" s="18">
        <f>IF($A428="","",Paramètres!G50)</f>
        <v/>
      </c>
      <c r="C428" s="18">
        <f>IF($A428="","",IF(Paramètres!H50="","",Paramètres!H50))</f>
        <v/>
      </c>
      <c r="D428" s="18">
        <f>IF($A428="","",IF(Paramètres!I50="","",Paramètres!I50))</f>
        <v/>
      </c>
      <c r="E428" s="19">
        <f>IF($A428="","",IF(Paramètres!J50&amp;Paramètres!L50&amp;Paramètres!N50="",Dossiers!$D$11,MAX(IF(Paramètres!J50="",0,IF(Paramètres!K50="",NA(),IF(LEFT(TRIM(Paramètres!K50),1)="F",INDEX($F$383:$F$435,MATCH(Paramètres!J50,Paramètres!$G$5:$G$57,0)),INDEX($E$383:$E$435,MATCH(Paramètres!J50,Paramètres!$G$5:$G$57,0)))+IF(RIGHT(TRIM(Paramètres!K50),3)="Fin",1-$H428,IF(LEFT(TRIM(Paramètres!K50),1)="F",1,0)))),IF(Paramètres!L50="",0,IF(Paramètres!M50="",NA(),IF(LEFT(TRIM(Paramètres!M50),1)="F",INDEX($F$383:$F$435,MATCH(Paramètres!L50,Paramètres!$G$5:$G$57,0)),INDEX($E$383:$E$435,MATCH(Paramètres!L50,Paramètres!$G$5:$G$57,0)))+IF(RIGHT(TRIM(Paramètres!M50),3)="Fin",1-$H428,IF(LEFT(TRIM(Paramètres!M50),1)="F",1,0)))),IF(Paramètres!N50="",0,IF(Paramètres!O50="",NA(),IF(LEFT(TRIM(Paramètres!O50),1)="F",INDEX($F$383:$F$435,MATCH(Paramètres!N50,Paramètres!$G$5:$G$57,0)),INDEX($E$383:$E$435,MATCH(Paramètres!N50,Paramètres!$G$5:$G$57,0)))+IF(RIGHT(TRIM(Paramètres!O50),3)="Fin",1-$H428,IF(LEFT(TRIM(Paramètres!O50),1)="F",1,0)))))))</f>
        <v/>
      </c>
      <c r="F428" s="19">
        <f>IF($A428="","",E428+$H428-1)</f>
        <v/>
      </c>
      <c r="G428" s="18" t="n"/>
      <c r="H428" s="18">
        <f>IF($A428="","",IF(I428&lt;&gt;"",I428,Paramètres!B50))</f>
        <v/>
      </c>
      <c r="I428" s="18" t="n"/>
    </row>
    <row r="429">
      <c r="A429" s="18">
        <f>IF(ISNUMBER(Dossiers!$D$11),Dossiers!$A$11&amp;" · "&amp;Dossiers!$B$11,"")</f>
        <v/>
      </c>
      <c r="B429" s="18">
        <f>IF($A429="","",Paramètres!G51)</f>
        <v/>
      </c>
      <c r="C429" s="18">
        <f>IF($A429="","",IF(Paramètres!H51="","",Paramètres!H51))</f>
        <v/>
      </c>
      <c r="D429" s="18">
        <f>IF($A429="","",IF(Paramètres!I51="","",Paramètres!I51))</f>
        <v/>
      </c>
      <c r="E429" s="19">
        <f>IF($A429="","",IF(Paramètres!J51&amp;Paramètres!L51&amp;Paramètres!N51="",Dossiers!$D$11,MAX(IF(Paramètres!J51="",0,IF(Paramètres!K51="",NA(),IF(LEFT(TRIM(Paramètres!K51),1)="F",INDEX($F$383:$F$435,MATCH(Paramètres!J51,Paramètres!$G$5:$G$57,0)),INDEX($E$383:$E$435,MATCH(Paramètres!J51,Paramètres!$G$5:$G$57,0)))+IF(RIGHT(TRIM(Paramètres!K51),3)="Fin",1-$H429,IF(LEFT(TRIM(Paramètres!K51),1)="F",1,0)))),IF(Paramètres!L51="",0,IF(Paramètres!M51="",NA(),IF(LEFT(TRIM(Paramètres!M51),1)="F",INDEX($F$383:$F$435,MATCH(Paramètres!L51,Paramètres!$G$5:$G$57,0)),INDEX($E$383:$E$435,MATCH(Paramètres!L51,Paramètres!$G$5:$G$57,0)))+IF(RIGHT(TRIM(Paramètres!M51),3)="Fin",1-$H429,IF(LEFT(TRIM(Paramètres!M51),1)="F",1,0)))),IF(Paramètres!N51="",0,IF(Paramètres!O51="",NA(),IF(LEFT(TRIM(Paramètres!O51),1)="F",INDEX($F$383:$F$435,MATCH(Paramètres!N51,Paramètres!$G$5:$G$57,0)),INDEX($E$383:$E$435,MATCH(Paramètres!N51,Paramètres!$G$5:$G$57,0)))+IF(RIGHT(TRIM(Paramètres!O51),3)="Fin",1-$H429,IF(LEFT(TRIM(Paramètres!O51),1)="F",1,0)))))))</f>
        <v/>
      </c>
      <c r="F429" s="19">
        <f>IF($A429="","",E429+$H429-1)</f>
        <v/>
      </c>
      <c r="G429" s="18" t="n"/>
      <c r="H429" s="18">
        <f>IF($A429="","",IF(I429&lt;&gt;"",I429,Paramètres!B51))</f>
        <v/>
      </c>
      <c r="I429" s="18" t="n"/>
    </row>
    <row r="430">
      <c r="A430" s="18">
        <f>IF(ISNUMBER(Dossiers!$D$11),Dossiers!$A$11&amp;" · "&amp;Dossiers!$B$11,"")</f>
        <v/>
      </c>
      <c r="B430" s="18">
        <f>IF($A430="","",Paramètres!G52)</f>
        <v/>
      </c>
      <c r="C430" s="18">
        <f>IF($A430="","",IF(Paramètres!H52="","",Paramètres!H52))</f>
        <v/>
      </c>
      <c r="D430" s="18">
        <f>IF($A430="","",IF(Paramètres!I52="","",Paramètres!I52))</f>
        <v/>
      </c>
      <c r="E430" s="19">
        <f>IF($A430="","",IF(Paramètres!J52&amp;Paramètres!L52&amp;Paramètres!N52="",Dossiers!$D$11,MAX(IF(Paramètres!J52="",0,IF(Paramètres!K52="",NA(),IF(LEFT(TRIM(Paramètres!K52),1)="F",INDEX($F$383:$F$435,MATCH(Paramètres!J52,Paramètres!$G$5:$G$57,0)),INDEX($E$383:$E$435,MATCH(Paramètres!J52,Paramètres!$G$5:$G$57,0)))+IF(RIGHT(TRIM(Paramètres!K52),3)="Fin",1-$H430,IF(LEFT(TRIM(Paramètres!K52),1)="F",1,0)))),IF(Paramètres!L52="",0,IF(Paramètres!M52="",NA(),IF(LEFT(TRIM(Paramètres!M52),1)="F",INDEX($F$383:$F$435,MATCH(Paramètres!L52,Paramètres!$G$5:$G$57,0)),INDEX($E$383:$E$435,MATCH(Paramètres!L52,Paramètres!$G$5:$G$57,0)))+IF(RIGHT(TRIM(Paramètres!M52),3)="Fin",1-$H430,IF(LEFT(TRIM(Paramètres!M52),1)="F",1,0)))),IF(Paramètres!N52="",0,IF(Paramètres!O52="",NA(),IF(LEFT(TRIM(Paramètres!O52),1)="F",INDEX($F$383:$F$435,MATCH(Paramètres!N52,Paramètres!$G$5:$G$57,0)),INDEX($E$383:$E$435,MATCH(Paramètres!N52,Paramètres!$G$5:$G$57,0)))+IF(RIGHT(TRIM(Paramètres!O52),3)="Fin",1-$H430,IF(LEFT(TRIM(Paramètres!O52),1)="F",1,0)))))))</f>
        <v/>
      </c>
      <c r="F430" s="19">
        <f>IF($A430="","",E430+$H430-1)</f>
        <v/>
      </c>
      <c r="G430" s="18" t="n"/>
      <c r="H430" s="18">
        <f>IF($A430="","",IF(I430&lt;&gt;"",I430,Paramètres!B52))</f>
        <v/>
      </c>
      <c r="I430" s="18" t="n"/>
    </row>
    <row r="431">
      <c r="A431" s="18">
        <f>IF(ISNUMBER(Dossiers!$D$11),Dossiers!$A$11&amp;" · "&amp;Dossiers!$B$11,"")</f>
        <v/>
      </c>
      <c r="B431" s="18">
        <f>IF($A431="","",Paramètres!G53)</f>
        <v/>
      </c>
      <c r="C431" s="18">
        <f>IF($A431="","",IF(Paramètres!H53="","",Paramètres!H53))</f>
        <v/>
      </c>
      <c r="D431" s="18">
        <f>IF($A431="","",IF(Paramètres!I53="","",Paramètres!I53))</f>
        <v/>
      </c>
      <c r="E431" s="19">
        <f>IF($A431="","",IF(Paramètres!J53&amp;Paramètres!L53&amp;Paramètres!N53="",Dossiers!$D$11,MAX(IF(Paramètres!J53="",0,IF(Paramètres!K53="",NA(),IF(LEFT(TRIM(Paramètres!K53),1)="F",INDEX($F$383:$F$435,MATCH(Paramètres!J53,Paramètres!$G$5:$G$57,0)),INDEX($E$383:$E$435,MATCH(Paramètres!J53,Paramètres!$G$5:$G$57,0)))+IF(RIGHT(TRIM(Paramètres!K53),3)="Fin",1-$H431,IF(LEFT(TRIM(Paramètres!K53),1)="F",1,0)))),IF(Paramètres!L53="",0,IF(Paramètres!M53="",NA(),IF(LEFT(TRIM(Paramètres!M53),1)="F",INDEX($F$383:$F$435,MATCH(Paramètres!L53,Paramètres!$G$5:$G$57,0)),INDEX($E$383:$E$435,MATCH(Paramètres!L53,Paramètres!$G$5:$G$57,0)))+IF(RIGHT(TRIM(Paramètres!M53),3)="Fin",1-$H431,IF(LEFT(TRIM(Paramètres!M53),1)="F",1,0)))),IF(Paramètres!N53="",0,IF(Paramètres!O53="",NA(),IF(LEFT(TRIM(Paramètres!O53),1)="F",INDEX($F$383:$F$435,MATCH(Paramètres!N53,Paramètres!$G$5:$G$57,0)),INDEX($E$383:$E$435,MATCH(Paramètres!N53,Paramètres!$G$5:$G$57,0)))+IF(RIGHT(TRIM(Paramètres!O53),3)="Fin",1-$H431,IF(LEFT(TRIM(Paramètres!O53),1)="F",1,0)))))))</f>
        <v/>
      </c>
      <c r="F431" s="19">
        <f>IF($A431="","",E431+$H431-1)</f>
        <v/>
      </c>
      <c r="G431" s="18" t="n"/>
      <c r="H431" s="18">
        <f>IF($A431="","",IF(I431&lt;&gt;"",I431,Paramètres!B53))</f>
        <v/>
      </c>
      <c r="I431" s="18" t="n"/>
    </row>
    <row r="432">
      <c r="A432" s="18">
        <f>IF(ISNUMBER(Dossiers!$D$11),Dossiers!$A$11&amp;" · "&amp;Dossiers!$B$11,"")</f>
        <v/>
      </c>
      <c r="B432" s="18">
        <f>IF($A432="","",Paramètres!G54)</f>
        <v/>
      </c>
      <c r="C432" s="18">
        <f>IF($A432="","",IF(Paramètres!H54="","",Paramètres!H54))</f>
        <v/>
      </c>
      <c r="D432" s="18">
        <f>IF($A432="","",IF(Paramètres!I54="","",Paramètres!I54))</f>
        <v/>
      </c>
      <c r="E432" s="19">
        <f>IF($A432="","",IF(Paramètres!J54&amp;Paramètres!L54&amp;Paramètres!N54="",Dossiers!$D$11,MAX(IF(Paramètres!J54="",0,IF(Paramètres!K54="",NA(),IF(LEFT(TRIM(Paramètres!K54),1)="F",INDEX($F$383:$F$435,MATCH(Paramètres!J54,Paramètres!$G$5:$G$57,0)),INDEX($E$383:$E$435,MATCH(Paramètres!J54,Paramètres!$G$5:$G$57,0)))+IF(RIGHT(TRIM(Paramètres!K54),3)="Fin",1-$H432,IF(LEFT(TRIM(Paramètres!K54),1)="F",1,0)))),IF(Paramètres!L54="",0,IF(Paramètres!M54="",NA(),IF(LEFT(TRIM(Paramètres!M54),1)="F",INDEX($F$383:$F$435,MATCH(Paramètres!L54,Paramètres!$G$5:$G$57,0)),INDEX($E$383:$E$435,MATCH(Paramètres!L54,Paramètres!$G$5:$G$57,0)))+IF(RIGHT(TRIM(Paramètres!M54),3)="Fin",1-$H432,IF(LEFT(TRIM(Paramètres!M54),1)="F",1,0)))),IF(Paramètres!N54="",0,IF(Paramètres!O54="",NA(),IF(LEFT(TRIM(Paramètres!O54),1)="F",INDEX($F$383:$F$435,MATCH(Paramètres!N54,Paramètres!$G$5:$G$57,0)),INDEX($E$383:$E$435,MATCH(Paramètres!N54,Paramètres!$G$5:$G$57,0)))+IF(RIGHT(TRIM(Paramètres!O54),3)="Fin",1-$H432,IF(LEFT(TRIM(Paramètres!O54),1)="F",1,0)))))))</f>
        <v/>
      </c>
      <c r="F432" s="19">
        <f>IF($A432="","",E432+$H432-1)</f>
        <v/>
      </c>
      <c r="G432" s="18" t="n"/>
      <c r="H432" s="18">
        <f>IF($A432="","",IF(I432&lt;&gt;"",I432,Paramètres!B54))</f>
        <v/>
      </c>
      <c r="I432" s="18" t="n"/>
    </row>
    <row r="433">
      <c r="A433" s="18">
        <f>IF(ISNUMBER(Dossiers!$D$11),Dossiers!$A$11&amp;" · "&amp;Dossiers!$B$11,"")</f>
        <v/>
      </c>
      <c r="B433" s="18">
        <f>IF($A433="","",Paramètres!G55)</f>
        <v/>
      </c>
      <c r="C433" s="18">
        <f>IF($A433="","",IF(Paramètres!H55="","",Paramètres!H55))</f>
        <v/>
      </c>
      <c r="D433" s="18">
        <f>IF($A433="","",IF(Paramètres!I55="","",Paramètres!I55))</f>
        <v/>
      </c>
      <c r="E433" s="19">
        <f>IF($A433="","",IF(Paramètres!J55&amp;Paramètres!L55&amp;Paramètres!N55="",Dossiers!$D$11,MAX(IF(Paramètres!J55="",0,IF(Paramètres!K55="",NA(),IF(LEFT(TRIM(Paramètres!K55),1)="F",INDEX($F$383:$F$435,MATCH(Paramètres!J55,Paramètres!$G$5:$G$57,0)),INDEX($E$383:$E$435,MATCH(Paramètres!J55,Paramètres!$G$5:$G$57,0)))+IF(RIGHT(TRIM(Paramètres!K55),3)="Fin",1-$H433,IF(LEFT(TRIM(Paramètres!K55),1)="F",1,0)))),IF(Paramètres!L55="",0,IF(Paramètres!M55="",NA(),IF(LEFT(TRIM(Paramètres!M55),1)="F",INDEX($F$383:$F$435,MATCH(Paramètres!L55,Paramètres!$G$5:$G$57,0)),INDEX($E$383:$E$435,MATCH(Paramètres!L55,Paramètres!$G$5:$G$57,0)))+IF(RIGHT(TRIM(Paramètres!M55),3)="Fin",1-$H433,IF(LEFT(TRIM(Paramètres!M55),1)="F",1,0)))),IF(Paramètres!N55="",0,IF(Paramètres!O55="",NA(),IF(LEFT(TRIM(Paramètres!O55),1)="F",INDEX($F$383:$F$435,MATCH(Paramètres!N55,Paramètres!$G$5:$G$57,0)),INDEX($E$383:$E$435,MATCH(Paramètres!N55,Paramètres!$G$5:$G$57,0)))+IF(RIGHT(TRIM(Paramètres!O55),3)="Fin",1-$H433,IF(LEFT(TRIM(Paramètres!O55),1)="F",1,0)))))))</f>
        <v/>
      </c>
      <c r="F433" s="19">
        <f>IF($A433="","",E433+$H433-1)</f>
        <v/>
      </c>
      <c r="G433" s="18" t="n"/>
      <c r="H433" s="18">
        <f>IF($A433="","",IF(I433&lt;&gt;"",I433,Paramètres!B55))</f>
        <v/>
      </c>
      <c r="I433" s="18" t="n"/>
    </row>
    <row r="434">
      <c r="A434" s="18">
        <f>IF(ISNUMBER(Dossiers!$D$11),Dossiers!$A$11&amp;" · "&amp;Dossiers!$B$11,"")</f>
        <v/>
      </c>
      <c r="B434" s="18">
        <f>IF($A434="","",Paramètres!G56)</f>
        <v/>
      </c>
      <c r="C434" s="18">
        <f>IF($A434="","",IF(Paramètres!H56="","",Paramètres!H56))</f>
        <v/>
      </c>
      <c r="D434" s="18">
        <f>IF($A434="","",IF(Paramètres!I56="","",Paramètres!I56))</f>
        <v/>
      </c>
      <c r="E434" s="19">
        <f>IF($A434="","",MIN(E435:E435))</f>
        <v/>
      </c>
      <c r="F434" s="19">
        <f>IF($A434="","",MAX(F435:F435))</f>
        <v/>
      </c>
      <c r="G434" s="18" t="n"/>
      <c r="H434" s="18">
        <f>IF($A434="","",F434-E434+1)</f>
        <v/>
      </c>
      <c r="I434" s="18" t="n"/>
    </row>
    <row r="435">
      <c r="A435" s="18">
        <f>IF(ISNUMBER(Dossiers!$D$11),Dossiers!$A$11&amp;" · "&amp;Dossiers!$B$11,"")</f>
        <v/>
      </c>
      <c r="B435" s="18">
        <f>IF($A435="","",Paramètres!G57)</f>
        <v/>
      </c>
      <c r="C435" s="18">
        <f>IF($A435="","",IF(Paramètres!H57="","",Paramètres!H57))</f>
        <v/>
      </c>
      <c r="D435" s="18">
        <f>IF($A435="","",IF(Paramètres!I57="","",Paramètres!I57))</f>
        <v/>
      </c>
      <c r="E435" s="19">
        <f>IF($A435="","",IF(Paramètres!J57&amp;Paramètres!L57&amp;Paramètres!N57="",Dossiers!$D$11,MAX(IF(Paramètres!J57="",0,IF(Paramètres!K57="",NA(),IF(LEFT(TRIM(Paramètres!K57),1)="F",INDEX($F$383:$F$435,MATCH(Paramètres!J57,Paramètres!$G$5:$G$57,0)),INDEX($E$383:$E$435,MATCH(Paramètres!J57,Paramètres!$G$5:$G$57,0)))+IF(RIGHT(TRIM(Paramètres!K57),3)="Fin",1-$H435,IF(LEFT(TRIM(Paramètres!K57),1)="F",1,0)))),IF(Paramètres!L57="",0,IF(Paramètres!M57="",NA(),IF(LEFT(TRIM(Paramètres!M57),1)="F",INDEX($F$383:$F$435,MATCH(Paramètres!L57,Paramètres!$G$5:$G$57,0)),INDEX($E$383:$E$435,MATCH(Paramètres!L57,Paramètres!$G$5:$G$57,0)))+IF(RIGHT(TRIM(Paramètres!M57),3)="Fin",1-$H435,IF(LEFT(TRIM(Paramètres!M57),1)="F",1,0)))),IF(Paramètres!N57="",0,IF(Paramètres!O57="",NA(),IF(LEFT(TRIM(Paramètres!O57),1)="F",INDEX($F$383:$F$435,MATCH(Paramètres!N57,Paramètres!$G$5:$G$57,0)),INDEX($E$383:$E$435,MATCH(Paramètres!N57,Paramètres!$G$5:$G$57,0)))+IF(RIGHT(TRIM(Paramètres!O57),3)="Fin",1-$H435,IF(LEFT(TRIM(Paramètres!O57),1)="F",1,0)))))))</f>
        <v/>
      </c>
      <c r="F435" s="19">
        <f>IF($A435="","",E435+$H435-1)</f>
        <v/>
      </c>
      <c r="G435" s="18" t="n"/>
      <c r="H435" s="18">
        <f>IF($A435="","",IF(I435&lt;&gt;"",I435,Paramètres!B57))</f>
        <v/>
      </c>
      <c r="I435" s="18" t="n"/>
    </row>
    <row r="436">
      <c r="A436" s="16">
        <f>IF(ISNUMBER(Dossiers!$D$12),Dossiers!$E$12,"")</f>
        <v/>
      </c>
      <c r="B436" s="16">
        <f>IF($A436="","","Identifiant")</f>
        <v/>
      </c>
      <c r="C436" s="16">
        <f>IF($A436="","","Macro Etape")</f>
        <v/>
      </c>
      <c r="D436" s="16">
        <f>IF($A436="","","Etape")</f>
        <v/>
      </c>
      <c r="E436" s="17">
        <f>IF($A436="","","Début le")</f>
        <v/>
      </c>
      <c r="F436" s="17">
        <f>IF($A436="","","Fin prévue le")</f>
        <v/>
      </c>
      <c r="G436" s="16">
        <f>IF($A436="","","Statut")</f>
        <v/>
      </c>
      <c r="H436" s="16">
        <f>IF($A436="","","Durée (jours)")</f>
        <v/>
      </c>
      <c r="I436" s="16">
        <f>IF($A436="","","Durée particulière")</f>
        <v/>
      </c>
      <c r="J436" s="10">
        <f>IF($A436="","",HYPERLINK("#'Tableau de bord'!A1","↑ Tableau de bord"))</f>
        <v/>
      </c>
    </row>
    <row r="437">
      <c r="A437" s="18">
        <f>IF(ISNUMBER(Dossiers!$D$12),Dossiers!$A$12&amp;" · "&amp;Dossiers!$B$12,"")</f>
        <v/>
      </c>
      <c r="B437" s="18">
        <f>IF($A437="","",Paramètres!G5)</f>
        <v/>
      </c>
      <c r="C437" s="18">
        <f>IF($A437="","",IF(Paramètres!H5="","",Paramètres!H5))</f>
        <v/>
      </c>
      <c r="D437" s="18">
        <f>IF($A437="","",IF(Paramètres!I5="","",Paramètres!I5))</f>
        <v/>
      </c>
      <c r="E437" s="19">
        <f>IF($A437="","",MIN(E438:E441))</f>
        <v/>
      </c>
      <c r="F437" s="19">
        <f>IF($A437="","",MAX(F438:F441))</f>
        <v/>
      </c>
      <c r="G437" s="18" t="n"/>
      <c r="H437" s="18">
        <f>IF($A437="","",F437-E437+1)</f>
        <v/>
      </c>
      <c r="I437" s="18" t="n"/>
    </row>
    <row r="438">
      <c r="A438" s="18">
        <f>IF(ISNUMBER(Dossiers!$D$12),Dossiers!$A$12&amp;" · "&amp;Dossiers!$B$12,"")</f>
        <v/>
      </c>
      <c r="B438" s="18">
        <f>IF($A438="","",Paramètres!G6)</f>
        <v/>
      </c>
      <c r="C438" s="18">
        <f>IF($A438="","",IF(Paramètres!H6="","",Paramètres!H6))</f>
        <v/>
      </c>
      <c r="D438" s="18">
        <f>IF($A438="","",IF(Paramètres!I6="","",Paramètres!I6))</f>
        <v/>
      </c>
      <c r="E438" s="19">
        <f>IF($A438="","",IF(Paramètres!J6&amp;Paramètres!L6&amp;Paramètres!N6="",Dossiers!$D$12,MAX(IF(Paramètres!J6="",0,IF(Paramètres!K6="",NA(),IF(LEFT(TRIM(Paramètres!K6),1)="F",INDEX($F$437:$F$489,MATCH(Paramètres!J6,Paramètres!$G$5:$G$57,0)),INDEX($E$437:$E$489,MATCH(Paramètres!J6,Paramètres!$G$5:$G$57,0)))+IF(RIGHT(TRIM(Paramètres!K6),3)="Fin",1-$H438,IF(LEFT(TRIM(Paramètres!K6),1)="F",1,0)))),IF(Paramètres!L6="",0,IF(Paramètres!M6="",NA(),IF(LEFT(TRIM(Paramètres!M6),1)="F",INDEX($F$437:$F$489,MATCH(Paramètres!L6,Paramètres!$G$5:$G$57,0)),INDEX($E$437:$E$489,MATCH(Paramètres!L6,Paramètres!$G$5:$G$57,0)))+IF(RIGHT(TRIM(Paramètres!M6),3)="Fin",1-$H438,IF(LEFT(TRIM(Paramètres!M6),1)="F",1,0)))),IF(Paramètres!N6="",0,IF(Paramètres!O6="",NA(),IF(LEFT(TRIM(Paramètres!O6),1)="F",INDEX($F$437:$F$489,MATCH(Paramètres!N6,Paramètres!$G$5:$G$57,0)),INDEX($E$437:$E$489,MATCH(Paramètres!N6,Paramètres!$G$5:$G$57,0)))+IF(RIGHT(TRIM(Paramètres!O6),3)="Fin",1-$H438,IF(LEFT(TRIM(Paramètres!O6),1)="F",1,0)))))))</f>
        <v/>
      </c>
      <c r="F438" s="19">
        <f>IF($A438="","",E438+$H438-1)</f>
        <v/>
      </c>
      <c r="G438" s="18" t="n"/>
      <c r="H438" s="18">
        <f>IF($A438="","",IF(I438&lt;&gt;"",I438,Paramètres!B6))</f>
        <v/>
      </c>
      <c r="I438" s="18" t="n"/>
    </row>
    <row r="439">
      <c r="A439" s="18">
        <f>IF(ISNUMBER(Dossiers!$D$12),Dossiers!$A$12&amp;" · "&amp;Dossiers!$B$12,"")</f>
        <v/>
      </c>
      <c r="B439" s="18">
        <f>IF($A439="","",Paramètres!G7)</f>
        <v/>
      </c>
      <c r="C439" s="18">
        <f>IF($A439="","",IF(Paramètres!H7="","",Paramètres!H7))</f>
        <v/>
      </c>
      <c r="D439" s="18">
        <f>IF($A439="","",IF(Paramètres!I7="","",Paramètres!I7))</f>
        <v/>
      </c>
      <c r="E439" s="19">
        <f>IF($A439="","",IF(Paramètres!J7&amp;Paramètres!L7&amp;Paramètres!N7="",Dossiers!$D$12,MAX(IF(Paramètres!J7="",0,IF(Paramètres!K7="",NA(),IF(LEFT(TRIM(Paramètres!K7),1)="F",INDEX($F$437:$F$489,MATCH(Paramètres!J7,Paramètres!$G$5:$G$57,0)),INDEX($E$437:$E$489,MATCH(Paramètres!J7,Paramètres!$G$5:$G$57,0)))+IF(RIGHT(TRIM(Paramètres!K7),3)="Fin",1-$H439,IF(LEFT(TRIM(Paramètres!K7),1)="F",1,0)))),IF(Paramètres!L7="",0,IF(Paramètres!M7="",NA(),IF(LEFT(TRIM(Paramètres!M7),1)="F",INDEX($F$437:$F$489,MATCH(Paramètres!L7,Paramètres!$G$5:$G$57,0)),INDEX($E$437:$E$489,MATCH(Paramètres!L7,Paramètres!$G$5:$G$57,0)))+IF(RIGHT(TRIM(Paramètres!M7),3)="Fin",1-$H439,IF(LEFT(TRIM(Paramètres!M7),1)="F",1,0)))),IF(Paramètres!N7="",0,IF(Paramètres!O7="",NA(),IF(LEFT(TRIM(Paramètres!O7),1)="F",INDEX($F$437:$F$489,MATCH(Paramètres!N7,Paramètres!$G$5:$G$57,0)),INDEX($E$437:$E$489,MATCH(Paramètres!N7,Paramètres!$G$5:$G$57,0)))+IF(RIGHT(TRIM(Paramètres!O7),3)="Fin",1-$H439,IF(LEFT(TRIM(Paramètres!O7),1)="F",1,0)))))))</f>
        <v/>
      </c>
      <c r="F439" s="19">
        <f>IF($A439="","",E439+$H439-1)</f>
        <v/>
      </c>
      <c r="G439" s="18" t="n"/>
      <c r="H439" s="18">
        <f>IF($A439="","",IF(I439&lt;&gt;"",I439,Paramètres!B7))</f>
        <v/>
      </c>
      <c r="I439" s="18" t="n"/>
    </row>
    <row r="440">
      <c r="A440" s="18">
        <f>IF(ISNUMBER(Dossiers!$D$12),Dossiers!$A$12&amp;" · "&amp;Dossiers!$B$12,"")</f>
        <v/>
      </c>
      <c r="B440" s="18">
        <f>IF($A440="","",Paramètres!G8)</f>
        <v/>
      </c>
      <c r="C440" s="18">
        <f>IF($A440="","",IF(Paramètres!H8="","",Paramètres!H8))</f>
        <v/>
      </c>
      <c r="D440" s="18">
        <f>IF($A440="","",IF(Paramètres!I8="","",Paramètres!I8))</f>
        <v/>
      </c>
      <c r="E440" s="19">
        <f>IF($A440="","",IF(Paramètres!J8&amp;Paramètres!L8&amp;Paramètres!N8="",Dossiers!$D$12,MAX(IF(Paramètres!J8="",0,IF(Paramètres!K8="",NA(),IF(LEFT(TRIM(Paramètres!K8),1)="F",INDEX($F$437:$F$489,MATCH(Paramètres!J8,Paramètres!$G$5:$G$57,0)),INDEX($E$437:$E$489,MATCH(Paramètres!J8,Paramètres!$G$5:$G$57,0)))+IF(RIGHT(TRIM(Paramètres!K8),3)="Fin",1-$H440,IF(LEFT(TRIM(Paramètres!K8),1)="F",1,0)))),IF(Paramètres!L8="",0,IF(Paramètres!M8="",NA(),IF(LEFT(TRIM(Paramètres!M8),1)="F",INDEX($F$437:$F$489,MATCH(Paramètres!L8,Paramètres!$G$5:$G$57,0)),INDEX($E$437:$E$489,MATCH(Paramètres!L8,Paramètres!$G$5:$G$57,0)))+IF(RIGHT(TRIM(Paramètres!M8),3)="Fin",1-$H440,IF(LEFT(TRIM(Paramètres!M8),1)="F",1,0)))),IF(Paramètres!N8="",0,IF(Paramètres!O8="",NA(),IF(LEFT(TRIM(Paramètres!O8),1)="F",INDEX($F$437:$F$489,MATCH(Paramètres!N8,Paramètres!$G$5:$G$57,0)),INDEX($E$437:$E$489,MATCH(Paramètres!N8,Paramètres!$G$5:$G$57,0)))+IF(RIGHT(TRIM(Paramètres!O8),3)="Fin",1-$H440,IF(LEFT(TRIM(Paramètres!O8),1)="F",1,0)))))))</f>
        <v/>
      </c>
      <c r="F440" s="19">
        <f>IF($A440="","",E440+$H440-1)</f>
        <v/>
      </c>
      <c r="G440" s="18" t="n"/>
      <c r="H440" s="18">
        <f>IF($A440="","",IF(I440&lt;&gt;"",I440,Paramètres!B8))</f>
        <v/>
      </c>
      <c r="I440" s="18" t="n"/>
    </row>
    <row r="441">
      <c r="A441" s="18">
        <f>IF(ISNUMBER(Dossiers!$D$12),Dossiers!$A$12&amp;" · "&amp;Dossiers!$B$12,"")</f>
        <v/>
      </c>
      <c r="B441" s="18">
        <f>IF($A441="","",Paramètres!G9)</f>
        <v/>
      </c>
      <c r="C441" s="18">
        <f>IF($A441="","",IF(Paramètres!H9="","",Paramètres!H9))</f>
        <v/>
      </c>
      <c r="D441" s="18">
        <f>IF($A441="","",IF(Paramètres!I9="","",Paramètres!I9))</f>
        <v/>
      </c>
      <c r="E441" s="19">
        <f>IF($A441="","",IF(Paramètres!J9&amp;Paramètres!L9&amp;Paramètres!N9="",Dossiers!$D$12,MAX(IF(Paramètres!J9="",0,IF(Paramètres!K9="",NA(),IF(LEFT(TRIM(Paramètres!K9),1)="F",INDEX($F$437:$F$489,MATCH(Paramètres!J9,Paramètres!$G$5:$G$57,0)),INDEX($E$437:$E$489,MATCH(Paramètres!J9,Paramètres!$G$5:$G$57,0)))+IF(RIGHT(TRIM(Paramètres!K9),3)="Fin",1-$H441,IF(LEFT(TRIM(Paramètres!K9),1)="F",1,0)))),IF(Paramètres!L9="",0,IF(Paramètres!M9="",NA(),IF(LEFT(TRIM(Paramètres!M9),1)="F",INDEX($F$437:$F$489,MATCH(Paramètres!L9,Paramètres!$G$5:$G$57,0)),INDEX($E$437:$E$489,MATCH(Paramètres!L9,Paramètres!$G$5:$G$57,0)))+IF(RIGHT(TRIM(Paramètres!M9),3)="Fin",1-$H441,IF(LEFT(TRIM(Paramètres!M9),1)="F",1,0)))),IF(Paramètres!N9="",0,IF(Paramètres!O9="",NA(),IF(LEFT(TRIM(Paramètres!O9),1)="F",INDEX($F$437:$F$489,MATCH(Paramètres!N9,Paramètres!$G$5:$G$57,0)),INDEX($E$437:$E$489,MATCH(Paramètres!N9,Paramètres!$G$5:$G$57,0)))+IF(RIGHT(TRIM(Paramètres!O9),3)="Fin",1-$H441,IF(LEFT(TRIM(Paramètres!O9),1)="F",1,0)))))))</f>
        <v/>
      </c>
      <c r="F441" s="19">
        <f>IF($A441="","",E441+$H441-1)</f>
        <v/>
      </c>
      <c r="G441" s="18" t="n"/>
      <c r="H441" s="18">
        <f>IF($A441="","",IF(I441&lt;&gt;"",I441,Paramètres!B9))</f>
        <v/>
      </c>
      <c r="I441" s="18" t="n"/>
    </row>
    <row r="442">
      <c r="A442" s="18">
        <f>IF(ISNUMBER(Dossiers!$D$12),Dossiers!$A$12&amp;" · "&amp;Dossiers!$B$12,"")</f>
        <v/>
      </c>
      <c r="B442" s="18">
        <f>IF($A442="","",Paramètres!G10)</f>
        <v/>
      </c>
      <c r="C442" s="18">
        <f>IF($A442="","",IF(Paramètres!H10="","",Paramètres!H10))</f>
        <v/>
      </c>
      <c r="D442" s="18">
        <f>IF($A442="","",IF(Paramètres!I10="","",Paramètres!I10))</f>
        <v/>
      </c>
      <c r="E442" s="19">
        <f>IF($A442="","",MIN(E443:E446))</f>
        <v/>
      </c>
      <c r="F442" s="19">
        <f>IF($A442="","",MAX(F443:F446))</f>
        <v/>
      </c>
      <c r="G442" s="18" t="n"/>
      <c r="H442" s="18">
        <f>IF($A442="","",F442-E442+1)</f>
        <v/>
      </c>
      <c r="I442" s="18" t="n"/>
    </row>
    <row r="443">
      <c r="A443" s="18">
        <f>IF(ISNUMBER(Dossiers!$D$12),Dossiers!$A$12&amp;" · "&amp;Dossiers!$B$12,"")</f>
        <v/>
      </c>
      <c r="B443" s="18">
        <f>IF($A443="","",Paramètres!G11)</f>
        <v/>
      </c>
      <c r="C443" s="18">
        <f>IF($A443="","",IF(Paramètres!H11="","",Paramètres!H11))</f>
        <v/>
      </c>
      <c r="D443" s="18">
        <f>IF($A443="","",IF(Paramètres!I11="","",Paramètres!I11))</f>
        <v/>
      </c>
      <c r="E443" s="19">
        <f>IF($A443="","",IF(Paramètres!J11&amp;Paramètres!L11&amp;Paramètres!N11="",Dossiers!$D$12,MAX(IF(Paramètres!J11="",0,IF(Paramètres!K11="",NA(),IF(LEFT(TRIM(Paramètres!K11),1)="F",INDEX($F$437:$F$489,MATCH(Paramètres!J11,Paramètres!$G$5:$G$57,0)),INDEX($E$437:$E$489,MATCH(Paramètres!J11,Paramètres!$G$5:$G$57,0)))+IF(RIGHT(TRIM(Paramètres!K11),3)="Fin",1-$H443,IF(LEFT(TRIM(Paramètres!K11),1)="F",1,0)))),IF(Paramètres!L11="",0,IF(Paramètres!M11="",NA(),IF(LEFT(TRIM(Paramètres!M11),1)="F",INDEX($F$437:$F$489,MATCH(Paramètres!L11,Paramètres!$G$5:$G$57,0)),INDEX($E$437:$E$489,MATCH(Paramètres!L11,Paramètres!$G$5:$G$57,0)))+IF(RIGHT(TRIM(Paramètres!M11),3)="Fin",1-$H443,IF(LEFT(TRIM(Paramètres!M11),1)="F",1,0)))),IF(Paramètres!N11="",0,IF(Paramètres!O11="",NA(),IF(LEFT(TRIM(Paramètres!O11),1)="F",INDEX($F$437:$F$489,MATCH(Paramètres!N11,Paramètres!$G$5:$G$57,0)),INDEX($E$437:$E$489,MATCH(Paramètres!N11,Paramètres!$G$5:$G$57,0)))+IF(RIGHT(TRIM(Paramètres!O11),3)="Fin",1-$H443,IF(LEFT(TRIM(Paramètres!O11),1)="F",1,0)))))))</f>
        <v/>
      </c>
      <c r="F443" s="19">
        <f>IF($A443="","",E443+$H443-1)</f>
        <v/>
      </c>
      <c r="G443" s="18" t="n"/>
      <c r="H443" s="18">
        <f>IF($A443="","",IF(I443&lt;&gt;"",I443,Paramètres!B11))</f>
        <v/>
      </c>
      <c r="I443" s="18" t="n"/>
    </row>
    <row r="444">
      <c r="A444" s="18">
        <f>IF(ISNUMBER(Dossiers!$D$12),Dossiers!$A$12&amp;" · "&amp;Dossiers!$B$12,"")</f>
        <v/>
      </c>
      <c r="B444" s="18">
        <f>IF($A444="","",Paramètres!G12)</f>
        <v/>
      </c>
      <c r="C444" s="18">
        <f>IF($A444="","",IF(Paramètres!H12="","",Paramètres!H12))</f>
        <v/>
      </c>
      <c r="D444" s="18">
        <f>IF($A444="","",IF(Paramètres!I12="","",Paramètres!I12))</f>
        <v/>
      </c>
      <c r="E444" s="19">
        <f>IF($A444="","",IF(Paramètres!J12&amp;Paramètres!L12&amp;Paramètres!N12="",Dossiers!$D$12,MAX(IF(Paramètres!J12="",0,IF(Paramètres!K12="",NA(),IF(LEFT(TRIM(Paramètres!K12),1)="F",INDEX($F$437:$F$489,MATCH(Paramètres!J12,Paramètres!$G$5:$G$57,0)),INDEX($E$437:$E$489,MATCH(Paramètres!J12,Paramètres!$G$5:$G$57,0)))+IF(RIGHT(TRIM(Paramètres!K12),3)="Fin",1-$H444,IF(LEFT(TRIM(Paramètres!K12),1)="F",1,0)))),IF(Paramètres!L12="",0,IF(Paramètres!M12="",NA(),IF(LEFT(TRIM(Paramètres!M12),1)="F",INDEX($F$437:$F$489,MATCH(Paramètres!L12,Paramètres!$G$5:$G$57,0)),INDEX($E$437:$E$489,MATCH(Paramètres!L12,Paramètres!$G$5:$G$57,0)))+IF(RIGHT(TRIM(Paramètres!M12),3)="Fin",1-$H444,IF(LEFT(TRIM(Paramètres!M12),1)="F",1,0)))),IF(Paramètres!N12="",0,IF(Paramètres!O12="",NA(),IF(LEFT(TRIM(Paramètres!O12),1)="F",INDEX($F$437:$F$489,MATCH(Paramètres!N12,Paramètres!$G$5:$G$57,0)),INDEX($E$437:$E$489,MATCH(Paramètres!N12,Paramètres!$G$5:$G$57,0)))+IF(RIGHT(TRIM(Paramètres!O12),3)="Fin",1-$H444,IF(LEFT(TRIM(Paramètres!O12),1)="F",1,0)))))))</f>
        <v/>
      </c>
      <c r="F444" s="19">
        <f>IF($A444="","",E444+$H444-1)</f>
        <v/>
      </c>
      <c r="G444" s="18" t="n"/>
      <c r="H444" s="18">
        <f>IF($A444="","",IF(I444&lt;&gt;"",I444,Paramètres!B12))</f>
        <v/>
      </c>
      <c r="I444" s="18" t="n"/>
    </row>
    <row r="445">
      <c r="A445" s="18">
        <f>IF(ISNUMBER(Dossiers!$D$12),Dossiers!$A$12&amp;" · "&amp;Dossiers!$B$12,"")</f>
        <v/>
      </c>
      <c r="B445" s="18">
        <f>IF($A445="","",Paramètres!G13)</f>
        <v/>
      </c>
      <c r="C445" s="18">
        <f>IF($A445="","",IF(Paramètres!H13="","",Paramètres!H13))</f>
        <v/>
      </c>
      <c r="D445" s="18">
        <f>IF($A445="","",IF(Paramètres!I13="","",Paramètres!I13))</f>
        <v/>
      </c>
      <c r="E445" s="19">
        <f>IF($A445="","",IF(Paramètres!J13&amp;Paramètres!L13&amp;Paramètres!N13="",Dossiers!$D$12,MAX(IF(Paramètres!J13="",0,IF(Paramètres!K13="",NA(),IF(LEFT(TRIM(Paramètres!K13),1)="F",INDEX($F$437:$F$489,MATCH(Paramètres!J13,Paramètres!$G$5:$G$57,0)),INDEX($E$437:$E$489,MATCH(Paramètres!J13,Paramètres!$G$5:$G$57,0)))+IF(RIGHT(TRIM(Paramètres!K13),3)="Fin",1-$H445,IF(LEFT(TRIM(Paramètres!K13),1)="F",1,0)))),IF(Paramètres!L13="",0,IF(Paramètres!M13="",NA(),IF(LEFT(TRIM(Paramètres!M13),1)="F",INDEX($F$437:$F$489,MATCH(Paramètres!L13,Paramètres!$G$5:$G$57,0)),INDEX($E$437:$E$489,MATCH(Paramètres!L13,Paramètres!$G$5:$G$57,0)))+IF(RIGHT(TRIM(Paramètres!M13),3)="Fin",1-$H445,IF(LEFT(TRIM(Paramètres!M13),1)="F",1,0)))),IF(Paramètres!N13="",0,IF(Paramètres!O13="",NA(),IF(LEFT(TRIM(Paramètres!O13),1)="F",INDEX($F$437:$F$489,MATCH(Paramètres!N13,Paramètres!$G$5:$G$57,0)),INDEX($E$437:$E$489,MATCH(Paramètres!N13,Paramètres!$G$5:$G$57,0)))+IF(RIGHT(TRIM(Paramètres!O13),3)="Fin",1-$H445,IF(LEFT(TRIM(Paramètres!O13),1)="F",1,0)))))))</f>
        <v/>
      </c>
      <c r="F445" s="19">
        <f>IF($A445="","",E445+$H445-1)</f>
        <v/>
      </c>
      <c r="G445" s="18" t="n"/>
      <c r="H445" s="18">
        <f>IF($A445="","",IF(I445&lt;&gt;"",I445,Paramètres!B13))</f>
        <v/>
      </c>
      <c r="I445" s="18" t="n"/>
    </row>
    <row r="446">
      <c r="A446" s="18">
        <f>IF(ISNUMBER(Dossiers!$D$12),Dossiers!$A$12&amp;" · "&amp;Dossiers!$B$12,"")</f>
        <v/>
      </c>
      <c r="B446" s="18">
        <f>IF($A446="","",Paramètres!G14)</f>
        <v/>
      </c>
      <c r="C446" s="18">
        <f>IF($A446="","",IF(Paramètres!H14="","",Paramètres!H14))</f>
        <v/>
      </c>
      <c r="D446" s="18">
        <f>IF($A446="","",IF(Paramètres!I14="","",Paramètres!I14))</f>
        <v/>
      </c>
      <c r="E446" s="19">
        <f>IF($A446="","",IF(Paramètres!J14&amp;Paramètres!L14&amp;Paramètres!N14="",Dossiers!$D$12,MAX(IF(Paramètres!J14="",0,IF(Paramètres!K14="",NA(),IF(LEFT(TRIM(Paramètres!K14),1)="F",INDEX($F$437:$F$489,MATCH(Paramètres!J14,Paramètres!$G$5:$G$57,0)),INDEX($E$437:$E$489,MATCH(Paramètres!J14,Paramètres!$G$5:$G$57,0)))+IF(RIGHT(TRIM(Paramètres!K14),3)="Fin",1-$H446,IF(LEFT(TRIM(Paramètres!K14),1)="F",1,0)))),IF(Paramètres!L14="",0,IF(Paramètres!M14="",NA(),IF(LEFT(TRIM(Paramètres!M14),1)="F",INDEX($F$437:$F$489,MATCH(Paramètres!L14,Paramètres!$G$5:$G$57,0)),INDEX($E$437:$E$489,MATCH(Paramètres!L14,Paramètres!$G$5:$G$57,0)))+IF(RIGHT(TRIM(Paramètres!M14),3)="Fin",1-$H446,IF(LEFT(TRIM(Paramètres!M14),1)="F",1,0)))),IF(Paramètres!N14="",0,IF(Paramètres!O14="",NA(),IF(LEFT(TRIM(Paramètres!O14),1)="F",INDEX($F$437:$F$489,MATCH(Paramètres!N14,Paramètres!$G$5:$G$57,0)),INDEX($E$437:$E$489,MATCH(Paramètres!N14,Paramètres!$G$5:$G$57,0)))+IF(RIGHT(TRIM(Paramètres!O14),3)="Fin",1-$H446,IF(LEFT(TRIM(Paramètres!O14),1)="F",1,0)))))))</f>
        <v/>
      </c>
      <c r="F446" s="19">
        <f>IF($A446="","",E446+$H446-1)</f>
        <v/>
      </c>
      <c r="G446" s="18" t="n"/>
      <c r="H446" s="18">
        <f>IF($A446="","",IF(I446&lt;&gt;"",I446,Paramètres!B14))</f>
        <v/>
      </c>
      <c r="I446" s="18" t="n"/>
    </row>
    <row r="447">
      <c r="A447" s="18">
        <f>IF(ISNUMBER(Dossiers!$D$12),Dossiers!$A$12&amp;" · "&amp;Dossiers!$B$12,"")</f>
        <v/>
      </c>
      <c r="B447" s="18">
        <f>IF($A447="","",Paramètres!G15)</f>
        <v/>
      </c>
      <c r="C447" s="18">
        <f>IF($A447="","",IF(Paramètres!H15="","",Paramètres!H15))</f>
        <v/>
      </c>
      <c r="D447" s="18">
        <f>IF($A447="","",IF(Paramètres!I15="","",Paramètres!I15))</f>
        <v/>
      </c>
      <c r="E447" s="19">
        <f>IF($A447="","",MIN(E448:E463))</f>
        <v/>
      </c>
      <c r="F447" s="19">
        <f>IF($A447="","",MAX(F448:F463))</f>
        <v/>
      </c>
      <c r="G447" s="18" t="n"/>
      <c r="H447" s="18">
        <f>IF($A447="","",F447-E447+1)</f>
        <v/>
      </c>
      <c r="I447" s="18" t="n"/>
    </row>
    <row r="448">
      <c r="A448" s="18">
        <f>IF(ISNUMBER(Dossiers!$D$12),Dossiers!$A$12&amp;" · "&amp;Dossiers!$B$12,"")</f>
        <v/>
      </c>
      <c r="B448" s="18">
        <f>IF($A448="","",Paramètres!G16)</f>
        <v/>
      </c>
      <c r="C448" s="18">
        <f>IF($A448="","",IF(Paramètres!H16="","",Paramètres!H16))</f>
        <v/>
      </c>
      <c r="D448" s="18">
        <f>IF($A448="","",IF(Paramètres!I16="","",Paramètres!I16))</f>
        <v/>
      </c>
      <c r="E448" s="19">
        <f>IF($A448="","",IF(Paramètres!J16&amp;Paramètres!L16&amp;Paramètres!N16="",Dossiers!$D$12,MAX(IF(Paramètres!J16="",0,IF(Paramètres!K16="",NA(),IF(LEFT(TRIM(Paramètres!K16),1)="F",INDEX($F$437:$F$489,MATCH(Paramètres!J16,Paramètres!$G$5:$G$57,0)),INDEX($E$437:$E$489,MATCH(Paramètres!J16,Paramètres!$G$5:$G$57,0)))+IF(RIGHT(TRIM(Paramètres!K16),3)="Fin",1-$H448,IF(LEFT(TRIM(Paramètres!K16),1)="F",1,0)))),IF(Paramètres!L16="",0,IF(Paramètres!M16="",NA(),IF(LEFT(TRIM(Paramètres!M16),1)="F",INDEX($F$437:$F$489,MATCH(Paramètres!L16,Paramètres!$G$5:$G$57,0)),INDEX($E$437:$E$489,MATCH(Paramètres!L16,Paramètres!$G$5:$G$57,0)))+IF(RIGHT(TRIM(Paramètres!M16),3)="Fin",1-$H448,IF(LEFT(TRIM(Paramètres!M16),1)="F",1,0)))),IF(Paramètres!N16="",0,IF(Paramètres!O16="",NA(),IF(LEFT(TRIM(Paramètres!O16),1)="F",INDEX($F$437:$F$489,MATCH(Paramètres!N16,Paramètres!$G$5:$G$57,0)),INDEX($E$437:$E$489,MATCH(Paramètres!N16,Paramètres!$G$5:$G$57,0)))+IF(RIGHT(TRIM(Paramètres!O16),3)="Fin",1-$H448,IF(LEFT(TRIM(Paramètres!O16),1)="F",1,0)))))))</f>
        <v/>
      </c>
      <c r="F448" s="19">
        <f>IF($A448="","",E448+$H448-1)</f>
        <v/>
      </c>
      <c r="G448" s="18" t="n"/>
      <c r="H448" s="18">
        <f>IF($A448="","",IF(I448&lt;&gt;"",I448,Paramètres!B16))</f>
        <v/>
      </c>
      <c r="I448" s="18" t="n"/>
    </row>
    <row r="449">
      <c r="A449" s="18">
        <f>IF(ISNUMBER(Dossiers!$D$12),Dossiers!$A$12&amp;" · "&amp;Dossiers!$B$12,"")</f>
        <v/>
      </c>
      <c r="B449" s="18">
        <f>IF($A449="","",Paramètres!G17)</f>
        <v/>
      </c>
      <c r="C449" s="18">
        <f>IF($A449="","",IF(Paramètres!H17="","",Paramètres!H17))</f>
        <v/>
      </c>
      <c r="D449" s="18">
        <f>IF($A449="","",IF(Paramètres!I17="","",Paramètres!I17))</f>
        <v/>
      </c>
      <c r="E449" s="19">
        <f>IF($A449="","",IF(Paramètres!J17&amp;Paramètres!L17&amp;Paramètres!N17="",Dossiers!$D$12,MAX(IF(Paramètres!J17="",0,IF(Paramètres!K17="",NA(),IF(LEFT(TRIM(Paramètres!K17),1)="F",INDEX($F$437:$F$489,MATCH(Paramètres!J17,Paramètres!$G$5:$G$57,0)),INDEX($E$437:$E$489,MATCH(Paramètres!J17,Paramètres!$G$5:$G$57,0)))+IF(RIGHT(TRIM(Paramètres!K17),3)="Fin",1-$H449,IF(LEFT(TRIM(Paramètres!K17),1)="F",1,0)))),IF(Paramètres!L17="",0,IF(Paramètres!M17="",NA(),IF(LEFT(TRIM(Paramètres!M17),1)="F",INDEX($F$437:$F$489,MATCH(Paramètres!L17,Paramètres!$G$5:$G$57,0)),INDEX($E$437:$E$489,MATCH(Paramètres!L17,Paramètres!$G$5:$G$57,0)))+IF(RIGHT(TRIM(Paramètres!M17),3)="Fin",1-$H449,IF(LEFT(TRIM(Paramètres!M17),1)="F",1,0)))),IF(Paramètres!N17="",0,IF(Paramètres!O17="",NA(),IF(LEFT(TRIM(Paramètres!O17),1)="F",INDEX($F$437:$F$489,MATCH(Paramètres!N17,Paramètres!$G$5:$G$57,0)),INDEX($E$437:$E$489,MATCH(Paramètres!N17,Paramètres!$G$5:$G$57,0)))+IF(RIGHT(TRIM(Paramètres!O17),3)="Fin",1-$H449,IF(LEFT(TRIM(Paramètres!O17),1)="F",1,0)))))))</f>
        <v/>
      </c>
      <c r="F449" s="19">
        <f>IF($A449="","",E449+$H449-1)</f>
        <v/>
      </c>
      <c r="G449" s="18" t="n"/>
      <c r="H449" s="18">
        <f>IF($A449="","",IF(I449&lt;&gt;"",I449,Paramètres!B17))</f>
        <v/>
      </c>
      <c r="I449" s="18" t="n"/>
    </row>
    <row r="450">
      <c r="A450" s="18">
        <f>IF(ISNUMBER(Dossiers!$D$12),Dossiers!$A$12&amp;" · "&amp;Dossiers!$B$12,"")</f>
        <v/>
      </c>
      <c r="B450" s="18">
        <f>IF($A450="","",Paramètres!G18)</f>
        <v/>
      </c>
      <c r="C450" s="18">
        <f>IF($A450="","",IF(Paramètres!H18="","",Paramètres!H18))</f>
        <v/>
      </c>
      <c r="D450" s="18">
        <f>IF($A450="","",IF(Paramètres!I18="","",Paramètres!I18))</f>
        <v/>
      </c>
      <c r="E450" s="19">
        <f>IF($A450="","",IF(Paramètres!J18&amp;Paramètres!L18&amp;Paramètres!N18="",Dossiers!$D$12,MAX(IF(Paramètres!J18="",0,IF(Paramètres!K18="",NA(),IF(LEFT(TRIM(Paramètres!K18),1)="F",INDEX($F$437:$F$489,MATCH(Paramètres!J18,Paramètres!$G$5:$G$57,0)),INDEX($E$437:$E$489,MATCH(Paramètres!J18,Paramètres!$G$5:$G$57,0)))+IF(RIGHT(TRIM(Paramètres!K18),3)="Fin",1-$H450,IF(LEFT(TRIM(Paramètres!K18),1)="F",1,0)))),IF(Paramètres!L18="",0,IF(Paramètres!M18="",NA(),IF(LEFT(TRIM(Paramètres!M18),1)="F",INDEX($F$437:$F$489,MATCH(Paramètres!L18,Paramètres!$G$5:$G$57,0)),INDEX($E$437:$E$489,MATCH(Paramètres!L18,Paramètres!$G$5:$G$57,0)))+IF(RIGHT(TRIM(Paramètres!M18),3)="Fin",1-$H450,IF(LEFT(TRIM(Paramètres!M18),1)="F",1,0)))),IF(Paramètres!N18="",0,IF(Paramètres!O18="",NA(),IF(LEFT(TRIM(Paramètres!O18),1)="F",INDEX($F$437:$F$489,MATCH(Paramètres!N18,Paramètres!$G$5:$G$57,0)),INDEX($E$437:$E$489,MATCH(Paramètres!N18,Paramètres!$G$5:$G$57,0)))+IF(RIGHT(TRIM(Paramètres!O18),3)="Fin",1-$H450,IF(LEFT(TRIM(Paramètres!O18),1)="F",1,0)))))))</f>
        <v/>
      </c>
      <c r="F450" s="19">
        <f>IF($A450="","",E450+$H450-1)</f>
        <v/>
      </c>
      <c r="G450" s="18" t="n"/>
      <c r="H450" s="18">
        <f>IF($A450="","",IF(I450&lt;&gt;"",I450,Paramètres!B18))</f>
        <v/>
      </c>
      <c r="I450" s="18" t="n"/>
    </row>
    <row r="451">
      <c r="A451" s="18">
        <f>IF(ISNUMBER(Dossiers!$D$12),Dossiers!$A$12&amp;" · "&amp;Dossiers!$B$12,"")</f>
        <v/>
      </c>
      <c r="B451" s="18">
        <f>IF($A451="","",Paramètres!G19)</f>
        <v/>
      </c>
      <c r="C451" s="18">
        <f>IF($A451="","",IF(Paramètres!H19="","",Paramètres!H19))</f>
        <v/>
      </c>
      <c r="D451" s="18">
        <f>IF($A451="","",IF(Paramètres!I19="","",Paramètres!I19))</f>
        <v/>
      </c>
      <c r="E451" s="19">
        <f>IF($A451="","",IF(Paramètres!J19&amp;Paramètres!L19&amp;Paramètres!N19="",Dossiers!$D$12,MAX(IF(Paramètres!J19="",0,IF(Paramètres!K19="",NA(),IF(LEFT(TRIM(Paramètres!K19),1)="F",INDEX($F$437:$F$489,MATCH(Paramètres!J19,Paramètres!$G$5:$G$57,0)),INDEX($E$437:$E$489,MATCH(Paramètres!J19,Paramètres!$G$5:$G$57,0)))+IF(RIGHT(TRIM(Paramètres!K19),3)="Fin",1-$H451,IF(LEFT(TRIM(Paramètres!K19),1)="F",1,0)))),IF(Paramètres!L19="",0,IF(Paramètres!M19="",NA(),IF(LEFT(TRIM(Paramètres!M19),1)="F",INDEX($F$437:$F$489,MATCH(Paramètres!L19,Paramètres!$G$5:$G$57,0)),INDEX($E$437:$E$489,MATCH(Paramètres!L19,Paramètres!$G$5:$G$57,0)))+IF(RIGHT(TRIM(Paramètres!M19),3)="Fin",1-$H451,IF(LEFT(TRIM(Paramètres!M19),1)="F",1,0)))),IF(Paramètres!N19="",0,IF(Paramètres!O19="",NA(),IF(LEFT(TRIM(Paramètres!O19),1)="F",INDEX($F$437:$F$489,MATCH(Paramètres!N19,Paramètres!$G$5:$G$57,0)),INDEX($E$437:$E$489,MATCH(Paramètres!N19,Paramètres!$G$5:$G$57,0)))+IF(RIGHT(TRIM(Paramètres!O19),3)="Fin",1-$H451,IF(LEFT(TRIM(Paramètres!O19),1)="F",1,0)))))))</f>
        <v/>
      </c>
      <c r="F451" s="19">
        <f>IF($A451="","",E451+$H451-1)</f>
        <v/>
      </c>
      <c r="G451" s="18" t="n"/>
      <c r="H451" s="18">
        <f>IF($A451="","",IF(I451&lt;&gt;"",I451,Paramètres!B19))</f>
        <v/>
      </c>
      <c r="I451" s="18" t="n"/>
    </row>
    <row r="452">
      <c r="A452" s="18">
        <f>IF(ISNUMBER(Dossiers!$D$12),Dossiers!$A$12&amp;" · "&amp;Dossiers!$B$12,"")</f>
        <v/>
      </c>
      <c r="B452" s="18">
        <f>IF($A452="","",Paramètres!G20)</f>
        <v/>
      </c>
      <c r="C452" s="18">
        <f>IF($A452="","",IF(Paramètres!H20="","",Paramètres!H20))</f>
        <v/>
      </c>
      <c r="D452" s="18">
        <f>IF($A452="","",IF(Paramètres!I20="","",Paramètres!I20))</f>
        <v/>
      </c>
      <c r="E452" s="19">
        <f>IF($A452="","",IF(Paramètres!J20&amp;Paramètres!L20&amp;Paramètres!N20="",Dossiers!$D$12,MAX(IF(Paramètres!J20="",0,IF(Paramètres!K20="",NA(),IF(LEFT(TRIM(Paramètres!K20),1)="F",INDEX($F$437:$F$489,MATCH(Paramètres!J20,Paramètres!$G$5:$G$57,0)),INDEX($E$437:$E$489,MATCH(Paramètres!J20,Paramètres!$G$5:$G$57,0)))+IF(RIGHT(TRIM(Paramètres!K20),3)="Fin",1-$H452,IF(LEFT(TRIM(Paramètres!K20),1)="F",1,0)))),IF(Paramètres!L20="",0,IF(Paramètres!M20="",NA(),IF(LEFT(TRIM(Paramètres!M20),1)="F",INDEX($F$437:$F$489,MATCH(Paramètres!L20,Paramètres!$G$5:$G$57,0)),INDEX($E$437:$E$489,MATCH(Paramètres!L20,Paramètres!$G$5:$G$57,0)))+IF(RIGHT(TRIM(Paramètres!M20),3)="Fin",1-$H452,IF(LEFT(TRIM(Paramètres!M20),1)="F",1,0)))),IF(Paramètres!N20="",0,IF(Paramètres!O20="",NA(),IF(LEFT(TRIM(Paramètres!O20),1)="F",INDEX($F$437:$F$489,MATCH(Paramètres!N20,Paramètres!$G$5:$G$57,0)),INDEX($E$437:$E$489,MATCH(Paramètres!N20,Paramètres!$G$5:$G$57,0)))+IF(RIGHT(TRIM(Paramètres!O20),3)="Fin",1-$H452,IF(LEFT(TRIM(Paramètres!O20),1)="F",1,0)))))))</f>
        <v/>
      </c>
      <c r="F452" s="19">
        <f>IF($A452="","",E452+$H452-1)</f>
        <v/>
      </c>
      <c r="G452" s="18" t="n"/>
      <c r="H452" s="18">
        <f>IF($A452="","",IF(I452&lt;&gt;"",I452,Paramètres!B20))</f>
        <v/>
      </c>
      <c r="I452" s="18" t="n"/>
    </row>
    <row r="453">
      <c r="A453" s="18">
        <f>IF(ISNUMBER(Dossiers!$D$12),Dossiers!$A$12&amp;" · "&amp;Dossiers!$B$12,"")</f>
        <v/>
      </c>
      <c r="B453" s="18">
        <f>IF($A453="","",Paramètres!G21)</f>
        <v/>
      </c>
      <c r="C453" s="18">
        <f>IF($A453="","",IF(Paramètres!H21="","",Paramètres!H21))</f>
        <v/>
      </c>
      <c r="D453" s="18">
        <f>IF($A453="","",IF(Paramètres!I21="","",Paramètres!I21))</f>
        <v/>
      </c>
      <c r="E453" s="19">
        <f>IF($A453="","",IF(Paramètres!J21&amp;Paramètres!L21&amp;Paramètres!N21="",Dossiers!$D$12,MAX(IF(Paramètres!J21="",0,IF(Paramètres!K21="",NA(),IF(LEFT(TRIM(Paramètres!K21),1)="F",INDEX($F$437:$F$489,MATCH(Paramètres!J21,Paramètres!$G$5:$G$57,0)),INDEX($E$437:$E$489,MATCH(Paramètres!J21,Paramètres!$G$5:$G$57,0)))+IF(RIGHT(TRIM(Paramètres!K21),3)="Fin",1-$H453,IF(LEFT(TRIM(Paramètres!K21),1)="F",1,0)))),IF(Paramètres!L21="",0,IF(Paramètres!M21="",NA(),IF(LEFT(TRIM(Paramètres!M21),1)="F",INDEX($F$437:$F$489,MATCH(Paramètres!L21,Paramètres!$G$5:$G$57,0)),INDEX($E$437:$E$489,MATCH(Paramètres!L21,Paramètres!$G$5:$G$57,0)))+IF(RIGHT(TRIM(Paramètres!M21),3)="Fin",1-$H453,IF(LEFT(TRIM(Paramètres!M21),1)="F",1,0)))),IF(Paramètres!N21="",0,IF(Paramètres!O21="",NA(),IF(LEFT(TRIM(Paramètres!O21),1)="F",INDEX($F$437:$F$489,MATCH(Paramètres!N21,Paramètres!$G$5:$G$57,0)),INDEX($E$437:$E$489,MATCH(Paramètres!N21,Paramètres!$G$5:$G$57,0)))+IF(RIGHT(TRIM(Paramètres!O21),3)="Fin",1-$H453,IF(LEFT(TRIM(Paramètres!O21),1)="F",1,0)))))))</f>
        <v/>
      </c>
      <c r="F453" s="19">
        <f>IF($A453="","",E453+$H453-1)</f>
        <v/>
      </c>
      <c r="G453" s="18" t="n"/>
      <c r="H453" s="18">
        <f>IF($A453="","",IF(I453&lt;&gt;"",I453,Paramètres!B21))</f>
        <v/>
      </c>
      <c r="I453" s="18" t="n"/>
    </row>
    <row r="454">
      <c r="A454" s="18">
        <f>IF(ISNUMBER(Dossiers!$D$12),Dossiers!$A$12&amp;" · "&amp;Dossiers!$B$12,"")</f>
        <v/>
      </c>
      <c r="B454" s="18">
        <f>IF($A454="","",Paramètres!G22)</f>
        <v/>
      </c>
      <c r="C454" s="18">
        <f>IF($A454="","",IF(Paramètres!H22="","",Paramètres!H22))</f>
        <v/>
      </c>
      <c r="D454" s="18">
        <f>IF($A454="","",IF(Paramètres!I22="","",Paramètres!I22))</f>
        <v/>
      </c>
      <c r="E454" s="19">
        <f>IF($A454="","",IF(Paramètres!J22&amp;Paramètres!L22&amp;Paramètres!N22="",Dossiers!$D$12,MAX(IF(Paramètres!J22="",0,IF(Paramètres!K22="",NA(),IF(LEFT(TRIM(Paramètres!K22),1)="F",INDEX($F$437:$F$489,MATCH(Paramètres!J22,Paramètres!$G$5:$G$57,0)),INDEX($E$437:$E$489,MATCH(Paramètres!J22,Paramètres!$G$5:$G$57,0)))+IF(RIGHT(TRIM(Paramètres!K22),3)="Fin",1-$H454,IF(LEFT(TRIM(Paramètres!K22),1)="F",1,0)))),IF(Paramètres!L22="",0,IF(Paramètres!M22="",NA(),IF(LEFT(TRIM(Paramètres!M22),1)="F",INDEX($F$437:$F$489,MATCH(Paramètres!L22,Paramètres!$G$5:$G$57,0)),INDEX($E$437:$E$489,MATCH(Paramètres!L22,Paramètres!$G$5:$G$57,0)))+IF(RIGHT(TRIM(Paramètres!M22),3)="Fin",1-$H454,IF(LEFT(TRIM(Paramètres!M22),1)="F",1,0)))),IF(Paramètres!N22="",0,IF(Paramètres!O22="",NA(),IF(LEFT(TRIM(Paramètres!O22),1)="F",INDEX($F$437:$F$489,MATCH(Paramètres!N22,Paramètres!$G$5:$G$57,0)),INDEX($E$437:$E$489,MATCH(Paramètres!N22,Paramètres!$G$5:$G$57,0)))+IF(RIGHT(TRIM(Paramètres!O22),3)="Fin",1-$H454,IF(LEFT(TRIM(Paramètres!O22),1)="F",1,0)))))))</f>
        <v/>
      </c>
      <c r="F454" s="19">
        <f>IF($A454="","",E454+$H454-1)</f>
        <v/>
      </c>
      <c r="G454" s="18" t="n"/>
      <c r="H454" s="18">
        <f>IF($A454="","",IF(I454&lt;&gt;"",I454,Paramètres!B22))</f>
        <v/>
      </c>
      <c r="I454" s="18" t="n"/>
    </row>
    <row r="455">
      <c r="A455" s="18">
        <f>IF(ISNUMBER(Dossiers!$D$12),Dossiers!$A$12&amp;" · "&amp;Dossiers!$B$12,"")</f>
        <v/>
      </c>
      <c r="B455" s="18">
        <f>IF($A455="","",Paramètres!G23)</f>
        <v/>
      </c>
      <c r="C455" s="18">
        <f>IF($A455="","",IF(Paramètres!H23="","",Paramètres!H23))</f>
        <v/>
      </c>
      <c r="D455" s="18">
        <f>IF($A455="","",IF(Paramètres!I23="","",Paramètres!I23))</f>
        <v/>
      </c>
      <c r="E455" s="19">
        <f>IF($A455="","",IF(Paramètres!J23&amp;Paramètres!L23&amp;Paramètres!N23="",Dossiers!$D$12,MAX(IF(Paramètres!J23="",0,IF(Paramètres!K23="",NA(),IF(LEFT(TRIM(Paramètres!K23),1)="F",INDEX($F$437:$F$489,MATCH(Paramètres!J23,Paramètres!$G$5:$G$57,0)),INDEX($E$437:$E$489,MATCH(Paramètres!J23,Paramètres!$G$5:$G$57,0)))+IF(RIGHT(TRIM(Paramètres!K23),3)="Fin",1-$H455,IF(LEFT(TRIM(Paramètres!K23),1)="F",1,0)))),IF(Paramètres!L23="",0,IF(Paramètres!M23="",NA(),IF(LEFT(TRIM(Paramètres!M23),1)="F",INDEX($F$437:$F$489,MATCH(Paramètres!L23,Paramètres!$G$5:$G$57,0)),INDEX($E$437:$E$489,MATCH(Paramètres!L23,Paramètres!$G$5:$G$57,0)))+IF(RIGHT(TRIM(Paramètres!M23),3)="Fin",1-$H455,IF(LEFT(TRIM(Paramètres!M23),1)="F",1,0)))),IF(Paramètres!N23="",0,IF(Paramètres!O23="",NA(),IF(LEFT(TRIM(Paramètres!O23),1)="F",INDEX($F$437:$F$489,MATCH(Paramètres!N23,Paramètres!$G$5:$G$57,0)),INDEX($E$437:$E$489,MATCH(Paramètres!N23,Paramètres!$G$5:$G$57,0)))+IF(RIGHT(TRIM(Paramètres!O23),3)="Fin",1-$H455,IF(LEFT(TRIM(Paramètres!O23),1)="F",1,0)))))))</f>
        <v/>
      </c>
      <c r="F455" s="19">
        <f>IF($A455="","",E455+$H455-1)</f>
        <v/>
      </c>
      <c r="G455" s="18" t="n"/>
      <c r="H455" s="18">
        <f>IF($A455="","",IF(I455&lt;&gt;"",I455,Paramètres!B23))</f>
        <v/>
      </c>
      <c r="I455" s="18" t="n"/>
    </row>
    <row r="456">
      <c r="A456" s="18">
        <f>IF(ISNUMBER(Dossiers!$D$12),Dossiers!$A$12&amp;" · "&amp;Dossiers!$B$12,"")</f>
        <v/>
      </c>
      <c r="B456" s="18">
        <f>IF($A456="","",Paramètres!G24)</f>
        <v/>
      </c>
      <c r="C456" s="18">
        <f>IF($A456="","",IF(Paramètres!H24="","",Paramètres!H24))</f>
        <v/>
      </c>
      <c r="D456" s="18">
        <f>IF($A456="","",IF(Paramètres!I24="","",Paramètres!I24))</f>
        <v/>
      </c>
      <c r="E456" s="19">
        <f>IF($A456="","",IF(Paramètres!J24&amp;Paramètres!L24&amp;Paramètres!N24="",Dossiers!$D$12,MAX(IF(Paramètres!J24="",0,IF(Paramètres!K24="",NA(),IF(LEFT(TRIM(Paramètres!K24),1)="F",INDEX($F$437:$F$489,MATCH(Paramètres!J24,Paramètres!$G$5:$G$57,0)),INDEX($E$437:$E$489,MATCH(Paramètres!J24,Paramètres!$G$5:$G$57,0)))+IF(RIGHT(TRIM(Paramètres!K24),3)="Fin",1-$H456,IF(LEFT(TRIM(Paramètres!K24),1)="F",1,0)))),IF(Paramètres!L24="",0,IF(Paramètres!M24="",NA(),IF(LEFT(TRIM(Paramètres!M24),1)="F",INDEX($F$437:$F$489,MATCH(Paramètres!L24,Paramètres!$G$5:$G$57,0)),INDEX($E$437:$E$489,MATCH(Paramètres!L24,Paramètres!$G$5:$G$57,0)))+IF(RIGHT(TRIM(Paramètres!M24),3)="Fin",1-$H456,IF(LEFT(TRIM(Paramètres!M24),1)="F",1,0)))),IF(Paramètres!N24="",0,IF(Paramètres!O24="",NA(),IF(LEFT(TRIM(Paramètres!O24),1)="F",INDEX($F$437:$F$489,MATCH(Paramètres!N24,Paramètres!$G$5:$G$57,0)),INDEX($E$437:$E$489,MATCH(Paramètres!N24,Paramètres!$G$5:$G$57,0)))+IF(RIGHT(TRIM(Paramètres!O24),3)="Fin",1-$H456,IF(LEFT(TRIM(Paramètres!O24),1)="F",1,0)))))))</f>
        <v/>
      </c>
      <c r="F456" s="19">
        <f>IF($A456="","",E456+$H456-1)</f>
        <v/>
      </c>
      <c r="G456" s="18" t="n"/>
      <c r="H456" s="18">
        <f>IF($A456="","",IF(I456&lt;&gt;"",I456,Paramètres!B24))</f>
        <v/>
      </c>
      <c r="I456" s="18" t="n"/>
    </row>
    <row r="457">
      <c r="A457" s="18">
        <f>IF(ISNUMBER(Dossiers!$D$12),Dossiers!$A$12&amp;" · "&amp;Dossiers!$B$12,"")</f>
        <v/>
      </c>
      <c r="B457" s="18">
        <f>IF($A457="","",Paramètres!G25)</f>
        <v/>
      </c>
      <c r="C457" s="18">
        <f>IF($A457="","",IF(Paramètres!H25="","",Paramètres!H25))</f>
        <v/>
      </c>
      <c r="D457" s="18">
        <f>IF($A457="","",IF(Paramètres!I25="","",Paramètres!I25))</f>
        <v/>
      </c>
      <c r="E457" s="19">
        <f>IF($A457="","",IF(Paramètres!J25&amp;Paramètres!L25&amp;Paramètres!N25="",Dossiers!$D$12,MAX(IF(Paramètres!J25="",0,IF(Paramètres!K25="",NA(),IF(LEFT(TRIM(Paramètres!K25),1)="F",INDEX($F$437:$F$489,MATCH(Paramètres!J25,Paramètres!$G$5:$G$57,0)),INDEX($E$437:$E$489,MATCH(Paramètres!J25,Paramètres!$G$5:$G$57,0)))+IF(RIGHT(TRIM(Paramètres!K25),3)="Fin",1-$H457,IF(LEFT(TRIM(Paramètres!K25),1)="F",1,0)))),IF(Paramètres!L25="",0,IF(Paramètres!M25="",NA(),IF(LEFT(TRIM(Paramètres!M25),1)="F",INDEX($F$437:$F$489,MATCH(Paramètres!L25,Paramètres!$G$5:$G$57,0)),INDEX($E$437:$E$489,MATCH(Paramètres!L25,Paramètres!$G$5:$G$57,0)))+IF(RIGHT(TRIM(Paramètres!M25),3)="Fin",1-$H457,IF(LEFT(TRIM(Paramètres!M25),1)="F",1,0)))),IF(Paramètres!N25="",0,IF(Paramètres!O25="",NA(),IF(LEFT(TRIM(Paramètres!O25),1)="F",INDEX($F$437:$F$489,MATCH(Paramètres!N25,Paramètres!$G$5:$G$57,0)),INDEX($E$437:$E$489,MATCH(Paramètres!N25,Paramètres!$G$5:$G$57,0)))+IF(RIGHT(TRIM(Paramètres!O25),3)="Fin",1-$H457,IF(LEFT(TRIM(Paramètres!O25),1)="F",1,0)))))))</f>
        <v/>
      </c>
      <c r="F457" s="19">
        <f>IF($A457="","",E457+$H457-1)</f>
        <v/>
      </c>
      <c r="G457" s="18" t="n"/>
      <c r="H457" s="18">
        <f>IF($A457="","",IF(I457&lt;&gt;"",I457,Paramètres!B25))</f>
        <v/>
      </c>
      <c r="I457" s="18" t="n"/>
    </row>
    <row r="458">
      <c r="A458" s="18">
        <f>IF(ISNUMBER(Dossiers!$D$12),Dossiers!$A$12&amp;" · "&amp;Dossiers!$B$12,"")</f>
        <v/>
      </c>
      <c r="B458" s="18">
        <f>IF($A458="","",Paramètres!G26)</f>
        <v/>
      </c>
      <c r="C458" s="18">
        <f>IF($A458="","",IF(Paramètres!H26="","",Paramètres!H26))</f>
        <v/>
      </c>
      <c r="D458" s="18">
        <f>IF($A458="","",IF(Paramètres!I26="","",Paramètres!I26))</f>
        <v/>
      </c>
      <c r="E458" s="19">
        <f>IF($A458="","",IF(Paramètres!J26&amp;Paramètres!L26&amp;Paramètres!N26="",Dossiers!$D$12,MAX(IF(Paramètres!J26="",0,IF(Paramètres!K26="",NA(),IF(LEFT(TRIM(Paramètres!K26),1)="F",INDEX($F$437:$F$489,MATCH(Paramètres!J26,Paramètres!$G$5:$G$57,0)),INDEX($E$437:$E$489,MATCH(Paramètres!J26,Paramètres!$G$5:$G$57,0)))+IF(RIGHT(TRIM(Paramètres!K26),3)="Fin",1-$H458,IF(LEFT(TRIM(Paramètres!K26),1)="F",1,0)))),IF(Paramètres!L26="",0,IF(Paramètres!M26="",NA(),IF(LEFT(TRIM(Paramètres!M26),1)="F",INDEX($F$437:$F$489,MATCH(Paramètres!L26,Paramètres!$G$5:$G$57,0)),INDEX($E$437:$E$489,MATCH(Paramètres!L26,Paramètres!$G$5:$G$57,0)))+IF(RIGHT(TRIM(Paramètres!M26),3)="Fin",1-$H458,IF(LEFT(TRIM(Paramètres!M26),1)="F",1,0)))),IF(Paramètres!N26="",0,IF(Paramètres!O26="",NA(),IF(LEFT(TRIM(Paramètres!O26),1)="F",INDEX($F$437:$F$489,MATCH(Paramètres!N26,Paramètres!$G$5:$G$57,0)),INDEX($E$437:$E$489,MATCH(Paramètres!N26,Paramètres!$G$5:$G$57,0)))+IF(RIGHT(TRIM(Paramètres!O26),3)="Fin",1-$H458,IF(LEFT(TRIM(Paramètres!O26),1)="F",1,0)))))))</f>
        <v/>
      </c>
      <c r="F458" s="19">
        <f>IF($A458="","",E458+$H458-1)</f>
        <v/>
      </c>
      <c r="G458" s="18" t="n"/>
      <c r="H458" s="18">
        <f>IF($A458="","",IF(I458&lt;&gt;"",I458,Paramètres!B26))</f>
        <v/>
      </c>
      <c r="I458" s="18" t="n"/>
    </row>
    <row r="459">
      <c r="A459" s="18">
        <f>IF(ISNUMBER(Dossiers!$D$12),Dossiers!$A$12&amp;" · "&amp;Dossiers!$B$12,"")</f>
        <v/>
      </c>
      <c r="B459" s="18">
        <f>IF($A459="","",Paramètres!G27)</f>
        <v/>
      </c>
      <c r="C459" s="18">
        <f>IF($A459="","",IF(Paramètres!H27="","",Paramètres!H27))</f>
        <v/>
      </c>
      <c r="D459" s="18">
        <f>IF($A459="","",IF(Paramètres!I27="","",Paramètres!I27))</f>
        <v/>
      </c>
      <c r="E459" s="19">
        <f>IF($A459="","",IF(Paramètres!J27&amp;Paramètres!L27&amp;Paramètres!N27="",Dossiers!$D$12,MAX(IF(Paramètres!J27="",0,IF(Paramètres!K27="",NA(),IF(LEFT(TRIM(Paramètres!K27),1)="F",INDEX($F$437:$F$489,MATCH(Paramètres!J27,Paramètres!$G$5:$G$57,0)),INDEX($E$437:$E$489,MATCH(Paramètres!J27,Paramètres!$G$5:$G$57,0)))+IF(RIGHT(TRIM(Paramètres!K27),3)="Fin",1-$H459,IF(LEFT(TRIM(Paramètres!K27),1)="F",1,0)))),IF(Paramètres!L27="",0,IF(Paramètres!M27="",NA(),IF(LEFT(TRIM(Paramètres!M27),1)="F",INDEX($F$437:$F$489,MATCH(Paramètres!L27,Paramètres!$G$5:$G$57,0)),INDEX($E$437:$E$489,MATCH(Paramètres!L27,Paramètres!$G$5:$G$57,0)))+IF(RIGHT(TRIM(Paramètres!M27),3)="Fin",1-$H459,IF(LEFT(TRIM(Paramètres!M27),1)="F",1,0)))),IF(Paramètres!N27="",0,IF(Paramètres!O27="",NA(),IF(LEFT(TRIM(Paramètres!O27),1)="F",INDEX($F$437:$F$489,MATCH(Paramètres!N27,Paramètres!$G$5:$G$57,0)),INDEX($E$437:$E$489,MATCH(Paramètres!N27,Paramètres!$G$5:$G$57,0)))+IF(RIGHT(TRIM(Paramètres!O27),3)="Fin",1-$H459,IF(LEFT(TRIM(Paramètres!O27),1)="F",1,0)))))))</f>
        <v/>
      </c>
      <c r="F459" s="19">
        <f>IF($A459="","",E459+$H459-1)</f>
        <v/>
      </c>
      <c r="G459" s="18" t="n"/>
      <c r="H459" s="18">
        <f>IF($A459="","",IF(I459&lt;&gt;"",I459,Paramètres!B27))</f>
        <v/>
      </c>
      <c r="I459" s="18" t="n"/>
    </row>
    <row r="460">
      <c r="A460" s="18">
        <f>IF(ISNUMBER(Dossiers!$D$12),Dossiers!$A$12&amp;" · "&amp;Dossiers!$B$12,"")</f>
        <v/>
      </c>
      <c r="B460" s="18">
        <f>IF($A460="","",Paramètres!G28)</f>
        <v/>
      </c>
      <c r="C460" s="18">
        <f>IF($A460="","",IF(Paramètres!H28="","",Paramètres!H28))</f>
        <v/>
      </c>
      <c r="D460" s="18">
        <f>IF($A460="","",IF(Paramètres!I28="","",Paramètres!I28))</f>
        <v/>
      </c>
      <c r="E460" s="19">
        <f>IF($A460="","",IF(Paramètres!J28&amp;Paramètres!L28&amp;Paramètres!N28="",Dossiers!$D$12,MAX(IF(Paramètres!J28="",0,IF(Paramètres!K28="",NA(),IF(LEFT(TRIM(Paramètres!K28),1)="F",INDEX($F$437:$F$489,MATCH(Paramètres!J28,Paramètres!$G$5:$G$57,0)),INDEX($E$437:$E$489,MATCH(Paramètres!J28,Paramètres!$G$5:$G$57,0)))+IF(RIGHT(TRIM(Paramètres!K28),3)="Fin",1-$H460,IF(LEFT(TRIM(Paramètres!K28),1)="F",1,0)))),IF(Paramètres!L28="",0,IF(Paramètres!M28="",NA(),IF(LEFT(TRIM(Paramètres!M28),1)="F",INDEX($F$437:$F$489,MATCH(Paramètres!L28,Paramètres!$G$5:$G$57,0)),INDEX($E$437:$E$489,MATCH(Paramètres!L28,Paramètres!$G$5:$G$57,0)))+IF(RIGHT(TRIM(Paramètres!M28),3)="Fin",1-$H460,IF(LEFT(TRIM(Paramètres!M28),1)="F",1,0)))),IF(Paramètres!N28="",0,IF(Paramètres!O28="",NA(),IF(LEFT(TRIM(Paramètres!O28),1)="F",INDEX($F$437:$F$489,MATCH(Paramètres!N28,Paramètres!$G$5:$G$57,0)),INDEX($E$437:$E$489,MATCH(Paramètres!N28,Paramètres!$G$5:$G$57,0)))+IF(RIGHT(TRIM(Paramètres!O28),3)="Fin",1-$H460,IF(LEFT(TRIM(Paramètres!O28),1)="F",1,0)))))))</f>
        <v/>
      </c>
      <c r="F460" s="19">
        <f>IF($A460="","",E460+$H460-1)</f>
        <v/>
      </c>
      <c r="G460" s="18" t="n"/>
      <c r="H460" s="18">
        <f>IF($A460="","",IF(I460&lt;&gt;"",I460,Paramètres!B28))</f>
        <v/>
      </c>
      <c r="I460" s="18" t="n"/>
    </row>
    <row r="461">
      <c r="A461" s="18">
        <f>IF(ISNUMBER(Dossiers!$D$12),Dossiers!$A$12&amp;" · "&amp;Dossiers!$B$12,"")</f>
        <v/>
      </c>
      <c r="B461" s="18">
        <f>IF($A461="","",Paramètres!G29)</f>
        <v/>
      </c>
      <c r="C461" s="18">
        <f>IF($A461="","",IF(Paramètres!H29="","",Paramètres!H29))</f>
        <v/>
      </c>
      <c r="D461" s="18">
        <f>IF($A461="","",IF(Paramètres!I29="","",Paramètres!I29))</f>
        <v/>
      </c>
      <c r="E461" s="19">
        <f>IF($A461="","",IF(Paramètres!J29&amp;Paramètres!L29&amp;Paramètres!N29="",Dossiers!$D$12,MAX(IF(Paramètres!J29="",0,IF(Paramètres!K29="",NA(),IF(LEFT(TRIM(Paramètres!K29),1)="F",INDEX($F$437:$F$489,MATCH(Paramètres!J29,Paramètres!$G$5:$G$57,0)),INDEX($E$437:$E$489,MATCH(Paramètres!J29,Paramètres!$G$5:$G$57,0)))+IF(RIGHT(TRIM(Paramètres!K29),3)="Fin",1-$H461,IF(LEFT(TRIM(Paramètres!K29),1)="F",1,0)))),IF(Paramètres!L29="",0,IF(Paramètres!M29="",NA(),IF(LEFT(TRIM(Paramètres!M29),1)="F",INDEX($F$437:$F$489,MATCH(Paramètres!L29,Paramètres!$G$5:$G$57,0)),INDEX($E$437:$E$489,MATCH(Paramètres!L29,Paramètres!$G$5:$G$57,0)))+IF(RIGHT(TRIM(Paramètres!M29),3)="Fin",1-$H461,IF(LEFT(TRIM(Paramètres!M29),1)="F",1,0)))),IF(Paramètres!N29="",0,IF(Paramètres!O29="",NA(),IF(LEFT(TRIM(Paramètres!O29),1)="F",INDEX($F$437:$F$489,MATCH(Paramètres!N29,Paramètres!$G$5:$G$57,0)),INDEX($E$437:$E$489,MATCH(Paramètres!N29,Paramètres!$G$5:$G$57,0)))+IF(RIGHT(TRIM(Paramètres!O29),3)="Fin",1-$H461,IF(LEFT(TRIM(Paramètres!O29),1)="F",1,0)))))))</f>
        <v/>
      </c>
      <c r="F461" s="19">
        <f>IF($A461="","",E461+$H461-1)</f>
        <v/>
      </c>
      <c r="G461" s="18" t="n"/>
      <c r="H461" s="18">
        <f>IF($A461="","",IF(I461&lt;&gt;"",I461,Paramètres!B29))</f>
        <v/>
      </c>
      <c r="I461" s="18" t="n"/>
    </row>
    <row r="462">
      <c r="A462" s="18">
        <f>IF(ISNUMBER(Dossiers!$D$12),Dossiers!$A$12&amp;" · "&amp;Dossiers!$B$12,"")</f>
        <v/>
      </c>
      <c r="B462" s="18">
        <f>IF($A462="","",Paramètres!G30)</f>
        <v/>
      </c>
      <c r="C462" s="18">
        <f>IF($A462="","",IF(Paramètres!H30="","",Paramètres!H30))</f>
        <v/>
      </c>
      <c r="D462" s="18">
        <f>IF($A462="","",IF(Paramètres!I30="","",Paramètres!I30))</f>
        <v/>
      </c>
      <c r="E462" s="19">
        <f>IF($A462="","",IF(Paramètres!J30&amp;Paramètres!L30&amp;Paramètres!N30="",Dossiers!$D$12,MAX(IF(Paramètres!J30="",0,IF(Paramètres!K30="",NA(),IF(LEFT(TRIM(Paramètres!K30),1)="F",INDEX($F$437:$F$489,MATCH(Paramètres!J30,Paramètres!$G$5:$G$57,0)),INDEX($E$437:$E$489,MATCH(Paramètres!J30,Paramètres!$G$5:$G$57,0)))+IF(RIGHT(TRIM(Paramètres!K30),3)="Fin",1-$H462,IF(LEFT(TRIM(Paramètres!K30),1)="F",1,0)))),IF(Paramètres!L30="",0,IF(Paramètres!M30="",NA(),IF(LEFT(TRIM(Paramètres!M30),1)="F",INDEX($F$437:$F$489,MATCH(Paramètres!L30,Paramètres!$G$5:$G$57,0)),INDEX($E$437:$E$489,MATCH(Paramètres!L30,Paramètres!$G$5:$G$57,0)))+IF(RIGHT(TRIM(Paramètres!M30),3)="Fin",1-$H462,IF(LEFT(TRIM(Paramètres!M30),1)="F",1,0)))),IF(Paramètres!N30="",0,IF(Paramètres!O30="",NA(),IF(LEFT(TRIM(Paramètres!O30),1)="F",INDEX($F$437:$F$489,MATCH(Paramètres!N30,Paramètres!$G$5:$G$57,0)),INDEX($E$437:$E$489,MATCH(Paramètres!N30,Paramètres!$G$5:$G$57,0)))+IF(RIGHT(TRIM(Paramètres!O30),3)="Fin",1-$H462,IF(LEFT(TRIM(Paramètres!O30),1)="F",1,0)))))))</f>
        <v/>
      </c>
      <c r="F462" s="19">
        <f>IF($A462="","",E462+$H462-1)</f>
        <v/>
      </c>
      <c r="G462" s="18" t="n"/>
      <c r="H462" s="18">
        <f>IF($A462="","",IF(I462&lt;&gt;"",I462,Paramètres!B30))</f>
        <v/>
      </c>
      <c r="I462" s="18" t="n"/>
    </row>
    <row r="463">
      <c r="A463" s="18">
        <f>IF(ISNUMBER(Dossiers!$D$12),Dossiers!$A$12&amp;" · "&amp;Dossiers!$B$12,"")</f>
        <v/>
      </c>
      <c r="B463" s="18">
        <f>IF($A463="","",Paramètres!G31)</f>
        <v/>
      </c>
      <c r="C463" s="20">
        <f>IF($A463="","",IF(Dossiers!$F$12="","",Dossiers!$F$12))</f>
        <v/>
      </c>
      <c r="D463" s="18">
        <f>IF($A463="","",IF(Paramètres!I31="","",Paramètres!I31))</f>
        <v/>
      </c>
      <c r="E463" s="19">
        <f>IF($A463="","",IF(Paramètres!J31&amp;Paramètres!L31&amp;Paramètres!N31="",Dossiers!$D$12,MAX(IF(Paramètres!J31="",0,IF(Paramètres!K31="",NA(),IF(LEFT(TRIM(Paramètres!K31),1)="F",INDEX($F$437:$F$489,MATCH(Paramètres!J31,Paramètres!$G$5:$G$57,0)),INDEX($E$437:$E$489,MATCH(Paramètres!J31,Paramètres!$G$5:$G$57,0)))+IF(RIGHT(TRIM(Paramètres!K31),3)="Fin",1-$H463,IF(LEFT(TRIM(Paramètres!K31),1)="F",1,0)))),IF(Paramètres!L31="",0,IF(Paramètres!M31="",NA(),IF(LEFT(TRIM(Paramètres!M31),1)="F",INDEX($F$437:$F$489,MATCH(Paramètres!L31,Paramètres!$G$5:$G$57,0)),INDEX($E$437:$E$489,MATCH(Paramètres!L31,Paramètres!$G$5:$G$57,0)))+IF(RIGHT(TRIM(Paramètres!M31),3)="Fin",1-$H463,IF(LEFT(TRIM(Paramètres!M31),1)="F",1,0)))),IF(Paramètres!N31="",0,IF(Paramètres!O31="",NA(),IF(LEFT(TRIM(Paramètres!O31),1)="F",INDEX($F$437:$F$489,MATCH(Paramètres!N31,Paramètres!$G$5:$G$57,0)),INDEX($E$437:$E$489,MATCH(Paramètres!N31,Paramètres!$G$5:$G$57,0)))+IF(RIGHT(TRIM(Paramètres!O31),3)="Fin",1-$H463,IF(LEFT(TRIM(Paramètres!O31),1)="F",1,0)))))))</f>
        <v/>
      </c>
      <c r="F463" s="19">
        <f>IF($A463="","",E463+$H463-1)</f>
        <v/>
      </c>
      <c r="G463" s="18" t="n"/>
      <c r="H463" s="18">
        <f>IF($A463="","",IF(I463&lt;&gt;"",I463,Paramètres!B31))</f>
        <v/>
      </c>
      <c r="I463" s="18" t="n"/>
    </row>
    <row r="464">
      <c r="A464" s="18">
        <f>IF(ISNUMBER(Dossiers!$D$12),Dossiers!$A$12&amp;" · "&amp;Dossiers!$B$12,"")</f>
        <v/>
      </c>
      <c r="B464" s="18">
        <f>IF($A464="","",Paramètres!G32)</f>
        <v/>
      </c>
      <c r="C464" s="18">
        <f>IF($A464="","",IF(Paramètres!H32="","",Paramètres!H32))</f>
        <v/>
      </c>
      <c r="D464" s="18">
        <f>IF($A464="","",IF(Paramètres!I32="","",Paramètres!I32))</f>
        <v/>
      </c>
      <c r="E464" s="19">
        <f>IF($A464="","",MIN(E465:E468))</f>
        <v/>
      </c>
      <c r="F464" s="19">
        <f>IF($A464="","",MAX(F465:F468))</f>
        <v/>
      </c>
      <c r="G464" s="18" t="n"/>
      <c r="H464" s="18">
        <f>IF($A464="","",F464-E464+1)</f>
        <v/>
      </c>
      <c r="I464" s="18" t="n"/>
    </row>
    <row r="465">
      <c r="A465" s="18">
        <f>IF(ISNUMBER(Dossiers!$D$12),Dossiers!$A$12&amp;" · "&amp;Dossiers!$B$12,"")</f>
        <v/>
      </c>
      <c r="B465" s="18">
        <f>IF($A465="","",Paramètres!G33)</f>
        <v/>
      </c>
      <c r="C465" s="18">
        <f>IF($A465="","",IF(Paramètres!H33="","",Paramètres!H33))</f>
        <v/>
      </c>
      <c r="D465" s="18">
        <f>IF($A465="","",IF(Paramètres!I33="","",Paramètres!I33))</f>
        <v/>
      </c>
      <c r="E465" s="19">
        <f>IF($A465="","",IF(Paramètres!J33&amp;Paramètres!L33&amp;Paramètres!N33="",Dossiers!$D$12,MAX(IF(Paramètres!J33="",0,IF(Paramètres!K33="",NA(),IF(LEFT(TRIM(Paramètres!K33),1)="F",INDEX($F$437:$F$489,MATCH(Paramètres!J33,Paramètres!$G$5:$G$57,0)),INDEX($E$437:$E$489,MATCH(Paramètres!J33,Paramètres!$G$5:$G$57,0)))+IF(RIGHT(TRIM(Paramètres!K33),3)="Fin",1-$H465,IF(LEFT(TRIM(Paramètres!K33),1)="F",1,0)))),IF(Paramètres!L33="",0,IF(Paramètres!M33="",NA(),IF(LEFT(TRIM(Paramètres!M33),1)="F",INDEX($F$437:$F$489,MATCH(Paramètres!L33,Paramètres!$G$5:$G$57,0)),INDEX($E$437:$E$489,MATCH(Paramètres!L33,Paramètres!$G$5:$G$57,0)))+IF(RIGHT(TRIM(Paramètres!M33),3)="Fin",1-$H465,IF(LEFT(TRIM(Paramètres!M33),1)="F",1,0)))),IF(Paramètres!N33="",0,IF(Paramètres!O33="",NA(),IF(LEFT(TRIM(Paramètres!O33),1)="F",INDEX($F$437:$F$489,MATCH(Paramètres!N33,Paramètres!$G$5:$G$57,0)),INDEX($E$437:$E$489,MATCH(Paramètres!N33,Paramètres!$G$5:$G$57,0)))+IF(RIGHT(TRIM(Paramètres!O33),3)="Fin",1-$H465,IF(LEFT(TRIM(Paramètres!O33),1)="F",1,0)))))))</f>
        <v/>
      </c>
      <c r="F465" s="19">
        <f>IF($A465="","",E465+$H465-1)</f>
        <v/>
      </c>
      <c r="G465" s="18" t="n"/>
      <c r="H465" s="18">
        <f>IF($A465="","",IF(I465&lt;&gt;"",I465,Paramètres!B33))</f>
        <v/>
      </c>
      <c r="I465" s="18" t="n"/>
    </row>
    <row r="466">
      <c r="A466" s="18">
        <f>IF(ISNUMBER(Dossiers!$D$12),Dossiers!$A$12&amp;" · "&amp;Dossiers!$B$12,"")</f>
        <v/>
      </c>
      <c r="B466" s="18">
        <f>IF($A466="","",Paramètres!G34)</f>
        <v/>
      </c>
      <c r="C466" s="18">
        <f>IF($A466="","",IF(Paramètres!H34="","",Paramètres!H34))</f>
        <v/>
      </c>
      <c r="D466" s="18">
        <f>IF($A466="","",IF(Paramètres!I34="","",Paramètres!I34))</f>
        <v/>
      </c>
      <c r="E466" s="19">
        <f>IF($A466="","",IF(Paramètres!J34&amp;Paramètres!L34&amp;Paramètres!N34="",Dossiers!$D$12,MAX(IF(Paramètres!J34="",0,IF(Paramètres!K34="",NA(),IF(LEFT(TRIM(Paramètres!K34),1)="F",INDEX($F$437:$F$489,MATCH(Paramètres!J34,Paramètres!$G$5:$G$57,0)),INDEX($E$437:$E$489,MATCH(Paramètres!J34,Paramètres!$G$5:$G$57,0)))+IF(RIGHT(TRIM(Paramètres!K34),3)="Fin",1-$H466,IF(LEFT(TRIM(Paramètres!K34),1)="F",1,0)))),IF(Paramètres!L34="",0,IF(Paramètres!M34="",NA(),IF(LEFT(TRIM(Paramètres!M34),1)="F",INDEX($F$437:$F$489,MATCH(Paramètres!L34,Paramètres!$G$5:$G$57,0)),INDEX($E$437:$E$489,MATCH(Paramètres!L34,Paramètres!$G$5:$G$57,0)))+IF(RIGHT(TRIM(Paramètres!M34),3)="Fin",1-$H466,IF(LEFT(TRIM(Paramètres!M34),1)="F",1,0)))),IF(Paramètres!N34="",0,IF(Paramètres!O34="",NA(),IF(LEFT(TRIM(Paramètres!O34),1)="F",INDEX($F$437:$F$489,MATCH(Paramètres!N34,Paramètres!$G$5:$G$57,0)),INDEX($E$437:$E$489,MATCH(Paramètres!N34,Paramètres!$G$5:$G$57,0)))+IF(RIGHT(TRIM(Paramètres!O34),3)="Fin",1-$H466,IF(LEFT(TRIM(Paramètres!O34),1)="F",1,0)))))))</f>
        <v/>
      </c>
      <c r="F466" s="19">
        <f>IF($A466="","",E466+$H466-1)</f>
        <v/>
      </c>
      <c r="G466" s="18" t="n"/>
      <c r="H466" s="18">
        <f>IF($A466="","",IF(I466&lt;&gt;"",I466,Paramètres!B34))</f>
        <v/>
      </c>
      <c r="I466" s="18" t="n"/>
    </row>
    <row r="467">
      <c r="A467" s="18">
        <f>IF(ISNUMBER(Dossiers!$D$12),Dossiers!$A$12&amp;" · "&amp;Dossiers!$B$12,"")</f>
        <v/>
      </c>
      <c r="B467" s="18">
        <f>IF($A467="","",Paramètres!G35)</f>
        <v/>
      </c>
      <c r="C467" s="18">
        <f>IF($A467="","",IF(Paramètres!H35="","",Paramètres!H35))</f>
        <v/>
      </c>
      <c r="D467" s="18">
        <f>IF($A467="","",IF(Paramètres!I35="","",Paramètres!I35))</f>
        <v/>
      </c>
      <c r="E467" s="19">
        <f>IF($A467="","",IF(Paramètres!J35&amp;Paramètres!L35&amp;Paramètres!N35="",Dossiers!$D$12,MAX(IF(Paramètres!J35="",0,IF(Paramètres!K35="",NA(),IF(LEFT(TRIM(Paramètres!K35),1)="F",INDEX($F$437:$F$489,MATCH(Paramètres!J35,Paramètres!$G$5:$G$57,0)),INDEX($E$437:$E$489,MATCH(Paramètres!J35,Paramètres!$G$5:$G$57,0)))+IF(RIGHT(TRIM(Paramètres!K35),3)="Fin",1-$H467,IF(LEFT(TRIM(Paramètres!K35),1)="F",1,0)))),IF(Paramètres!L35="",0,IF(Paramètres!M35="",NA(),IF(LEFT(TRIM(Paramètres!M35),1)="F",INDEX($F$437:$F$489,MATCH(Paramètres!L35,Paramètres!$G$5:$G$57,0)),INDEX($E$437:$E$489,MATCH(Paramètres!L35,Paramètres!$G$5:$G$57,0)))+IF(RIGHT(TRIM(Paramètres!M35),3)="Fin",1-$H467,IF(LEFT(TRIM(Paramètres!M35),1)="F",1,0)))),IF(Paramètres!N35="",0,IF(Paramètres!O35="",NA(),IF(LEFT(TRIM(Paramètres!O35),1)="F",INDEX($F$437:$F$489,MATCH(Paramètres!N35,Paramètres!$G$5:$G$57,0)),INDEX($E$437:$E$489,MATCH(Paramètres!N35,Paramètres!$G$5:$G$57,0)))+IF(RIGHT(TRIM(Paramètres!O35),3)="Fin",1-$H467,IF(LEFT(TRIM(Paramètres!O35),1)="F",1,0)))))))</f>
        <v/>
      </c>
      <c r="F467" s="19">
        <f>IF($A467="","",E467+$H467-1)</f>
        <v/>
      </c>
      <c r="G467" s="18" t="n"/>
      <c r="H467" s="18">
        <f>IF($A467="","",IF(I467&lt;&gt;"",I467,Paramètres!B35))</f>
        <v/>
      </c>
      <c r="I467" s="18" t="n"/>
    </row>
    <row r="468">
      <c r="A468" s="18">
        <f>IF(ISNUMBER(Dossiers!$D$12),Dossiers!$A$12&amp;" · "&amp;Dossiers!$B$12,"")</f>
        <v/>
      </c>
      <c r="B468" s="18">
        <f>IF($A468="","",Paramètres!G36)</f>
        <v/>
      </c>
      <c r="C468" s="18">
        <f>IF($A468="","",IF(Paramètres!H36="","",Paramètres!H36))</f>
        <v/>
      </c>
      <c r="D468" s="18">
        <f>IF($A468="","",IF(Paramètres!I36="","",Paramètres!I36))</f>
        <v/>
      </c>
      <c r="E468" s="19">
        <f>IF($A468="","",IF(Paramètres!J36&amp;Paramètres!L36&amp;Paramètres!N36="",Dossiers!$D$12,MAX(IF(Paramètres!J36="",0,IF(Paramètres!K36="",NA(),IF(LEFT(TRIM(Paramètres!K36),1)="F",INDEX($F$437:$F$489,MATCH(Paramètres!J36,Paramètres!$G$5:$G$57,0)),INDEX($E$437:$E$489,MATCH(Paramètres!J36,Paramètres!$G$5:$G$57,0)))+IF(RIGHT(TRIM(Paramètres!K36),3)="Fin",1-$H468,IF(LEFT(TRIM(Paramètres!K36),1)="F",1,0)))),IF(Paramètres!L36="",0,IF(Paramètres!M36="",NA(),IF(LEFT(TRIM(Paramètres!M36),1)="F",INDEX($F$437:$F$489,MATCH(Paramètres!L36,Paramètres!$G$5:$G$57,0)),INDEX($E$437:$E$489,MATCH(Paramètres!L36,Paramètres!$G$5:$G$57,0)))+IF(RIGHT(TRIM(Paramètres!M36),3)="Fin",1-$H468,IF(LEFT(TRIM(Paramètres!M36),1)="F",1,0)))),IF(Paramètres!N36="",0,IF(Paramètres!O36="",NA(),IF(LEFT(TRIM(Paramètres!O36),1)="F",INDEX($F$437:$F$489,MATCH(Paramètres!N36,Paramètres!$G$5:$G$57,0)),INDEX($E$437:$E$489,MATCH(Paramètres!N36,Paramètres!$G$5:$G$57,0)))+IF(RIGHT(TRIM(Paramètres!O36),3)="Fin",1-$H468,IF(LEFT(TRIM(Paramètres!O36),1)="F",1,0)))))))</f>
        <v/>
      </c>
      <c r="F468" s="19">
        <f>IF($A468="","",E468+$H468-1)</f>
        <v/>
      </c>
      <c r="G468" s="18" t="n"/>
      <c r="H468" s="18">
        <f>IF($A468="","",IF(I468&lt;&gt;"",I468,Paramètres!B36))</f>
        <v/>
      </c>
      <c r="I468" s="18" t="n"/>
    </row>
    <row r="469">
      <c r="A469" s="18">
        <f>IF(ISNUMBER(Dossiers!$D$12),Dossiers!$A$12&amp;" · "&amp;Dossiers!$B$12,"")</f>
        <v/>
      </c>
      <c r="B469" s="18">
        <f>IF($A469="","",Paramètres!G37)</f>
        <v/>
      </c>
      <c r="C469" s="18">
        <f>IF($A469="","",IF(Paramètres!H37="","",Paramètres!H37))</f>
        <v/>
      </c>
      <c r="D469" s="18">
        <f>IF($A469="","",IF(Paramètres!I37="","",Paramètres!I37))</f>
        <v/>
      </c>
      <c r="E469" s="19">
        <f>IF($A469="","",MIN(E470:E487))</f>
        <v/>
      </c>
      <c r="F469" s="19">
        <f>IF($A469="","",MAX(F470:F487))</f>
        <v/>
      </c>
      <c r="G469" s="18" t="n"/>
      <c r="H469" s="18">
        <f>IF($A469="","",F469-E469+1)</f>
        <v/>
      </c>
      <c r="I469" s="18" t="n"/>
    </row>
    <row r="470">
      <c r="A470" s="18">
        <f>IF(ISNUMBER(Dossiers!$D$12),Dossiers!$A$12&amp;" · "&amp;Dossiers!$B$12,"")</f>
        <v/>
      </c>
      <c r="B470" s="18">
        <f>IF($A470="","",Paramètres!G38)</f>
        <v/>
      </c>
      <c r="C470" s="18">
        <f>IF($A470="","",IF(Paramètres!H38="","",Paramètres!H38))</f>
        <v/>
      </c>
      <c r="D470" s="18">
        <f>IF($A470="","",IF(Paramètres!I38="","",Paramètres!I38))</f>
        <v/>
      </c>
      <c r="E470" s="19">
        <f>IF($A470="","",IF(Paramètres!J38&amp;Paramètres!L38&amp;Paramètres!N38="",Dossiers!$D$12,MAX(IF(Paramètres!J38="",0,IF(Paramètres!K38="",NA(),IF(LEFT(TRIM(Paramètres!K38),1)="F",INDEX($F$437:$F$489,MATCH(Paramètres!J38,Paramètres!$G$5:$G$57,0)),INDEX($E$437:$E$489,MATCH(Paramètres!J38,Paramètres!$G$5:$G$57,0)))+IF(RIGHT(TRIM(Paramètres!K38),3)="Fin",1-$H470,IF(LEFT(TRIM(Paramètres!K38),1)="F",1,0)))),IF(Paramètres!L38="",0,IF(Paramètres!M38="",NA(),IF(LEFT(TRIM(Paramètres!M38),1)="F",INDEX($F$437:$F$489,MATCH(Paramètres!L38,Paramètres!$G$5:$G$57,0)),INDEX($E$437:$E$489,MATCH(Paramètres!L38,Paramètres!$G$5:$G$57,0)))+IF(RIGHT(TRIM(Paramètres!M38),3)="Fin",1-$H470,IF(LEFT(TRIM(Paramètres!M38),1)="F",1,0)))),IF(Paramètres!N38="",0,IF(Paramètres!O38="",NA(),IF(LEFT(TRIM(Paramètres!O38),1)="F",INDEX($F$437:$F$489,MATCH(Paramètres!N38,Paramètres!$G$5:$G$57,0)),INDEX($E$437:$E$489,MATCH(Paramètres!N38,Paramètres!$G$5:$G$57,0)))+IF(RIGHT(TRIM(Paramètres!O38),3)="Fin",1-$H470,IF(LEFT(TRIM(Paramètres!O38),1)="F",1,0)))))))</f>
        <v/>
      </c>
      <c r="F470" s="19">
        <f>IF($A470="","",E470+$H470-1)</f>
        <v/>
      </c>
      <c r="G470" s="18" t="n"/>
      <c r="H470" s="18">
        <f>IF($A470="","",IF(I470&lt;&gt;"",I470,Paramètres!B38))</f>
        <v/>
      </c>
      <c r="I470" s="18" t="n"/>
    </row>
    <row r="471">
      <c r="A471" s="18">
        <f>IF(ISNUMBER(Dossiers!$D$12),Dossiers!$A$12&amp;" · "&amp;Dossiers!$B$12,"")</f>
        <v/>
      </c>
      <c r="B471" s="18">
        <f>IF($A471="","",Paramètres!G39)</f>
        <v/>
      </c>
      <c r="C471" s="18">
        <f>IF($A471="","",IF(Paramètres!H39="","",Paramètres!H39))</f>
        <v/>
      </c>
      <c r="D471" s="18">
        <f>IF($A471="","",IF(Paramètres!I39="","",Paramètres!I39))</f>
        <v/>
      </c>
      <c r="E471" s="19">
        <f>IF($A471="","",IF(Paramètres!J39&amp;Paramètres!L39&amp;Paramètres!N39="",Dossiers!$D$12,MAX(IF(Paramètres!J39="",0,IF(Paramètres!K39="",NA(),IF(LEFT(TRIM(Paramètres!K39),1)="F",INDEX($F$437:$F$489,MATCH(Paramètres!J39,Paramètres!$G$5:$G$57,0)),INDEX($E$437:$E$489,MATCH(Paramètres!J39,Paramètres!$G$5:$G$57,0)))+IF(RIGHT(TRIM(Paramètres!K39),3)="Fin",1-$H471,IF(LEFT(TRIM(Paramètres!K39),1)="F",1,0)))),IF(Paramètres!L39="",0,IF(Paramètres!M39="",NA(),IF(LEFT(TRIM(Paramètres!M39),1)="F",INDEX($F$437:$F$489,MATCH(Paramètres!L39,Paramètres!$G$5:$G$57,0)),INDEX($E$437:$E$489,MATCH(Paramètres!L39,Paramètres!$G$5:$G$57,0)))+IF(RIGHT(TRIM(Paramètres!M39),3)="Fin",1-$H471,IF(LEFT(TRIM(Paramètres!M39),1)="F",1,0)))),IF(Paramètres!N39="",0,IF(Paramètres!O39="",NA(),IF(LEFT(TRIM(Paramètres!O39),1)="F",INDEX($F$437:$F$489,MATCH(Paramètres!N39,Paramètres!$G$5:$G$57,0)),INDEX($E$437:$E$489,MATCH(Paramètres!N39,Paramètres!$G$5:$G$57,0)))+IF(RIGHT(TRIM(Paramètres!O39),3)="Fin",1-$H471,IF(LEFT(TRIM(Paramètres!O39),1)="F",1,0)))))))</f>
        <v/>
      </c>
      <c r="F471" s="19">
        <f>IF($A471="","",E471+$H471-1)</f>
        <v/>
      </c>
      <c r="G471" s="18" t="n"/>
      <c r="H471" s="18">
        <f>IF($A471="","",IF(I471&lt;&gt;"",I471,Paramètres!B39))</f>
        <v/>
      </c>
      <c r="I471" s="18" t="n"/>
    </row>
    <row r="472">
      <c r="A472" s="18">
        <f>IF(ISNUMBER(Dossiers!$D$12),Dossiers!$A$12&amp;" · "&amp;Dossiers!$B$12,"")</f>
        <v/>
      </c>
      <c r="B472" s="18">
        <f>IF($A472="","",Paramètres!G40)</f>
        <v/>
      </c>
      <c r="C472" s="18">
        <f>IF($A472="","",IF(Paramètres!H40="","",Paramètres!H40))</f>
        <v/>
      </c>
      <c r="D472" s="18">
        <f>IF($A472="","",IF(Paramètres!I40="","",Paramètres!I40))</f>
        <v/>
      </c>
      <c r="E472" s="19">
        <f>IF($A472="","",IF(Paramètres!J40&amp;Paramètres!L40&amp;Paramètres!N40="",Dossiers!$D$12,MAX(IF(Paramètres!J40="",0,IF(Paramètres!K40="",NA(),IF(LEFT(TRIM(Paramètres!K40),1)="F",INDEX($F$437:$F$489,MATCH(Paramètres!J40,Paramètres!$G$5:$G$57,0)),INDEX($E$437:$E$489,MATCH(Paramètres!J40,Paramètres!$G$5:$G$57,0)))+IF(RIGHT(TRIM(Paramètres!K40),3)="Fin",1-$H472,IF(LEFT(TRIM(Paramètres!K40),1)="F",1,0)))),IF(Paramètres!L40="",0,IF(Paramètres!M40="",NA(),IF(LEFT(TRIM(Paramètres!M40),1)="F",INDEX($F$437:$F$489,MATCH(Paramètres!L40,Paramètres!$G$5:$G$57,0)),INDEX($E$437:$E$489,MATCH(Paramètres!L40,Paramètres!$G$5:$G$57,0)))+IF(RIGHT(TRIM(Paramètres!M40),3)="Fin",1-$H472,IF(LEFT(TRIM(Paramètres!M40),1)="F",1,0)))),IF(Paramètres!N40="",0,IF(Paramètres!O40="",NA(),IF(LEFT(TRIM(Paramètres!O40),1)="F",INDEX($F$437:$F$489,MATCH(Paramètres!N40,Paramètres!$G$5:$G$57,0)),INDEX($E$437:$E$489,MATCH(Paramètres!N40,Paramètres!$G$5:$G$57,0)))+IF(RIGHT(TRIM(Paramètres!O40),3)="Fin",1-$H472,IF(LEFT(TRIM(Paramètres!O40),1)="F",1,0)))))))</f>
        <v/>
      </c>
      <c r="F472" s="19">
        <f>IF($A472="","",E472+$H472-1)</f>
        <v/>
      </c>
      <c r="G472" s="18" t="n"/>
      <c r="H472" s="18">
        <f>IF($A472="","",IF(I472&lt;&gt;"",I472,Paramètres!B40))</f>
        <v/>
      </c>
      <c r="I472" s="18" t="n"/>
    </row>
    <row r="473">
      <c r="A473" s="18">
        <f>IF(ISNUMBER(Dossiers!$D$12),Dossiers!$A$12&amp;" · "&amp;Dossiers!$B$12,"")</f>
        <v/>
      </c>
      <c r="B473" s="18">
        <f>IF($A473="","",Paramètres!G41)</f>
        <v/>
      </c>
      <c r="C473" s="18">
        <f>IF($A473="","",IF(Paramètres!H41="","",Paramètres!H41))</f>
        <v/>
      </c>
      <c r="D473" s="18">
        <f>IF($A473="","",IF(Paramètres!I41="","",Paramètres!I41))</f>
        <v/>
      </c>
      <c r="E473" s="19">
        <f>IF($A473="","",IF(Paramètres!J41&amp;Paramètres!L41&amp;Paramètres!N41="",Dossiers!$D$12,MAX(IF(Paramètres!J41="",0,IF(Paramètres!K41="",NA(),IF(LEFT(TRIM(Paramètres!K41),1)="F",INDEX($F$437:$F$489,MATCH(Paramètres!J41,Paramètres!$G$5:$G$57,0)),INDEX($E$437:$E$489,MATCH(Paramètres!J41,Paramètres!$G$5:$G$57,0)))+IF(RIGHT(TRIM(Paramètres!K41),3)="Fin",1-$H473,IF(LEFT(TRIM(Paramètres!K41),1)="F",1,0)))),IF(Paramètres!L41="",0,IF(Paramètres!M41="",NA(),IF(LEFT(TRIM(Paramètres!M41),1)="F",INDEX($F$437:$F$489,MATCH(Paramètres!L41,Paramètres!$G$5:$G$57,0)),INDEX($E$437:$E$489,MATCH(Paramètres!L41,Paramètres!$G$5:$G$57,0)))+IF(RIGHT(TRIM(Paramètres!M41),3)="Fin",1-$H473,IF(LEFT(TRIM(Paramètres!M41),1)="F",1,0)))),IF(Paramètres!N41="",0,IF(Paramètres!O41="",NA(),IF(LEFT(TRIM(Paramètres!O41),1)="F",INDEX($F$437:$F$489,MATCH(Paramètres!N41,Paramètres!$G$5:$G$57,0)),INDEX($E$437:$E$489,MATCH(Paramètres!N41,Paramètres!$G$5:$G$57,0)))+IF(RIGHT(TRIM(Paramètres!O41),3)="Fin",1-$H473,IF(LEFT(TRIM(Paramètres!O41),1)="F",1,0)))))))</f>
        <v/>
      </c>
      <c r="F473" s="19">
        <f>IF($A473="","",E473+$H473-1)</f>
        <v/>
      </c>
      <c r="G473" s="18" t="n"/>
      <c r="H473" s="18">
        <f>IF($A473="","",IF(I473&lt;&gt;"",I473,Paramètres!B41))</f>
        <v/>
      </c>
      <c r="I473" s="18" t="n"/>
    </row>
    <row r="474">
      <c r="A474" s="18">
        <f>IF(ISNUMBER(Dossiers!$D$12),Dossiers!$A$12&amp;" · "&amp;Dossiers!$B$12,"")</f>
        <v/>
      </c>
      <c r="B474" s="18">
        <f>IF($A474="","",Paramètres!G42)</f>
        <v/>
      </c>
      <c r="C474" s="18">
        <f>IF($A474="","",IF(Paramètres!H42="","",Paramètres!H42))</f>
        <v/>
      </c>
      <c r="D474" s="18">
        <f>IF($A474="","",IF(Paramètres!I42="","",Paramètres!I42))</f>
        <v/>
      </c>
      <c r="E474" s="19">
        <f>IF($A474="","",IF(Paramètres!J42&amp;Paramètres!L42&amp;Paramètres!N42="",Dossiers!$D$12,MAX(IF(Paramètres!J42="",0,IF(Paramètres!K42="",NA(),IF(LEFT(TRIM(Paramètres!K42),1)="F",INDEX($F$437:$F$489,MATCH(Paramètres!J42,Paramètres!$G$5:$G$57,0)),INDEX($E$437:$E$489,MATCH(Paramètres!J42,Paramètres!$G$5:$G$57,0)))+IF(RIGHT(TRIM(Paramètres!K42),3)="Fin",1-$H474,IF(LEFT(TRIM(Paramètres!K42),1)="F",1,0)))),IF(Paramètres!L42="",0,IF(Paramètres!M42="",NA(),IF(LEFT(TRIM(Paramètres!M42),1)="F",INDEX($F$437:$F$489,MATCH(Paramètres!L42,Paramètres!$G$5:$G$57,0)),INDEX($E$437:$E$489,MATCH(Paramètres!L42,Paramètres!$G$5:$G$57,0)))+IF(RIGHT(TRIM(Paramètres!M42),3)="Fin",1-$H474,IF(LEFT(TRIM(Paramètres!M42),1)="F",1,0)))),IF(Paramètres!N42="",0,IF(Paramètres!O42="",NA(),IF(LEFT(TRIM(Paramètres!O42),1)="F",INDEX($F$437:$F$489,MATCH(Paramètres!N42,Paramètres!$G$5:$G$57,0)),INDEX($E$437:$E$489,MATCH(Paramètres!N42,Paramètres!$G$5:$G$57,0)))+IF(RIGHT(TRIM(Paramètres!O42),3)="Fin",1-$H474,IF(LEFT(TRIM(Paramètres!O42),1)="F",1,0)))))))</f>
        <v/>
      </c>
      <c r="F474" s="19">
        <f>IF($A474="","",E474+$H474-1)</f>
        <v/>
      </c>
      <c r="G474" s="18" t="n"/>
      <c r="H474" s="18">
        <f>IF($A474="","",IF(I474&lt;&gt;"",I474,Paramètres!B42))</f>
        <v/>
      </c>
      <c r="I474" s="18" t="n"/>
    </row>
    <row r="475">
      <c r="A475" s="18">
        <f>IF(ISNUMBER(Dossiers!$D$12),Dossiers!$A$12&amp;" · "&amp;Dossiers!$B$12,"")</f>
        <v/>
      </c>
      <c r="B475" s="18">
        <f>IF($A475="","",Paramètres!G43)</f>
        <v/>
      </c>
      <c r="C475" s="18">
        <f>IF($A475="","",IF(Paramètres!H43="","",Paramètres!H43))</f>
        <v/>
      </c>
      <c r="D475" s="18">
        <f>IF($A475="","",IF(Paramètres!I43="","",Paramètres!I43))</f>
        <v/>
      </c>
      <c r="E475" s="19">
        <f>IF($A475="","",IF(Paramètres!J43&amp;Paramètres!L43&amp;Paramètres!N43="",Dossiers!$D$12,MAX(IF(Paramètres!J43="",0,IF(Paramètres!K43="",NA(),IF(LEFT(TRIM(Paramètres!K43),1)="F",INDEX($F$437:$F$489,MATCH(Paramètres!J43,Paramètres!$G$5:$G$57,0)),INDEX($E$437:$E$489,MATCH(Paramètres!J43,Paramètres!$G$5:$G$57,0)))+IF(RIGHT(TRIM(Paramètres!K43),3)="Fin",1-$H475,IF(LEFT(TRIM(Paramètres!K43),1)="F",1,0)))),IF(Paramètres!L43="",0,IF(Paramètres!M43="",NA(),IF(LEFT(TRIM(Paramètres!M43),1)="F",INDEX($F$437:$F$489,MATCH(Paramètres!L43,Paramètres!$G$5:$G$57,0)),INDEX($E$437:$E$489,MATCH(Paramètres!L43,Paramètres!$G$5:$G$57,0)))+IF(RIGHT(TRIM(Paramètres!M43),3)="Fin",1-$H475,IF(LEFT(TRIM(Paramètres!M43),1)="F",1,0)))),IF(Paramètres!N43="",0,IF(Paramètres!O43="",NA(),IF(LEFT(TRIM(Paramètres!O43),1)="F",INDEX($F$437:$F$489,MATCH(Paramètres!N43,Paramètres!$G$5:$G$57,0)),INDEX($E$437:$E$489,MATCH(Paramètres!N43,Paramètres!$G$5:$G$57,0)))+IF(RIGHT(TRIM(Paramètres!O43),3)="Fin",1-$H475,IF(LEFT(TRIM(Paramètres!O43),1)="F",1,0)))))))</f>
        <v/>
      </c>
      <c r="F475" s="19">
        <f>IF($A475="","",E475+$H475-1)</f>
        <v/>
      </c>
      <c r="G475" s="18" t="n"/>
      <c r="H475" s="18">
        <f>IF($A475="","",IF(I475&lt;&gt;"",I475,Paramètres!B43))</f>
        <v/>
      </c>
      <c r="I475" s="18" t="n"/>
    </row>
    <row r="476">
      <c r="A476" s="18">
        <f>IF(ISNUMBER(Dossiers!$D$12),Dossiers!$A$12&amp;" · "&amp;Dossiers!$B$12,"")</f>
        <v/>
      </c>
      <c r="B476" s="18">
        <f>IF($A476="","",Paramètres!G44)</f>
        <v/>
      </c>
      <c r="C476" s="18">
        <f>IF($A476="","",IF(Paramètres!H44="","",Paramètres!H44))</f>
        <v/>
      </c>
      <c r="D476" s="18">
        <f>IF($A476="","",IF(Paramètres!I44="","",Paramètres!I44))</f>
        <v/>
      </c>
      <c r="E476" s="19">
        <f>IF($A476="","",IF(Paramètres!J44&amp;Paramètres!L44&amp;Paramètres!N44="",Dossiers!$D$12,MAX(IF(Paramètres!J44="",0,IF(Paramètres!K44="",NA(),IF(LEFT(TRIM(Paramètres!K44),1)="F",INDEX($F$437:$F$489,MATCH(Paramètres!J44,Paramètres!$G$5:$G$57,0)),INDEX($E$437:$E$489,MATCH(Paramètres!J44,Paramètres!$G$5:$G$57,0)))+IF(RIGHT(TRIM(Paramètres!K44),3)="Fin",1-$H476,IF(LEFT(TRIM(Paramètres!K44),1)="F",1,0)))),IF(Paramètres!L44="",0,IF(Paramètres!M44="",NA(),IF(LEFT(TRIM(Paramètres!M44),1)="F",INDEX($F$437:$F$489,MATCH(Paramètres!L44,Paramètres!$G$5:$G$57,0)),INDEX($E$437:$E$489,MATCH(Paramètres!L44,Paramètres!$G$5:$G$57,0)))+IF(RIGHT(TRIM(Paramètres!M44),3)="Fin",1-$H476,IF(LEFT(TRIM(Paramètres!M44),1)="F",1,0)))),IF(Paramètres!N44="",0,IF(Paramètres!O44="",NA(),IF(LEFT(TRIM(Paramètres!O44),1)="F",INDEX($F$437:$F$489,MATCH(Paramètres!N44,Paramètres!$G$5:$G$57,0)),INDEX($E$437:$E$489,MATCH(Paramètres!N44,Paramètres!$G$5:$G$57,0)))+IF(RIGHT(TRIM(Paramètres!O44),3)="Fin",1-$H476,IF(LEFT(TRIM(Paramètres!O44),1)="F",1,0)))))))</f>
        <v/>
      </c>
      <c r="F476" s="19">
        <f>IF($A476="","",E476+$H476-1)</f>
        <v/>
      </c>
      <c r="G476" s="18" t="n"/>
      <c r="H476" s="18">
        <f>IF($A476="","",IF(I476&lt;&gt;"",I476,Paramètres!B44))</f>
        <v/>
      </c>
      <c r="I476" s="18" t="n"/>
    </row>
    <row r="477">
      <c r="A477" s="18">
        <f>IF(ISNUMBER(Dossiers!$D$12),Dossiers!$A$12&amp;" · "&amp;Dossiers!$B$12,"")</f>
        <v/>
      </c>
      <c r="B477" s="18">
        <f>IF($A477="","",Paramètres!G45)</f>
        <v/>
      </c>
      <c r="C477" s="20">
        <f>IF($A477="","",IF(Dossiers!$G$12="","",Dossiers!$G$12))</f>
        <v/>
      </c>
      <c r="D477" s="18">
        <f>IF($A477="","",IF(Paramètres!I45="","",Paramètres!I45))</f>
        <v/>
      </c>
      <c r="E477" s="19">
        <f>IF($A477="","",IF(Paramètres!J45&amp;Paramètres!L45&amp;Paramètres!N45="",Dossiers!$D$12,MAX(IF(Paramètres!J45="",0,IF(Paramètres!K45="",NA(),IF(LEFT(TRIM(Paramètres!K45),1)="F",INDEX($F$437:$F$489,MATCH(Paramètres!J45,Paramètres!$G$5:$G$57,0)),INDEX($E$437:$E$489,MATCH(Paramètres!J45,Paramètres!$G$5:$G$57,0)))+IF(RIGHT(TRIM(Paramètres!K45),3)="Fin",1-$H477,IF(LEFT(TRIM(Paramètres!K45),1)="F",1,0)))),IF(Paramètres!L45="",0,IF(Paramètres!M45="",NA(),IF(LEFT(TRIM(Paramètres!M45),1)="F",INDEX($F$437:$F$489,MATCH(Paramètres!L45,Paramètres!$G$5:$G$57,0)),INDEX($E$437:$E$489,MATCH(Paramètres!L45,Paramètres!$G$5:$G$57,0)))+IF(RIGHT(TRIM(Paramètres!M45),3)="Fin",1-$H477,IF(LEFT(TRIM(Paramètres!M45),1)="F",1,0)))),IF(Paramètres!N45="",0,IF(Paramètres!O45="",NA(),IF(LEFT(TRIM(Paramètres!O45),1)="F",INDEX($F$437:$F$489,MATCH(Paramètres!N45,Paramètres!$G$5:$G$57,0)),INDEX($E$437:$E$489,MATCH(Paramètres!N45,Paramètres!$G$5:$G$57,0)))+IF(RIGHT(TRIM(Paramètres!O45),3)="Fin",1-$H477,IF(LEFT(TRIM(Paramètres!O45),1)="F",1,0)))))))</f>
        <v/>
      </c>
      <c r="F477" s="19">
        <f>IF($A477="","",E477+$H477-1)</f>
        <v/>
      </c>
      <c r="G477" s="18" t="n"/>
      <c r="H477" s="18">
        <f>IF($A477="","",IF(I477&lt;&gt;"",I477,Paramètres!B45))</f>
        <v/>
      </c>
      <c r="I477" s="18" t="n"/>
    </row>
    <row r="478">
      <c r="A478" s="18">
        <f>IF(ISNUMBER(Dossiers!$D$12),Dossiers!$A$12&amp;" · "&amp;Dossiers!$B$12,"")</f>
        <v/>
      </c>
      <c r="B478" s="18">
        <f>IF($A478="","",Paramètres!G46)</f>
        <v/>
      </c>
      <c r="C478" s="18">
        <f>IF($A478="","",IF(Paramètres!H46="","",Paramètres!H46))</f>
        <v/>
      </c>
      <c r="D478" s="18">
        <f>IF($A478="","",IF(Paramètres!I46="","",Paramètres!I46))</f>
        <v/>
      </c>
      <c r="E478" s="19">
        <f>IF($A478="","",IF(Paramètres!J46&amp;Paramètres!L46&amp;Paramètres!N46="",Dossiers!$D$12,MAX(IF(Paramètres!J46="",0,IF(Paramètres!K46="",NA(),IF(LEFT(TRIM(Paramètres!K46),1)="F",INDEX($F$437:$F$489,MATCH(Paramètres!J46,Paramètres!$G$5:$G$57,0)),INDEX($E$437:$E$489,MATCH(Paramètres!J46,Paramètres!$G$5:$G$57,0)))+IF(RIGHT(TRIM(Paramètres!K46),3)="Fin",1-$H478,IF(LEFT(TRIM(Paramètres!K46),1)="F",1,0)))),IF(Paramètres!L46="",0,IF(Paramètres!M46="",NA(),IF(LEFT(TRIM(Paramètres!M46),1)="F",INDEX($F$437:$F$489,MATCH(Paramètres!L46,Paramètres!$G$5:$G$57,0)),INDEX($E$437:$E$489,MATCH(Paramètres!L46,Paramètres!$G$5:$G$57,0)))+IF(RIGHT(TRIM(Paramètres!M46),3)="Fin",1-$H478,IF(LEFT(TRIM(Paramètres!M46),1)="F",1,0)))),IF(Paramètres!N46="",0,IF(Paramètres!O46="",NA(),IF(LEFT(TRIM(Paramètres!O46),1)="F",INDEX($F$437:$F$489,MATCH(Paramètres!N46,Paramètres!$G$5:$G$57,0)),INDEX($E$437:$E$489,MATCH(Paramètres!N46,Paramètres!$G$5:$G$57,0)))+IF(RIGHT(TRIM(Paramètres!O46),3)="Fin",1-$H478,IF(LEFT(TRIM(Paramètres!O46),1)="F",1,0)))))))</f>
        <v/>
      </c>
      <c r="F478" s="19">
        <f>IF($A478="","",E478+$H478-1)</f>
        <v/>
      </c>
      <c r="G478" s="18" t="n"/>
      <c r="H478" s="18">
        <f>IF($A478="","",IF(I478&lt;&gt;"",I478,Paramètres!B46))</f>
        <v/>
      </c>
      <c r="I478" s="18" t="n"/>
    </row>
    <row r="479">
      <c r="A479" s="18">
        <f>IF(ISNUMBER(Dossiers!$D$12),Dossiers!$A$12&amp;" · "&amp;Dossiers!$B$12,"")</f>
        <v/>
      </c>
      <c r="B479" s="18">
        <f>IF($A479="","",Paramètres!G47)</f>
        <v/>
      </c>
      <c r="C479" s="18">
        <f>IF($A479="","",IF(Paramètres!H47="","",Paramètres!H47))</f>
        <v/>
      </c>
      <c r="D479" s="18">
        <f>IF($A479="","",IF(Paramètres!I47="","",Paramètres!I47))</f>
        <v/>
      </c>
      <c r="E479" s="19">
        <f>IF($A479="","",IF(Paramètres!J47&amp;Paramètres!L47&amp;Paramètres!N47="",Dossiers!$D$12,MAX(IF(Paramètres!J47="",0,IF(Paramètres!K47="",NA(),IF(LEFT(TRIM(Paramètres!K47),1)="F",INDEX($F$437:$F$489,MATCH(Paramètres!J47,Paramètres!$G$5:$G$57,0)),INDEX($E$437:$E$489,MATCH(Paramètres!J47,Paramètres!$G$5:$G$57,0)))+IF(RIGHT(TRIM(Paramètres!K47),3)="Fin",1-$H479,IF(LEFT(TRIM(Paramètres!K47),1)="F",1,0)))),IF(Paramètres!L47="",0,IF(Paramètres!M47="",NA(),IF(LEFT(TRIM(Paramètres!M47),1)="F",INDEX($F$437:$F$489,MATCH(Paramètres!L47,Paramètres!$G$5:$G$57,0)),INDEX($E$437:$E$489,MATCH(Paramètres!L47,Paramètres!$G$5:$G$57,0)))+IF(RIGHT(TRIM(Paramètres!M47),3)="Fin",1-$H479,IF(LEFT(TRIM(Paramètres!M47),1)="F",1,0)))),IF(Paramètres!N47="",0,IF(Paramètres!O47="",NA(),IF(LEFT(TRIM(Paramètres!O47),1)="F",INDEX($F$437:$F$489,MATCH(Paramètres!N47,Paramètres!$G$5:$G$57,0)),INDEX($E$437:$E$489,MATCH(Paramètres!N47,Paramètres!$G$5:$G$57,0)))+IF(RIGHT(TRIM(Paramètres!O47),3)="Fin",1-$H479,IF(LEFT(TRIM(Paramètres!O47),1)="F",1,0)))))))</f>
        <v/>
      </c>
      <c r="F479" s="19">
        <f>IF($A479="","",E479+$H479-1)</f>
        <v/>
      </c>
      <c r="G479" s="18" t="n"/>
      <c r="H479" s="18">
        <f>IF($A479="","",IF(I479&lt;&gt;"",I479,Paramètres!B47))</f>
        <v/>
      </c>
      <c r="I479" s="18" t="n"/>
    </row>
    <row r="480">
      <c r="A480" s="18">
        <f>IF(ISNUMBER(Dossiers!$D$12),Dossiers!$A$12&amp;" · "&amp;Dossiers!$B$12,"")</f>
        <v/>
      </c>
      <c r="B480" s="18">
        <f>IF($A480="","",Paramètres!G48)</f>
        <v/>
      </c>
      <c r="C480" s="18">
        <f>IF($A480="","",IF(Paramètres!H48="","",Paramètres!H48))</f>
        <v/>
      </c>
      <c r="D480" s="18">
        <f>IF($A480="","",IF(Paramètres!I48="","",Paramètres!I48))</f>
        <v/>
      </c>
      <c r="E480" s="19">
        <f>IF($A480="","",IF(Paramètres!J48&amp;Paramètres!L48&amp;Paramètres!N48="",Dossiers!$D$12,MAX(IF(Paramètres!J48="",0,IF(Paramètres!K48="",NA(),IF(LEFT(TRIM(Paramètres!K48),1)="F",INDEX($F$437:$F$489,MATCH(Paramètres!J48,Paramètres!$G$5:$G$57,0)),INDEX($E$437:$E$489,MATCH(Paramètres!J48,Paramètres!$G$5:$G$57,0)))+IF(RIGHT(TRIM(Paramètres!K48),3)="Fin",1-$H480,IF(LEFT(TRIM(Paramètres!K48),1)="F",1,0)))),IF(Paramètres!L48="",0,IF(Paramètres!M48="",NA(),IF(LEFT(TRIM(Paramètres!M48),1)="F",INDEX($F$437:$F$489,MATCH(Paramètres!L48,Paramètres!$G$5:$G$57,0)),INDEX($E$437:$E$489,MATCH(Paramètres!L48,Paramètres!$G$5:$G$57,0)))+IF(RIGHT(TRIM(Paramètres!M48),3)="Fin",1-$H480,IF(LEFT(TRIM(Paramètres!M48),1)="F",1,0)))),IF(Paramètres!N48="",0,IF(Paramètres!O48="",NA(),IF(LEFT(TRIM(Paramètres!O48),1)="F",INDEX($F$437:$F$489,MATCH(Paramètres!N48,Paramètres!$G$5:$G$57,0)),INDEX($E$437:$E$489,MATCH(Paramètres!N48,Paramètres!$G$5:$G$57,0)))+IF(RIGHT(TRIM(Paramètres!O48),3)="Fin",1-$H480,IF(LEFT(TRIM(Paramètres!O48),1)="F",1,0)))))))</f>
        <v/>
      </c>
      <c r="F480" s="19">
        <f>IF($A480="","",E480+$H480-1)</f>
        <v/>
      </c>
      <c r="G480" s="18" t="n"/>
      <c r="H480" s="18">
        <f>IF($A480="","",IF(I480&lt;&gt;"",I480,Paramètres!B48))</f>
        <v/>
      </c>
      <c r="I480" s="18" t="n"/>
    </row>
    <row r="481">
      <c r="A481" s="18">
        <f>IF(ISNUMBER(Dossiers!$D$12),Dossiers!$A$12&amp;" · "&amp;Dossiers!$B$12,"")</f>
        <v/>
      </c>
      <c r="B481" s="18">
        <f>IF($A481="","",Paramètres!G49)</f>
        <v/>
      </c>
      <c r="C481" s="18">
        <f>IF($A481="","",IF(Paramètres!H49="","",Paramètres!H49))</f>
        <v/>
      </c>
      <c r="D481" s="18">
        <f>IF($A481="","",IF(Paramètres!I49="","",Paramètres!I49))</f>
        <v/>
      </c>
      <c r="E481" s="19">
        <f>IF($A481="","",IF(Paramètres!J49&amp;Paramètres!L49&amp;Paramètres!N49="",Dossiers!$D$12,MAX(IF(Paramètres!J49="",0,IF(Paramètres!K49="",NA(),IF(LEFT(TRIM(Paramètres!K49),1)="F",INDEX($F$437:$F$489,MATCH(Paramètres!J49,Paramètres!$G$5:$G$57,0)),INDEX($E$437:$E$489,MATCH(Paramètres!J49,Paramètres!$G$5:$G$57,0)))+IF(RIGHT(TRIM(Paramètres!K49),3)="Fin",1-$H481,IF(LEFT(TRIM(Paramètres!K49),1)="F",1,0)))),IF(Paramètres!L49="",0,IF(Paramètres!M49="",NA(),IF(LEFT(TRIM(Paramètres!M49),1)="F",INDEX($F$437:$F$489,MATCH(Paramètres!L49,Paramètres!$G$5:$G$57,0)),INDEX($E$437:$E$489,MATCH(Paramètres!L49,Paramètres!$G$5:$G$57,0)))+IF(RIGHT(TRIM(Paramètres!M49),3)="Fin",1-$H481,IF(LEFT(TRIM(Paramètres!M49),1)="F",1,0)))),IF(Paramètres!N49="",0,IF(Paramètres!O49="",NA(),IF(LEFT(TRIM(Paramètres!O49),1)="F",INDEX($F$437:$F$489,MATCH(Paramètres!N49,Paramètres!$G$5:$G$57,0)),INDEX($E$437:$E$489,MATCH(Paramètres!N49,Paramètres!$G$5:$G$57,0)))+IF(RIGHT(TRIM(Paramètres!O49),3)="Fin",1-$H481,IF(LEFT(TRIM(Paramètres!O49),1)="F",1,0)))))))</f>
        <v/>
      </c>
      <c r="F481" s="19">
        <f>IF($A481="","",E481+$H481-1)</f>
        <v/>
      </c>
      <c r="G481" s="18" t="n"/>
      <c r="H481" s="18">
        <f>IF($A481="","",IF(I481&lt;&gt;"",I481,Paramètres!B49))</f>
        <v/>
      </c>
      <c r="I481" s="18" t="n"/>
    </row>
    <row r="482">
      <c r="A482" s="18">
        <f>IF(ISNUMBER(Dossiers!$D$12),Dossiers!$A$12&amp;" · "&amp;Dossiers!$B$12,"")</f>
        <v/>
      </c>
      <c r="B482" s="18">
        <f>IF($A482="","",Paramètres!G50)</f>
        <v/>
      </c>
      <c r="C482" s="18">
        <f>IF($A482="","",IF(Paramètres!H50="","",Paramètres!H50))</f>
        <v/>
      </c>
      <c r="D482" s="18">
        <f>IF($A482="","",IF(Paramètres!I50="","",Paramètres!I50))</f>
        <v/>
      </c>
      <c r="E482" s="19">
        <f>IF($A482="","",IF(Paramètres!J50&amp;Paramètres!L50&amp;Paramètres!N50="",Dossiers!$D$12,MAX(IF(Paramètres!J50="",0,IF(Paramètres!K50="",NA(),IF(LEFT(TRIM(Paramètres!K50),1)="F",INDEX($F$437:$F$489,MATCH(Paramètres!J50,Paramètres!$G$5:$G$57,0)),INDEX($E$437:$E$489,MATCH(Paramètres!J50,Paramètres!$G$5:$G$57,0)))+IF(RIGHT(TRIM(Paramètres!K50),3)="Fin",1-$H482,IF(LEFT(TRIM(Paramètres!K50),1)="F",1,0)))),IF(Paramètres!L50="",0,IF(Paramètres!M50="",NA(),IF(LEFT(TRIM(Paramètres!M50),1)="F",INDEX($F$437:$F$489,MATCH(Paramètres!L50,Paramètres!$G$5:$G$57,0)),INDEX($E$437:$E$489,MATCH(Paramètres!L50,Paramètres!$G$5:$G$57,0)))+IF(RIGHT(TRIM(Paramètres!M50),3)="Fin",1-$H482,IF(LEFT(TRIM(Paramètres!M50),1)="F",1,0)))),IF(Paramètres!N50="",0,IF(Paramètres!O50="",NA(),IF(LEFT(TRIM(Paramètres!O50),1)="F",INDEX($F$437:$F$489,MATCH(Paramètres!N50,Paramètres!$G$5:$G$57,0)),INDEX($E$437:$E$489,MATCH(Paramètres!N50,Paramètres!$G$5:$G$57,0)))+IF(RIGHT(TRIM(Paramètres!O50),3)="Fin",1-$H482,IF(LEFT(TRIM(Paramètres!O50),1)="F",1,0)))))))</f>
        <v/>
      </c>
      <c r="F482" s="19">
        <f>IF($A482="","",E482+$H482-1)</f>
        <v/>
      </c>
      <c r="G482" s="18" t="n"/>
      <c r="H482" s="18">
        <f>IF($A482="","",IF(I482&lt;&gt;"",I482,Paramètres!B50))</f>
        <v/>
      </c>
      <c r="I482" s="18" t="n"/>
    </row>
    <row r="483">
      <c r="A483" s="18">
        <f>IF(ISNUMBER(Dossiers!$D$12),Dossiers!$A$12&amp;" · "&amp;Dossiers!$B$12,"")</f>
        <v/>
      </c>
      <c r="B483" s="18">
        <f>IF($A483="","",Paramètres!G51)</f>
        <v/>
      </c>
      <c r="C483" s="18">
        <f>IF($A483="","",IF(Paramètres!H51="","",Paramètres!H51))</f>
        <v/>
      </c>
      <c r="D483" s="18">
        <f>IF($A483="","",IF(Paramètres!I51="","",Paramètres!I51))</f>
        <v/>
      </c>
      <c r="E483" s="19">
        <f>IF($A483="","",IF(Paramètres!J51&amp;Paramètres!L51&amp;Paramètres!N51="",Dossiers!$D$12,MAX(IF(Paramètres!J51="",0,IF(Paramètres!K51="",NA(),IF(LEFT(TRIM(Paramètres!K51),1)="F",INDEX($F$437:$F$489,MATCH(Paramètres!J51,Paramètres!$G$5:$G$57,0)),INDEX($E$437:$E$489,MATCH(Paramètres!J51,Paramètres!$G$5:$G$57,0)))+IF(RIGHT(TRIM(Paramètres!K51),3)="Fin",1-$H483,IF(LEFT(TRIM(Paramètres!K51),1)="F",1,0)))),IF(Paramètres!L51="",0,IF(Paramètres!M51="",NA(),IF(LEFT(TRIM(Paramètres!M51),1)="F",INDEX($F$437:$F$489,MATCH(Paramètres!L51,Paramètres!$G$5:$G$57,0)),INDEX($E$437:$E$489,MATCH(Paramètres!L51,Paramètres!$G$5:$G$57,0)))+IF(RIGHT(TRIM(Paramètres!M51),3)="Fin",1-$H483,IF(LEFT(TRIM(Paramètres!M51),1)="F",1,0)))),IF(Paramètres!N51="",0,IF(Paramètres!O51="",NA(),IF(LEFT(TRIM(Paramètres!O51),1)="F",INDEX($F$437:$F$489,MATCH(Paramètres!N51,Paramètres!$G$5:$G$57,0)),INDEX($E$437:$E$489,MATCH(Paramètres!N51,Paramètres!$G$5:$G$57,0)))+IF(RIGHT(TRIM(Paramètres!O51),3)="Fin",1-$H483,IF(LEFT(TRIM(Paramètres!O51),1)="F",1,0)))))))</f>
        <v/>
      </c>
      <c r="F483" s="19">
        <f>IF($A483="","",E483+$H483-1)</f>
        <v/>
      </c>
      <c r="G483" s="18" t="n"/>
      <c r="H483" s="18">
        <f>IF($A483="","",IF(I483&lt;&gt;"",I483,Paramètres!B51))</f>
        <v/>
      </c>
      <c r="I483" s="18" t="n"/>
    </row>
    <row r="484">
      <c r="A484" s="18">
        <f>IF(ISNUMBER(Dossiers!$D$12),Dossiers!$A$12&amp;" · "&amp;Dossiers!$B$12,"")</f>
        <v/>
      </c>
      <c r="B484" s="18">
        <f>IF($A484="","",Paramètres!G52)</f>
        <v/>
      </c>
      <c r="C484" s="18">
        <f>IF($A484="","",IF(Paramètres!H52="","",Paramètres!H52))</f>
        <v/>
      </c>
      <c r="D484" s="18">
        <f>IF($A484="","",IF(Paramètres!I52="","",Paramètres!I52))</f>
        <v/>
      </c>
      <c r="E484" s="19">
        <f>IF($A484="","",IF(Paramètres!J52&amp;Paramètres!L52&amp;Paramètres!N52="",Dossiers!$D$12,MAX(IF(Paramètres!J52="",0,IF(Paramètres!K52="",NA(),IF(LEFT(TRIM(Paramètres!K52),1)="F",INDEX($F$437:$F$489,MATCH(Paramètres!J52,Paramètres!$G$5:$G$57,0)),INDEX($E$437:$E$489,MATCH(Paramètres!J52,Paramètres!$G$5:$G$57,0)))+IF(RIGHT(TRIM(Paramètres!K52),3)="Fin",1-$H484,IF(LEFT(TRIM(Paramètres!K52),1)="F",1,0)))),IF(Paramètres!L52="",0,IF(Paramètres!M52="",NA(),IF(LEFT(TRIM(Paramètres!M52),1)="F",INDEX($F$437:$F$489,MATCH(Paramètres!L52,Paramètres!$G$5:$G$57,0)),INDEX($E$437:$E$489,MATCH(Paramètres!L52,Paramètres!$G$5:$G$57,0)))+IF(RIGHT(TRIM(Paramètres!M52),3)="Fin",1-$H484,IF(LEFT(TRIM(Paramètres!M52),1)="F",1,0)))),IF(Paramètres!N52="",0,IF(Paramètres!O52="",NA(),IF(LEFT(TRIM(Paramètres!O52),1)="F",INDEX($F$437:$F$489,MATCH(Paramètres!N52,Paramètres!$G$5:$G$57,0)),INDEX($E$437:$E$489,MATCH(Paramètres!N52,Paramètres!$G$5:$G$57,0)))+IF(RIGHT(TRIM(Paramètres!O52),3)="Fin",1-$H484,IF(LEFT(TRIM(Paramètres!O52),1)="F",1,0)))))))</f>
        <v/>
      </c>
      <c r="F484" s="19">
        <f>IF($A484="","",E484+$H484-1)</f>
        <v/>
      </c>
      <c r="G484" s="18" t="n"/>
      <c r="H484" s="18">
        <f>IF($A484="","",IF(I484&lt;&gt;"",I484,Paramètres!B52))</f>
        <v/>
      </c>
      <c r="I484" s="18" t="n"/>
    </row>
    <row r="485">
      <c r="A485" s="18">
        <f>IF(ISNUMBER(Dossiers!$D$12),Dossiers!$A$12&amp;" · "&amp;Dossiers!$B$12,"")</f>
        <v/>
      </c>
      <c r="B485" s="18">
        <f>IF($A485="","",Paramètres!G53)</f>
        <v/>
      </c>
      <c r="C485" s="18">
        <f>IF($A485="","",IF(Paramètres!H53="","",Paramètres!H53))</f>
        <v/>
      </c>
      <c r="D485" s="18">
        <f>IF($A485="","",IF(Paramètres!I53="","",Paramètres!I53))</f>
        <v/>
      </c>
      <c r="E485" s="19">
        <f>IF($A485="","",IF(Paramètres!J53&amp;Paramètres!L53&amp;Paramètres!N53="",Dossiers!$D$12,MAX(IF(Paramètres!J53="",0,IF(Paramètres!K53="",NA(),IF(LEFT(TRIM(Paramètres!K53),1)="F",INDEX($F$437:$F$489,MATCH(Paramètres!J53,Paramètres!$G$5:$G$57,0)),INDEX($E$437:$E$489,MATCH(Paramètres!J53,Paramètres!$G$5:$G$57,0)))+IF(RIGHT(TRIM(Paramètres!K53),3)="Fin",1-$H485,IF(LEFT(TRIM(Paramètres!K53),1)="F",1,0)))),IF(Paramètres!L53="",0,IF(Paramètres!M53="",NA(),IF(LEFT(TRIM(Paramètres!M53),1)="F",INDEX($F$437:$F$489,MATCH(Paramètres!L53,Paramètres!$G$5:$G$57,0)),INDEX($E$437:$E$489,MATCH(Paramètres!L53,Paramètres!$G$5:$G$57,0)))+IF(RIGHT(TRIM(Paramètres!M53),3)="Fin",1-$H485,IF(LEFT(TRIM(Paramètres!M53),1)="F",1,0)))),IF(Paramètres!N53="",0,IF(Paramètres!O53="",NA(),IF(LEFT(TRIM(Paramètres!O53),1)="F",INDEX($F$437:$F$489,MATCH(Paramètres!N53,Paramètres!$G$5:$G$57,0)),INDEX($E$437:$E$489,MATCH(Paramètres!N53,Paramètres!$G$5:$G$57,0)))+IF(RIGHT(TRIM(Paramètres!O53),3)="Fin",1-$H485,IF(LEFT(TRIM(Paramètres!O53),1)="F",1,0)))))))</f>
        <v/>
      </c>
      <c r="F485" s="19">
        <f>IF($A485="","",E485+$H485-1)</f>
        <v/>
      </c>
      <c r="G485" s="18" t="n"/>
      <c r="H485" s="18">
        <f>IF($A485="","",IF(I485&lt;&gt;"",I485,Paramètres!B53))</f>
        <v/>
      </c>
      <c r="I485" s="18" t="n"/>
    </row>
    <row r="486">
      <c r="A486" s="18">
        <f>IF(ISNUMBER(Dossiers!$D$12),Dossiers!$A$12&amp;" · "&amp;Dossiers!$B$12,"")</f>
        <v/>
      </c>
      <c r="B486" s="18">
        <f>IF($A486="","",Paramètres!G54)</f>
        <v/>
      </c>
      <c r="C486" s="18">
        <f>IF($A486="","",IF(Paramètres!H54="","",Paramètres!H54))</f>
        <v/>
      </c>
      <c r="D486" s="18">
        <f>IF($A486="","",IF(Paramètres!I54="","",Paramètres!I54))</f>
        <v/>
      </c>
      <c r="E486" s="19">
        <f>IF($A486="","",IF(Paramètres!J54&amp;Paramètres!L54&amp;Paramètres!N54="",Dossiers!$D$12,MAX(IF(Paramètres!J54="",0,IF(Paramètres!K54="",NA(),IF(LEFT(TRIM(Paramètres!K54),1)="F",INDEX($F$437:$F$489,MATCH(Paramètres!J54,Paramètres!$G$5:$G$57,0)),INDEX($E$437:$E$489,MATCH(Paramètres!J54,Paramètres!$G$5:$G$57,0)))+IF(RIGHT(TRIM(Paramètres!K54),3)="Fin",1-$H486,IF(LEFT(TRIM(Paramètres!K54),1)="F",1,0)))),IF(Paramètres!L54="",0,IF(Paramètres!M54="",NA(),IF(LEFT(TRIM(Paramètres!M54),1)="F",INDEX($F$437:$F$489,MATCH(Paramètres!L54,Paramètres!$G$5:$G$57,0)),INDEX($E$437:$E$489,MATCH(Paramètres!L54,Paramètres!$G$5:$G$57,0)))+IF(RIGHT(TRIM(Paramètres!M54),3)="Fin",1-$H486,IF(LEFT(TRIM(Paramètres!M54),1)="F",1,0)))),IF(Paramètres!N54="",0,IF(Paramètres!O54="",NA(),IF(LEFT(TRIM(Paramètres!O54),1)="F",INDEX($F$437:$F$489,MATCH(Paramètres!N54,Paramètres!$G$5:$G$57,0)),INDEX($E$437:$E$489,MATCH(Paramètres!N54,Paramètres!$G$5:$G$57,0)))+IF(RIGHT(TRIM(Paramètres!O54),3)="Fin",1-$H486,IF(LEFT(TRIM(Paramètres!O54),1)="F",1,0)))))))</f>
        <v/>
      </c>
      <c r="F486" s="19">
        <f>IF($A486="","",E486+$H486-1)</f>
        <v/>
      </c>
      <c r="G486" s="18" t="n"/>
      <c r="H486" s="18">
        <f>IF($A486="","",IF(I486&lt;&gt;"",I486,Paramètres!B54))</f>
        <v/>
      </c>
      <c r="I486" s="18" t="n"/>
    </row>
    <row r="487">
      <c r="A487" s="18">
        <f>IF(ISNUMBER(Dossiers!$D$12),Dossiers!$A$12&amp;" · "&amp;Dossiers!$B$12,"")</f>
        <v/>
      </c>
      <c r="B487" s="18">
        <f>IF($A487="","",Paramètres!G55)</f>
        <v/>
      </c>
      <c r="C487" s="18">
        <f>IF($A487="","",IF(Paramètres!H55="","",Paramètres!H55))</f>
        <v/>
      </c>
      <c r="D487" s="18">
        <f>IF($A487="","",IF(Paramètres!I55="","",Paramètres!I55))</f>
        <v/>
      </c>
      <c r="E487" s="19">
        <f>IF($A487="","",IF(Paramètres!J55&amp;Paramètres!L55&amp;Paramètres!N55="",Dossiers!$D$12,MAX(IF(Paramètres!J55="",0,IF(Paramètres!K55="",NA(),IF(LEFT(TRIM(Paramètres!K55),1)="F",INDEX($F$437:$F$489,MATCH(Paramètres!J55,Paramètres!$G$5:$G$57,0)),INDEX($E$437:$E$489,MATCH(Paramètres!J55,Paramètres!$G$5:$G$57,0)))+IF(RIGHT(TRIM(Paramètres!K55),3)="Fin",1-$H487,IF(LEFT(TRIM(Paramètres!K55),1)="F",1,0)))),IF(Paramètres!L55="",0,IF(Paramètres!M55="",NA(),IF(LEFT(TRIM(Paramètres!M55),1)="F",INDEX($F$437:$F$489,MATCH(Paramètres!L55,Paramètres!$G$5:$G$57,0)),INDEX($E$437:$E$489,MATCH(Paramètres!L55,Paramètres!$G$5:$G$57,0)))+IF(RIGHT(TRIM(Paramètres!M55),3)="Fin",1-$H487,IF(LEFT(TRIM(Paramètres!M55),1)="F",1,0)))),IF(Paramètres!N55="",0,IF(Paramètres!O55="",NA(),IF(LEFT(TRIM(Paramètres!O55),1)="F",INDEX($F$437:$F$489,MATCH(Paramètres!N55,Paramètres!$G$5:$G$57,0)),INDEX($E$437:$E$489,MATCH(Paramètres!N55,Paramètres!$G$5:$G$57,0)))+IF(RIGHT(TRIM(Paramètres!O55),3)="Fin",1-$H487,IF(LEFT(TRIM(Paramètres!O55),1)="F",1,0)))))))</f>
        <v/>
      </c>
      <c r="F487" s="19">
        <f>IF($A487="","",E487+$H487-1)</f>
        <v/>
      </c>
      <c r="G487" s="18" t="n"/>
      <c r="H487" s="18">
        <f>IF($A487="","",IF(I487&lt;&gt;"",I487,Paramètres!B55))</f>
        <v/>
      </c>
      <c r="I487" s="18" t="n"/>
    </row>
    <row r="488">
      <c r="A488" s="18">
        <f>IF(ISNUMBER(Dossiers!$D$12),Dossiers!$A$12&amp;" · "&amp;Dossiers!$B$12,"")</f>
        <v/>
      </c>
      <c r="B488" s="18">
        <f>IF($A488="","",Paramètres!G56)</f>
        <v/>
      </c>
      <c r="C488" s="18">
        <f>IF($A488="","",IF(Paramètres!H56="","",Paramètres!H56))</f>
        <v/>
      </c>
      <c r="D488" s="18">
        <f>IF($A488="","",IF(Paramètres!I56="","",Paramètres!I56))</f>
        <v/>
      </c>
      <c r="E488" s="19">
        <f>IF($A488="","",MIN(E489:E489))</f>
        <v/>
      </c>
      <c r="F488" s="19">
        <f>IF($A488="","",MAX(F489:F489))</f>
        <v/>
      </c>
      <c r="G488" s="18" t="n"/>
      <c r="H488" s="18">
        <f>IF($A488="","",F488-E488+1)</f>
        <v/>
      </c>
      <c r="I488" s="18" t="n"/>
    </row>
    <row r="489">
      <c r="A489" s="18">
        <f>IF(ISNUMBER(Dossiers!$D$12),Dossiers!$A$12&amp;" · "&amp;Dossiers!$B$12,"")</f>
        <v/>
      </c>
      <c r="B489" s="18">
        <f>IF($A489="","",Paramètres!G57)</f>
        <v/>
      </c>
      <c r="C489" s="18">
        <f>IF($A489="","",IF(Paramètres!H57="","",Paramètres!H57))</f>
        <v/>
      </c>
      <c r="D489" s="18">
        <f>IF($A489="","",IF(Paramètres!I57="","",Paramètres!I57))</f>
        <v/>
      </c>
      <c r="E489" s="19">
        <f>IF($A489="","",IF(Paramètres!J57&amp;Paramètres!L57&amp;Paramètres!N57="",Dossiers!$D$12,MAX(IF(Paramètres!J57="",0,IF(Paramètres!K57="",NA(),IF(LEFT(TRIM(Paramètres!K57),1)="F",INDEX($F$437:$F$489,MATCH(Paramètres!J57,Paramètres!$G$5:$G$57,0)),INDEX($E$437:$E$489,MATCH(Paramètres!J57,Paramètres!$G$5:$G$57,0)))+IF(RIGHT(TRIM(Paramètres!K57),3)="Fin",1-$H489,IF(LEFT(TRIM(Paramètres!K57),1)="F",1,0)))),IF(Paramètres!L57="",0,IF(Paramètres!M57="",NA(),IF(LEFT(TRIM(Paramètres!M57),1)="F",INDEX($F$437:$F$489,MATCH(Paramètres!L57,Paramètres!$G$5:$G$57,0)),INDEX($E$437:$E$489,MATCH(Paramètres!L57,Paramètres!$G$5:$G$57,0)))+IF(RIGHT(TRIM(Paramètres!M57),3)="Fin",1-$H489,IF(LEFT(TRIM(Paramètres!M57),1)="F",1,0)))),IF(Paramètres!N57="",0,IF(Paramètres!O57="",NA(),IF(LEFT(TRIM(Paramètres!O57),1)="F",INDEX($F$437:$F$489,MATCH(Paramètres!N57,Paramètres!$G$5:$G$57,0)),INDEX($E$437:$E$489,MATCH(Paramètres!N57,Paramètres!$G$5:$G$57,0)))+IF(RIGHT(TRIM(Paramètres!O57),3)="Fin",1-$H489,IF(LEFT(TRIM(Paramètres!O57),1)="F",1,0)))))))</f>
        <v/>
      </c>
      <c r="F489" s="19">
        <f>IF($A489="","",E489+$H489-1)</f>
        <v/>
      </c>
      <c r="G489" s="18" t="n"/>
      <c r="H489" s="18">
        <f>IF($A489="","",IF(I489&lt;&gt;"",I489,Paramètres!B57))</f>
        <v/>
      </c>
      <c r="I489" s="18" t="n"/>
    </row>
    <row r="490">
      <c r="A490" s="16">
        <f>IF(ISNUMBER(Dossiers!$D$13),Dossiers!$E$13,"")</f>
        <v/>
      </c>
      <c r="B490" s="16">
        <f>IF($A490="","","Identifiant")</f>
        <v/>
      </c>
      <c r="C490" s="16">
        <f>IF($A490="","","Macro Etape")</f>
        <v/>
      </c>
      <c r="D490" s="16">
        <f>IF($A490="","","Etape")</f>
        <v/>
      </c>
      <c r="E490" s="17">
        <f>IF($A490="","","Début le")</f>
        <v/>
      </c>
      <c r="F490" s="17">
        <f>IF($A490="","","Fin prévue le")</f>
        <v/>
      </c>
      <c r="G490" s="16">
        <f>IF($A490="","","Statut")</f>
        <v/>
      </c>
      <c r="H490" s="16">
        <f>IF($A490="","","Durée (jours)")</f>
        <v/>
      </c>
      <c r="I490" s="16">
        <f>IF($A490="","","Durée particulière")</f>
        <v/>
      </c>
      <c r="J490" s="10">
        <f>IF($A490="","",HYPERLINK("#'Tableau de bord'!A1","↑ Tableau de bord"))</f>
        <v/>
      </c>
    </row>
    <row r="491">
      <c r="A491" s="18">
        <f>IF(ISNUMBER(Dossiers!$D$13),Dossiers!$A$13&amp;" · "&amp;Dossiers!$B$13,"")</f>
        <v/>
      </c>
      <c r="B491" s="18">
        <f>IF($A491="","",Paramètres!G5)</f>
        <v/>
      </c>
      <c r="C491" s="18">
        <f>IF($A491="","",IF(Paramètres!H5="","",Paramètres!H5))</f>
        <v/>
      </c>
      <c r="D491" s="18">
        <f>IF($A491="","",IF(Paramètres!I5="","",Paramètres!I5))</f>
        <v/>
      </c>
      <c r="E491" s="19">
        <f>IF($A491="","",MIN(E492:E495))</f>
        <v/>
      </c>
      <c r="F491" s="19">
        <f>IF($A491="","",MAX(F492:F495))</f>
        <v/>
      </c>
      <c r="G491" s="18" t="n"/>
      <c r="H491" s="18">
        <f>IF($A491="","",F491-E491+1)</f>
        <v/>
      </c>
      <c r="I491" s="18" t="n"/>
    </row>
    <row r="492">
      <c r="A492" s="18">
        <f>IF(ISNUMBER(Dossiers!$D$13),Dossiers!$A$13&amp;" · "&amp;Dossiers!$B$13,"")</f>
        <v/>
      </c>
      <c r="B492" s="18">
        <f>IF($A492="","",Paramètres!G6)</f>
        <v/>
      </c>
      <c r="C492" s="18">
        <f>IF($A492="","",IF(Paramètres!H6="","",Paramètres!H6))</f>
        <v/>
      </c>
      <c r="D492" s="18">
        <f>IF($A492="","",IF(Paramètres!I6="","",Paramètres!I6))</f>
        <v/>
      </c>
      <c r="E492" s="19">
        <f>IF($A492="","",IF(Paramètres!J6&amp;Paramètres!L6&amp;Paramètres!N6="",Dossiers!$D$13,MAX(IF(Paramètres!J6="",0,IF(Paramètres!K6="",NA(),IF(LEFT(TRIM(Paramètres!K6),1)="F",INDEX($F$491:$F$543,MATCH(Paramètres!J6,Paramètres!$G$5:$G$57,0)),INDEX($E$491:$E$543,MATCH(Paramètres!J6,Paramètres!$G$5:$G$57,0)))+IF(RIGHT(TRIM(Paramètres!K6),3)="Fin",1-$H492,IF(LEFT(TRIM(Paramètres!K6),1)="F",1,0)))),IF(Paramètres!L6="",0,IF(Paramètres!M6="",NA(),IF(LEFT(TRIM(Paramètres!M6),1)="F",INDEX($F$491:$F$543,MATCH(Paramètres!L6,Paramètres!$G$5:$G$57,0)),INDEX($E$491:$E$543,MATCH(Paramètres!L6,Paramètres!$G$5:$G$57,0)))+IF(RIGHT(TRIM(Paramètres!M6),3)="Fin",1-$H492,IF(LEFT(TRIM(Paramètres!M6),1)="F",1,0)))),IF(Paramètres!N6="",0,IF(Paramètres!O6="",NA(),IF(LEFT(TRIM(Paramètres!O6),1)="F",INDEX($F$491:$F$543,MATCH(Paramètres!N6,Paramètres!$G$5:$G$57,0)),INDEX($E$491:$E$543,MATCH(Paramètres!N6,Paramètres!$G$5:$G$57,0)))+IF(RIGHT(TRIM(Paramètres!O6),3)="Fin",1-$H492,IF(LEFT(TRIM(Paramètres!O6),1)="F",1,0)))))))</f>
        <v/>
      </c>
      <c r="F492" s="19">
        <f>IF($A492="","",E492+$H492-1)</f>
        <v/>
      </c>
      <c r="G492" s="18" t="n"/>
      <c r="H492" s="18">
        <f>IF($A492="","",IF(I492&lt;&gt;"",I492,Paramètres!B6))</f>
        <v/>
      </c>
      <c r="I492" s="18" t="n"/>
    </row>
    <row r="493">
      <c r="A493" s="18">
        <f>IF(ISNUMBER(Dossiers!$D$13),Dossiers!$A$13&amp;" · "&amp;Dossiers!$B$13,"")</f>
        <v/>
      </c>
      <c r="B493" s="18">
        <f>IF($A493="","",Paramètres!G7)</f>
        <v/>
      </c>
      <c r="C493" s="18">
        <f>IF($A493="","",IF(Paramètres!H7="","",Paramètres!H7))</f>
        <v/>
      </c>
      <c r="D493" s="18">
        <f>IF($A493="","",IF(Paramètres!I7="","",Paramètres!I7))</f>
        <v/>
      </c>
      <c r="E493" s="19">
        <f>IF($A493="","",IF(Paramètres!J7&amp;Paramètres!L7&amp;Paramètres!N7="",Dossiers!$D$13,MAX(IF(Paramètres!J7="",0,IF(Paramètres!K7="",NA(),IF(LEFT(TRIM(Paramètres!K7),1)="F",INDEX($F$491:$F$543,MATCH(Paramètres!J7,Paramètres!$G$5:$G$57,0)),INDEX($E$491:$E$543,MATCH(Paramètres!J7,Paramètres!$G$5:$G$57,0)))+IF(RIGHT(TRIM(Paramètres!K7),3)="Fin",1-$H493,IF(LEFT(TRIM(Paramètres!K7),1)="F",1,0)))),IF(Paramètres!L7="",0,IF(Paramètres!M7="",NA(),IF(LEFT(TRIM(Paramètres!M7),1)="F",INDEX($F$491:$F$543,MATCH(Paramètres!L7,Paramètres!$G$5:$G$57,0)),INDEX($E$491:$E$543,MATCH(Paramètres!L7,Paramètres!$G$5:$G$57,0)))+IF(RIGHT(TRIM(Paramètres!M7),3)="Fin",1-$H493,IF(LEFT(TRIM(Paramètres!M7),1)="F",1,0)))),IF(Paramètres!N7="",0,IF(Paramètres!O7="",NA(),IF(LEFT(TRIM(Paramètres!O7),1)="F",INDEX($F$491:$F$543,MATCH(Paramètres!N7,Paramètres!$G$5:$G$57,0)),INDEX($E$491:$E$543,MATCH(Paramètres!N7,Paramètres!$G$5:$G$57,0)))+IF(RIGHT(TRIM(Paramètres!O7),3)="Fin",1-$H493,IF(LEFT(TRIM(Paramètres!O7),1)="F",1,0)))))))</f>
        <v/>
      </c>
      <c r="F493" s="19">
        <f>IF($A493="","",E493+$H493-1)</f>
        <v/>
      </c>
      <c r="G493" s="18" t="n"/>
      <c r="H493" s="18">
        <f>IF($A493="","",IF(I493&lt;&gt;"",I493,Paramètres!B7))</f>
        <v/>
      </c>
      <c r="I493" s="18" t="n"/>
    </row>
    <row r="494">
      <c r="A494" s="18">
        <f>IF(ISNUMBER(Dossiers!$D$13),Dossiers!$A$13&amp;" · "&amp;Dossiers!$B$13,"")</f>
        <v/>
      </c>
      <c r="B494" s="18">
        <f>IF($A494="","",Paramètres!G8)</f>
        <v/>
      </c>
      <c r="C494" s="18">
        <f>IF($A494="","",IF(Paramètres!H8="","",Paramètres!H8))</f>
        <v/>
      </c>
      <c r="D494" s="18">
        <f>IF($A494="","",IF(Paramètres!I8="","",Paramètres!I8))</f>
        <v/>
      </c>
      <c r="E494" s="19">
        <f>IF($A494="","",IF(Paramètres!J8&amp;Paramètres!L8&amp;Paramètres!N8="",Dossiers!$D$13,MAX(IF(Paramètres!J8="",0,IF(Paramètres!K8="",NA(),IF(LEFT(TRIM(Paramètres!K8),1)="F",INDEX($F$491:$F$543,MATCH(Paramètres!J8,Paramètres!$G$5:$G$57,0)),INDEX($E$491:$E$543,MATCH(Paramètres!J8,Paramètres!$G$5:$G$57,0)))+IF(RIGHT(TRIM(Paramètres!K8),3)="Fin",1-$H494,IF(LEFT(TRIM(Paramètres!K8),1)="F",1,0)))),IF(Paramètres!L8="",0,IF(Paramètres!M8="",NA(),IF(LEFT(TRIM(Paramètres!M8),1)="F",INDEX($F$491:$F$543,MATCH(Paramètres!L8,Paramètres!$G$5:$G$57,0)),INDEX($E$491:$E$543,MATCH(Paramètres!L8,Paramètres!$G$5:$G$57,0)))+IF(RIGHT(TRIM(Paramètres!M8),3)="Fin",1-$H494,IF(LEFT(TRIM(Paramètres!M8),1)="F",1,0)))),IF(Paramètres!N8="",0,IF(Paramètres!O8="",NA(),IF(LEFT(TRIM(Paramètres!O8),1)="F",INDEX($F$491:$F$543,MATCH(Paramètres!N8,Paramètres!$G$5:$G$57,0)),INDEX($E$491:$E$543,MATCH(Paramètres!N8,Paramètres!$G$5:$G$57,0)))+IF(RIGHT(TRIM(Paramètres!O8),3)="Fin",1-$H494,IF(LEFT(TRIM(Paramètres!O8),1)="F",1,0)))))))</f>
        <v/>
      </c>
      <c r="F494" s="19">
        <f>IF($A494="","",E494+$H494-1)</f>
        <v/>
      </c>
      <c r="G494" s="18" t="n"/>
      <c r="H494" s="18">
        <f>IF($A494="","",IF(I494&lt;&gt;"",I494,Paramètres!B8))</f>
        <v/>
      </c>
      <c r="I494" s="18" t="n"/>
    </row>
    <row r="495">
      <c r="A495" s="18">
        <f>IF(ISNUMBER(Dossiers!$D$13),Dossiers!$A$13&amp;" · "&amp;Dossiers!$B$13,"")</f>
        <v/>
      </c>
      <c r="B495" s="18">
        <f>IF($A495="","",Paramètres!G9)</f>
        <v/>
      </c>
      <c r="C495" s="18">
        <f>IF($A495="","",IF(Paramètres!H9="","",Paramètres!H9))</f>
        <v/>
      </c>
      <c r="D495" s="18">
        <f>IF($A495="","",IF(Paramètres!I9="","",Paramètres!I9))</f>
        <v/>
      </c>
      <c r="E495" s="19">
        <f>IF($A495="","",IF(Paramètres!J9&amp;Paramètres!L9&amp;Paramètres!N9="",Dossiers!$D$13,MAX(IF(Paramètres!J9="",0,IF(Paramètres!K9="",NA(),IF(LEFT(TRIM(Paramètres!K9),1)="F",INDEX($F$491:$F$543,MATCH(Paramètres!J9,Paramètres!$G$5:$G$57,0)),INDEX($E$491:$E$543,MATCH(Paramètres!J9,Paramètres!$G$5:$G$57,0)))+IF(RIGHT(TRIM(Paramètres!K9),3)="Fin",1-$H495,IF(LEFT(TRIM(Paramètres!K9),1)="F",1,0)))),IF(Paramètres!L9="",0,IF(Paramètres!M9="",NA(),IF(LEFT(TRIM(Paramètres!M9),1)="F",INDEX($F$491:$F$543,MATCH(Paramètres!L9,Paramètres!$G$5:$G$57,0)),INDEX($E$491:$E$543,MATCH(Paramètres!L9,Paramètres!$G$5:$G$57,0)))+IF(RIGHT(TRIM(Paramètres!M9),3)="Fin",1-$H495,IF(LEFT(TRIM(Paramètres!M9),1)="F",1,0)))),IF(Paramètres!N9="",0,IF(Paramètres!O9="",NA(),IF(LEFT(TRIM(Paramètres!O9),1)="F",INDEX($F$491:$F$543,MATCH(Paramètres!N9,Paramètres!$G$5:$G$57,0)),INDEX($E$491:$E$543,MATCH(Paramètres!N9,Paramètres!$G$5:$G$57,0)))+IF(RIGHT(TRIM(Paramètres!O9),3)="Fin",1-$H495,IF(LEFT(TRIM(Paramètres!O9),1)="F",1,0)))))))</f>
        <v/>
      </c>
      <c r="F495" s="19">
        <f>IF($A495="","",E495+$H495-1)</f>
        <v/>
      </c>
      <c r="G495" s="18" t="n"/>
      <c r="H495" s="18">
        <f>IF($A495="","",IF(I495&lt;&gt;"",I495,Paramètres!B9))</f>
        <v/>
      </c>
      <c r="I495" s="18" t="n"/>
    </row>
    <row r="496">
      <c r="A496" s="18">
        <f>IF(ISNUMBER(Dossiers!$D$13),Dossiers!$A$13&amp;" · "&amp;Dossiers!$B$13,"")</f>
        <v/>
      </c>
      <c r="B496" s="18">
        <f>IF($A496="","",Paramètres!G10)</f>
        <v/>
      </c>
      <c r="C496" s="18">
        <f>IF($A496="","",IF(Paramètres!H10="","",Paramètres!H10))</f>
        <v/>
      </c>
      <c r="D496" s="18">
        <f>IF($A496="","",IF(Paramètres!I10="","",Paramètres!I10))</f>
        <v/>
      </c>
      <c r="E496" s="19">
        <f>IF($A496="","",MIN(E497:E500))</f>
        <v/>
      </c>
      <c r="F496" s="19">
        <f>IF($A496="","",MAX(F497:F500))</f>
        <v/>
      </c>
      <c r="G496" s="18" t="n"/>
      <c r="H496" s="18">
        <f>IF($A496="","",F496-E496+1)</f>
        <v/>
      </c>
      <c r="I496" s="18" t="n"/>
    </row>
    <row r="497">
      <c r="A497" s="18">
        <f>IF(ISNUMBER(Dossiers!$D$13),Dossiers!$A$13&amp;" · "&amp;Dossiers!$B$13,"")</f>
        <v/>
      </c>
      <c r="B497" s="18">
        <f>IF($A497="","",Paramètres!G11)</f>
        <v/>
      </c>
      <c r="C497" s="18">
        <f>IF($A497="","",IF(Paramètres!H11="","",Paramètres!H11))</f>
        <v/>
      </c>
      <c r="D497" s="18">
        <f>IF($A497="","",IF(Paramètres!I11="","",Paramètres!I11))</f>
        <v/>
      </c>
      <c r="E497" s="19">
        <f>IF($A497="","",IF(Paramètres!J11&amp;Paramètres!L11&amp;Paramètres!N11="",Dossiers!$D$13,MAX(IF(Paramètres!J11="",0,IF(Paramètres!K11="",NA(),IF(LEFT(TRIM(Paramètres!K11),1)="F",INDEX($F$491:$F$543,MATCH(Paramètres!J11,Paramètres!$G$5:$G$57,0)),INDEX($E$491:$E$543,MATCH(Paramètres!J11,Paramètres!$G$5:$G$57,0)))+IF(RIGHT(TRIM(Paramètres!K11),3)="Fin",1-$H497,IF(LEFT(TRIM(Paramètres!K11),1)="F",1,0)))),IF(Paramètres!L11="",0,IF(Paramètres!M11="",NA(),IF(LEFT(TRIM(Paramètres!M11),1)="F",INDEX($F$491:$F$543,MATCH(Paramètres!L11,Paramètres!$G$5:$G$57,0)),INDEX($E$491:$E$543,MATCH(Paramètres!L11,Paramètres!$G$5:$G$57,0)))+IF(RIGHT(TRIM(Paramètres!M11),3)="Fin",1-$H497,IF(LEFT(TRIM(Paramètres!M11),1)="F",1,0)))),IF(Paramètres!N11="",0,IF(Paramètres!O11="",NA(),IF(LEFT(TRIM(Paramètres!O11),1)="F",INDEX($F$491:$F$543,MATCH(Paramètres!N11,Paramètres!$G$5:$G$57,0)),INDEX($E$491:$E$543,MATCH(Paramètres!N11,Paramètres!$G$5:$G$57,0)))+IF(RIGHT(TRIM(Paramètres!O11),3)="Fin",1-$H497,IF(LEFT(TRIM(Paramètres!O11),1)="F",1,0)))))))</f>
        <v/>
      </c>
      <c r="F497" s="19">
        <f>IF($A497="","",E497+$H497-1)</f>
        <v/>
      </c>
      <c r="G497" s="18" t="n"/>
      <c r="H497" s="18">
        <f>IF($A497="","",IF(I497&lt;&gt;"",I497,Paramètres!B11))</f>
        <v/>
      </c>
      <c r="I497" s="18" t="n"/>
    </row>
    <row r="498">
      <c r="A498" s="18">
        <f>IF(ISNUMBER(Dossiers!$D$13),Dossiers!$A$13&amp;" · "&amp;Dossiers!$B$13,"")</f>
        <v/>
      </c>
      <c r="B498" s="18">
        <f>IF($A498="","",Paramètres!G12)</f>
        <v/>
      </c>
      <c r="C498" s="18">
        <f>IF($A498="","",IF(Paramètres!H12="","",Paramètres!H12))</f>
        <v/>
      </c>
      <c r="D498" s="18">
        <f>IF($A498="","",IF(Paramètres!I12="","",Paramètres!I12))</f>
        <v/>
      </c>
      <c r="E498" s="19">
        <f>IF($A498="","",IF(Paramètres!J12&amp;Paramètres!L12&amp;Paramètres!N12="",Dossiers!$D$13,MAX(IF(Paramètres!J12="",0,IF(Paramètres!K12="",NA(),IF(LEFT(TRIM(Paramètres!K12),1)="F",INDEX($F$491:$F$543,MATCH(Paramètres!J12,Paramètres!$G$5:$G$57,0)),INDEX($E$491:$E$543,MATCH(Paramètres!J12,Paramètres!$G$5:$G$57,0)))+IF(RIGHT(TRIM(Paramètres!K12),3)="Fin",1-$H498,IF(LEFT(TRIM(Paramètres!K12),1)="F",1,0)))),IF(Paramètres!L12="",0,IF(Paramètres!M12="",NA(),IF(LEFT(TRIM(Paramètres!M12),1)="F",INDEX($F$491:$F$543,MATCH(Paramètres!L12,Paramètres!$G$5:$G$57,0)),INDEX($E$491:$E$543,MATCH(Paramètres!L12,Paramètres!$G$5:$G$57,0)))+IF(RIGHT(TRIM(Paramètres!M12),3)="Fin",1-$H498,IF(LEFT(TRIM(Paramètres!M12),1)="F",1,0)))),IF(Paramètres!N12="",0,IF(Paramètres!O12="",NA(),IF(LEFT(TRIM(Paramètres!O12),1)="F",INDEX($F$491:$F$543,MATCH(Paramètres!N12,Paramètres!$G$5:$G$57,0)),INDEX($E$491:$E$543,MATCH(Paramètres!N12,Paramètres!$G$5:$G$57,0)))+IF(RIGHT(TRIM(Paramètres!O12),3)="Fin",1-$H498,IF(LEFT(TRIM(Paramètres!O12),1)="F",1,0)))))))</f>
        <v/>
      </c>
      <c r="F498" s="19">
        <f>IF($A498="","",E498+$H498-1)</f>
        <v/>
      </c>
      <c r="G498" s="18" t="n"/>
      <c r="H498" s="18">
        <f>IF($A498="","",IF(I498&lt;&gt;"",I498,Paramètres!B12))</f>
        <v/>
      </c>
      <c r="I498" s="18" t="n"/>
    </row>
    <row r="499">
      <c r="A499" s="18">
        <f>IF(ISNUMBER(Dossiers!$D$13),Dossiers!$A$13&amp;" · "&amp;Dossiers!$B$13,"")</f>
        <v/>
      </c>
      <c r="B499" s="18">
        <f>IF($A499="","",Paramètres!G13)</f>
        <v/>
      </c>
      <c r="C499" s="18">
        <f>IF($A499="","",IF(Paramètres!H13="","",Paramètres!H13))</f>
        <v/>
      </c>
      <c r="D499" s="18">
        <f>IF($A499="","",IF(Paramètres!I13="","",Paramètres!I13))</f>
        <v/>
      </c>
      <c r="E499" s="19">
        <f>IF($A499="","",IF(Paramètres!J13&amp;Paramètres!L13&amp;Paramètres!N13="",Dossiers!$D$13,MAX(IF(Paramètres!J13="",0,IF(Paramètres!K13="",NA(),IF(LEFT(TRIM(Paramètres!K13),1)="F",INDEX($F$491:$F$543,MATCH(Paramètres!J13,Paramètres!$G$5:$G$57,0)),INDEX($E$491:$E$543,MATCH(Paramètres!J13,Paramètres!$G$5:$G$57,0)))+IF(RIGHT(TRIM(Paramètres!K13),3)="Fin",1-$H499,IF(LEFT(TRIM(Paramètres!K13),1)="F",1,0)))),IF(Paramètres!L13="",0,IF(Paramètres!M13="",NA(),IF(LEFT(TRIM(Paramètres!M13),1)="F",INDEX($F$491:$F$543,MATCH(Paramètres!L13,Paramètres!$G$5:$G$57,0)),INDEX($E$491:$E$543,MATCH(Paramètres!L13,Paramètres!$G$5:$G$57,0)))+IF(RIGHT(TRIM(Paramètres!M13),3)="Fin",1-$H499,IF(LEFT(TRIM(Paramètres!M13),1)="F",1,0)))),IF(Paramètres!N13="",0,IF(Paramètres!O13="",NA(),IF(LEFT(TRIM(Paramètres!O13),1)="F",INDEX($F$491:$F$543,MATCH(Paramètres!N13,Paramètres!$G$5:$G$57,0)),INDEX($E$491:$E$543,MATCH(Paramètres!N13,Paramètres!$G$5:$G$57,0)))+IF(RIGHT(TRIM(Paramètres!O13),3)="Fin",1-$H499,IF(LEFT(TRIM(Paramètres!O13),1)="F",1,0)))))))</f>
        <v/>
      </c>
      <c r="F499" s="19">
        <f>IF($A499="","",E499+$H499-1)</f>
        <v/>
      </c>
      <c r="G499" s="18" t="n"/>
      <c r="H499" s="18">
        <f>IF($A499="","",IF(I499&lt;&gt;"",I499,Paramètres!B13))</f>
        <v/>
      </c>
      <c r="I499" s="18" t="n"/>
    </row>
    <row r="500">
      <c r="A500" s="18">
        <f>IF(ISNUMBER(Dossiers!$D$13),Dossiers!$A$13&amp;" · "&amp;Dossiers!$B$13,"")</f>
        <v/>
      </c>
      <c r="B500" s="18">
        <f>IF($A500="","",Paramètres!G14)</f>
        <v/>
      </c>
      <c r="C500" s="18">
        <f>IF($A500="","",IF(Paramètres!H14="","",Paramètres!H14))</f>
        <v/>
      </c>
      <c r="D500" s="18">
        <f>IF($A500="","",IF(Paramètres!I14="","",Paramètres!I14))</f>
        <v/>
      </c>
      <c r="E500" s="19">
        <f>IF($A500="","",IF(Paramètres!J14&amp;Paramètres!L14&amp;Paramètres!N14="",Dossiers!$D$13,MAX(IF(Paramètres!J14="",0,IF(Paramètres!K14="",NA(),IF(LEFT(TRIM(Paramètres!K14),1)="F",INDEX($F$491:$F$543,MATCH(Paramètres!J14,Paramètres!$G$5:$G$57,0)),INDEX($E$491:$E$543,MATCH(Paramètres!J14,Paramètres!$G$5:$G$57,0)))+IF(RIGHT(TRIM(Paramètres!K14),3)="Fin",1-$H500,IF(LEFT(TRIM(Paramètres!K14),1)="F",1,0)))),IF(Paramètres!L14="",0,IF(Paramètres!M14="",NA(),IF(LEFT(TRIM(Paramètres!M14),1)="F",INDEX($F$491:$F$543,MATCH(Paramètres!L14,Paramètres!$G$5:$G$57,0)),INDEX($E$491:$E$543,MATCH(Paramètres!L14,Paramètres!$G$5:$G$57,0)))+IF(RIGHT(TRIM(Paramètres!M14),3)="Fin",1-$H500,IF(LEFT(TRIM(Paramètres!M14),1)="F",1,0)))),IF(Paramètres!N14="",0,IF(Paramètres!O14="",NA(),IF(LEFT(TRIM(Paramètres!O14),1)="F",INDEX($F$491:$F$543,MATCH(Paramètres!N14,Paramètres!$G$5:$G$57,0)),INDEX($E$491:$E$543,MATCH(Paramètres!N14,Paramètres!$G$5:$G$57,0)))+IF(RIGHT(TRIM(Paramètres!O14),3)="Fin",1-$H500,IF(LEFT(TRIM(Paramètres!O14),1)="F",1,0)))))))</f>
        <v/>
      </c>
      <c r="F500" s="19">
        <f>IF($A500="","",E500+$H500-1)</f>
        <v/>
      </c>
      <c r="G500" s="18" t="n"/>
      <c r="H500" s="18">
        <f>IF($A500="","",IF(I500&lt;&gt;"",I500,Paramètres!B14))</f>
        <v/>
      </c>
      <c r="I500" s="18" t="n"/>
    </row>
    <row r="501">
      <c r="A501" s="18">
        <f>IF(ISNUMBER(Dossiers!$D$13),Dossiers!$A$13&amp;" · "&amp;Dossiers!$B$13,"")</f>
        <v/>
      </c>
      <c r="B501" s="18">
        <f>IF($A501="","",Paramètres!G15)</f>
        <v/>
      </c>
      <c r="C501" s="18">
        <f>IF($A501="","",IF(Paramètres!H15="","",Paramètres!H15))</f>
        <v/>
      </c>
      <c r="D501" s="18">
        <f>IF($A501="","",IF(Paramètres!I15="","",Paramètres!I15))</f>
        <v/>
      </c>
      <c r="E501" s="19">
        <f>IF($A501="","",MIN(E502:E517))</f>
        <v/>
      </c>
      <c r="F501" s="19">
        <f>IF($A501="","",MAX(F502:F517))</f>
        <v/>
      </c>
      <c r="G501" s="18" t="n"/>
      <c r="H501" s="18">
        <f>IF($A501="","",F501-E501+1)</f>
        <v/>
      </c>
      <c r="I501" s="18" t="n"/>
    </row>
    <row r="502">
      <c r="A502" s="18">
        <f>IF(ISNUMBER(Dossiers!$D$13),Dossiers!$A$13&amp;" · "&amp;Dossiers!$B$13,"")</f>
        <v/>
      </c>
      <c r="B502" s="18">
        <f>IF($A502="","",Paramètres!G16)</f>
        <v/>
      </c>
      <c r="C502" s="18">
        <f>IF($A502="","",IF(Paramètres!H16="","",Paramètres!H16))</f>
        <v/>
      </c>
      <c r="D502" s="18">
        <f>IF($A502="","",IF(Paramètres!I16="","",Paramètres!I16))</f>
        <v/>
      </c>
      <c r="E502" s="19">
        <f>IF($A502="","",IF(Paramètres!J16&amp;Paramètres!L16&amp;Paramètres!N16="",Dossiers!$D$13,MAX(IF(Paramètres!J16="",0,IF(Paramètres!K16="",NA(),IF(LEFT(TRIM(Paramètres!K16),1)="F",INDEX($F$491:$F$543,MATCH(Paramètres!J16,Paramètres!$G$5:$G$57,0)),INDEX($E$491:$E$543,MATCH(Paramètres!J16,Paramètres!$G$5:$G$57,0)))+IF(RIGHT(TRIM(Paramètres!K16),3)="Fin",1-$H502,IF(LEFT(TRIM(Paramètres!K16),1)="F",1,0)))),IF(Paramètres!L16="",0,IF(Paramètres!M16="",NA(),IF(LEFT(TRIM(Paramètres!M16),1)="F",INDEX($F$491:$F$543,MATCH(Paramètres!L16,Paramètres!$G$5:$G$57,0)),INDEX($E$491:$E$543,MATCH(Paramètres!L16,Paramètres!$G$5:$G$57,0)))+IF(RIGHT(TRIM(Paramètres!M16),3)="Fin",1-$H502,IF(LEFT(TRIM(Paramètres!M16),1)="F",1,0)))),IF(Paramètres!N16="",0,IF(Paramètres!O16="",NA(),IF(LEFT(TRIM(Paramètres!O16),1)="F",INDEX($F$491:$F$543,MATCH(Paramètres!N16,Paramètres!$G$5:$G$57,0)),INDEX($E$491:$E$543,MATCH(Paramètres!N16,Paramètres!$G$5:$G$57,0)))+IF(RIGHT(TRIM(Paramètres!O16),3)="Fin",1-$H502,IF(LEFT(TRIM(Paramètres!O16),1)="F",1,0)))))))</f>
        <v/>
      </c>
      <c r="F502" s="19">
        <f>IF($A502="","",E502+$H502-1)</f>
        <v/>
      </c>
      <c r="G502" s="18" t="n"/>
      <c r="H502" s="18">
        <f>IF($A502="","",IF(I502&lt;&gt;"",I502,Paramètres!B16))</f>
        <v/>
      </c>
      <c r="I502" s="18" t="n"/>
    </row>
    <row r="503">
      <c r="A503" s="18">
        <f>IF(ISNUMBER(Dossiers!$D$13),Dossiers!$A$13&amp;" · "&amp;Dossiers!$B$13,"")</f>
        <v/>
      </c>
      <c r="B503" s="18">
        <f>IF($A503="","",Paramètres!G17)</f>
        <v/>
      </c>
      <c r="C503" s="18">
        <f>IF($A503="","",IF(Paramètres!H17="","",Paramètres!H17))</f>
        <v/>
      </c>
      <c r="D503" s="18">
        <f>IF($A503="","",IF(Paramètres!I17="","",Paramètres!I17))</f>
        <v/>
      </c>
      <c r="E503" s="19">
        <f>IF($A503="","",IF(Paramètres!J17&amp;Paramètres!L17&amp;Paramètres!N17="",Dossiers!$D$13,MAX(IF(Paramètres!J17="",0,IF(Paramètres!K17="",NA(),IF(LEFT(TRIM(Paramètres!K17),1)="F",INDEX($F$491:$F$543,MATCH(Paramètres!J17,Paramètres!$G$5:$G$57,0)),INDEX($E$491:$E$543,MATCH(Paramètres!J17,Paramètres!$G$5:$G$57,0)))+IF(RIGHT(TRIM(Paramètres!K17),3)="Fin",1-$H503,IF(LEFT(TRIM(Paramètres!K17),1)="F",1,0)))),IF(Paramètres!L17="",0,IF(Paramètres!M17="",NA(),IF(LEFT(TRIM(Paramètres!M17),1)="F",INDEX($F$491:$F$543,MATCH(Paramètres!L17,Paramètres!$G$5:$G$57,0)),INDEX($E$491:$E$543,MATCH(Paramètres!L17,Paramètres!$G$5:$G$57,0)))+IF(RIGHT(TRIM(Paramètres!M17),3)="Fin",1-$H503,IF(LEFT(TRIM(Paramètres!M17),1)="F",1,0)))),IF(Paramètres!N17="",0,IF(Paramètres!O17="",NA(),IF(LEFT(TRIM(Paramètres!O17),1)="F",INDEX($F$491:$F$543,MATCH(Paramètres!N17,Paramètres!$G$5:$G$57,0)),INDEX($E$491:$E$543,MATCH(Paramètres!N17,Paramètres!$G$5:$G$57,0)))+IF(RIGHT(TRIM(Paramètres!O17),3)="Fin",1-$H503,IF(LEFT(TRIM(Paramètres!O17),1)="F",1,0)))))))</f>
        <v/>
      </c>
      <c r="F503" s="19">
        <f>IF($A503="","",E503+$H503-1)</f>
        <v/>
      </c>
      <c r="G503" s="18" t="n"/>
      <c r="H503" s="18">
        <f>IF($A503="","",IF(I503&lt;&gt;"",I503,Paramètres!B17))</f>
        <v/>
      </c>
      <c r="I503" s="18" t="n"/>
    </row>
    <row r="504">
      <c r="A504" s="18">
        <f>IF(ISNUMBER(Dossiers!$D$13),Dossiers!$A$13&amp;" · "&amp;Dossiers!$B$13,"")</f>
        <v/>
      </c>
      <c r="B504" s="18">
        <f>IF($A504="","",Paramètres!G18)</f>
        <v/>
      </c>
      <c r="C504" s="18">
        <f>IF($A504="","",IF(Paramètres!H18="","",Paramètres!H18))</f>
        <v/>
      </c>
      <c r="D504" s="18">
        <f>IF($A504="","",IF(Paramètres!I18="","",Paramètres!I18))</f>
        <v/>
      </c>
      <c r="E504" s="19">
        <f>IF($A504="","",IF(Paramètres!J18&amp;Paramètres!L18&amp;Paramètres!N18="",Dossiers!$D$13,MAX(IF(Paramètres!J18="",0,IF(Paramètres!K18="",NA(),IF(LEFT(TRIM(Paramètres!K18),1)="F",INDEX($F$491:$F$543,MATCH(Paramètres!J18,Paramètres!$G$5:$G$57,0)),INDEX($E$491:$E$543,MATCH(Paramètres!J18,Paramètres!$G$5:$G$57,0)))+IF(RIGHT(TRIM(Paramètres!K18),3)="Fin",1-$H504,IF(LEFT(TRIM(Paramètres!K18),1)="F",1,0)))),IF(Paramètres!L18="",0,IF(Paramètres!M18="",NA(),IF(LEFT(TRIM(Paramètres!M18),1)="F",INDEX($F$491:$F$543,MATCH(Paramètres!L18,Paramètres!$G$5:$G$57,0)),INDEX($E$491:$E$543,MATCH(Paramètres!L18,Paramètres!$G$5:$G$57,0)))+IF(RIGHT(TRIM(Paramètres!M18),3)="Fin",1-$H504,IF(LEFT(TRIM(Paramètres!M18),1)="F",1,0)))),IF(Paramètres!N18="",0,IF(Paramètres!O18="",NA(),IF(LEFT(TRIM(Paramètres!O18),1)="F",INDEX($F$491:$F$543,MATCH(Paramètres!N18,Paramètres!$G$5:$G$57,0)),INDEX($E$491:$E$543,MATCH(Paramètres!N18,Paramètres!$G$5:$G$57,0)))+IF(RIGHT(TRIM(Paramètres!O18),3)="Fin",1-$H504,IF(LEFT(TRIM(Paramètres!O18),1)="F",1,0)))))))</f>
        <v/>
      </c>
      <c r="F504" s="19">
        <f>IF($A504="","",E504+$H504-1)</f>
        <v/>
      </c>
      <c r="G504" s="18" t="n"/>
      <c r="H504" s="18">
        <f>IF($A504="","",IF(I504&lt;&gt;"",I504,Paramètres!B18))</f>
        <v/>
      </c>
      <c r="I504" s="18" t="n"/>
    </row>
    <row r="505">
      <c r="A505" s="18">
        <f>IF(ISNUMBER(Dossiers!$D$13),Dossiers!$A$13&amp;" · "&amp;Dossiers!$B$13,"")</f>
        <v/>
      </c>
      <c r="B505" s="18">
        <f>IF($A505="","",Paramètres!G19)</f>
        <v/>
      </c>
      <c r="C505" s="18">
        <f>IF($A505="","",IF(Paramètres!H19="","",Paramètres!H19))</f>
        <v/>
      </c>
      <c r="D505" s="18">
        <f>IF($A505="","",IF(Paramètres!I19="","",Paramètres!I19))</f>
        <v/>
      </c>
      <c r="E505" s="19">
        <f>IF($A505="","",IF(Paramètres!J19&amp;Paramètres!L19&amp;Paramètres!N19="",Dossiers!$D$13,MAX(IF(Paramètres!J19="",0,IF(Paramètres!K19="",NA(),IF(LEFT(TRIM(Paramètres!K19),1)="F",INDEX($F$491:$F$543,MATCH(Paramètres!J19,Paramètres!$G$5:$G$57,0)),INDEX($E$491:$E$543,MATCH(Paramètres!J19,Paramètres!$G$5:$G$57,0)))+IF(RIGHT(TRIM(Paramètres!K19),3)="Fin",1-$H505,IF(LEFT(TRIM(Paramètres!K19),1)="F",1,0)))),IF(Paramètres!L19="",0,IF(Paramètres!M19="",NA(),IF(LEFT(TRIM(Paramètres!M19),1)="F",INDEX($F$491:$F$543,MATCH(Paramètres!L19,Paramètres!$G$5:$G$57,0)),INDEX($E$491:$E$543,MATCH(Paramètres!L19,Paramètres!$G$5:$G$57,0)))+IF(RIGHT(TRIM(Paramètres!M19),3)="Fin",1-$H505,IF(LEFT(TRIM(Paramètres!M19),1)="F",1,0)))),IF(Paramètres!N19="",0,IF(Paramètres!O19="",NA(),IF(LEFT(TRIM(Paramètres!O19),1)="F",INDEX($F$491:$F$543,MATCH(Paramètres!N19,Paramètres!$G$5:$G$57,0)),INDEX($E$491:$E$543,MATCH(Paramètres!N19,Paramètres!$G$5:$G$57,0)))+IF(RIGHT(TRIM(Paramètres!O19),3)="Fin",1-$H505,IF(LEFT(TRIM(Paramètres!O19),1)="F",1,0)))))))</f>
        <v/>
      </c>
      <c r="F505" s="19">
        <f>IF($A505="","",E505+$H505-1)</f>
        <v/>
      </c>
      <c r="G505" s="18" t="n"/>
      <c r="H505" s="18">
        <f>IF($A505="","",IF(I505&lt;&gt;"",I505,Paramètres!B19))</f>
        <v/>
      </c>
      <c r="I505" s="18" t="n"/>
    </row>
    <row r="506">
      <c r="A506" s="18">
        <f>IF(ISNUMBER(Dossiers!$D$13),Dossiers!$A$13&amp;" · "&amp;Dossiers!$B$13,"")</f>
        <v/>
      </c>
      <c r="B506" s="18">
        <f>IF($A506="","",Paramètres!G20)</f>
        <v/>
      </c>
      <c r="C506" s="18">
        <f>IF($A506="","",IF(Paramètres!H20="","",Paramètres!H20))</f>
        <v/>
      </c>
      <c r="D506" s="18">
        <f>IF($A506="","",IF(Paramètres!I20="","",Paramètres!I20))</f>
        <v/>
      </c>
      <c r="E506" s="19">
        <f>IF($A506="","",IF(Paramètres!J20&amp;Paramètres!L20&amp;Paramètres!N20="",Dossiers!$D$13,MAX(IF(Paramètres!J20="",0,IF(Paramètres!K20="",NA(),IF(LEFT(TRIM(Paramètres!K20),1)="F",INDEX($F$491:$F$543,MATCH(Paramètres!J20,Paramètres!$G$5:$G$57,0)),INDEX($E$491:$E$543,MATCH(Paramètres!J20,Paramètres!$G$5:$G$57,0)))+IF(RIGHT(TRIM(Paramètres!K20),3)="Fin",1-$H506,IF(LEFT(TRIM(Paramètres!K20),1)="F",1,0)))),IF(Paramètres!L20="",0,IF(Paramètres!M20="",NA(),IF(LEFT(TRIM(Paramètres!M20),1)="F",INDEX($F$491:$F$543,MATCH(Paramètres!L20,Paramètres!$G$5:$G$57,0)),INDEX($E$491:$E$543,MATCH(Paramètres!L20,Paramètres!$G$5:$G$57,0)))+IF(RIGHT(TRIM(Paramètres!M20),3)="Fin",1-$H506,IF(LEFT(TRIM(Paramètres!M20),1)="F",1,0)))),IF(Paramètres!N20="",0,IF(Paramètres!O20="",NA(),IF(LEFT(TRIM(Paramètres!O20),1)="F",INDEX($F$491:$F$543,MATCH(Paramètres!N20,Paramètres!$G$5:$G$57,0)),INDEX($E$491:$E$543,MATCH(Paramètres!N20,Paramètres!$G$5:$G$57,0)))+IF(RIGHT(TRIM(Paramètres!O20),3)="Fin",1-$H506,IF(LEFT(TRIM(Paramètres!O20),1)="F",1,0)))))))</f>
        <v/>
      </c>
      <c r="F506" s="19">
        <f>IF($A506="","",E506+$H506-1)</f>
        <v/>
      </c>
      <c r="G506" s="18" t="n"/>
      <c r="H506" s="18">
        <f>IF($A506="","",IF(I506&lt;&gt;"",I506,Paramètres!B20))</f>
        <v/>
      </c>
      <c r="I506" s="18" t="n"/>
    </row>
    <row r="507">
      <c r="A507" s="18">
        <f>IF(ISNUMBER(Dossiers!$D$13),Dossiers!$A$13&amp;" · "&amp;Dossiers!$B$13,"")</f>
        <v/>
      </c>
      <c r="B507" s="18">
        <f>IF($A507="","",Paramètres!G21)</f>
        <v/>
      </c>
      <c r="C507" s="18">
        <f>IF($A507="","",IF(Paramètres!H21="","",Paramètres!H21))</f>
        <v/>
      </c>
      <c r="D507" s="18">
        <f>IF($A507="","",IF(Paramètres!I21="","",Paramètres!I21))</f>
        <v/>
      </c>
      <c r="E507" s="19">
        <f>IF($A507="","",IF(Paramètres!J21&amp;Paramètres!L21&amp;Paramètres!N21="",Dossiers!$D$13,MAX(IF(Paramètres!J21="",0,IF(Paramètres!K21="",NA(),IF(LEFT(TRIM(Paramètres!K21),1)="F",INDEX($F$491:$F$543,MATCH(Paramètres!J21,Paramètres!$G$5:$G$57,0)),INDEX($E$491:$E$543,MATCH(Paramètres!J21,Paramètres!$G$5:$G$57,0)))+IF(RIGHT(TRIM(Paramètres!K21),3)="Fin",1-$H507,IF(LEFT(TRIM(Paramètres!K21),1)="F",1,0)))),IF(Paramètres!L21="",0,IF(Paramètres!M21="",NA(),IF(LEFT(TRIM(Paramètres!M21),1)="F",INDEX($F$491:$F$543,MATCH(Paramètres!L21,Paramètres!$G$5:$G$57,0)),INDEX($E$491:$E$543,MATCH(Paramètres!L21,Paramètres!$G$5:$G$57,0)))+IF(RIGHT(TRIM(Paramètres!M21),3)="Fin",1-$H507,IF(LEFT(TRIM(Paramètres!M21),1)="F",1,0)))),IF(Paramètres!N21="",0,IF(Paramètres!O21="",NA(),IF(LEFT(TRIM(Paramètres!O21),1)="F",INDEX($F$491:$F$543,MATCH(Paramètres!N21,Paramètres!$G$5:$G$57,0)),INDEX($E$491:$E$543,MATCH(Paramètres!N21,Paramètres!$G$5:$G$57,0)))+IF(RIGHT(TRIM(Paramètres!O21),3)="Fin",1-$H507,IF(LEFT(TRIM(Paramètres!O21),1)="F",1,0)))))))</f>
        <v/>
      </c>
      <c r="F507" s="19">
        <f>IF($A507="","",E507+$H507-1)</f>
        <v/>
      </c>
      <c r="G507" s="18" t="n"/>
      <c r="H507" s="18">
        <f>IF($A507="","",IF(I507&lt;&gt;"",I507,Paramètres!B21))</f>
        <v/>
      </c>
      <c r="I507" s="18" t="n"/>
    </row>
    <row r="508">
      <c r="A508" s="18">
        <f>IF(ISNUMBER(Dossiers!$D$13),Dossiers!$A$13&amp;" · "&amp;Dossiers!$B$13,"")</f>
        <v/>
      </c>
      <c r="B508" s="18">
        <f>IF($A508="","",Paramètres!G22)</f>
        <v/>
      </c>
      <c r="C508" s="18">
        <f>IF($A508="","",IF(Paramètres!H22="","",Paramètres!H22))</f>
        <v/>
      </c>
      <c r="D508" s="18">
        <f>IF($A508="","",IF(Paramètres!I22="","",Paramètres!I22))</f>
        <v/>
      </c>
      <c r="E508" s="19">
        <f>IF($A508="","",IF(Paramètres!J22&amp;Paramètres!L22&amp;Paramètres!N22="",Dossiers!$D$13,MAX(IF(Paramètres!J22="",0,IF(Paramètres!K22="",NA(),IF(LEFT(TRIM(Paramètres!K22),1)="F",INDEX($F$491:$F$543,MATCH(Paramètres!J22,Paramètres!$G$5:$G$57,0)),INDEX($E$491:$E$543,MATCH(Paramètres!J22,Paramètres!$G$5:$G$57,0)))+IF(RIGHT(TRIM(Paramètres!K22),3)="Fin",1-$H508,IF(LEFT(TRIM(Paramètres!K22),1)="F",1,0)))),IF(Paramètres!L22="",0,IF(Paramètres!M22="",NA(),IF(LEFT(TRIM(Paramètres!M22),1)="F",INDEX($F$491:$F$543,MATCH(Paramètres!L22,Paramètres!$G$5:$G$57,0)),INDEX($E$491:$E$543,MATCH(Paramètres!L22,Paramètres!$G$5:$G$57,0)))+IF(RIGHT(TRIM(Paramètres!M22),3)="Fin",1-$H508,IF(LEFT(TRIM(Paramètres!M22),1)="F",1,0)))),IF(Paramètres!N22="",0,IF(Paramètres!O22="",NA(),IF(LEFT(TRIM(Paramètres!O22),1)="F",INDEX($F$491:$F$543,MATCH(Paramètres!N22,Paramètres!$G$5:$G$57,0)),INDEX($E$491:$E$543,MATCH(Paramètres!N22,Paramètres!$G$5:$G$57,0)))+IF(RIGHT(TRIM(Paramètres!O22),3)="Fin",1-$H508,IF(LEFT(TRIM(Paramètres!O22),1)="F",1,0)))))))</f>
        <v/>
      </c>
      <c r="F508" s="19">
        <f>IF($A508="","",E508+$H508-1)</f>
        <v/>
      </c>
      <c r="G508" s="18" t="n"/>
      <c r="H508" s="18">
        <f>IF($A508="","",IF(I508&lt;&gt;"",I508,Paramètres!B22))</f>
        <v/>
      </c>
      <c r="I508" s="18" t="n"/>
    </row>
    <row r="509">
      <c r="A509" s="18">
        <f>IF(ISNUMBER(Dossiers!$D$13),Dossiers!$A$13&amp;" · "&amp;Dossiers!$B$13,"")</f>
        <v/>
      </c>
      <c r="B509" s="18">
        <f>IF($A509="","",Paramètres!G23)</f>
        <v/>
      </c>
      <c r="C509" s="18">
        <f>IF($A509="","",IF(Paramètres!H23="","",Paramètres!H23))</f>
        <v/>
      </c>
      <c r="D509" s="18">
        <f>IF($A509="","",IF(Paramètres!I23="","",Paramètres!I23))</f>
        <v/>
      </c>
      <c r="E509" s="19">
        <f>IF($A509="","",IF(Paramètres!J23&amp;Paramètres!L23&amp;Paramètres!N23="",Dossiers!$D$13,MAX(IF(Paramètres!J23="",0,IF(Paramètres!K23="",NA(),IF(LEFT(TRIM(Paramètres!K23),1)="F",INDEX($F$491:$F$543,MATCH(Paramètres!J23,Paramètres!$G$5:$G$57,0)),INDEX($E$491:$E$543,MATCH(Paramètres!J23,Paramètres!$G$5:$G$57,0)))+IF(RIGHT(TRIM(Paramètres!K23),3)="Fin",1-$H509,IF(LEFT(TRIM(Paramètres!K23),1)="F",1,0)))),IF(Paramètres!L23="",0,IF(Paramètres!M23="",NA(),IF(LEFT(TRIM(Paramètres!M23),1)="F",INDEX($F$491:$F$543,MATCH(Paramètres!L23,Paramètres!$G$5:$G$57,0)),INDEX($E$491:$E$543,MATCH(Paramètres!L23,Paramètres!$G$5:$G$57,0)))+IF(RIGHT(TRIM(Paramètres!M23),3)="Fin",1-$H509,IF(LEFT(TRIM(Paramètres!M23),1)="F",1,0)))),IF(Paramètres!N23="",0,IF(Paramètres!O23="",NA(),IF(LEFT(TRIM(Paramètres!O23),1)="F",INDEX($F$491:$F$543,MATCH(Paramètres!N23,Paramètres!$G$5:$G$57,0)),INDEX($E$491:$E$543,MATCH(Paramètres!N23,Paramètres!$G$5:$G$57,0)))+IF(RIGHT(TRIM(Paramètres!O23),3)="Fin",1-$H509,IF(LEFT(TRIM(Paramètres!O23),1)="F",1,0)))))))</f>
        <v/>
      </c>
      <c r="F509" s="19">
        <f>IF($A509="","",E509+$H509-1)</f>
        <v/>
      </c>
      <c r="G509" s="18" t="n"/>
      <c r="H509" s="18">
        <f>IF($A509="","",IF(I509&lt;&gt;"",I509,Paramètres!B23))</f>
        <v/>
      </c>
      <c r="I509" s="18" t="n"/>
    </row>
    <row r="510">
      <c r="A510" s="18">
        <f>IF(ISNUMBER(Dossiers!$D$13),Dossiers!$A$13&amp;" · "&amp;Dossiers!$B$13,"")</f>
        <v/>
      </c>
      <c r="B510" s="18">
        <f>IF($A510="","",Paramètres!G24)</f>
        <v/>
      </c>
      <c r="C510" s="18">
        <f>IF($A510="","",IF(Paramètres!H24="","",Paramètres!H24))</f>
        <v/>
      </c>
      <c r="D510" s="18">
        <f>IF($A510="","",IF(Paramètres!I24="","",Paramètres!I24))</f>
        <v/>
      </c>
      <c r="E510" s="19">
        <f>IF($A510="","",IF(Paramètres!J24&amp;Paramètres!L24&amp;Paramètres!N24="",Dossiers!$D$13,MAX(IF(Paramètres!J24="",0,IF(Paramètres!K24="",NA(),IF(LEFT(TRIM(Paramètres!K24),1)="F",INDEX($F$491:$F$543,MATCH(Paramètres!J24,Paramètres!$G$5:$G$57,0)),INDEX($E$491:$E$543,MATCH(Paramètres!J24,Paramètres!$G$5:$G$57,0)))+IF(RIGHT(TRIM(Paramètres!K24),3)="Fin",1-$H510,IF(LEFT(TRIM(Paramètres!K24),1)="F",1,0)))),IF(Paramètres!L24="",0,IF(Paramètres!M24="",NA(),IF(LEFT(TRIM(Paramètres!M24),1)="F",INDEX($F$491:$F$543,MATCH(Paramètres!L24,Paramètres!$G$5:$G$57,0)),INDEX($E$491:$E$543,MATCH(Paramètres!L24,Paramètres!$G$5:$G$57,0)))+IF(RIGHT(TRIM(Paramètres!M24),3)="Fin",1-$H510,IF(LEFT(TRIM(Paramètres!M24),1)="F",1,0)))),IF(Paramètres!N24="",0,IF(Paramètres!O24="",NA(),IF(LEFT(TRIM(Paramètres!O24),1)="F",INDEX($F$491:$F$543,MATCH(Paramètres!N24,Paramètres!$G$5:$G$57,0)),INDEX($E$491:$E$543,MATCH(Paramètres!N24,Paramètres!$G$5:$G$57,0)))+IF(RIGHT(TRIM(Paramètres!O24),3)="Fin",1-$H510,IF(LEFT(TRIM(Paramètres!O24),1)="F",1,0)))))))</f>
        <v/>
      </c>
      <c r="F510" s="19">
        <f>IF($A510="","",E510+$H510-1)</f>
        <v/>
      </c>
      <c r="G510" s="18" t="n"/>
      <c r="H510" s="18">
        <f>IF($A510="","",IF(I510&lt;&gt;"",I510,Paramètres!B24))</f>
        <v/>
      </c>
      <c r="I510" s="18" t="n"/>
    </row>
    <row r="511">
      <c r="A511" s="18">
        <f>IF(ISNUMBER(Dossiers!$D$13),Dossiers!$A$13&amp;" · "&amp;Dossiers!$B$13,"")</f>
        <v/>
      </c>
      <c r="B511" s="18">
        <f>IF($A511="","",Paramètres!G25)</f>
        <v/>
      </c>
      <c r="C511" s="18">
        <f>IF($A511="","",IF(Paramètres!H25="","",Paramètres!H25))</f>
        <v/>
      </c>
      <c r="D511" s="18">
        <f>IF($A511="","",IF(Paramètres!I25="","",Paramètres!I25))</f>
        <v/>
      </c>
      <c r="E511" s="19">
        <f>IF($A511="","",IF(Paramètres!J25&amp;Paramètres!L25&amp;Paramètres!N25="",Dossiers!$D$13,MAX(IF(Paramètres!J25="",0,IF(Paramètres!K25="",NA(),IF(LEFT(TRIM(Paramètres!K25),1)="F",INDEX($F$491:$F$543,MATCH(Paramètres!J25,Paramètres!$G$5:$G$57,0)),INDEX($E$491:$E$543,MATCH(Paramètres!J25,Paramètres!$G$5:$G$57,0)))+IF(RIGHT(TRIM(Paramètres!K25),3)="Fin",1-$H511,IF(LEFT(TRIM(Paramètres!K25),1)="F",1,0)))),IF(Paramètres!L25="",0,IF(Paramètres!M25="",NA(),IF(LEFT(TRIM(Paramètres!M25),1)="F",INDEX($F$491:$F$543,MATCH(Paramètres!L25,Paramètres!$G$5:$G$57,0)),INDEX($E$491:$E$543,MATCH(Paramètres!L25,Paramètres!$G$5:$G$57,0)))+IF(RIGHT(TRIM(Paramètres!M25),3)="Fin",1-$H511,IF(LEFT(TRIM(Paramètres!M25),1)="F",1,0)))),IF(Paramètres!N25="",0,IF(Paramètres!O25="",NA(),IF(LEFT(TRIM(Paramètres!O25),1)="F",INDEX($F$491:$F$543,MATCH(Paramètres!N25,Paramètres!$G$5:$G$57,0)),INDEX($E$491:$E$543,MATCH(Paramètres!N25,Paramètres!$G$5:$G$57,0)))+IF(RIGHT(TRIM(Paramètres!O25),3)="Fin",1-$H511,IF(LEFT(TRIM(Paramètres!O25),1)="F",1,0)))))))</f>
        <v/>
      </c>
      <c r="F511" s="19">
        <f>IF($A511="","",E511+$H511-1)</f>
        <v/>
      </c>
      <c r="G511" s="18" t="n"/>
      <c r="H511" s="18">
        <f>IF($A511="","",IF(I511&lt;&gt;"",I511,Paramètres!B25))</f>
        <v/>
      </c>
      <c r="I511" s="18" t="n"/>
    </row>
    <row r="512">
      <c r="A512" s="18">
        <f>IF(ISNUMBER(Dossiers!$D$13),Dossiers!$A$13&amp;" · "&amp;Dossiers!$B$13,"")</f>
        <v/>
      </c>
      <c r="B512" s="18">
        <f>IF($A512="","",Paramètres!G26)</f>
        <v/>
      </c>
      <c r="C512" s="18">
        <f>IF($A512="","",IF(Paramètres!H26="","",Paramètres!H26))</f>
        <v/>
      </c>
      <c r="D512" s="18">
        <f>IF($A512="","",IF(Paramètres!I26="","",Paramètres!I26))</f>
        <v/>
      </c>
      <c r="E512" s="19">
        <f>IF($A512="","",IF(Paramètres!J26&amp;Paramètres!L26&amp;Paramètres!N26="",Dossiers!$D$13,MAX(IF(Paramètres!J26="",0,IF(Paramètres!K26="",NA(),IF(LEFT(TRIM(Paramètres!K26),1)="F",INDEX($F$491:$F$543,MATCH(Paramètres!J26,Paramètres!$G$5:$G$57,0)),INDEX($E$491:$E$543,MATCH(Paramètres!J26,Paramètres!$G$5:$G$57,0)))+IF(RIGHT(TRIM(Paramètres!K26),3)="Fin",1-$H512,IF(LEFT(TRIM(Paramètres!K26),1)="F",1,0)))),IF(Paramètres!L26="",0,IF(Paramètres!M26="",NA(),IF(LEFT(TRIM(Paramètres!M26),1)="F",INDEX($F$491:$F$543,MATCH(Paramètres!L26,Paramètres!$G$5:$G$57,0)),INDEX($E$491:$E$543,MATCH(Paramètres!L26,Paramètres!$G$5:$G$57,0)))+IF(RIGHT(TRIM(Paramètres!M26),3)="Fin",1-$H512,IF(LEFT(TRIM(Paramètres!M26),1)="F",1,0)))),IF(Paramètres!N26="",0,IF(Paramètres!O26="",NA(),IF(LEFT(TRIM(Paramètres!O26),1)="F",INDEX($F$491:$F$543,MATCH(Paramètres!N26,Paramètres!$G$5:$G$57,0)),INDEX($E$491:$E$543,MATCH(Paramètres!N26,Paramètres!$G$5:$G$57,0)))+IF(RIGHT(TRIM(Paramètres!O26),3)="Fin",1-$H512,IF(LEFT(TRIM(Paramètres!O26),1)="F",1,0)))))))</f>
        <v/>
      </c>
      <c r="F512" s="19">
        <f>IF($A512="","",E512+$H512-1)</f>
        <v/>
      </c>
      <c r="G512" s="18" t="n"/>
      <c r="H512" s="18">
        <f>IF($A512="","",IF(I512&lt;&gt;"",I512,Paramètres!B26))</f>
        <v/>
      </c>
      <c r="I512" s="18" t="n"/>
    </row>
    <row r="513">
      <c r="A513" s="18">
        <f>IF(ISNUMBER(Dossiers!$D$13),Dossiers!$A$13&amp;" · "&amp;Dossiers!$B$13,"")</f>
        <v/>
      </c>
      <c r="B513" s="18">
        <f>IF($A513="","",Paramètres!G27)</f>
        <v/>
      </c>
      <c r="C513" s="18">
        <f>IF($A513="","",IF(Paramètres!H27="","",Paramètres!H27))</f>
        <v/>
      </c>
      <c r="D513" s="18">
        <f>IF($A513="","",IF(Paramètres!I27="","",Paramètres!I27))</f>
        <v/>
      </c>
      <c r="E513" s="19">
        <f>IF($A513="","",IF(Paramètres!J27&amp;Paramètres!L27&amp;Paramètres!N27="",Dossiers!$D$13,MAX(IF(Paramètres!J27="",0,IF(Paramètres!K27="",NA(),IF(LEFT(TRIM(Paramètres!K27),1)="F",INDEX($F$491:$F$543,MATCH(Paramètres!J27,Paramètres!$G$5:$G$57,0)),INDEX($E$491:$E$543,MATCH(Paramètres!J27,Paramètres!$G$5:$G$57,0)))+IF(RIGHT(TRIM(Paramètres!K27),3)="Fin",1-$H513,IF(LEFT(TRIM(Paramètres!K27),1)="F",1,0)))),IF(Paramètres!L27="",0,IF(Paramètres!M27="",NA(),IF(LEFT(TRIM(Paramètres!M27),1)="F",INDEX($F$491:$F$543,MATCH(Paramètres!L27,Paramètres!$G$5:$G$57,0)),INDEX($E$491:$E$543,MATCH(Paramètres!L27,Paramètres!$G$5:$G$57,0)))+IF(RIGHT(TRIM(Paramètres!M27),3)="Fin",1-$H513,IF(LEFT(TRIM(Paramètres!M27),1)="F",1,0)))),IF(Paramètres!N27="",0,IF(Paramètres!O27="",NA(),IF(LEFT(TRIM(Paramètres!O27),1)="F",INDEX($F$491:$F$543,MATCH(Paramètres!N27,Paramètres!$G$5:$G$57,0)),INDEX($E$491:$E$543,MATCH(Paramètres!N27,Paramètres!$G$5:$G$57,0)))+IF(RIGHT(TRIM(Paramètres!O27),3)="Fin",1-$H513,IF(LEFT(TRIM(Paramètres!O27),1)="F",1,0)))))))</f>
        <v/>
      </c>
      <c r="F513" s="19">
        <f>IF($A513="","",E513+$H513-1)</f>
        <v/>
      </c>
      <c r="G513" s="18" t="n"/>
      <c r="H513" s="18">
        <f>IF($A513="","",IF(I513&lt;&gt;"",I513,Paramètres!B27))</f>
        <v/>
      </c>
      <c r="I513" s="18" t="n"/>
    </row>
    <row r="514">
      <c r="A514" s="18">
        <f>IF(ISNUMBER(Dossiers!$D$13),Dossiers!$A$13&amp;" · "&amp;Dossiers!$B$13,"")</f>
        <v/>
      </c>
      <c r="B514" s="18">
        <f>IF($A514="","",Paramètres!G28)</f>
        <v/>
      </c>
      <c r="C514" s="18">
        <f>IF($A514="","",IF(Paramètres!H28="","",Paramètres!H28))</f>
        <v/>
      </c>
      <c r="D514" s="18">
        <f>IF($A514="","",IF(Paramètres!I28="","",Paramètres!I28))</f>
        <v/>
      </c>
      <c r="E514" s="19">
        <f>IF($A514="","",IF(Paramètres!J28&amp;Paramètres!L28&amp;Paramètres!N28="",Dossiers!$D$13,MAX(IF(Paramètres!J28="",0,IF(Paramètres!K28="",NA(),IF(LEFT(TRIM(Paramètres!K28),1)="F",INDEX($F$491:$F$543,MATCH(Paramètres!J28,Paramètres!$G$5:$G$57,0)),INDEX($E$491:$E$543,MATCH(Paramètres!J28,Paramètres!$G$5:$G$57,0)))+IF(RIGHT(TRIM(Paramètres!K28),3)="Fin",1-$H514,IF(LEFT(TRIM(Paramètres!K28),1)="F",1,0)))),IF(Paramètres!L28="",0,IF(Paramètres!M28="",NA(),IF(LEFT(TRIM(Paramètres!M28),1)="F",INDEX($F$491:$F$543,MATCH(Paramètres!L28,Paramètres!$G$5:$G$57,0)),INDEX($E$491:$E$543,MATCH(Paramètres!L28,Paramètres!$G$5:$G$57,0)))+IF(RIGHT(TRIM(Paramètres!M28),3)="Fin",1-$H514,IF(LEFT(TRIM(Paramètres!M28),1)="F",1,0)))),IF(Paramètres!N28="",0,IF(Paramètres!O28="",NA(),IF(LEFT(TRIM(Paramètres!O28),1)="F",INDEX($F$491:$F$543,MATCH(Paramètres!N28,Paramètres!$G$5:$G$57,0)),INDEX($E$491:$E$543,MATCH(Paramètres!N28,Paramètres!$G$5:$G$57,0)))+IF(RIGHT(TRIM(Paramètres!O28),3)="Fin",1-$H514,IF(LEFT(TRIM(Paramètres!O28),1)="F",1,0)))))))</f>
        <v/>
      </c>
      <c r="F514" s="19">
        <f>IF($A514="","",E514+$H514-1)</f>
        <v/>
      </c>
      <c r="G514" s="18" t="n"/>
      <c r="H514" s="18">
        <f>IF($A514="","",IF(I514&lt;&gt;"",I514,Paramètres!B28))</f>
        <v/>
      </c>
      <c r="I514" s="18" t="n"/>
    </row>
    <row r="515">
      <c r="A515" s="18">
        <f>IF(ISNUMBER(Dossiers!$D$13),Dossiers!$A$13&amp;" · "&amp;Dossiers!$B$13,"")</f>
        <v/>
      </c>
      <c r="B515" s="18">
        <f>IF($A515="","",Paramètres!G29)</f>
        <v/>
      </c>
      <c r="C515" s="18">
        <f>IF($A515="","",IF(Paramètres!H29="","",Paramètres!H29))</f>
        <v/>
      </c>
      <c r="D515" s="18">
        <f>IF($A515="","",IF(Paramètres!I29="","",Paramètres!I29))</f>
        <v/>
      </c>
      <c r="E515" s="19">
        <f>IF($A515="","",IF(Paramètres!J29&amp;Paramètres!L29&amp;Paramètres!N29="",Dossiers!$D$13,MAX(IF(Paramètres!J29="",0,IF(Paramètres!K29="",NA(),IF(LEFT(TRIM(Paramètres!K29),1)="F",INDEX($F$491:$F$543,MATCH(Paramètres!J29,Paramètres!$G$5:$G$57,0)),INDEX($E$491:$E$543,MATCH(Paramètres!J29,Paramètres!$G$5:$G$57,0)))+IF(RIGHT(TRIM(Paramètres!K29),3)="Fin",1-$H515,IF(LEFT(TRIM(Paramètres!K29),1)="F",1,0)))),IF(Paramètres!L29="",0,IF(Paramètres!M29="",NA(),IF(LEFT(TRIM(Paramètres!M29),1)="F",INDEX($F$491:$F$543,MATCH(Paramètres!L29,Paramètres!$G$5:$G$57,0)),INDEX($E$491:$E$543,MATCH(Paramètres!L29,Paramètres!$G$5:$G$57,0)))+IF(RIGHT(TRIM(Paramètres!M29),3)="Fin",1-$H515,IF(LEFT(TRIM(Paramètres!M29),1)="F",1,0)))),IF(Paramètres!N29="",0,IF(Paramètres!O29="",NA(),IF(LEFT(TRIM(Paramètres!O29),1)="F",INDEX($F$491:$F$543,MATCH(Paramètres!N29,Paramètres!$G$5:$G$57,0)),INDEX($E$491:$E$543,MATCH(Paramètres!N29,Paramètres!$G$5:$G$57,0)))+IF(RIGHT(TRIM(Paramètres!O29),3)="Fin",1-$H515,IF(LEFT(TRIM(Paramètres!O29),1)="F",1,0)))))))</f>
        <v/>
      </c>
      <c r="F515" s="19">
        <f>IF($A515="","",E515+$H515-1)</f>
        <v/>
      </c>
      <c r="G515" s="18" t="n"/>
      <c r="H515" s="18">
        <f>IF($A515="","",IF(I515&lt;&gt;"",I515,Paramètres!B29))</f>
        <v/>
      </c>
      <c r="I515" s="18" t="n"/>
    </row>
    <row r="516">
      <c r="A516" s="18">
        <f>IF(ISNUMBER(Dossiers!$D$13),Dossiers!$A$13&amp;" · "&amp;Dossiers!$B$13,"")</f>
        <v/>
      </c>
      <c r="B516" s="18">
        <f>IF($A516="","",Paramètres!G30)</f>
        <v/>
      </c>
      <c r="C516" s="18">
        <f>IF($A516="","",IF(Paramètres!H30="","",Paramètres!H30))</f>
        <v/>
      </c>
      <c r="D516" s="18">
        <f>IF($A516="","",IF(Paramètres!I30="","",Paramètres!I30))</f>
        <v/>
      </c>
      <c r="E516" s="19">
        <f>IF($A516="","",IF(Paramètres!J30&amp;Paramètres!L30&amp;Paramètres!N30="",Dossiers!$D$13,MAX(IF(Paramètres!J30="",0,IF(Paramètres!K30="",NA(),IF(LEFT(TRIM(Paramètres!K30),1)="F",INDEX($F$491:$F$543,MATCH(Paramètres!J30,Paramètres!$G$5:$G$57,0)),INDEX($E$491:$E$543,MATCH(Paramètres!J30,Paramètres!$G$5:$G$57,0)))+IF(RIGHT(TRIM(Paramètres!K30),3)="Fin",1-$H516,IF(LEFT(TRIM(Paramètres!K30),1)="F",1,0)))),IF(Paramètres!L30="",0,IF(Paramètres!M30="",NA(),IF(LEFT(TRIM(Paramètres!M30),1)="F",INDEX($F$491:$F$543,MATCH(Paramètres!L30,Paramètres!$G$5:$G$57,0)),INDEX($E$491:$E$543,MATCH(Paramètres!L30,Paramètres!$G$5:$G$57,0)))+IF(RIGHT(TRIM(Paramètres!M30),3)="Fin",1-$H516,IF(LEFT(TRIM(Paramètres!M30),1)="F",1,0)))),IF(Paramètres!N30="",0,IF(Paramètres!O30="",NA(),IF(LEFT(TRIM(Paramètres!O30),1)="F",INDEX($F$491:$F$543,MATCH(Paramètres!N30,Paramètres!$G$5:$G$57,0)),INDEX($E$491:$E$543,MATCH(Paramètres!N30,Paramètres!$G$5:$G$57,0)))+IF(RIGHT(TRIM(Paramètres!O30),3)="Fin",1-$H516,IF(LEFT(TRIM(Paramètres!O30),1)="F",1,0)))))))</f>
        <v/>
      </c>
      <c r="F516" s="19">
        <f>IF($A516="","",E516+$H516-1)</f>
        <v/>
      </c>
      <c r="G516" s="18" t="n"/>
      <c r="H516" s="18">
        <f>IF($A516="","",IF(I516&lt;&gt;"",I516,Paramètres!B30))</f>
        <v/>
      </c>
      <c r="I516" s="18" t="n"/>
    </row>
    <row r="517">
      <c r="A517" s="18">
        <f>IF(ISNUMBER(Dossiers!$D$13),Dossiers!$A$13&amp;" · "&amp;Dossiers!$B$13,"")</f>
        <v/>
      </c>
      <c r="B517" s="18">
        <f>IF($A517="","",Paramètres!G31)</f>
        <v/>
      </c>
      <c r="C517" s="20">
        <f>IF($A517="","",IF(Dossiers!$F$13="","",Dossiers!$F$13))</f>
        <v/>
      </c>
      <c r="D517" s="18">
        <f>IF($A517="","",IF(Paramètres!I31="","",Paramètres!I31))</f>
        <v/>
      </c>
      <c r="E517" s="19">
        <f>IF($A517="","",IF(Paramètres!J31&amp;Paramètres!L31&amp;Paramètres!N31="",Dossiers!$D$13,MAX(IF(Paramètres!J31="",0,IF(Paramètres!K31="",NA(),IF(LEFT(TRIM(Paramètres!K31),1)="F",INDEX($F$491:$F$543,MATCH(Paramètres!J31,Paramètres!$G$5:$G$57,0)),INDEX($E$491:$E$543,MATCH(Paramètres!J31,Paramètres!$G$5:$G$57,0)))+IF(RIGHT(TRIM(Paramètres!K31),3)="Fin",1-$H517,IF(LEFT(TRIM(Paramètres!K31),1)="F",1,0)))),IF(Paramètres!L31="",0,IF(Paramètres!M31="",NA(),IF(LEFT(TRIM(Paramètres!M31),1)="F",INDEX($F$491:$F$543,MATCH(Paramètres!L31,Paramètres!$G$5:$G$57,0)),INDEX($E$491:$E$543,MATCH(Paramètres!L31,Paramètres!$G$5:$G$57,0)))+IF(RIGHT(TRIM(Paramètres!M31),3)="Fin",1-$H517,IF(LEFT(TRIM(Paramètres!M31),1)="F",1,0)))),IF(Paramètres!N31="",0,IF(Paramètres!O31="",NA(),IF(LEFT(TRIM(Paramètres!O31),1)="F",INDEX($F$491:$F$543,MATCH(Paramètres!N31,Paramètres!$G$5:$G$57,0)),INDEX($E$491:$E$543,MATCH(Paramètres!N31,Paramètres!$G$5:$G$57,0)))+IF(RIGHT(TRIM(Paramètres!O31),3)="Fin",1-$H517,IF(LEFT(TRIM(Paramètres!O31),1)="F",1,0)))))))</f>
        <v/>
      </c>
      <c r="F517" s="19">
        <f>IF($A517="","",E517+$H517-1)</f>
        <v/>
      </c>
      <c r="G517" s="18" t="n"/>
      <c r="H517" s="18">
        <f>IF($A517="","",IF(I517&lt;&gt;"",I517,Paramètres!B31))</f>
        <v/>
      </c>
      <c r="I517" s="18" t="n"/>
    </row>
    <row r="518">
      <c r="A518" s="18">
        <f>IF(ISNUMBER(Dossiers!$D$13),Dossiers!$A$13&amp;" · "&amp;Dossiers!$B$13,"")</f>
        <v/>
      </c>
      <c r="B518" s="18">
        <f>IF($A518="","",Paramètres!G32)</f>
        <v/>
      </c>
      <c r="C518" s="18">
        <f>IF($A518="","",IF(Paramètres!H32="","",Paramètres!H32))</f>
        <v/>
      </c>
      <c r="D518" s="18">
        <f>IF($A518="","",IF(Paramètres!I32="","",Paramètres!I32))</f>
        <v/>
      </c>
      <c r="E518" s="19">
        <f>IF($A518="","",MIN(E519:E522))</f>
        <v/>
      </c>
      <c r="F518" s="19">
        <f>IF($A518="","",MAX(F519:F522))</f>
        <v/>
      </c>
      <c r="G518" s="18" t="n"/>
      <c r="H518" s="18">
        <f>IF($A518="","",F518-E518+1)</f>
        <v/>
      </c>
      <c r="I518" s="18" t="n"/>
    </row>
    <row r="519">
      <c r="A519" s="18">
        <f>IF(ISNUMBER(Dossiers!$D$13),Dossiers!$A$13&amp;" · "&amp;Dossiers!$B$13,"")</f>
        <v/>
      </c>
      <c r="B519" s="18">
        <f>IF($A519="","",Paramètres!G33)</f>
        <v/>
      </c>
      <c r="C519" s="18">
        <f>IF($A519="","",IF(Paramètres!H33="","",Paramètres!H33))</f>
        <v/>
      </c>
      <c r="D519" s="18">
        <f>IF($A519="","",IF(Paramètres!I33="","",Paramètres!I33))</f>
        <v/>
      </c>
      <c r="E519" s="19">
        <f>IF($A519="","",IF(Paramètres!J33&amp;Paramètres!L33&amp;Paramètres!N33="",Dossiers!$D$13,MAX(IF(Paramètres!J33="",0,IF(Paramètres!K33="",NA(),IF(LEFT(TRIM(Paramètres!K33),1)="F",INDEX($F$491:$F$543,MATCH(Paramètres!J33,Paramètres!$G$5:$G$57,0)),INDEX($E$491:$E$543,MATCH(Paramètres!J33,Paramètres!$G$5:$G$57,0)))+IF(RIGHT(TRIM(Paramètres!K33),3)="Fin",1-$H519,IF(LEFT(TRIM(Paramètres!K33),1)="F",1,0)))),IF(Paramètres!L33="",0,IF(Paramètres!M33="",NA(),IF(LEFT(TRIM(Paramètres!M33),1)="F",INDEX($F$491:$F$543,MATCH(Paramètres!L33,Paramètres!$G$5:$G$57,0)),INDEX($E$491:$E$543,MATCH(Paramètres!L33,Paramètres!$G$5:$G$57,0)))+IF(RIGHT(TRIM(Paramètres!M33),3)="Fin",1-$H519,IF(LEFT(TRIM(Paramètres!M33),1)="F",1,0)))),IF(Paramètres!N33="",0,IF(Paramètres!O33="",NA(),IF(LEFT(TRIM(Paramètres!O33),1)="F",INDEX($F$491:$F$543,MATCH(Paramètres!N33,Paramètres!$G$5:$G$57,0)),INDEX($E$491:$E$543,MATCH(Paramètres!N33,Paramètres!$G$5:$G$57,0)))+IF(RIGHT(TRIM(Paramètres!O33),3)="Fin",1-$H519,IF(LEFT(TRIM(Paramètres!O33),1)="F",1,0)))))))</f>
        <v/>
      </c>
      <c r="F519" s="19">
        <f>IF($A519="","",E519+$H519-1)</f>
        <v/>
      </c>
      <c r="G519" s="18" t="n"/>
      <c r="H519" s="18">
        <f>IF($A519="","",IF(I519&lt;&gt;"",I519,Paramètres!B33))</f>
        <v/>
      </c>
      <c r="I519" s="18" t="n"/>
    </row>
    <row r="520">
      <c r="A520" s="18">
        <f>IF(ISNUMBER(Dossiers!$D$13),Dossiers!$A$13&amp;" · "&amp;Dossiers!$B$13,"")</f>
        <v/>
      </c>
      <c r="B520" s="18">
        <f>IF($A520="","",Paramètres!G34)</f>
        <v/>
      </c>
      <c r="C520" s="18">
        <f>IF($A520="","",IF(Paramètres!H34="","",Paramètres!H34))</f>
        <v/>
      </c>
      <c r="D520" s="18">
        <f>IF($A520="","",IF(Paramètres!I34="","",Paramètres!I34))</f>
        <v/>
      </c>
      <c r="E520" s="19">
        <f>IF($A520="","",IF(Paramètres!J34&amp;Paramètres!L34&amp;Paramètres!N34="",Dossiers!$D$13,MAX(IF(Paramètres!J34="",0,IF(Paramètres!K34="",NA(),IF(LEFT(TRIM(Paramètres!K34),1)="F",INDEX($F$491:$F$543,MATCH(Paramètres!J34,Paramètres!$G$5:$G$57,0)),INDEX($E$491:$E$543,MATCH(Paramètres!J34,Paramètres!$G$5:$G$57,0)))+IF(RIGHT(TRIM(Paramètres!K34),3)="Fin",1-$H520,IF(LEFT(TRIM(Paramètres!K34),1)="F",1,0)))),IF(Paramètres!L34="",0,IF(Paramètres!M34="",NA(),IF(LEFT(TRIM(Paramètres!M34),1)="F",INDEX($F$491:$F$543,MATCH(Paramètres!L34,Paramètres!$G$5:$G$57,0)),INDEX($E$491:$E$543,MATCH(Paramètres!L34,Paramètres!$G$5:$G$57,0)))+IF(RIGHT(TRIM(Paramètres!M34),3)="Fin",1-$H520,IF(LEFT(TRIM(Paramètres!M34),1)="F",1,0)))),IF(Paramètres!N34="",0,IF(Paramètres!O34="",NA(),IF(LEFT(TRIM(Paramètres!O34),1)="F",INDEX($F$491:$F$543,MATCH(Paramètres!N34,Paramètres!$G$5:$G$57,0)),INDEX($E$491:$E$543,MATCH(Paramètres!N34,Paramètres!$G$5:$G$57,0)))+IF(RIGHT(TRIM(Paramètres!O34),3)="Fin",1-$H520,IF(LEFT(TRIM(Paramètres!O34),1)="F",1,0)))))))</f>
        <v/>
      </c>
      <c r="F520" s="19">
        <f>IF($A520="","",E520+$H520-1)</f>
        <v/>
      </c>
      <c r="G520" s="18" t="n"/>
      <c r="H520" s="18">
        <f>IF($A520="","",IF(I520&lt;&gt;"",I520,Paramètres!B34))</f>
        <v/>
      </c>
      <c r="I520" s="18" t="n"/>
    </row>
    <row r="521">
      <c r="A521" s="18">
        <f>IF(ISNUMBER(Dossiers!$D$13),Dossiers!$A$13&amp;" · "&amp;Dossiers!$B$13,"")</f>
        <v/>
      </c>
      <c r="B521" s="18">
        <f>IF($A521="","",Paramètres!G35)</f>
        <v/>
      </c>
      <c r="C521" s="18">
        <f>IF($A521="","",IF(Paramètres!H35="","",Paramètres!H35))</f>
        <v/>
      </c>
      <c r="D521" s="18">
        <f>IF($A521="","",IF(Paramètres!I35="","",Paramètres!I35))</f>
        <v/>
      </c>
      <c r="E521" s="19">
        <f>IF($A521="","",IF(Paramètres!J35&amp;Paramètres!L35&amp;Paramètres!N35="",Dossiers!$D$13,MAX(IF(Paramètres!J35="",0,IF(Paramètres!K35="",NA(),IF(LEFT(TRIM(Paramètres!K35),1)="F",INDEX($F$491:$F$543,MATCH(Paramètres!J35,Paramètres!$G$5:$G$57,0)),INDEX($E$491:$E$543,MATCH(Paramètres!J35,Paramètres!$G$5:$G$57,0)))+IF(RIGHT(TRIM(Paramètres!K35),3)="Fin",1-$H521,IF(LEFT(TRIM(Paramètres!K35),1)="F",1,0)))),IF(Paramètres!L35="",0,IF(Paramètres!M35="",NA(),IF(LEFT(TRIM(Paramètres!M35),1)="F",INDEX($F$491:$F$543,MATCH(Paramètres!L35,Paramètres!$G$5:$G$57,0)),INDEX($E$491:$E$543,MATCH(Paramètres!L35,Paramètres!$G$5:$G$57,0)))+IF(RIGHT(TRIM(Paramètres!M35),3)="Fin",1-$H521,IF(LEFT(TRIM(Paramètres!M35),1)="F",1,0)))),IF(Paramètres!N35="",0,IF(Paramètres!O35="",NA(),IF(LEFT(TRIM(Paramètres!O35),1)="F",INDEX($F$491:$F$543,MATCH(Paramètres!N35,Paramètres!$G$5:$G$57,0)),INDEX($E$491:$E$543,MATCH(Paramètres!N35,Paramètres!$G$5:$G$57,0)))+IF(RIGHT(TRIM(Paramètres!O35),3)="Fin",1-$H521,IF(LEFT(TRIM(Paramètres!O35),1)="F",1,0)))))))</f>
        <v/>
      </c>
      <c r="F521" s="19">
        <f>IF($A521="","",E521+$H521-1)</f>
        <v/>
      </c>
      <c r="G521" s="18" t="n"/>
      <c r="H521" s="18">
        <f>IF($A521="","",IF(I521&lt;&gt;"",I521,Paramètres!B35))</f>
        <v/>
      </c>
      <c r="I521" s="18" t="n"/>
    </row>
    <row r="522">
      <c r="A522" s="18">
        <f>IF(ISNUMBER(Dossiers!$D$13),Dossiers!$A$13&amp;" · "&amp;Dossiers!$B$13,"")</f>
        <v/>
      </c>
      <c r="B522" s="18">
        <f>IF($A522="","",Paramètres!G36)</f>
        <v/>
      </c>
      <c r="C522" s="18">
        <f>IF($A522="","",IF(Paramètres!H36="","",Paramètres!H36))</f>
        <v/>
      </c>
      <c r="D522" s="18">
        <f>IF($A522="","",IF(Paramètres!I36="","",Paramètres!I36))</f>
        <v/>
      </c>
      <c r="E522" s="19">
        <f>IF($A522="","",IF(Paramètres!J36&amp;Paramètres!L36&amp;Paramètres!N36="",Dossiers!$D$13,MAX(IF(Paramètres!J36="",0,IF(Paramètres!K36="",NA(),IF(LEFT(TRIM(Paramètres!K36),1)="F",INDEX($F$491:$F$543,MATCH(Paramètres!J36,Paramètres!$G$5:$G$57,0)),INDEX($E$491:$E$543,MATCH(Paramètres!J36,Paramètres!$G$5:$G$57,0)))+IF(RIGHT(TRIM(Paramètres!K36),3)="Fin",1-$H522,IF(LEFT(TRIM(Paramètres!K36),1)="F",1,0)))),IF(Paramètres!L36="",0,IF(Paramètres!M36="",NA(),IF(LEFT(TRIM(Paramètres!M36),1)="F",INDEX($F$491:$F$543,MATCH(Paramètres!L36,Paramètres!$G$5:$G$57,0)),INDEX($E$491:$E$543,MATCH(Paramètres!L36,Paramètres!$G$5:$G$57,0)))+IF(RIGHT(TRIM(Paramètres!M36),3)="Fin",1-$H522,IF(LEFT(TRIM(Paramètres!M36),1)="F",1,0)))),IF(Paramètres!N36="",0,IF(Paramètres!O36="",NA(),IF(LEFT(TRIM(Paramètres!O36),1)="F",INDEX($F$491:$F$543,MATCH(Paramètres!N36,Paramètres!$G$5:$G$57,0)),INDEX($E$491:$E$543,MATCH(Paramètres!N36,Paramètres!$G$5:$G$57,0)))+IF(RIGHT(TRIM(Paramètres!O36),3)="Fin",1-$H522,IF(LEFT(TRIM(Paramètres!O36),1)="F",1,0)))))))</f>
        <v/>
      </c>
      <c r="F522" s="19">
        <f>IF($A522="","",E522+$H522-1)</f>
        <v/>
      </c>
      <c r="G522" s="18" t="n"/>
      <c r="H522" s="18">
        <f>IF($A522="","",IF(I522&lt;&gt;"",I522,Paramètres!B36))</f>
        <v/>
      </c>
      <c r="I522" s="18" t="n"/>
    </row>
    <row r="523">
      <c r="A523" s="18">
        <f>IF(ISNUMBER(Dossiers!$D$13),Dossiers!$A$13&amp;" · "&amp;Dossiers!$B$13,"")</f>
        <v/>
      </c>
      <c r="B523" s="18">
        <f>IF($A523="","",Paramètres!G37)</f>
        <v/>
      </c>
      <c r="C523" s="18">
        <f>IF($A523="","",IF(Paramètres!H37="","",Paramètres!H37))</f>
        <v/>
      </c>
      <c r="D523" s="18">
        <f>IF($A523="","",IF(Paramètres!I37="","",Paramètres!I37))</f>
        <v/>
      </c>
      <c r="E523" s="19">
        <f>IF($A523="","",MIN(E524:E541))</f>
        <v/>
      </c>
      <c r="F523" s="19">
        <f>IF($A523="","",MAX(F524:F541))</f>
        <v/>
      </c>
      <c r="G523" s="18" t="n"/>
      <c r="H523" s="18">
        <f>IF($A523="","",F523-E523+1)</f>
        <v/>
      </c>
      <c r="I523" s="18" t="n"/>
    </row>
    <row r="524">
      <c r="A524" s="18">
        <f>IF(ISNUMBER(Dossiers!$D$13),Dossiers!$A$13&amp;" · "&amp;Dossiers!$B$13,"")</f>
        <v/>
      </c>
      <c r="B524" s="18">
        <f>IF($A524="","",Paramètres!G38)</f>
        <v/>
      </c>
      <c r="C524" s="18">
        <f>IF($A524="","",IF(Paramètres!H38="","",Paramètres!H38))</f>
        <v/>
      </c>
      <c r="D524" s="18">
        <f>IF($A524="","",IF(Paramètres!I38="","",Paramètres!I38))</f>
        <v/>
      </c>
      <c r="E524" s="19">
        <f>IF($A524="","",IF(Paramètres!J38&amp;Paramètres!L38&amp;Paramètres!N38="",Dossiers!$D$13,MAX(IF(Paramètres!J38="",0,IF(Paramètres!K38="",NA(),IF(LEFT(TRIM(Paramètres!K38),1)="F",INDEX($F$491:$F$543,MATCH(Paramètres!J38,Paramètres!$G$5:$G$57,0)),INDEX($E$491:$E$543,MATCH(Paramètres!J38,Paramètres!$G$5:$G$57,0)))+IF(RIGHT(TRIM(Paramètres!K38),3)="Fin",1-$H524,IF(LEFT(TRIM(Paramètres!K38),1)="F",1,0)))),IF(Paramètres!L38="",0,IF(Paramètres!M38="",NA(),IF(LEFT(TRIM(Paramètres!M38),1)="F",INDEX($F$491:$F$543,MATCH(Paramètres!L38,Paramètres!$G$5:$G$57,0)),INDEX($E$491:$E$543,MATCH(Paramètres!L38,Paramètres!$G$5:$G$57,0)))+IF(RIGHT(TRIM(Paramètres!M38),3)="Fin",1-$H524,IF(LEFT(TRIM(Paramètres!M38),1)="F",1,0)))),IF(Paramètres!N38="",0,IF(Paramètres!O38="",NA(),IF(LEFT(TRIM(Paramètres!O38),1)="F",INDEX($F$491:$F$543,MATCH(Paramètres!N38,Paramètres!$G$5:$G$57,0)),INDEX($E$491:$E$543,MATCH(Paramètres!N38,Paramètres!$G$5:$G$57,0)))+IF(RIGHT(TRIM(Paramètres!O38),3)="Fin",1-$H524,IF(LEFT(TRIM(Paramètres!O38),1)="F",1,0)))))))</f>
        <v/>
      </c>
      <c r="F524" s="19">
        <f>IF($A524="","",E524+$H524-1)</f>
        <v/>
      </c>
      <c r="G524" s="18" t="n"/>
      <c r="H524" s="18">
        <f>IF($A524="","",IF(I524&lt;&gt;"",I524,Paramètres!B38))</f>
        <v/>
      </c>
      <c r="I524" s="18" t="n"/>
    </row>
    <row r="525">
      <c r="A525" s="18">
        <f>IF(ISNUMBER(Dossiers!$D$13),Dossiers!$A$13&amp;" · "&amp;Dossiers!$B$13,"")</f>
        <v/>
      </c>
      <c r="B525" s="18">
        <f>IF($A525="","",Paramètres!G39)</f>
        <v/>
      </c>
      <c r="C525" s="18">
        <f>IF($A525="","",IF(Paramètres!H39="","",Paramètres!H39))</f>
        <v/>
      </c>
      <c r="D525" s="18">
        <f>IF($A525="","",IF(Paramètres!I39="","",Paramètres!I39))</f>
        <v/>
      </c>
      <c r="E525" s="19">
        <f>IF($A525="","",IF(Paramètres!J39&amp;Paramètres!L39&amp;Paramètres!N39="",Dossiers!$D$13,MAX(IF(Paramètres!J39="",0,IF(Paramètres!K39="",NA(),IF(LEFT(TRIM(Paramètres!K39),1)="F",INDEX($F$491:$F$543,MATCH(Paramètres!J39,Paramètres!$G$5:$G$57,0)),INDEX($E$491:$E$543,MATCH(Paramètres!J39,Paramètres!$G$5:$G$57,0)))+IF(RIGHT(TRIM(Paramètres!K39),3)="Fin",1-$H525,IF(LEFT(TRIM(Paramètres!K39),1)="F",1,0)))),IF(Paramètres!L39="",0,IF(Paramètres!M39="",NA(),IF(LEFT(TRIM(Paramètres!M39),1)="F",INDEX($F$491:$F$543,MATCH(Paramètres!L39,Paramètres!$G$5:$G$57,0)),INDEX($E$491:$E$543,MATCH(Paramètres!L39,Paramètres!$G$5:$G$57,0)))+IF(RIGHT(TRIM(Paramètres!M39),3)="Fin",1-$H525,IF(LEFT(TRIM(Paramètres!M39),1)="F",1,0)))),IF(Paramètres!N39="",0,IF(Paramètres!O39="",NA(),IF(LEFT(TRIM(Paramètres!O39),1)="F",INDEX($F$491:$F$543,MATCH(Paramètres!N39,Paramètres!$G$5:$G$57,0)),INDEX($E$491:$E$543,MATCH(Paramètres!N39,Paramètres!$G$5:$G$57,0)))+IF(RIGHT(TRIM(Paramètres!O39),3)="Fin",1-$H525,IF(LEFT(TRIM(Paramètres!O39),1)="F",1,0)))))))</f>
        <v/>
      </c>
      <c r="F525" s="19">
        <f>IF($A525="","",E525+$H525-1)</f>
        <v/>
      </c>
      <c r="G525" s="18" t="n"/>
      <c r="H525" s="18">
        <f>IF($A525="","",IF(I525&lt;&gt;"",I525,Paramètres!B39))</f>
        <v/>
      </c>
      <c r="I525" s="18" t="n"/>
    </row>
    <row r="526">
      <c r="A526" s="18">
        <f>IF(ISNUMBER(Dossiers!$D$13),Dossiers!$A$13&amp;" · "&amp;Dossiers!$B$13,"")</f>
        <v/>
      </c>
      <c r="B526" s="18">
        <f>IF($A526="","",Paramètres!G40)</f>
        <v/>
      </c>
      <c r="C526" s="18">
        <f>IF($A526="","",IF(Paramètres!H40="","",Paramètres!H40))</f>
        <v/>
      </c>
      <c r="D526" s="18">
        <f>IF($A526="","",IF(Paramètres!I40="","",Paramètres!I40))</f>
        <v/>
      </c>
      <c r="E526" s="19">
        <f>IF($A526="","",IF(Paramètres!J40&amp;Paramètres!L40&amp;Paramètres!N40="",Dossiers!$D$13,MAX(IF(Paramètres!J40="",0,IF(Paramètres!K40="",NA(),IF(LEFT(TRIM(Paramètres!K40),1)="F",INDEX($F$491:$F$543,MATCH(Paramètres!J40,Paramètres!$G$5:$G$57,0)),INDEX($E$491:$E$543,MATCH(Paramètres!J40,Paramètres!$G$5:$G$57,0)))+IF(RIGHT(TRIM(Paramètres!K40),3)="Fin",1-$H526,IF(LEFT(TRIM(Paramètres!K40),1)="F",1,0)))),IF(Paramètres!L40="",0,IF(Paramètres!M40="",NA(),IF(LEFT(TRIM(Paramètres!M40),1)="F",INDEX($F$491:$F$543,MATCH(Paramètres!L40,Paramètres!$G$5:$G$57,0)),INDEX($E$491:$E$543,MATCH(Paramètres!L40,Paramètres!$G$5:$G$57,0)))+IF(RIGHT(TRIM(Paramètres!M40),3)="Fin",1-$H526,IF(LEFT(TRIM(Paramètres!M40),1)="F",1,0)))),IF(Paramètres!N40="",0,IF(Paramètres!O40="",NA(),IF(LEFT(TRIM(Paramètres!O40),1)="F",INDEX($F$491:$F$543,MATCH(Paramètres!N40,Paramètres!$G$5:$G$57,0)),INDEX($E$491:$E$543,MATCH(Paramètres!N40,Paramètres!$G$5:$G$57,0)))+IF(RIGHT(TRIM(Paramètres!O40),3)="Fin",1-$H526,IF(LEFT(TRIM(Paramètres!O40),1)="F",1,0)))))))</f>
        <v/>
      </c>
      <c r="F526" s="19">
        <f>IF($A526="","",E526+$H526-1)</f>
        <v/>
      </c>
      <c r="G526" s="18" t="n"/>
      <c r="H526" s="18">
        <f>IF($A526="","",IF(I526&lt;&gt;"",I526,Paramètres!B40))</f>
        <v/>
      </c>
      <c r="I526" s="18" t="n"/>
    </row>
    <row r="527">
      <c r="A527" s="18">
        <f>IF(ISNUMBER(Dossiers!$D$13),Dossiers!$A$13&amp;" · "&amp;Dossiers!$B$13,"")</f>
        <v/>
      </c>
      <c r="B527" s="18">
        <f>IF($A527="","",Paramètres!G41)</f>
        <v/>
      </c>
      <c r="C527" s="18">
        <f>IF($A527="","",IF(Paramètres!H41="","",Paramètres!H41))</f>
        <v/>
      </c>
      <c r="D527" s="18">
        <f>IF($A527="","",IF(Paramètres!I41="","",Paramètres!I41))</f>
        <v/>
      </c>
      <c r="E527" s="19">
        <f>IF($A527="","",IF(Paramètres!J41&amp;Paramètres!L41&amp;Paramètres!N41="",Dossiers!$D$13,MAX(IF(Paramètres!J41="",0,IF(Paramètres!K41="",NA(),IF(LEFT(TRIM(Paramètres!K41),1)="F",INDEX($F$491:$F$543,MATCH(Paramètres!J41,Paramètres!$G$5:$G$57,0)),INDEX($E$491:$E$543,MATCH(Paramètres!J41,Paramètres!$G$5:$G$57,0)))+IF(RIGHT(TRIM(Paramètres!K41),3)="Fin",1-$H527,IF(LEFT(TRIM(Paramètres!K41),1)="F",1,0)))),IF(Paramètres!L41="",0,IF(Paramètres!M41="",NA(),IF(LEFT(TRIM(Paramètres!M41),1)="F",INDEX($F$491:$F$543,MATCH(Paramètres!L41,Paramètres!$G$5:$G$57,0)),INDEX($E$491:$E$543,MATCH(Paramètres!L41,Paramètres!$G$5:$G$57,0)))+IF(RIGHT(TRIM(Paramètres!M41),3)="Fin",1-$H527,IF(LEFT(TRIM(Paramètres!M41),1)="F",1,0)))),IF(Paramètres!N41="",0,IF(Paramètres!O41="",NA(),IF(LEFT(TRIM(Paramètres!O41),1)="F",INDEX($F$491:$F$543,MATCH(Paramètres!N41,Paramètres!$G$5:$G$57,0)),INDEX($E$491:$E$543,MATCH(Paramètres!N41,Paramètres!$G$5:$G$57,0)))+IF(RIGHT(TRIM(Paramètres!O41),3)="Fin",1-$H527,IF(LEFT(TRIM(Paramètres!O41),1)="F",1,0)))))))</f>
        <v/>
      </c>
      <c r="F527" s="19">
        <f>IF($A527="","",E527+$H527-1)</f>
        <v/>
      </c>
      <c r="G527" s="18" t="n"/>
      <c r="H527" s="18">
        <f>IF($A527="","",IF(I527&lt;&gt;"",I527,Paramètres!B41))</f>
        <v/>
      </c>
      <c r="I527" s="18" t="n"/>
    </row>
    <row r="528">
      <c r="A528" s="18">
        <f>IF(ISNUMBER(Dossiers!$D$13),Dossiers!$A$13&amp;" · "&amp;Dossiers!$B$13,"")</f>
        <v/>
      </c>
      <c r="B528" s="18">
        <f>IF($A528="","",Paramètres!G42)</f>
        <v/>
      </c>
      <c r="C528" s="18">
        <f>IF($A528="","",IF(Paramètres!H42="","",Paramètres!H42))</f>
        <v/>
      </c>
      <c r="D528" s="18">
        <f>IF($A528="","",IF(Paramètres!I42="","",Paramètres!I42))</f>
        <v/>
      </c>
      <c r="E528" s="19">
        <f>IF($A528="","",IF(Paramètres!J42&amp;Paramètres!L42&amp;Paramètres!N42="",Dossiers!$D$13,MAX(IF(Paramètres!J42="",0,IF(Paramètres!K42="",NA(),IF(LEFT(TRIM(Paramètres!K42),1)="F",INDEX($F$491:$F$543,MATCH(Paramètres!J42,Paramètres!$G$5:$G$57,0)),INDEX($E$491:$E$543,MATCH(Paramètres!J42,Paramètres!$G$5:$G$57,0)))+IF(RIGHT(TRIM(Paramètres!K42),3)="Fin",1-$H528,IF(LEFT(TRIM(Paramètres!K42),1)="F",1,0)))),IF(Paramètres!L42="",0,IF(Paramètres!M42="",NA(),IF(LEFT(TRIM(Paramètres!M42),1)="F",INDEX($F$491:$F$543,MATCH(Paramètres!L42,Paramètres!$G$5:$G$57,0)),INDEX($E$491:$E$543,MATCH(Paramètres!L42,Paramètres!$G$5:$G$57,0)))+IF(RIGHT(TRIM(Paramètres!M42),3)="Fin",1-$H528,IF(LEFT(TRIM(Paramètres!M42),1)="F",1,0)))),IF(Paramètres!N42="",0,IF(Paramètres!O42="",NA(),IF(LEFT(TRIM(Paramètres!O42),1)="F",INDEX($F$491:$F$543,MATCH(Paramètres!N42,Paramètres!$G$5:$G$57,0)),INDEX($E$491:$E$543,MATCH(Paramètres!N42,Paramètres!$G$5:$G$57,0)))+IF(RIGHT(TRIM(Paramètres!O42),3)="Fin",1-$H528,IF(LEFT(TRIM(Paramètres!O42),1)="F",1,0)))))))</f>
        <v/>
      </c>
      <c r="F528" s="19">
        <f>IF($A528="","",E528+$H528-1)</f>
        <v/>
      </c>
      <c r="G528" s="18" t="n"/>
      <c r="H528" s="18">
        <f>IF($A528="","",IF(I528&lt;&gt;"",I528,Paramètres!B42))</f>
        <v/>
      </c>
      <c r="I528" s="18" t="n"/>
    </row>
    <row r="529">
      <c r="A529" s="18">
        <f>IF(ISNUMBER(Dossiers!$D$13),Dossiers!$A$13&amp;" · "&amp;Dossiers!$B$13,"")</f>
        <v/>
      </c>
      <c r="B529" s="18">
        <f>IF($A529="","",Paramètres!G43)</f>
        <v/>
      </c>
      <c r="C529" s="18">
        <f>IF($A529="","",IF(Paramètres!H43="","",Paramètres!H43))</f>
        <v/>
      </c>
      <c r="D529" s="18">
        <f>IF($A529="","",IF(Paramètres!I43="","",Paramètres!I43))</f>
        <v/>
      </c>
      <c r="E529" s="19">
        <f>IF($A529="","",IF(Paramètres!J43&amp;Paramètres!L43&amp;Paramètres!N43="",Dossiers!$D$13,MAX(IF(Paramètres!J43="",0,IF(Paramètres!K43="",NA(),IF(LEFT(TRIM(Paramètres!K43),1)="F",INDEX($F$491:$F$543,MATCH(Paramètres!J43,Paramètres!$G$5:$G$57,0)),INDEX($E$491:$E$543,MATCH(Paramètres!J43,Paramètres!$G$5:$G$57,0)))+IF(RIGHT(TRIM(Paramètres!K43),3)="Fin",1-$H529,IF(LEFT(TRIM(Paramètres!K43),1)="F",1,0)))),IF(Paramètres!L43="",0,IF(Paramètres!M43="",NA(),IF(LEFT(TRIM(Paramètres!M43),1)="F",INDEX($F$491:$F$543,MATCH(Paramètres!L43,Paramètres!$G$5:$G$57,0)),INDEX($E$491:$E$543,MATCH(Paramètres!L43,Paramètres!$G$5:$G$57,0)))+IF(RIGHT(TRIM(Paramètres!M43),3)="Fin",1-$H529,IF(LEFT(TRIM(Paramètres!M43),1)="F",1,0)))),IF(Paramètres!N43="",0,IF(Paramètres!O43="",NA(),IF(LEFT(TRIM(Paramètres!O43),1)="F",INDEX($F$491:$F$543,MATCH(Paramètres!N43,Paramètres!$G$5:$G$57,0)),INDEX($E$491:$E$543,MATCH(Paramètres!N43,Paramètres!$G$5:$G$57,0)))+IF(RIGHT(TRIM(Paramètres!O43),3)="Fin",1-$H529,IF(LEFT(TRIM(Paramètres!O43),1)="F",1,0)))))))</f>
        <v/>
      </c>
      <c r="F529" s="19">
        <f>IF($A529="","",E529+$H529-1)</f>
        <v/>
      </c>
      <c r="G529" s="18" t="n"/>
      <c r="H529" s="18">
        <f>IF($A529="","",IF(I529&lt;&gt;"",I529,Paramètres!B43))</f>
        <v/>
      </c>
      <c r="I529" s="18" t="n"/>
    </row>
    <row r="530">
      <c r="A530" s="18">
        <f>IF(ISNUMBER(Dossiers!$D$13),Dossiers!$A$13&amp;" · "&amp;Dossiers!$B$13,"")</f>
        <v/>
      </c>
      <c r="B530" s="18">
        <f>IF($A530="","",Paramètres!G44)</f>
        <v/>
      </c>
      <c r="C530" s="18">
        <f>IF($A530="","",IF(Paramètres!H44="","",Paramètres!H44))</f>
        <v/>
      </c>
      <c r="D530" s="18">
        <f>IF($A530="","",IF(Paramètres!I44="","",Paramètres!I44))</f>
        <v/>
      </c>
      <c r="E530" s="19">
        <f>IF($A530="","",IF(Paramètres!J44&amp;Paramètres!L44&amp;Paramètres!N44="",Dossiers!$D$13,MAX(IF(Paramètres!J44="",0,IF(Paramètres!K44="",NA(),IF(LEFT(TRIM(Paramètres!K44),1)="F",INDEX($F$491:$F$543,MATCH(Paramètres!J44,Paramètres!$G$5:$G$57,0)),INDEX($E$491:$E$543,MATCH(Paramètres!J44,Paramètres!$G$5:$G$57,0)))+IF(RIGHT(TRIM(Paramètres!K44),3)="Fin",1-$H530,IF(LEFT(TRIM(Paramètres!K44),1)="F",1,0)))),IF(Paramètres!L44="",0,IF(Paramètres!M44="",NA(),IF(LEFT(TRIM(Paramètres!M44),1)="F",INDEX($F$491:$F$543,MATCH(Paramètres!L44,Paramètres!$G$5:$G$57,0)),INDEX($E$491:$E$543,MATCH(Paramètres!L44,Paramètres!$G$5:$G$57,0)))+IF(RIGHT(TRIM(Paramètres!M44),3)="Fin",1-$H530,IF(LEFT(TRIM(Paramètres!M44),1)="F",1,0)))),IF(Paramètres!N44="",0,IF(Paramètres!O44="",NA(),IF(LEFT(TRIM(Paramètres!O44),1)="F",INDEX($F$491:$F$543,MATCH(Paramètres!N44,Paramètres!$G$5:$G$57,0)),INDEX($E$491:$E$543,MATCH(Paramètres!N44,Paramètres!$G$5:$G$57,0)))+IF(RIGHT(TRIM(Paramètres!O44),3)="Fin",1-$H530,IF(LEFT(TRIM(Paramètres!O44),1)="F",1,0)))))))</f>
        <v/>
      </c>
      <c r="F530" s="19">
        <f>IF($A530="","",E530+$H530-1)</f>
        <v/>
      </c>
      <c r="G530" s="18" t="n"/>
      <c r="H530" s="18">
        <f>IF($A530="","",IF(I530&lt;&gt;"",I530,Paramètres!B44))</f>
        <v/>
      </c>
      <c r="I530" s="18" t="n"/>
    </row>
    <row r="531">
      <c r="A531" s="18">
        <f>IF(ISNUMBER(Dossiers!$D$13),Dossiers!$A$13&amp;" · "&amp;Dossiers!$B$13,"")</f>
        <v/>
      </c>
      <c r="B531" s="18">
        <f>IF($A531="","",Paramètres!G45)</f>
        <v/>
      </c>
      <c r="C531" s="20">
        <f>IF($A531="","",IF(Dossiers!$G$13="","",Dossiers!$G$13))</f>
        <v/>
      </c>
      <c r="D531" s="18">
        <f>IF($A531="","",IF(Paramètres!I45="","",Paramètres!I45))</f>
        <v/>
      </c>
      <c r="E531" s="19">
        <f>IF($A531="","",IF(Paramètres!J45&amp;Paramètres!L45&amp;Paramètres!N45="",Dossiers!$D$13,MAX(IF(Paramètres!J45="",0,IF(Paramètres!K45="",NA(),IF(LEFT(TRIM(Paramètres!K45),1)="F",INDEX($F$491:$F$543,MATCH(Paramètres!J45,Paramètres!$G$5:$G$57,0)),INDEX($E$491:$E$543,MATCH(Paramètres!J45,Paramètres!$G$5:$G$57,0)))+IF(RIGHT(TRIM(Paramètres!K45),3)="Fin",1-$H531,IF(LEFT(TRIM(Paramètres!K45),1)="F",1,0)))),IF(Paramètres!L45="",0,IF(Paramètres!M45="",NA(),IF(LEFT(TRIM(Paramètres!M45),1)="F",INDEX($F$491:$F$543,MATCH(Paramètres!L45,Paramètres!$G$5:$G$57,0)),INDEX($E$491:$E$543,MATCH(Paramètres!L45,Paramètres!$G$5:$G$57,0)))+IF(RIGHT(TRIM(Paramètres!M45),3)="Fin",1-$H531,IF(LEFT(TRIM(Paramètres!M45),1)="F",1,0)))),IF(Paramètres!N45="",0,IF(Paramètres!O45="",NA(),IF(LEFT(TRIM(Paramètres!O45),1)="F",INDEX($F$491:$F$543,MATCH(Paramètres!N45,Paramètres!$G$5:$G$57,0)),INDEX($E$491:$E$543,MATCH(Paramètres!N45,Paramètres!$G$5:$G$57,0)))+IF(RIGHT(TRIM(Paramètres!O45),3)="Fin",1-$H531,IF(LEFT(TRIM(Paramètres!O45),1)="F",1,0)))))))</f>
        <v/>
      </c>
      <c r="F531" s="19">
        <f>IF($A531="","",E531+$H531-1)</f>
        <v/>
      </c>
      <c r="G531" s="18" t="n"/>
      <c r="H531" s="18">
        <f>IF($A531="","",IF(I531&lt;&gt;"",I531,Paramètres!B45))</f>
        <v/>
      </c>
      <c r="I531" s="18" t="n"/>
    </row>
    <row r="532">
      <c r="A532" s="18">
        <f>IF(ISNUMBER(Dossiers!$D$13),Dossiers!$A$13&amp;" · "&amp;Dossiers!$B$13,"")</f>
        <v/>
      </c>
      <c r="B532" s="18">
        <f>IF($A532="","",Paramètres!G46)</f>
        <v/>
      </c>
      <c r="C532" s="18">
        <f>IF($A532="","",IF(Paramètres!H46="","",Paramètres!H46))</f>
        <v/>
      </c>
      <c r="D532" s="18">
        <f>IF($A532="","",IF(Paramètres!I46="","",Paramètres!I46))</f>
        <v/>
      </c>
      <c r="E532" s="19">
        <f>IF($A532="","",IF(Paramètres!J46&amp;Paramètres!L46&amp;Paramètres!N46="",Dossiers!$D$13,MAX(IF(Paramètres!J46="",0,IF(Paramètres!K46="",NA(),IF(LEFT(TRIM(Paramètres!K46),1)="F",INDEX($F$491:$F$543,MATCH(Paramètres!J46,Paramètres!$G$5:$G$57,0)),INDEX($E$491:$E$543,MATCH(Paramètres!J46,Paramètres!$G$5:$G$57,0)))+IF(RIGHT(TRIM(Paramètres!K46),3)="Fin",1-$H532,IF(LEFT(TRIM(Paramètres!K46),1)="F",1,0)))),IF(Paramètres!L46="",0,IF(Paramètres!M46="",NA(),IF(LEFT(TRIM(Paramètres!M46),1)="F",INDEX($F$491:$F$543,MATCH(Paramètres!L46,Paramètres!$G$5:$G$57,0)),INDEX($E$491:$E$543,MATCH(Paramètres!L46,Paramètres!$G$5:$G$57,0)))+IF(RIGHT(TRIM(Paramètres!M46),3)="Fin",1-$H532,IF(LEFT(TRIM(Paramètres!M46),1)="F",1,0)))),IF(Paramètres!N46="",0,IF(Paramètres!O46="",NA(),IF(LEFT(TRIM(Paramètres!O46),1)="F",INDEX($F$491:$F$543,MATCH(Paramètres!N46,Paramètres!$G$5:$G$57,0)),INDEX($E$491:$E$543,MATCH(Paramètres!N46,Paramètres!$G$5:$G$57,0)))+IF(RIGHT(TRIM(Paramètres!O46),3)="Fin",1-$H532,IF(LEFT(TRIM(Paramètres!O46),1)="F",1,0)))))))</f>
        <v/>
      </c>
      <c r="F532" s="19">
        <f>IF($A532="","",E532+$H532-1)</f>
        <v/>
      </c>
      <c r="G532" s="18" t="n"/>
      <c r="H532" s="18">
        <f>IF($A532="","",IF(I532&lt;&gt;"",I532,Paramètres!B46))</f>
        <v/>
      </c>
      <c r="I532" s="18" t="n"/>
    </row>
    <row r="533">
      <c r="A533" s="18">
        <f>IF(ISNUMBER(Dossiers!$D$13),Dossiers!$A$13&amp;" · "&amp;Dossiers!$B$13,"")</f>
        <v/>
      </c>
      <c r="B533" s="18">
        <f>IF($A533="","",Paramètres!G47)</f>
        <v/>
      </c>
      <c r="C533" s="18">
        <f>IF($A533="","",IF(Paramètres!H47="","",Paramètres!H47))</f>
        <v/>
      </c>
      <c r="D533" s="18">
        <f>IF($A533="","",IF(Paramètres!I47="","",Paramètres!I47))</f>
        <v/>
      </c>
      <c r="E533" s="19">
        <f>IF($A533="","",IF(Paramètres!J47&amp;Paramètres!L47&amp;Paramètres!N47="",Dossiers!$D$13,MAX(IF(Paramètres!J47="",0,IF(Paramètres!K47="",NA(),IF(LEFT(TRIM(Paramètres!K47),1)="F",INDEX($F$491:$F$543,MATCH(Paramètres!J47,Paramètres!$G$5:$G$57,0)),INDEX($E$491:$E$543,MATCH(Paramètres!J47,Paramètres!$G$5:$G$57,0)))+IF(RIGHT(TRIM(Paramètres!K47),3)="Fin",1-$H533,IF(LEFT(TRIM(Paramètres!K47),1)="F",1,0)))),IF(Paramètres!L47="",0,IF(Paramètres!M47="",NA(),IF(LEFT(TRIM(Paramètres!M47),1)="F",INDEX($F$491:$F$543,MATCH(Paramètres!L47,Paramètres!$G$5:$G$57,0)),INDEX($E$491:$E$543,MATCH(Paramètres!L47,Paramètres!$G$5:$G$57,0)))+IF(RIGHT(TRIM(Paramètres!M47),3)="Fin",1-$H533,IF(LEFT(TRIM(Paramètres!M47),1)="F",1,0)))),IF(Paramètres!N47="",0,IF(Paramètres!O47="",NA(),IF(LEFT(TRIM(Paramètres!O47),1)="F",INDEX($F$491:$F$543,MATCH(Paramètres!N47,Paramètres!$G$5:$G$57,0)),INDEX($E$491:$E$543,MATCH(Paramètres!N47,Paramètres!$G$5:$G$57,0)))+IF(RIGHT(TRIM(Paramètres!O47),3)="Fin",1-$H533,IF(LEFT(TRIM(Paramètres!O47),1)="F",1,0)))))))</f>
        <v/>
      </c>
      <c r="F533" s="19">
        <f>IF($A533="","",E533+$H533-1)</f>
        <v/>
      </c>
      <c r="G533" s="18" t="n"/>
      <c r="H533" s="18">
        <f>IF($A533="","",IF(I533&lt;&gt;"",I533,Paramètres!B47))</f>
        <v/>
      </c>
      <c r="I533" s="18" t="n"/>
    </row>
    <row r="534">
      <c r="A534" s="18">
        <f>IF(ISNUMBER(Dossiers!$D$13),Dossiers!$A$13&amp;" · "&amp;Dossiers!$B$13,"")</f>
        <v/>
      </c>
      <c r="B534" s="18">
        <f>IF($A534="","",Paramètres!G48)</f>
        <v/>
      </c>
      <c r="C534" s="18">
        <f>IF($A534="","",IF(Paramètres!H48="","",Paramètres!H48))</f>
        <v/>
      </c>
      <c r="D534" s="18">
        <f>IF($A534="","",IF(Paramètres!I48="","",Paramètres!I48))</f>
        <v/>
      </c>
      <c r="E534" s="19">
        <f>IF($A534="","",IF(Paramètres!J48&amp;Paramètres!L48&amp;Paramètres!N48="",Dossiers!$D$13,MAX(IF(Paramètres!J48="",0,IF(Paramètres!K48="",NA(),IF(LEFT(TRIM(Paramètres!K48),1)="F",INDEX($F$491:$F$543,MATCH(Paramètres!J48,Paramètres!$G$5:$G$57,0)),INDEX($E$491:$E$543,MATCH(Paramètres!J48,Paramètres!$G$5:$G$57,0)))+IF(RIGHT(TRIM(Paramètres!K48),3)="Fin",1-$H534,IF(LEFT(TRIM(Paramètres!K48),1)="F",1,0)))),IF(Paramètres!L48="",0,IF(Paramètres!M48="",NA(),IF(LEFT(TRIM(Paramètres!M48),1)="F",INDEX($F$491:$F$543,MATCH(Paramètres!L48,Paramètres!$G$5:$G$57,0)),INDEX($E$491:$E$543,MATCH(Paramètres!L48,Paramètres!$G$5:$G$57,0)))+IF(RIGHT(TRIM(Paramètres!M48),3)="Fin",1-$H534,IF(LEFT(TRIM(Paramètres!M48),1)="F",1,0)))),IF(Paramètres!N48="",0,IF(Paramètres!O48="",NA(),IF(LEFT(TRIM(Paramètres!O48),1)="F",INDEX($F$491:$F$543,MATCH(Paramètres!N48,Paramètres!$G$5:$G$57,0)),INDEX($E$491:$E$543,MATCH(Paramètres!N48,Paramètres!$G$5:$G$57,0)))+IF(RIGHT(TRIM(Paramètres!O48),3)="Fin",1-$H534,IF(LEFT(TRIM(Paramètres!O48),1)="F",1,0)))))))</f>
        <v/>
      </c>
      <c r="F534" s="19">
        <f>IF($A534="","",E534+$H534-1)</f>
        <v/>
      </c>
      <c r="G534" s="18" t="n"/>
      <c r="H534" s="18">
        <f>IF($A534="","",IF(I534&lt;&gt;"",I534,Paramètres!B48))</f>
        <v/>
      </c>
      <c r="I534" s="18" t="n"/>
    </row>
    <row r="535">
      <c r="A535" s="18">
        <f>IF(ISNUMBER(Dossiers!$D$13),Dossiers!$A$13&amp;" · "&amp;Dossiers!$B$13,"")</f>
        <v/>
      </c>
      <c r="B535" s="18">
        <f>IF($A535="","",Paramètres!G49)</f>
        <v/>
      </c>
      <c r="C535" s="18">
        <f>IF($A535="","",IF(Paramètres!H49="","",Paramètres!H49))</f>
        <v/>
      </c>
      <c r="D535" s="18">
        <f>IF($A535="","",IF(Paramètres!I49="","",Paramètres!I49))</f>
        <v/>
      </c>
      <c r="E535" s="19">
        <f>IF($A535="","",IF(Paramètres!J49&amp;Paramètres!L49&amp;Paramètres!N49="",Dossiers!$D$13,MAX(IF(Paramètres!J49="",0,IF(Paramètres!K49="",NA(),IF(LEFT(TRIM(Paramètres!K49),1)="F",INDEX($F$491:$F$543,MATCH(Paramètres!J49,Paramètres!$G$5:$G$57,0)),INDEX($E$491:$E$543,MATCH(Paramètres!J49,Paramètres!$G$5:$G$57,0)))+IF(RIGHT(TRIM(Paramètres!K49),3)="Fin",1-$H535,IF(LEFT(TRIM(Paramètres!K49),1)="F",1,0)))),IF(Paramètres!L49="",0,IF(Paramètres!M49="",NA(),IF(LEFT(TRIM(Paramètres!M49),1)="F",INDEX($F$491:$F$543,MATCH(Paramètres!L49,Paramètres!$G$5:$G$57,0)),INDEX($E$491:$E$543,MATCH(Paramètres!L49,Paramètres!$G$5:$G$57,0)))+IF(RIGHT(TRIM(Paramètres!M49),3)="Fin",1-$H535,IF(LEFT(TRIM(Paramètres!M49),1)="F",1,0)))),IF(Paramètres!N49="",0,IF(Paramètres!O49="",NA(),IF(LEFT(TRIM(Paramètres!O49),1)="F",INDEX($F$491:$F$543,MATCH(Paramètres!N49,Paramètres!$G$5:$G$57,0)),INDEX($E$491:$E$543,MATCH(Paramètres!N49,Paramètres!$G$5:$G$57,0)))+IF(RIGHT(TRIM(Paramètres!O49),3)="Fin",1-$H535,IF(LEFT(TRIM(Paramètres!O49),1)="F",1,0)))))))</f>
        <v/>
      </c>
      <c r="F535" s="19">
        <f>IF($A535="","",E535+$H535-1)</f>
        <v/>
      </c>
      <c r="G535" s="18" t="n"/>
      <c r="H535" s="18">
        <f>IF($A535="","",IF(I535&lt;&gt;"",I535,Paramètres!B49))</f>
        <v/>
      </c>
      <c r="I535" s="18" t="n"/>
    </row>
    <row r="536">
      <c r="A536" s="18">
        <f>IF(ISNUMBER(Dossiers!$D$13),Dossiers!$A$13&amp;" · "&amp;Dossiers!$B$13,"")</f>
        <v/>
      </c>
      <c r="B536" s="18">
        <f>IF($A536="","",Paramètres!G50)</f>
        <v/>
      </c>
      <c r="C536" s="18">
        <f>IF($A536="","",IF(Paramètres!H50="","",Paramètres!H50))</f>
        <v/>
      </c>
      <c r="D536" s="18">
        <f>IF($A536="","",IF(Paramètres!I50="","",Paramètres!I50))</f>
        <v/>
      </c>
      <c r="E536" s="19">
        <f>IF($A536="","",IF(Paramètres!J50&amp;Paramètres!L50&amp;Paramètres!N50="",Dossiers!$D$13,MAX(IF(Paramètres!J50="",0,IF(Paramètres!K50="",NA(),IF(LEFT(TRIM(Paramètres!K50),1)="F",INDEX($F$491:$F$543,MATCH(Paramètres!J50,Paramètres!$G$5:$G$57,0)),INDEX($E$491:$E$543,MATCH(Paramètres!J50,Paramètres!$G$5:$G$57,0)))+IF(RIGHT(TRIM(Paramètres!K50),3)="Fin",1-$H536,IF(LEFT(TRIM(Paramètres!K50),1)="F",1,0)))),IF(Paramètres!L50="",0,IF(Paramètres!M50="",NA(),IF(LEFT(TRIM(Paramètres!M50),1)="F",INDEX($F$491:$F$543,MATCH(Paramètres!L50,Paramètres!$G$5:$G$57,0)),INDEX($E$491:$E$543,MATCH(Paramètres!L50,Paramètres!$G$5:$G$57,0)))+IF(RIGHT(TRIM(Paramètres!M50),3)="Fin",1-$H536,IF(LEFT(TRIM(Paramètres!M50),1)="F",1,0)))),IF(Paramètres!N50="",0,IF(Paramètres!O50="",NA(),IF(LEFT(TRIM(Paramètres!O50),1)="F",INDEX($F$491:$F$543,MATCH(Paramètres!N50,Paramètres!$G$5:$G$57,0)),INDEX($E$491:$E$543,MATCH(Paramètres!N50,Paramètres!$G$5:$G$57,0)))+IF(RIGHT(TRIM(Paramètres!O50),3)="Fin",1-$H536,IF(LEFT(TRIM(Paramètres!O50),1)="F",1,0)))))))</f>
        <v/>
      </c>
      <c r="F536" s="19">
        <f>IF($A536="","",E536+$H536-1)</f>
        <v/>
      </c>
      <c r="G536" s="18" t="n"/>
      <c r="H536" s="18">
        <f>IF($A536="","",IF(I536&lt;&gt;"",I536,Paramètres!B50))</f>
        <v/>
      </c>
      <c r="I536" s="18" t="n"/>
    </row>
    <row r="537">
      <c r="A537" s="18">
        <f>IF(ISNUMBER(Dossiers!$D$13),Dossiers!$A$13&amp;" · "&amp;Dossiers!$B$13,"")</f>
        <v/>
      </c>
      <c r="B537" s="18">
        <f>IF($A537="","",Paramètres!G51)</f>
        <v/>
      </c>
      <c r="C537" s="18">
        <f>IF($A537="","",IF(Paramètres!H51="","",Paramètres!H51))</f>
        <v/>
      </c>
      <c r="D537" s="18">
        <f>IF($A537="","",IF(Paramètres!I51="","",Paramètres!I51))</f>
        <v/>
      </c>
      <c r="E537" s="19">
        <f>IF($A537="","",IF(Paramètres!J51&amp;Paramètres!L51&amp;Paramètres!N51="",Dossiers!$D$13,MAX(IF(Paramètres!J51="",0,IF(Paramètres!K51="",NA(),IF(LEFT(TRIM(Paramètres!K51),1)="F",INDEX($F$491:$F$543,MATCH(Paramètres!J51,Paramètres!$G$5:$G$57,0)),INDEX($E$491:$E$543,MATCH(Paramètres!J51,Paramètres!$G$5:$G$57,0)))+IF(RIGHT(TRIM(Paramètres!K51),3)="Fin",1-$H537,IF(LEFT(TRIM(Paramètres!K51),1)="F",1,0)))),IF(Paramètres!L51="",0,IF(Paramètres!M51="",NA(),IF(LEFT(TRIM(Paramètres!M51),1)="F",INDEX($F$491:$F$543,MATCH(Paramètres!L51,Paramètres!$G$5:$G$57,0)),INDEX($E$491:$E$543,MATCH(Paramètres!L51,Paramètres!$G$5:$G$57,0)))+IF(RIGHT(TRIM(Paramètres!M51),3)="Fin",1-$H537,IF(LEFT(TRIM(Paramètres!M51),1)="F",1,0)))),IF(Paramètres!N51="",0,IF(Paramètres!O51="",NA(),IF(LEFT(TRIM(Paramètres!O51),1)="F",INDEX($F$491:$F$543,MATCH(Paramètres!N51,Paramètres!$G$5:$G$57,0)),INDEX($E$491:$E$543,MATCH(Paramètres!N51,Paramètres!$G$5:$G$57,0)))+IF(RIGHT(TRIM(Paramètres!O51),3)="Fin",1-$H537,IF(LEFT(TRIM(Paramètres!O51),1)="F",1,0)))))))</f>
        <v/>
      </c>
      <c r="F537" s="19">
        <f>IF($A537="","",E537+$H537-1)</f>
        <v/>
      </c>
      <c r="G537" s="18" t="n"/>
      <c r="H537" s="18">
        <f>IF($A537="","",IF(I537&lt;&gt;"",I537,Paramètres!B51))</f>
        <v/>
      </c>
      <c r="I537" s="18" t="n"/>
    </row>
    <row r="538">
      <c r="A538" s="18">
        <f>IF(ISNUMBER(Dossiers!$D$13),Dossiers!$A$13&amp;" · "&amp;Dossiers!$B$13,"")</f>
        <v/>
      </c>
      <c r="B538" s="18">
        <f>IF($A538="","",Paramètres!G52)</f>
        <v/>
      </c>
      <c r="C538" s="18">
        <f>IF($A538="","",IF(Paramètres!H52="","",Paramètres!H52))</f>
        <v/>
      </c>
      <c r="D538" s="18">
        <f>IF($A538="","",IF(Paramètres!I52="","",Paramètres!I52))</f>
        <v/>
      </c>
      <c r="E538" s="19">
        <f>IF($A538="","",IF(Paramètres!J52&amp;Paramètres!L52&amp;Paramètres!N52="",Dossiers!$D$13,MAX(IF(Paramètres!J52="",0,IF(Paramètres!K52="",NA(),IF(LEFT(TRIM(Paramètres!K52),1)="F",INDEX($F$491:$F$543,MATCH(Paramètres!J52,Paramètres!$G$5:$G$57,0)),INDEX($E$491:$E$543,MATCH(Paramètres!J52,Paramètres!$G$5:$G$57,0)))+IF(RIGHT(TRIM(Paramètres!K52),3)="Fin",1-$H538,IF(LEFT(TRIM(Paramètres!K52),1)="F",1,0)))),IF(Paramètres!L52="",0,IF(Paramètres!M52="",NA(),IF(LEFT(TRIM(Paramètres!M52),1)="F",INDEX($F$491:$F$543,MATCH(Paramètres!L52,Paramètres!$G$5:$G$57,0)),INDEX($E$491:$E$543,MATCH(Paramètres!L52,Paramètres!$G$5:$G$57,0)))+IF(RIGHT(TRIM(Paramètres!M52),3)="Fin",1-$H538,IF(LEFT(TRIM(Paramètres!M52),1)="F",1,0)))),IF(Paramètres!N52="",0,IF(Paramètres!O52="",NA(),IF(LEFT(TRIM(Paramètres!O52),1)="F",INDEX($F$491:$F$543,MATCH(Paramètres!N52,Paramètres!$G$5:$G$57,0)),INDEX($E$491:$E$543,MATCH(Paramètres!N52,Paramètres!$G$5:$G$57,0)))+IF(RIGHT(TRIM(Paramètres!O52),3)="Fin",1-$H538,IF(LEFT(TRIM(Paramètres!O52),1)="F",1,0)))))))</f>
        <v/>
      </c>
      <c r="F538" s="19">
        <f>IF($A538="","",E538+$H538-1)</f>
        <v/>
      </c>
      <c r="G538" s="18" t="n"/>
      <c r="H538" s="18">
        <f>IF($A538="","",IF(I538&lt;&gt;"",I538,Paramètres!B52))</f>
        <v/>
      </c>
      <c r="I538" s="18" t="n"/>
    </row>
    <row r="539">
      <c r="A539" s="18">
        <f>IF(ISNUMBER(Dossiers!$D$13),Dossiers!$A$13&amp;" · "&amp;Dossiers!$B$13,"")</f>
        <v/>
      </c>
      <c r="B539" s="18">
        <f>IF($A539="","",Paramètres!G53)</f>
        <v/>
      </c>
      <c r="C539" s="18">
        <f>IF($A539="","",IF(Paramètres!H53="","",Paramètres!H53))</f>
        <v/>
      </c>
      <c r="D539" s="18">
        <f>IF($A539="","",IF(Paramètres!I53="","",Paramètres!I53))</f>
        <v/>
      </c>
      <c r="E539" s="19">
        <f>IF($A539="","",IF(Paramètres!J53&amp;Paramètres!L53&amp;Paramètres!N53="",Dossiers!$D$13,MAX(IF(Paramètres!J53="",0,IF(Paramètres!K53="",NA(),IF(LEFT(TRIM(Paramètres!K53),1)="F",INDEX($F$491:$F$543,MATCH(Paramètres!J53,Paramètres!$G$5:$G$57,0)),INDEX($E$491:$E$543,MATCH(Paramètres!J53,Paramètres!$G$5:$G$57,0)))+IF(RIGHT(TRIM(Paramètres!K53),3)="Fin",1-$H539,IF(LEFT(TRIM(Paramètres!K53),1)="F",1,0)))),IF(Paramètres!L53="",0,IF(Paramètres!M53="",NA(),IF(LEFT(TRIM(Paramètres!M53),1)="F",INDEX($F$491:$F$543,MATCH(Paramètres!L53,Paramètres!$G$5:$G$57,0)),INDEX($E$491:$E$543,MATCH(Paramètres!L53,Paramètres!$G$5:$G$57,0)))+IF(RIGHT(TRIM(Paramètres!M53),3)="Fin",1-$H539,IF(LEFT(TRIM(Paramètres!M53),1)="F",1,0)))),IF(Paramètres!N53="",0,IF(Paramètres!O53="",NA(),IF(LEFT(TRIM(Paramètres!O53),1)="F",INDEX($F$491:$F$543,MATCH(Paramètres!N53,Paramètres!$G$5:$G$57,0)),INDEX($E$491:$E$543,MATCH(Paramètres!N53,Paramètres!$G$5:$G$57,0)))+IF(RIGHT(TRIM(Paramètres!O53),3)="Fin",1-$H539,IF(LEFT(TRIM(Paramètres!O53),1)="F",1,0)))))))</f>
        <v/>
      </c>
      <c r="F539" s="19">
        <f>IF($A539="","",E539+$H539-1)</f>
        <v/>
      </c>
      <c r="G539" s="18" t="n"/>
      <c r="H539" s="18">
        <f>IF($A539="","",IF(I539&lt;&gt;"",I539,Paramètres!B53))</f>
        <v/>
      </c>
      <c r="I539" s="18" t="n"/>
    </row>
    <row r="540">
      <c r="A540" s="18">
        <f>IF(ISNUMBER(Dossiers!$D$13),Dossiers!$A$13&amp;" · "&amp;Dossiers!$B$13,"")</f>
        <v/>
      </c>
      <c r="B540" s="18">
        <f>IF($A540="","",Paramètres!G54)</f>
        <v/>
      </c>
      <c r="C540" s="18">
        <f>IF($A540="","",IF(Paramètres!H54="","",Paramètres!H54))</f>
        <v/>
      </c>
      <c r="D540" s="18">
        <f>IF($A540="","",IF(Paramètres!I54="","",Paramètres!I54))</f>
        <v/>
      </c>
      <c r="E540" s="19">
        <f>IF($A540="","",IF(Paramètres!J54&amp;Paramètres!L54&amp;Paramètres!N54="",Dossiers!$D$13,MAX(IF(Paramètres!J54="",0,IF(Paramètres!K54="",NA(),IF(LEFT(TRIM(Paramètres!K54),1)="F",INDEX($F$491:$F$543,MATCH(Paramètres!J54,Paramètres!$G$5:$G$57,0)),INDEX($E$491:$E$543,MATCH(Paramètres!J54,Paramètres!$G$5:$G$57,0)))+IF(RIGHT(TRIM(Paramètres!K54),3)="Fin",1-$H540,IF(LEFT(TRIM(Paramètres!K54),1)="F",1,0)))),IF(Paramètres!L54="",0,IF(Paramètres!M54="",NA(),IF(LEFT(TRIM(Paramètres!M54),1)="F",INDEX($F$491:$F$543,MATCH(Paramètres!L54,Paramètres!$G$5:$G$57,0)),INDEX($E$491:$E$543,MATCH(Paramètres!L54,Paramètres!$G$5:$G$57,0)))+IF(RIGHT(TRIM(Paramètres!M54),3)="Fin",1-$H540,IF(LEFT(TRIM(Paramètres!M54),1)="F",1,0)))),IF(Paramètres!N54="",0,IF(Paramètres!O54="",NA(),IF(LEFT(TRIM(Paramètres!O54),1)="F",INDEX($F$491:$F$543,MATCH(Paramètres!N54,Paramètres!$G$5:$G$57,0)),INDEX($E$491:$E$543,MATCH(Paramètres!N54,Paramètres!$G$5:$G$57,0)))+IF(RIGHT(TRIM(Paramètres!O54),3)="Fin",1-$H540,IF(LEFT(TRIM(Paramètres!O54),1)="F",1,0)))))))</f>
        <v/>
      </c>
      <c r="F540" s="19">
        <f>IF($A540="","",E540+$H540-1)</f>
        <v/>
      </c>
      <c r="G540" s="18" t="n"/>
      <c r="H540" s="18">
        <f>IF($A540="","",IF(I540&lt;&gt;"",I540,Paramètres!B54))</f>
        <v/>
      </c>
      <c r="I540" s="18" t="n"/>
    </row>
    <row r="541">
      <c r="A541" s="18">
        <f>IF(ISNUMBER(Dossiers!$D$13),Dossiers!$A$13&amp;" · "&amp;Dossiers!$B$13,"")</f>
        <v/>
      </c>
      <c r="B541" s="18">
        <f>IF($A541="","",Paramètres!G55)</f>
        <v/>
      </c>
      <c r="C541" s="18">
        <f>IF($A541="","",IF(Paramètres!H55="","",Paramètres!H55))</f>
        <v/>
      </c>
      <c r="D541" s="18">
        <f>IF($A541="","",IF(Paramètres!I55="","",Paramètres!I55))</f>
        <v/>
      </c>
      <c r="E541" s="19">
        <f>IF($A541="","",IF(Paramètres!J55&amp;Paramètres!L55&amp;Paramètres!N55="",Dossiers!$D$13,MAX(IF(Paramètres!J55="",0,IF(Paramètres!K55="",NA(),IF(LEFT(TRIM(Paramètres!K55),1)="F",INDEX($F$491:$F$543,MATCH(Paramètres!J55,Paramètres!$G$5:$G$57,0)),INDEX($E$491:$E$543,MATCH(Paramètres!J55,Paramètres!$G$5:$G$57,0)))+IF(RIGHT(TRIM(Paramètres!K55),3)="Fin",1-$H541,IF(LEFT(TRIM(Paramètres!K55),1)="F",1,0)))),IF(Paramètres!L55="",0,IF(Paramètres!M55="",NA(),IF(LEFT(TRIM(Paramètres!M55),1)="F",INDEX($F$491:$F$543,MATCH(Paramètres!L55,Paramètres!$G$5:$G$57,0)),INDEX($E$491:$E$543,MATCH(Paramètres!L55,Paramètres!$G$5:$G$57,0)))+IF(RIGHT(TRIM(Paramètres!M55),3)="Fin",1-$H541,IF(LEFT(TRIM(Paramètres!M55),1)="F",1,0)))),IF(Paramètres!N55="",0,IF(Paramètres!O55="",NA(),IF(LEFT(TRIM(Paramètres!O55),1)="F",INDEX($F$491:$F$543,MATCH(Paramètres!N55,Paramètres!$G$5:$G$57,0)),INDEX($E$491:$E$543,MATCH(Paramètres!N55,Paramètres!$G$5:$G$57,0)))+IF(RIGHT(TRIM(Paramètres!O55),3)="Fin",1-$H541,IF(LEFT(TRIM(Paramètres!O55),1)="F",1,0)))))))</f>
        <v/>
      </c>
      <c r="F541" s="19">
        <f>IF($A541="","",E541+$H541-1)</f>
        <v/>
      </c>
      <c r="G541" s="18" t="n"/>
      <c r="H541" s="18">
        <f>IF($A541="","",IF(I541&lt;&gt;"",I541,Paramètres!B55))</f>
        <v/>
      </c>
      <c r="I541" s="18" t="n"/>
    </row>
    <row r="542">
      <c r="A542" s="18">
        <f>IF(ISNUMBER(Dossiers!$D$13),Dossiers!$A$13&amp;" · "&amp;Dossiers!$B$13,"")</f>
        <v/>
      </c>
      <c r="B542" s="18">
        <f>IF($A542="","",Paramètres!G56)</f>
        <v/>
      </c>
      <c r="C542" s="18">
        <f>IF($A542="","",IF(Paramètres!H56="","",Paramètres!H56))</f>
        <v/>
      </c>
      <c r="D542" s="18">
        <f>IF($A542="","",IF(Paramètres!I56="","",Paramètres!I56))</f>
        <v/>
      </c>
      <c r="E542" s="19">
        <f>IF($A542="","",MIN(E543:E543))</f>
        <v/>
      </c>
      <c r="F542" s="19">
        <f>IF($A542="","",MAX(F543:F543))</f>
        <v/>
      </c>
      <c r="G542" s="18" t="n"/>
      <c r="H542" s="18">
        <f>IF($A542="","",F542-E542+1)</f>
        <v/>
      </c>
      <c r="I542" s="18" t="n"/>
    </row>
    <row r="543">
      <c r="A543" s="18">
        <f>IF(ISNUMBER(Dossiers!$D$13),Dossiers!$A$13&amp;" · "&amp;Dossiers!$B$13,"")</f>
        <v/>
      </c>
      <c r="B543" s="18">
        <f>IF($A543="","",Paramètres!G57)</f>
        <v/>
      </c>
      <c r="C543" s="18">
        <f>IF($A543="","",IF(Paramètres!H57="","",Paramètres!H57))</f>
        <v/>
      </c>
      <c r="D543" s="18">
        <f>IF($A543="","",IF(Paramètres!I57="","",Paramètres!I57))</f>
        <v/>
      </c>
      <c r="E543" s="19">
        <f>IF($A543="","",IF(Paramètres!J57&amp;Paramètres!L57&amp;Paramètres!N57="",Dossiers!$D$13,MAX(IF(Paramètres!J57="",0,IF(Paramètres!K57="",NA(),IF(LEFT(TRIM(Paramètres!K57),1)="F",INDEX($F$491:$F$543,MATCH(Paramètres!J57,Paramètres!$G$5:$G$57,0)),INDEX($E$491:$E$543,MATCH(Paramètres!J57,Paramètres!$G$5:$G$57,0)))+IF(RIGHT(TRIM(Paramètres!K57),3)="Fin",1-$H543,IF(LEFT(TRIM(Paramètres!K57),1)="F",1,0)))),IF(Paramètres!L57="",0,IF(Paramètres!M57="",NA(),IF(LEFT(TRIM(Paramètres!M57),1)="F",INDEX($F$491:$F$543,MATCH(Paramètres!L57,Paramètres!$G$5:$G$57,0)),INDEX($E$491:$E$543,MATCH(Paramètres!L57,Paramètres!$G$5:$G$57,0)))+IF(RIGHT(TRIM(Paramètres!M57),3)="Fin",1-$H543,IF(LEFT(TRIM(Paramètres!M57),1)="F",1,0)))),IF(Paramètres!N57="",0,IF(Paramètres!O57="",NA(),IF(LEFT(TRIM(Paramètres!O57),1)="F",INDEX($F$491:$F$543,MATCH(Paramètres!N57,Paramètres!$G$5:$G$57,0)),INDEX($E$491:$E$543,MATCH(Paramètres!N57,Paramètres!$G$5:$G$57,0)))+IF(RIGHT(TRIM(Paramètres!O57),3)="Fin",1-$H543,IF(LEFT(TRIM(Paramètres!O57),1)="F",1,0)))))))</f>
        <v/>
      </c>
      <c r="F543" s="19">
        <f>IF($A543="","",E543+$H543-1)</f>
        <v/>
      </c>
      <c r="G543" s="18" t="n"/>
      <c r="H543" s="18">
        <f>IF($A543="","",IF(I543&lt;&gt;"",I543,Paramètres!B57))</f>
        <v/>
      </c>
      <c r="I543" s="18" t="n"/>
    </row>
    <row r="544">
      <c r="A544" s="16">
        <f>IF(ISNUMBER(Dossiers!$D$14),Dossiers!$E$14,"")</f>
        <v/>
      </c>
      <c r="B544" s="16">
        <f>IF($A544="","","Identifiant")</f>
        <v/>
      </c>
      <c r="C544" s="16">
        <f>IF($A544="","","Macro Etape")</f>
        <v/>
      </c>
      <c r="D544" s="16">
        <f>IF($A544="","","Etape")</f>
        <v/>
      </c>
      <c r="E544" s="17">
        <f>IF($A544="","","Début le")</f>
        <v/>
      </c>
      <c r="F544" s="17">
        <f>IF($A544="","","Fin prévue le")</f>
        <v/>
      </c>
      <c r="G544" s="16">
        <f>IF($A544="","","Statut")</f>
        <v/>
      </c>
      <c r="H544" s="16">
        <f>IF($A544="","","Durée (jours)")</f>
        <v/>
      </c>
      <c r="I544" s="16">
        <f>IF($A544="","","Durée particulière")</f>
        <v/>
      </c>
      <c r="J544" s="10">
        <f>IF($A544="","",HYPERLINK("#'Tableau de bord'!A1","↑ Tableau de bord"))</f>
        <v/>
      </c>
    </row>
    <row r="545">
      <c r="A545" s="18">
        <f>IF(ISNUMBER(Dossiers!$D$14),Dossiers!$A$14&amp;" · "&amp;Dossiers!$B$14,"")</f>
        <v/>
      </c>
      <c r="B545" s="18">
        <f>IF($A545="","",Paramètres!G5)</f>
        <v/>
      </c>
      <c r="C545" s="18">
        <f>IF($A545="","",IF(Paramètres!H5="","",Paramètres!H5))</f>
        <v/>
      </c>
      <c r="D545" s="18">
        <f>IF($A545="","",IF(Paramètres!I5="","",Paramètres!I5))</f>
        <v/>
      </c>
      <c r="E545" s="19">
        <f>IF($A545="","",MIN(E546:E549))</f>
        <v/>
      </c>
      <c r="F545" s="19">
        <f>IF($A545="","",MAX(F546:F549))</f>
        <v/>
      </c>
      <c r="G545" s="18" t="n"/>
      <c r="H545" s="18">
        <f>IF($A545="","",F545-E545+1)</f>
        <v/>
      </c>
      <c r="I545" s="18" t="n"/>
    </row>
    <row r="546">
      <c r="A546" s="18">
        <f>IF(ISNUMBER(Dossiers!$D$14),Dossiers!$A$14&amp;" · "&amp;Dossiers!$B$14,"")</f>
        <v/>
      </c>
      <c r="B546" s="18">
        <f>IF($A546="","",Paramètres!G6)</f>
        <v/>
      </c>
      <c r="C546" s="18">
        <f>IF($A546="","",IF(Paramètres!H6="","",Paramètres!H6))</f>
        <v/>
      </c>
      <c r="D546" s="18">
        <f>IF($A546="","",IF(Paramètres!I6="","",Paramètres!I6))</f>
        <v/>
      </c>
      <c r="E546" s="19">
        <f>IF($A546="","",IF(Paramètres!J6&amp;Paramètres!L6&amp;Paramètres!N6="",Dossiers!$D$14,MAX(IF(Paramètres!J6="",0,IF(Paramètres!K6="",NA(),IF(LEFT(TRIM(Paramètres!K6),1)="F",INDEX($F$545:$F$597,MATCH(Paramètres!J6,Paramètres!$G$5:$G$57,0)),INDEX($E$545:$E$597,MATCH(Paramètres!J6,Paramètres!$G$5:$G$57,0)))+IF(RIGHT(TRIM(Paramètres!K6),3)="Fin",1-$H546,IF(LEFT(TRIM(Paramètres!K6),1)="F",1,0)))),IF(Paramètres!L6="",0,IF(Paramètres!M6="",NA(),IF(LEFT(TRIM(Paramètres!M6),1)="F",INDEX($F$545:$F$597,MATCH(Paramètres!L6,Paramètres!$G$5:$G$57,0)),INDEX($E$545:$E$597,MATCH(Paramètres!L6,Paramètres!$G$5:$G$57,0)))+IF(RIGHT(TRIM(Paramètres!M6),3)="Fin",1-$H546,IF(LEFT(TRIM(Paramètres!M6),1)="F",1,0)))),IF(Paramètres!N6="",0,IF(Paramètres!O6="",NA(),IF(LEFT(TRIM(Paramètres!O6),1)="F",INDEX($F$545:$F$597,MATCH(Paramètres!N6,Paramètres!$G$5:$G$57,0)),INDEX($E$545:$E$597,MATCH(Paramètres!N6,Paramètres!$G$5:$G$57,0)))+IF(RIGHT(TRIM(Paramètres!O6),3)="Fin",1-$H546,IF(LEFT(TRIM(Paramètres!O6),1)="F",1,0)))))))</f>
        <v/>
      </c>
      <c r="F546" s="19">
        <f>IF($A546="","",E546+$H546-1)</f>
        <v/>
      </c>
      <c r="G546" s="18" t="n"/>
      <c r="H546" s="18">
        <f>IF($A546="","",IF(I546&lt;&gt;"",I546,Paramètres!B6))</f>
        <v/>
      </c>
      <c r="I546" s="18" t="n"/>
    </row>
    <row r="547">
      <c r="A547" s="18">
        <f>IF(ISNUMBER(Dossiers!$D$14),Dossiers!$A$14&amp;" · "&amp;Dossiers!$B$14,"")</f>
        <v/>
      </c>
      <c r="B547" s="18">
        <f>IF($A547="","",Paramètres!G7)</f>
        <v/>
      </c>
      <c r="C547" s="18">
        <f>IF($A547="","",IF(Paramètres!H7="","",Paramètres!H7))</f>
        <v/>
      </c>
      <c r="D547" s="18">
        <f>IF($A547="","",IF(Paramètres!I7="","",Paramètres!I7))</f>
        <v/>
      </c>
      <c r="E547" s="19">
        <f>IF($A547="","",IF(Paramètres!J7&amp;Paramètres!L7&amp;Paramètres!N7="",Dossiers!$D$14,MAX(IF(Paramètres!J7="",0,IF(Paramètres!K7="",NA(),IF(LEFT(TRIM(Paramètres!K7),1)="F",INDEX($F$545:$F$597,MATCH(Paramètres!J7,Paramètres!$G$5:$G$57,0)),INDEX($E$545:$E$597,MATCH(Paramètres!J7,Paramètres!$G$5:$G$57,0)))+IF(RIGHT(TRIM(Paramètres!K7),3)="Fin",1-$H547,IF(LEFT(TRIM(Paramètres!K7),1)="F",1,0)))),IF(Paramètres!L7="",0,IF(Paramètres!M7="",NA(),IF(LEFT(TRIM(Paramètres!M7),1)="F",INDEX($F$545:$F$597,MATCH(Paramètres!L7,Paramètres!$G$5:$G$57,0)),INDEX($E$545:$E$597,MATCH(Paramètres!L7,Paramètres!$G$5:$G$57,0)))+IF(RIGHT(TRIM(Paramètres!M7),3)="Fin",1-$H547,IF(LEFT(TRIM(Paramètres!M7),1)="F",1,0)))),IF(Paramètres!N7="",0,IF(Paramètres!O7="",NA(),IF(LEFT(TRIM(Paramètres!O7),1)="F",INDEX($F$545:$F$597,MATCH(Paramètres!N7,Paramètres!$G$5:$G$57,0)),INDEX($E$545:$E$597,MATCH(Paramètres!N7,Paramètres!$G$5:$G$57,0)))+IF(RIGHT(TRIM(Paramètres!O7),3)="Fin",1-$H547,IF(LEFT(TRIM(Paramètres!O7),1)="F",1,0)))))))</f>
        <v/>
      </c>
      <c r="F547" s="19">
        <f>IF($A547="","",E547+$H547-1)</f>
        <v/>
      </c>
      <c r="G547" s="18" t="n"/>
      <c r="H547" s="18">
        <f>IF($A547="","",IF(I547&lt;&gt;"",I547,Paramètres!B7))</f>
        <v/>
      </c>
      <c r="I547" s="18" t="n"/>
    </row>
    <row r="548">
      <c r="A548" s="18">
        <f>IF(ISNUMBER(Dossiers!$D$14),Dossiers!$A$14&amp;" · "&amp;Dossiers!$B$14,"")</f>
        <v/>
      </c>
      <c r="B548" s="18">
        <f>IF($A548="","",Paramètres!G8)</f>
        <v/>
      </c>
      <c r="C548" s="18">
        <f>IF($A548="","",IF(Paramètres!H8="","",Paramètres!H8))</f>
        <v/>
      </c>
      <c r="D548" s="18">
        <f>IF($A548="","",IF(Paramètres!I8="","",Paramètres!I8))</f>
        <v/>
      </c>
      <c r="E548" s="19">
        <f>IF($A548="","",IF(Paramètres!J8&amp;Paramètres!L8&amp;Paramètres!N8="",Dossiers!$D$14,MAX(IF(Paramètres!J8="",0,IF(Paramètres!K8="",NA(),IF(LEFT(TRIM(Paramètres!K8),1)="F",INDEX($F$545:$F$597,MATCH(Paramètres!J8,Paramètres!$G$5:$G$57,0)),INDEX($E$545:$E$597,MATCH(Paramètres!J8,Paramètres!$G$5:$G$57,0)))+IF(RIGHT(TRIM(Paramètres!K8),3)="Fin",1-$H548,IF(LEFT(TRIM(Paramètres!K8),1)="F",1,0)))),IF(Paramètres!L8="",0,IF(Paramètres!M8="",NA(),IF(LEFT(TRIM(Paramètres!M8),1)="F",INDEX($F$545:$F$597,MATCH(Paramètres!L8,Paramètres!$G$5:$G$57,0)),INDEX($E$545:$E$597,MATCH(Paramètres!L8,Paramètres!$G$5:$G$57,0)))+IF(RIGHT(TRIM(Paramètres!M8),3)="Fin",1-$H548,IF(LEFT(TRIM(Paramètres!M8),1)="F",1,0)))),IF(Paramètres!N8="",0,IF(Paramètres!O8="",NA(),IF(LEFT(TRIM(Paramètres!O8),1)="F",INDEX($F$545:$F$597,MATCH(Paramètres!N8,Paramètres!$G$5:$G$57,0)),INDEX($E$545:$E$597,MATCH(Paramètres!N8,Paramètres!$G$5:$G$57,0)))+IF(RIGHT(TRIM(Paramètres!O8),3)="Fin",1-$H548,IF(LEFT(TRIM(Paramètres!O8),1)="F",1,0)))))))</f>
        <v/>
      </c>
      <c r="F548" s="19">
        <f>IF($A548="","",E548+$H548-1)</f>
        <v/>
      </c>
      <c r="G548" s="18" t="n"/>
      <c r="H548" s="18">
        <f>IF($A548="","",IF(I548&lt;&gt;"",I548,Paramètres!B8))</f>
        <v/>
      </c>
      <c r="I548" s="18" t="n"/>
    </row>
    <row r="549">
      <c r="A549" s="18">
        <f>IF(ISNUMBER(Dossiers!$D$14),Dossiers!$A$14&amp;" · "&amp;Dossiers!$B$14,"")</f>
        <v/>
      </c>
      <c r="B549" s="18">
        <f>IF($A549="","",Paramètres!G9)</f>
        <v/>
      </c>
      <c r="C549" s="18">
        <f>IF($A549="","",IF(Paramètres!H9="","",Paramètres!H9))</f>
        <v/>
      </c>
      <c r="D549" s="18">
        <f>IF($A549="","",IF(Paramètres!I9="","",Paramètres!I9))</f>
        <v/>
      </c>
      <c r="E549" s="19">
        <f>IF($A549="","",IF(Paramètres!J9&amp;Paramètres!L9&amp;Paramètres!N9="",Dossiers!$D$14,MAX(IF(Paramètres!J9="",0,IF(Paramètres!K9="",NA(),IF(LEFT(TRIM(Paramètres!K9),1)="F",INDEX($F$545:$F$597,MATCH(Paramètres!J9,Paramètres!$G$5:$G$57,0)),INDEX($E$545:$E$597,MATCH(Paramètres!J9,Paramètres!$G$5:$G$57,0)))+IF(RIGHT(TRIM(Paramètres!K9),3)="Fin",1-$H549,IF(LEFT(TRIM(Paramètres!K9),1)="F",1,0)))),IF(Paramètres!L9="",0,IF(Paramètres!M9="",NA(),IF(LEFT(TRIM(Paramètres!M9),1)="F",INDEX($F$545:$F$597,MATCH(Paramètres!L9,Paramètres!$G$5:$G$57,0)),INDEX($E$545:$E$597,MATCH(Paramètres!L9,Paramètres!$G$5:$G$57,0)))+IF(RIGHT(TRIM(Paramètres!M9),3)="Fin",1-$H549,IF(LEFT(TRIM(Paramètres!M9),1)="F",1,0)))),IF(Paramètres!N9="",0,IF(Paramètres!O9="",NA(),IF(LEFT(TRIM(Paramètres!O9),1)="F",INDEX($F$545:$F$597,MATCH(Paramètres!N9,Paramètres!$G$5:$G$57,0)),INDEX($E$545:$E$597,MATCH(Paramètres!N9,Paramètres!$G$5:$G$57,0)))+IF(RIGHT(TRIM(Paramètres!O9),3)="Fin",1-$H549,IF(LEFT(TRIM(Paramètres!O9),1)="F",1,0)))))))</f>
        <v/>
      </c>
      <c r="F549" s="19">
        <f>IF($A549="","",E549+$H549-1)</f>
        <v/>
      </c>
      <c r="G549" s="18" t="n"/>
      <c r="H549" s="18">
        <f>IF($A549="","",IF(I549&lt;&gt;"",I549,Paramètres!B9))</f>
        <v/>
      </c>
      <c r="I549" s="18" t="n"/>
    </row>
    <row r="550">
      <c r="A550" s="18">
        <f>IF(ISNUMBER(Dossiers!$D$14),Dossiers!$A$14&amp;" · "&amp;Dossiers!$B$14,"")</f>
        <v/>
      </c>
      <c r="B550" s="18">
        <f>IF($A550="","",Paramètres!G10)</f>
        <v/>
      </c>
      <c r="C550" s="18">
        <f>IF($A550="","",IF(Paramètres!H10="","",Paramètres!H10))</f>
        <v/>
      </c>
      <c r="D550" s="18">
        <f>IF($A550="","",IF(Paramètres!I10="","",Paramètres!I10))</f>
        <v/>
      </c>
      <c r="E550" s="19">
        <f>IF($A550="","",MIN(E551:E554))</f>
        <v/>
      </c>
      <c r="F550" s="19">
        <f>IF($A550="","",MAX(F551:F554))</f>
        <v/>
      </c>
      <c r="G550" s="18" t="n"/>
      <c r="H550" s="18">
        <f>IF($A550="","",F550-E550+1)</f>
        <v/>
      </c>
      <c r="I550" s="18" t="n"/>
    </row>
    <row r="551">
      <c r="A551" s="18">
        <f>IF(ISNUMBER(Dossiers!$D$14),Dossiers!$A$14&amp;" · "&amp;Dossiers!$B$14,"")</f>
        <v/>
      </c>
      <c r="B551" s="18">
        <f>IF($A551="","",Paramètres!G11)</f>
        <v/>
      </c>
      <c r="C551" s="18">
        <f>IF($A551="","",IF(Paramètres!H11="","",Paramètres!H11))</f>
        <v/>
      </c>
      <c r="D551" s="18">
        <f>IF($A551="","",IF(Paramètres!I11="","",Paramètres!I11))</f>
        <v/>
      </c>
      <c r="E551" s="19">
        <f>IF($A551="","",IF(Paramètres!J11&amp;Paramètres!L11&amp;Paramètres!N11="",Dossiers!$D$14,MAX(IF(Paramètres!J11="",0,IF(Paramètres!K11="",NA(),IF(LEFT(TRIM(Paramètres!K11),1)="F",INDEX($F$545:$F$597,MATCH(Paramètres!J11,Paramètres!$G$5:$G$57,0)),INDEX($E$545:$E$597,MATCH(Paramètres!J11,Paramètres!$G$5:$G$57,0)))+IF(RIGHT(TRIM(Paramètres!K11),3)="Fin",1-$H551,IF(LEFT(TRIM(Paramètres!K11),1)="F",1,0)))),IF(Paramètres!L11="",0,IF(Paramètres!M11="",NA(),IF(LEFT(TRIM(Paramètres!M11),1)="F",INDEX($F$545:$F$597,MATCH(Paramètres!L11,Paramètres!$G$5:$G$57,0)),INDEX($E$545:$E$597,MATCH(Paramètres!L11,Paramètres!$G$5:$G$57,0)))+IF(RIGHT(TRIM(Paramètres!M11),3)="Fin",1-$H551,IF(LEFT(TRIM(Paramètres!M11),1)="F",1,0)))),IF(Paramètres!N11="",0,IF(Paramètres!O11="",NA(),IF(LEFT(TRIM(Paramètres!O11),1)="F",INDEX($F$545:$F$597,MATCH(Paramètres!N11,Paramètres!$G$5:$G$57,0)),INDEX($E$545:$E$597,MATCH(Paramètres!N11,Paramètres!$G$5:$G$57,0)))+IF(RIGHT(TRIM(Paramètres!O11),3)="Fin",1-$H551,IF(LEFT(TRIM(Paramètres!O11),1)="F",1,0)))))))</f>
        <v/>
      </c>
      <c r="F551" s="19">
        <f>IF($A551="","",E551+$H551-1)</f>
        <v/>
      </c>
      <c r="G551" s="18" t="n"/>
      <c r="H551" s="18">
        <f>IF($A551="","",IF(I551&lt;&gt;"",I551,Paramètres!B11))</f>
        <v/>
      </c>
      <c r="I551" s="18" t="n"/>
    </row>
    <row r="552">
      <c r="A552" s="18">
        <f>IF(ISNUMBER(Dossiers!$D$14),Dossiers!$A$14&amp;" · "&amp;Dossiers!$B$14,"")</f>
        <v/>
      </c>
      <c r="B552" s="18">
        <f>IF($A552="","",Paramètres!G12)</f>
        <v/>
      </c>
      <c r="C552" s="18">
        <f>IF($A552="","",IF(Paramètres!H12="","",Paramètres!H12))</f>
        <v/>
      </c>
      <c r="D552" s="18">
        <f>IF($A552="","",IF(Paramètres!I12="","",Paramètres!I12))</f>
        <v/>
      </c>
      <c r="E552" s="19">
        <f>IF($A552="","",IF(Paramètres!J12&amp;Paramètres!L12&amp;Paramètres!N12="",Dossiers!$D$14,MAX(IF(Paramètres!J12="",0,IF(Paramètres!K12="",NA(),IF(LEFT(TRIM(Paramètres!K12),1)="F",INDEX($F$545:$F$597,MATCH(Paramètres!J12,Paramètres!$G$5:$G$57,0)),INDEX($E$545:$E$597,MATCH(Paramètres!J12,Paramètres!$G$5:$G$57,0)))+IF(RIGHT(TRIM(Paramètres!K12),3)="Fin",1-$H552,IF(LEFT(TRIM(Paramètres!K12),1)="F",1,0)))),IF(Paramètres!L12="",0,IF(Paramètres!M12="",NA(),IF(LEFT(TRIM(Paramètres!M12),1)="F",INDEX($F$545:$F$597,MATCH(Paramètres!L12,Paramètres!$G$5:$G$57,0)),INDEX($E$545:$E$597,MATCH(Paramètres!L12,Paramètres!$G$5:$G$57,0)))+IF(RIGHT(TRIM(Paramètres!M12),3)="Fin",1-$H552,IF(LEFT(TRIM(Paramètres!M12),1)="F",1,0)))),IF(Paramètres!N12="",0,IF(Paramètres!O12="",NA(),IF(LEFT(TRIM(Paramètres!O12),1)="F",INDEX($F$545:$F$597,MATCH(Paramètres!N12,Paramètres!$G$5:$G$57,0)),INDEX($E$545:$E$597,MATCH(Paramètres!N12,Paramètres!$G$5:$G$57,0)))+IF(RIGHT(TRIM(Paramètres!O12),3)="Fin",1-$H552,IF(LEFT(TRIM(Paramètres!O12),1)="F",1,0)))))))</f>
        <v/>
      </c>
      <c r="F552" s="19">
        <f>IF($A552="","",E552+$H552-1)</f>
        <v/>
      </c>
      <c r="G552" s="18" t="n"/>
      <c r="H552" s="18">
        <f>IF($A552="","",IF(I552&lt;&gt;"",I552,Paramètres!B12))</f>
        <v/>
      </c>
      <c r="I552" s="18" t="n"/>
    </row>
    <row r="553">
      <c r="A553" s="18">
        <f>IF(ISNUMBER(Dossiers!$D$14),Dossiers!$A$14&amp;" · "&amp;Dossiers!$B$14,"")</f>
        <v/>
      </c>
      <c r="B553" s="18">
        <f>IF($A553="","",Paramètres!G13)</f>
        <v/>
      </c>
      <c r="C553" s="18">
        <f>IF($A553="","",IF(Paramètres!H13="","",Paramètres!H13))</f>
        <v/>
      </c>
      <c r="D553" s="18">
        <f>IF($A553="","",IF(Paramètres!I13="","",Paramètres!I13))</f>
        <v/>
      </c>
      <c r="E553" s="19">
        <f>IF($A553="","",IF(Paramètres!J13&amp;Paramètres!L13&amp;Paramètres!N13="",Dossiers!$D$14,MAX(IF(Paramètres!J13="",0,IF(Paramètres!K13="",NA(),IF(LEFT(TRIM(Paramètres!K13),1)="F",INDEX($F$545:$F$597,MATCH(Paramètres!J13,Paramètres!$G$5:$G$57,0)),INDEX($E$545:$E$597,MATCH(Paramètres!J13,Paramètres!$G$5:$G$57,0)))+IF(RIGHT(TRIM(Paramètres!K13),3)="Fin",1-$H553,IF(LEFT(TRIM(Paramètres!K13),1)="F",1,0)))),IF(Paramètres!L13="",0,IF(Paramètres!M13="",NA(),IF(LEFT(TRIM(Paramètres!M13),1)="F",INDEX($F$545:$F$597,MATCH(Paramètres!L13,Paramètres!$G$5:$G$57,0)),INDEX($E$545:$E$597,MATCH(Paramètres!L13,Paramètres!$G$5:$G$57,0)))+IF(RIGHT(TRIM(Paramètres!M13),3)="Fin",1-$H553,IF(LEFT(TRIM(Paramètres!M13),1)="F",1,0)))),IF(Paramètres!N13="",0,IF(Paramètres!O13="",NA(),IF(LEFT(TRIM(Paramètres!O13),1)="F",INDEX($F$545:$F$597,MATCH(Paramètres!N13,Paramètres!$G$5:$G$57,0)),INDEX($E$545:$E$597,MATCH(Paramètres!N13,Paramètres!$G$5:$G$57,0)))+IF(RIGHT(TRIM(Paramètres!O13),3)="Fin",1-$H553,IF(LEFT(TRIM(Paramètres!O13),1)="F",1,0)))))))</f>
        <v/>
      </c>
      <c r="F553" s="19">
        <f>IF($A553="","",E553+$H553-1)</f>
        <v/>
      </c>
      <c r="G553" s="18" t="n"/>
      <c r="H553" s="18">
        <f>IF($A553="","",IF(I553&lt;&gt;"",I553,Paramètres!B13))</f>
        <v/>
      </c>
      <c r="I553" s="18" t="n"/>
    </row>
    <row r="554">
      <c r="A554" s="18">
        <f>IF(ISNUMBER(Dossiers!$D$14),Dossiers!$A$14&amp;" · "&amp;Dossiers!$B$14,"")</f>
        <v/>
      </c>
      <c r="B554" s="18">
        <f>IF($A554="","",Paramètres!G14)</f>
        <v/>
      </c>
      <c r="C554" s="18">
        <f>IF($A554="","",IF(Paramètres!H14="","",Paramètres!H14))</f>
        <v/>
      </c>
      <c r="D554" s="18">
        <f>IF($A554="","",IF(Paramètres!I14="","",Paramètres!I14))</f>
        <v/>
      </c>
      <c r="E554" s="19">
        <f>IF($A554="","",IF(Paramètres!J14&amp;Paramètres!L14&amp;Paramètres!N14="",Dossiers!$D$14,MAX(IF(Paramètres!J14="",0,IF(Paramètres!K14="",NA(),IF(LEFT(TRIM(Paramètres!K14),1)="F",INDEX($F$545:$F$597,MATCH(Paramètres!J14,Paramètres!$G$5:$G$57,0)),INDEX($E$545:$E$597,MATCH(Paramètres!J14,Paramètres!$G$5:$G$57,0)))+IF(RIGHT(TRIM(Paramètres!K14),3)="Fin",1-$H554,IF(LEFT(TRIM(Paramètres!K14),1)="F",1,0)))),IF(Paramètres!L14="",0,IF(Paramètres!M14="",NA(),IF(LEFT(TRIM(Paramètres!M14),1)="F",INDEX($F$545:$F$597,MATCH(Paramètres!L14,Paramètres!$G$5:$G$57,0)),INDEX($E$545:$E$597,MATCH(Paramètres!L14,Paramètres!$G$5:$G$57,0)))+IF(RIGHT(TRIM(Paramètres!M14),3)="Fin",1-$H554,IF(LEFT(TRIM(Paramètres!M14),1)="F",1,0)))),IF(Paramètres!N14="",0,IF(Paramètres!O14="",NA(),IF(LEFT(TRIM(Paramètres!O14),1)="F",INDEX($F$545:$F$597,MATCH(Paramètres!N14,Paramètres!$G$5:$G$57,0)),INDEX($E$545:$E$597,MATCH(Paramètres!N14,Paramètres!$G$5:$G$57,0)))+IF(RIGHT(TRIM(Paramètres!O14),3)="Fin",1-$H554,IF(LEFT(TRIM(Paramètres!O14),1)="F",1,0)))))))</f>
        <v/>
      </c>
      <c r="F554" s="19">
        <f>IF($A554="","",E554+$H554-1)</f>
        <v/>
      </c>
      <c r="G554" s="18" t="n"/>
      <c r="H554" s="18">
        <f>IF($A554="","",IF(I554&lt;&gt;"",I554,Paramètres!B14))</f>
        <v/>
      </c>
      <c r="I554" s="18" t="n"/>
    </row>
    <row r="555">
      <c r="A555" s="18">
        <f>IF(ISNUMBER(Dossiers!$D$14),Dossiers!$A$14&amp;" · "&amp;Dossiers!$B$14,"")</f>
        <v/>
      </c>
      <c r="B555" s="18">
        <f>IF($A555="","",Paramètres!G15)</f>
        <v/>
      </c>
      <c r="C555" s="18">
        <f>IF($A555="","",IF(Paramètres!H15="","",Paramètres!H15))</f>
        <v/>
      </c>
      <c r="D555" s="18">
        <f>IF($A555="","",IF(Paramètres!I15="","",Paramètres!I15))</f>
        <v/>
      </c>
      <c r="E555" s="19">
        <f>IF($A555="","",MIN(E556:E571))</f>
        <v/>
      </c>
      <c r="F555" s="19">
        <f>IF($A555="","",MAX(F556:F571))</f>
        <v/>
      </c>
      <c r="G555" s="18" t="n"/>
      <c r="H555" s="18">
        <f>IF($A555="","",F555-E555+1)</f>
        <v/>
      </c>
      <c r="I555" s="18" t="n"/>
    </row>
    <row r="556">
      <c r="A556" s="18">
        <f>IF(ISNUMBER(Dossiers!$D$14),Dossiers!$A$14&amp;" · "&amp;Dossiers!$B$14,"")</f>
        <v/>
      </c>
      <c r="B556" s="18">
        <f>IF($A556="","",Paramètres!G16)</f>
        <v/>
      </c>
      <c r="C556" s="18">
        <f>IF($A556="","",IF(Paramètres!H16="","",Paramètres!H16))</f>
        <v/>
      </c>
      <c r="D556" s="18">
        <f>IF($A556="","",IF(Paramètres!I16="","",Paramètres!I16))</f>
        <v/>
      </c>
      <c r="E556" s="19">
        <f>IF($A556="","",IF(Paramètres!J16&amp;Paramètres!L16&amp;Paramètres!N16="",Dossiers!$D$14,MAX(IF(Paramètres!J16="",0,IF(Paramètres!K16="",NA(),IF(LEFT(TRIM(Paramètres!K16),1)="F",INDEX($F$545:$F$597,MATCH(Paramètres!J16,Paramètres!$G$5:$G$57,0)),INDEX($E$545:$E$597,MATCH(Paramètres!J16,Paramètres!$G$5:$G$57,0)))+IF(RIGHT(TRIM(Paramètres!K16),3)="Fin",1-$H556,IF(LEFT(TRIM(Paramètres!K16),1)="F",1,0)))),IF(Paramètres!L16="",0,IF(Paramètres!M16="",NA(),IF(LEFT(TRIM(Paramètres!M16),1)="F",INDEX($F$545:$F$597,MATCH(Paramètres!L16,Paramètres!$G$5:$G$57,0)),INDEX($E$545:$E$597,MATCH(Paramètres!L16,Paramètres!$G$5:$G$57,0)))+IF(RIGHT(TRIM(Paramètres!M16),3)="Fin",1-$H556,IF(LEFT(TRIM(Paramètres!M16),1)="F",1,0)))),IF(Paramètres!N16="",0,IF(Paramètres!O16="",NA(),IF(LEFT(TRIM(Paramètres!O16),1)="F",INDEX($F$545:$F$597,MATCH(Paramètres!N16,Paramètres!$G$5:$G$57,0)),INDEX($E$545:$E$597,MATCH(Paramètres!N16,Paramètres!$G$5:$G$57,0)))+IF(RIGHT(TRIM(Paramètres!O16),3)="Fin",1-$H556,IF(LEFT(TRIM(Paramètres!O16),1)="F",1,0)))))))</f>
        <v/>
      </c>
      <c r="F556" s="19">
        <f>IF($A556="","",E556+$H556-1)</f>
        <v/>
      </c>
      <c r="G556" s="18" t="n"/>
      <c r="H556" s="18">
        <f>IF($A556="","",IF(I556&lt;&gt;"",I556,Paramètres!B16))</f>
        <v/>
      </c>
      <c r="I556" s="18" t="n"/>
    </row>
    <row r="557">
      <c r="A557" s="18">
        <f>IF(ISNUMBER(Dossiers!$D$14),Dossiers!$A$14&amp;" · "&amp;Dossiers!$B$14,"")</f>
        <v/>
      </c>
      <c r="B557" s="18">
        <f>IF($A557="","",Paramètres!G17)</f>
        <v/>
      </c>
      <c r="C557" s="18">
        <f>IF($A557="","",IF(Paramètres!H17="","",Paramètres!H17))</f>
        <v/>
      </c>
      <c r="D557" s="18">
        <f>IF($A557="","",IF(Paramètres!I17="","",Paramètres!I17))</f>
        <v/>
      </c>
      <c r="E557" s="19">
        <f>IF($A557="","",IF(Paramètres!J17&amp;Paramètres!L17&amp;Paramètres!N17="",Dossiers!$D$14,MAX(IF(Paramètres!J17="",0,IF(Paramètres!K17="",NA(),IF(LEFT(TRIM(Paramètres!K17),1)="F",INDEX($F$545:$F$597,MATCH(Paramètres!J17,Paramètres!$G$5:$G$57,0)),INDEX($E$545:$E$597,MATCH(Paramètres!J17,Paramètres!$G$5:$G$57,0)))+IF(RIGHT(TRIM(Paramètres!K17),3)="Fin",1-$H557,IF(LEFT(TRIM(Paramètres!K17),1)="F",1,0)))),IF(Paramètres!L17="",0,IF(Paramètres!M17="",NA(),IF(LEFT(TRIM(Paramètres!M17),1)="F",INDEX($F$545:$F$597,MATCH(Paramètres!L17,Paramètres!$G$5:$G$57,0)),INDEX($E$545:$E$597,MATCH(Paramètres!L17,Paramètres!$G$5:$G$57,0)))+IF(RIGHT(TRIM(Paramètres!M17),3)="Fin",1-$H557,IF(LEFT(TRIM(Paramètres!M17),1)="F",1,0)))),IF(Paramètres!N17="",0,IF(Paramètres!O17="",NA(),IF(LEFT(TRIM(Paramètres!O17),1)="F",INDEX($F$545:$F$597,MATCH(Paramètres!N17,Paramètres!$G$5:$G$57,0)),INDEX($E$545:$E$597,MATCH(Paramètres!N17,Paramètres!$G$5:$G$57,0)))+IF(RIGHT(TRIM(Paramètres!O17),3)="Fin",1-$H557,IF(LEFT(TRIM(Paramètres!O17),1)="F",1,0)))))))</f>
        <v/>
      </c>
      <c r="F557" s="19">
        <f>IF($A557="","",E557+$H557-1)</f>
        <v/>
      </c>
      <c r="G557" s="18" t="n"/>
      <c r="H557" s="18">
        <f>IF($A557="","",IF(I557&lt;&gt;"",I557,Paramètres!B17))</f>
        <v/>
      </c>
      <c r="I557" s="18" t="n"/>
    </row>
    <row r="558">
      <c r="A558" s="18">
        <f>IF(ISNUMBER(Dossiers!$D$14),Dossiers!$A$14&amp;" · "&amp;Dossiers!$B$14,"")</f>
        <v/>
      </c>
      <c r="B558" s="18">
        <f>IF($A558="","",Paramètres!G18)</f>
        <v/>
      </c>
      <c r="C558" s="18">
        <f>IF($A558="","",IF(Paramètres!H18="","",Paramètres!H18))</f>
        <v/>
      </c>
      <c r="D558" s="18">
        <f>IF($A558="","",IF(Paramètres!I18="","",Paramètres!I18))</f>
        <v/>
      </c>
      <c r="E558" s="19">
        <f>IF($A558="","",IF(Paramètres!J18&amp;Paramètres!L18&amp;Paramètres!N18="",Dossiers!$D$14,MAX(IF(Paramètres!J18="",0,IF(Paramètres!K18="",NA(),IF(LEFT(TRIM(Paramètres!K18),1)="F",INDEX($F$545:$F$597,MATCH(Paramètres!J18,Paramètres!$G$5:$G$57,0)),INDEX($E$545:$E$597,MATCH(Paramètres!J18,Paramètres!$G$5:$G$57,0)))+IF(RIGHT(TRIM(Paramètres!K18),3)="Fin",1-$H558,IF(LEFT(TRIM(Paramètres!K18),1)="F",1,0)))),IF(Paramètres!L18="",0,IF(Paramètres!M18="",NA(),IF(LEFT(TRIM(Paramètres!M18),1)="F",INDEX($F$545:$F$597,MATCH(Paramètres!L18,Paramètres!$G$5:$G$57,0)),INDEX($E$545:$E$597,MATCH(Paramètres!L18,Paramètres!$G$5:$G$57,0)))+IF(RIGHT(TRIM(Paramètres!M18),3)="Fin",1-$H558,IF(LEFT(TRIM(Paramètres!M18),1)="F",1,0)))),IF(Paramètres!N18="",0,IF(Paramètres!O18="",NA(),IF(LEFT(TRIM(Paramètres!O18),1)="F",INDEX($F$545:$F$597,MATCH(Paramètres!N18,Paramètres!$G$5:$G$57,0)),INDEX($E$545:$E$597,MATCH(Paramètres!N18,Paramètres!$G$5:$G$57,0)))+IF(RIGHT(TRIM(Paramètres!O18),3)="Fin",1-$H558,IF(LEFT(TRIM(Paramètres!O18),1)="F",1,0)))))))</f>
        <v/>
      </c>
      <c r="F558" s="19">
        <f>IF($A558="","",E558+$H558-1)</f>
        <v/>
      </c>
      <c r="G558" s="18" t="n"/>
      <c r="H558" s="18">
        <f>IF($A558="","",IF(I558&lt;&gt;"",I558,Paramètres!B18))</f>
        <v/>
      </c>
      <c r="I558" s="18" t="n"/>
    </row>
    <row r="559">
      <c r="A559" s="18">
        <f>IF(ISNUMBER(Dossiers!$D$14),Dossiers!$A$14&amp;" · "&amp;Dossiers!$B$14,"")</f>
        <v/>
      </c>
      <c r="B559" s="18">
        <f>IF($A559="","",Paramètres!G19)</f>
        <v/>
      </c>
      <c r="C559" s="18">
        <f>IF($A559="","",IF(Paramètres!H19="","",Paramètres!H19))</f>
        <v/>
      </c>
      <c r="D559" s="18">
        <f>IF($A559="","",IF(Paramètres!I19="","",Paramètres!I19))</f>
        <v/>
      </c>
      <c r="E559" s="19">
        <f>IF($A559="","",IF(Paramètres!J19&amp;Paramètres!L19&amp;Paramètres!N19="",Dossiers!$D$14,MAX(IF(Paramètres!J19="",0,IF(Paramètres!K19="",NA(),IF(LEFT(TRIM(Paramètres!K19),1)="F",INDEX($F$545:$F$597,MATCH(Paramètres!J19,Paramètres!$G$5:$G$57,0)),INDEX($E$545:$E$597,MATCH(Paramètres!J19,Paramètres!$G$5:$G$57,0)))+IF(RIGHT(TRIM(Paramètres!K19),3)="Fin",1-$H559,IF(LEFT(TRIM(Paramètres!K19),1)="F",1,0)))),IF(Paramètres!L19="",0,IF(Paramètres!M19="",NA(),IF(LEFT(TRIM(Paramètres!M19),1)="F",INDEX($F$545:$F$597,MATCH(Paramètres!L19,Paramètres!$G$5:$G$57,0)),INDEX($E$545:$E$597,MATCH(Paramètres!L19,Paramètres!$G$5:$G$57,0)))+IF(RIGHT(TRIM(Paramètres!M19),3)="Fin",1-$H559,IF(LEFT(TRIM(Paramètres!M19),1)="F",1,0)))),IF(Paramètres!N19="",0,IF(Paramètres!O19="",NA(),IF(LEFT(TRIM(Paramètres!O19),1)="F",INDEX($F$545:$F$597,MATCH(Paramètres!N19,Paramètres!$G$5:$G$57,0)),INDEX($E$545:$E$597,MATCH(Paramètres!N19,Paramètres!$G$5:$G$57,0)))+IF(RIGHT(TRIM(Paramètres!O19),3)="Fin",1-$H559,IF(LEFT(TRIM(Paramètres!O19),1)="F",1,0)))))))</f>
        <v/>
      </c>
      <c r="F559" s="19">
        <f>IF($A559="","",E559+$H559-1)</f>
        <v/>
      </c>
      <c r="G559" s="18" t="n"/>
      <c r="H559" s="18">
        <f>IF($A559="","",IF(I559&lt;&gt;"",I559,Paramètres!B19))</f>
        <v/>
      </c>
      <c r="I559" s="18" t="n"/>
    </row>
    <row r="560">
      <c r="A560" s="18">
        <f>IF(ISNUMBER(Dossiers!$D$14),Dossiers!$A$14&amp;" · "&amp;Dossiers!$B$14,"")</f>
        <v/>
      </c>
      <c r="B560" s="18">
        <f>IF($A560="","",Paramètres!G20)</f>
        <v/>
      </c>
      <c r="C560" s="18">
        <f>IF($A560="","",IF(Paramètres!H20="","",Paramètres!H20))</f>
        <v/>
      </c>
      <c r="D560" s="18">
        <f>IF($A560="","",IF(Paramètres!I20="","",Paramètres!I20))</f>
        <v/>
      </c>
      <c r="E560" s="19">
        <f>IF($A560="","",IF(Paramètres!J20&amp;Paramètres!L20&amp;Paramètres!N20="",Dossiers!$D$14,MAX(IF(Paramètres!J20="",0,IF(Paramètres!K20="",NA(),IF(LEFT(TRIM(Paramètres!K20),1)="F",INDEX($F$545:$F$597,MATCH(Paramètres!J20,Paramètres!$G$5:$G$57,0)),INDEX($E$545:$E$597,MATCH(Paramètres!J20,Paramètres!$G$5:$G$57,0)))+IF(RIGHT(TRIM(Paramètres!K20),3)="Fin",1-$H560,IF(LEFT(TRIM(Paramètres!K20),1)="F",1,0)))),IF(Paramètres!L20="",0,IF(Paramètres!M20="",NA(),IF(LEFT(TRIM(Paramètres!M20),1)="F",INDEX($F$545:$F$597,MATCH(Paramètres!L20,Paramètres!$G$5:$G$57,0)),INDEX($E$545:$E$597,MATCH(Paramètres!L20,Paramètres!$G$5:$G$57,0)))+IF(RIGHT(TRIM(Paramètres!M20),3)="Fin",1-$H560,IF(LEFT(TRIM(Paramètres!M20),1)="F",1,0)))),IF(Paramètres!N20="",0,IF(Paramètres!O20="",NA(),IF(LEFT(TRIM(Paramètres!O20),1)="F",INDEX($F$545:$F$597,MATCH(Paramètres!N20,Paramètres!$G$5:$G$57,0)),INDEX($E$545:$E$597,MATCH(Paramètres!N20,Paramètres!$G$5:$G$57,0)))+IF(RIGHT(TRIM(Paramètres!O20),3)="Fin",1-$H560,IF(LEFT(TRIM(Paramètres!O20),1)="F",1,0)))))))</f>
        <v/>
      </c>
      <c r="F560" s="19">
        <f>IF($A560="","",E560+$H560-1)</f>
        <v/>
      </c>
      <c r="G560" s="18" t="n"/>
      <c r="H560" s="18">
        <f>IF($A560="","",IF(I560&lt;&gt;"",I560,Paramètres!B20))</f>
        <v/>
      </c>
      <c r="I560" s="18" t="n"/>
    </row>
    <row r="561">
      <c r="A561" s="18">
        <f>IF(ISNUMBER(Dossiers!$D$14),Dossiers!$A$14&amp;" · "&amp;Dossiers!$B$14,"")</f>
        <v/>
      </c>
      <c r="B561" s="18">
        <f>IF($A561="","",Paramètres!G21)</f>
        <v/>
      </c>
      <c r="C561" s="18">
        <f>IF($A561="","",IF(Paramètres!H21="","",Paramètres!H21))</f>
        <v/>
      </c>
      <c r="D561" s="18">
        <f>IF($A561="","",IF(Paramètres!I21="","",Paramètres!I21))</f>
        <v/>
      </c>
      <c r="E561" s="19">
        <f>IF($A561="","",IF(Paramètres!J21&amp;Paramètres!L21&amp;Paramètres!N21="",Dossiers!$D$14,MAX(IF(Paramètres!J21="",0,IF(Paramètres!K21="",NA(),IF(LEFT(TRIM(Paramètres!K21),1)="F",INDEX($F$545:$F$597,MATCH(Paramètres!J21,Paramètres!$G$5:$G$57,0)),INDEX($E$545:$E$597,MATCH(Paramètres!J21,Paramètres!$G$5:$G$57,0)))+IF(RIGHT(TRIM(Paramètres!K21),3)="Fin",1-$H561,IF(LEFT(TRIM(Paramètres!K21),1)="F",1,0)))),IF(Paramètres!L21="",0,IF(Paramètres!M21="",NA(),IF(LEFT(TRIM(Paramètres!M21),1)="F",INDEX($F$545:$F$597,MATCH(Paramètres!L21,Paramètres!$G$5:$G$57,0)),INDEX($E$545:$E$597,MATCH(Paramètres!L21,Paramètres!$G$5:$G$57,0)))+IF(RIGHT(TRIM(Paramètres!M21),3)="Fin",1-$H561,IF(LEFT(TRIM(Paramètres!M21),1)="F",1,0)))),IF(Paramètres!N21="",0,IF(Paramètres!O21="",NA(),IF(LEFT(TRIM(Paramètres!O21),1)="F",INDEX($F$545:$F$597,MATCH(Paramètres!N21,Paramètres!$G$5:$G$57,0)),INDEX($E$545:$E$597,MATCH(Paramètres!N21,Paramètres!$G$5:$G$57,0)))+IF(RIGHT(TRIM(Paramètres!O21),3)="Fin",1-$H561,IF(LEFT(TRIM(Paramètres!O21),1)="F",1,0)))))))</f>
        <v/>
      </c>
      <c r="F561" s="19">
        <f>IF($A561="","",E561+$H561-1)</f>
        <v/>
      </c>
      <c r="G561" s="18" t="n"/>
      <c r="H561" s="18">
        <f>IF($A561="","",IF(I561&lt;&gt;"",I561,Paramètres!B21))</f>
        <v/>
      </c>
      <c r="I561" s="18" t="n"/>
    </row>
    <row r="562">
      <c r="A562" s="18">
        <f>IF(ISNUMBER(Dossiers!$D$14),Dossiers!$A$14&amp;" · "&amp;Dossiers!$B$14,"")</f>
        <v/>
      </c>
      <c r="B562" s="18">
        <f>IF($A562="","",Paramètres!G22)</f>
        <v/>
      </c>
      <c r="C562" s="18">
        <f>IF($A562="","",IF(Paramètres!H22="","",Paramètres!H22))</f>
        <v/>
      </c>
      <c r="D562" s="18">
        <f>IF($A562="","",IF(Paramètres!I22="","",Paramètres!I22))</f>
        <v/>
      </c>
      <c r="E562" s="19">
        <f>IF($A562="","",IF(Paramètres!J22&amp;Paramètres!L22&amp;Paramètres!N22="",Dossiers!$D$14,MAX(IF(Paramètres!J22="",0,IF(Paramètres!K22="",NA(),IF(LEFT(TRIM(Paramètres!K22),1)="F",INDEX($F$545:$F$597,MATCH(Paramètres!J22,Paramètres!$G$5:$G$57,0)),INDEX($E$545:$E$597,MATCH(Paramètres!J22,Paramètres!$G$5:$G$57,0)))+IF(RIGHT(TRIM(Paramètres!K22),3)="Fin",1-$H562,IF(LEFT(TRIM(Paramètres!K22),1)="F",1,0)))),IF(Paramètres!L22="",0,IF(Paramètres!M22="",NA(),IF(LEFT(TRIM(Paramètres!M22),1)="F",INDEX($F$545:$F$597,MATCH(Paramètres!L22,Paramètres!$G$5:$G$57,0)),INDEX($E$545:$E$597,MATCH(Paramètres!L22,Paramètres!$G$5:$G$57,0)))+IF(RIGHT(TRIM(Paramètres!M22),3)="Fin",1-$H562,IF(LEFT(TRIM(Paramètres!M22),1)="F",1,0)))),IF(Paramètres!N22="",0,IF(Paramètres!O22="",NA(),IF(LEFT(TRIM(Paramètres!O22),1)="F",INDEX($F$545:$F$597,MATCH(Paramètres!N22,Paramètres!$G$5:$G$57,0)),INDEX($E$545:$E$597,MATCH(Paramètres!N22,Paramètres!$G$5:$G$57,0)))+IF(RIGHT(TRIM(Paramètres!O22),3)="Fin",1-$H562,IF(LEFT(TRIM(Paramètres!O22),1)="F",1,0)))))))</f>
        <v/>
      </c>
      <c r="F562" s="19">
        <f>IF($A562="","",E562+$H562-1)</f>
        <v/>
      </c>
      <c r="G562" s="18" t="n"/>
      <c r="H562" s="18">
        <f>IF($A562="","",IF(I562&lt;&gt;"",I562,Paramètres!B22))</f>
        <v/>
      </c>
      <c r="I562" s="18" t="n"/>
    </row>
    <row r="563">
      <c r="A563" s="18">
        <f>IF(ISNUMBER(Dossiers!$D$14),Dossiers!$A$14&amp;" · "&amp;Dossiers!$B$14,"")</f>
        <v/>
      </c>
      <c r="B563" s="18">
        <f>IF($A563="","",Paramètres!G23)</f>
        <v/>
      </c>
      <c r="C563" s="18">
        <f>IF($A563="","",IF(Paramètres!H23="","",Paramètres!H23))</f>
        <v/>
      </c>
      <c r="D563" s="18">
        <f>IF($A563="","",IF(Paramètres!I23="","",Paramètres!I23))</f>
        <v/>
      </c>
      <c r="E563" s="19">
        <f>IF($A563="","",IF(Paramètres!J23&amp;Paramètres!L23&amp;Paramètres!N23="",Dossiers!$D$14,MAX(IF(Paramètres!J23="",0,IF(Paramètres!K23="",NA(),IF(LEFT(TRIM(Paramètres!K23),1)="F",INDEX($F$545:$F$597,MATCH(Paramètres!J23,Paramètres!$G$5:$G$57,0)),INDEX($E$545:$E$597,MATCH(Paramètres!J23,Paramètres!$G$5:$G$57,0)))+IF(RIGHT(TRIM(Paramètres!K23),3)="Fin",1-$H563,IF(LEFT(TRIM(Paramètres!K23),1)="F",1,0)))),IF(Paramètres!L23="",0,IF(Paramètres!M23="",NA(),IF(LEFT(TRIM(Paramètres!M23),1)="F",INDEX($F$545:$F$597,MATCH(Paramètres!L23,Paramètres!$G$5:$G$57,0)),INDEX($E$545:$E$597,MATCH(Paramètres!L23,Paramètres!$G$5:$G$57,0)))+IF(RIGHT(TRIM(Paramètres!M23),3)="Fin",1-$H563,IF(LEFT(TRIM(Paramètres!M23),1)="F",1,0)))),IF(Paramètres!N23="",0,IF(Paramètres!O23="",NA(),IF(LEFT(TRIM(Paramètres!O23),1)="F",INDEX($F$545:$F$597,MATCH(Paramètres!N23,Paramètres!$G$5:$G$57,0)),INDEX($E$545:$E$597,MATCH(Paramètres!N23,Paramètres!$G$5:$G$57,0)))+IF(RIGHT(TRIM(Paramètres!O23),3)="Fin",1-$H563,IF(LEFT(TRIM(Paramètres!O23),1)="F",1,0)))))))</f>
        <v/>
      </c>
      <c r="F563" s="19">
        <f>IF($A563="","",E563+$H563-1)</f>
        <v/>
      </c>
      <c r="G563" s="18" t="n"/>
      <c r="H563" s="18">
        <f>IF($A563="","",IF(I563&lt;&gt;"",I563,Paramètres!B23))</f>
        <v/>
      </c>
      <c r="I563" s="18" t="n"/>
    </row>
    <row r="564">
      <c r="A564" s="18">
        <f>IF(ISNUMBER(Dossiers!$D$14),Dossiers!$A$14&amp;" · "&amp;Dossiers!$B$14,"")</f>
        <v/>
      </c>
      <c r="B564" s="18">
        <f>IF($A564="","",Paramètres!G24)</f>
        <v/>
      </c>
      <c r="C564" s="18">
        <f>IF($A564="","",IF(Paramètres!H24="","",Paramètres!H24))</f>
        <v/>
      </c>
      <c r="D564" s="18">
        <f>IF($A564="","",IF(Paramètres!I24="","",Paramètres!I24))</f>
        <v/>
      </c>
      <c r="E564" s="19">
        <f>IF($A564="","",IF(Paramètres!J24&amp;Paramètres!L24&amp;Paramètres!N24="",Dossiers!$D$14,MAX(IF(Paramètres!J24="",0,IF(Paramètres!K24="",NA(),IF(LEFT(TRIM(Paramètres!K24),1)="F",INDEX($F$545:$F$597,MATCH(Paramètres!J24,Paramètres!$G$5:$G$57,0)),INDEX($E$545:$E$597,MATCH(Paramètres!J24,Paramètres!$G$5:$G$57,0)))+IF(RIGHT(TRIM(Paramètres!K24),3)="Fin",1-$H564,IF(LEFT(TRIM(Paramètres!K24),1)="F",1,0)))),IF(Paramètres!L24="",0,IF(Paramètres!M24="",NA(),IF(LEFT(TRIM(Paramètres!M24),1)="F",INDEX($F$545:$F$597,MATCH(Paramètres!L24,Paramètres!$G$5:$G$57,0)),INDEX($E$545:$E$597,MATCH(Paramètres!L24,Paramètres!$G$5:$G$57,0)))+IF(RIGHT(TRIM(Paramètres!M24),3)="Fin",1-$H564,IF(LEFT(TRIM(Paramètres!M24),1)="F",1,0)))),IF(Paramètres!N24="",0,IF(Paramètres!O24="",NA(),IF(LEFT(TRIM(Paramètres!O24),1)="F",INDEX($F$545:$F$597,MATCH(Paramètres!N24,Paramètres!$G$5:$G$57,0)),INDEX($E$545:$E$597,MATCH(Paramètres!N24,Paramètres!$G$5:$G$57,0)))+IF(RIGHT(TRIM(Paramètres!O24),3)="Fin",1-$H564,IF(LEFT(TRIM(Paramètres!O24),1)="F",1,0)))))))</f>
        <v/>
      </c>
      <c r="F564" s="19">
        <f>IF($A564="","",E564+$H564-1)</f>
        <v/>
      </c>
      <c r="G564" s="18" t="n"/>
      <c r="H564" s="18">
        <f>IF($A564="","",IF(I564&lt;&gt;"",I564,Paramètres!B24))</f>
        <v/>
      </c>
      <c r="I564" s="18" t="n"/>
    </row>
    <row r="565">
      <c r="A565" s="18">
        <f>IF(ISNUMBER(Dossiers!$D$14),Dossiers!$A$14&amp;" · "&amp;Dossiers!$B$14,"")</f>
        <v/>
      </c>
      <c r="B565" s="18">
        <f>IF($A565="","",Paramètres!G25)</f>
        <v/>
      </c>
      <c r="C565" s="18">
        <f>IF($A565="","",IF(Paramètres!H25="","",Paramètres!H25))</f>
        <v/>
      </c>
      <c r="D565" s="18">
        <f>IF($A565="","",IF(Paramètres!I25="","",Paramètres!I25))</f>
        <v/>
      </c>
      <c r="E565" s="19">
        <f>IF($A565="","",IF(Paramètres!J25&amp;Paramètres!L25&amp;Paramètres!N25="",Dossiers!$D$14,MAX(IF(Paramètres!J25="",0,IF(Paramètres!K25="",NA(),IF(LEFT(TRIM(Paramètres!K25),1)="F",INDEX($F$545:$F$597,MATCH(Paramètres!J25,Paramètres!$G$5:$G$57,0)),INDEX($E$545:$E$597,MATCH(Paramètres!J25,Paramètres!$G$5:$G$57,0)))+IF(RIGHT(TRIM(Paramètres!K25),3)="Fin",1-$H565,IF(LEFT(TRIM(Paramètres!K25),1)="F",1,0)))),IF(Paramètres!L25="",0,IF(Paramètres!M25="",NA(),IF(LEFT(TRIM(Paramètres!M25),1)="F",INDEX($F$545:$F$597,MATCH(Paramètres!L25,Paramètres!$G$5:$G$57,0)),INDEX($E$545:$E$597,MATCH(Paramètres!L25,Paramètres!$G$5:$G$57,0)))+IF(RIGHT(TRIM(Paramètres!M25),3)="Fin",1-$H565,IF(LEFT(TRIM(Paramètres!M25),1)="F",1,0)))),IF(Paramètres!N25="",0,IF(Paramètres!O25="",NA(),IF(LEFT(TRIM(Paramètres!O25),1)="F",INDEX($F$545:$F$597,MATCH(Paramètres!N25,Paramètres!$G$5:$G$57,0)),INDEX($E$545:$E$597,MATCH(Paramètres!N25,Paramètres!$G$5:$G$57,0)))+IF(RIGHT(TRIM(Paramètres!O25),3)="Fin",1-$H565,IF(LEFT(TRIM(Paramètres!O25),1)="F",1,0)))))))</f>
        <v/>
      </c>
      <c r="F565" s="19">
        <f>IF($A565="","",E565+$H565-1)</f>
        <v/>
      </c>
      <c r="G565" s="18" t="n"/>
      <c r="H565" s="18">
        <f>IF($A565="","",IF(I565&lt;&gt;"",I565,Paramètres!B25))</f>
        <v/>
      </c>
      <c r="I565" s="18" t="n"/>
    </row>
    <row r="566">
      <c r="A566" s="18">
        <f>IF(ISNUMBER(Dossiers!$D$14),Dossiers!$A$14&amp;" · "&amp;Dossiers!$B$14,"")</f>
        <v/>
      </c>
      <c r="B566" s="18">
        <f>IF($A566="","",Paramètres!G26)</f>
        <v/>
      </c>
      <c r="C566" s="18">
        <f>IF($A566="","",IF(Paramètres!H26="","",Paramètres!H26))</f>
        <v/>
      </c>
      <c r="D566" s="18">
        <f>IF($A566="","",IF(Paramètres!I26="","",Paramètres!I26))</f>
        <v/>
      </c>
      <c r="E566" s="19">
        <f>IF($A566="","",IF(Paramètres!J26&amp;Paramètres!L26&amp;Paramètres!N26="",Dossiers!$D$14,MAX(IF(Paramètres!J26="",0,IF(Paramètres!K26="",NA(),IF(LEFT(TRIM(Paramètres!K26),1)="F",INDEX($F$545:$F$597,MATCH(Paramètres!J26,Paramètres!$G$5:$G$57,0)),INDEX($E$545:$E$597,MATCH(Paramètres!J26,Paramètres!$G$5:$G$57,0)))+IF(RIGHT(TRIM(Paramètres!K26),3)="Fin",1-$H566,IF(LEFT(TRIM(Paramètres!K26),1)="F",1,0)))),IF(Paramètres!L26="",0,IF(Paramètres!M26="",NA(),IF(LEFT(TRIM(Paramètres!M26),1)="F",INDEX($F$545:$F$597,MATCH(Paramètres!L26,Paramètres!$G$5:$G$57,0)),INDEX($E$545:$E$597,MATCH(Paramètres!L26,Paramètres!$G$5:$G$57,0)))+IF(RIGHT(TRIM(Paramètres!M26),3)="Fin",1-$H566,IF(LEFT(TRIM(Paramètres!M26),1)="F",1,0)))),IF(Paramètres!N26="",0,IF(Paramètres!O26="",NA(),IF(LEFT(TRIM(Paramètres!O26),1)="F",INDEX($F$545:$F$597,MATCH(Paramètres!N26,Paramètres!$G$5:$G$57,0)),INDEX($E$545:$E$597,MATCH(Paramètres!N26,Paramètres!$G$5:$G$57,0)))+IF(RIGHT(TRIM(Paramètres!O26),3)="Fin",1-$H566,IF(LEFT(TRIM(Paramètres!O26),1)="F",1,0)))))))</f>
        <v/>
      </c>
      <c r="F566" s="19">
        <f>IF($A566="","",E566+$H566-1)</f>
        <v/>
      </c>
      <c r="G566" s="18" t="n"/>
      <c r="H566" s="18">
        <f>IF($A566="","",IF(I566&lt;&gt;"",I566,Paramètres!B26))</f>
        <v/>
      </c>
      <c r="I566" s="18" t="n"/>
    </row>
    <row r="567">
      <c r="A567" s="18">
        <f>IF(ISNUMBER(Dossiers!$D$14),Dossiers!$A$14&amp;" · "&amp;Dossiers!$B$14,"")</f>
        <v/>
      </c>
      <c r="B567" s="18">
        <f>IF($A567="","",Paramètres!G27)</f>
        <v/>
      </c>
      <c r="C567" s="18">
        <f>IF($A567="","",IF(Paramètres!H27="","",Paramètres!H27))</f>
        <v/>
      </c>
      <c r="D567" s="18">
        <f>IF($A567="","",IF(Paramètres!I27="","",Paramètres!I27))</f>
        <v/>
      </c>
      <c r="E567" s="19">
        <f>IF($A567="","",IF(Paramètres!J27&amp;Paramètres!L27&amp;Paramètres!N27="",Dossiers!$D$14,MAX(IF(Paramètres!J27="",0,IF(Paramètres!K27="",NA(),IF(LEFT(TRIM(Paramètres!K27),1)="F",INDEX($F$545:$F$597,MATCH(Paramètres!J27,Paramètres!$G$5:$G$57,0)),INDEX($E$545:$E$597,MATCH(Paramètres!J27,Paramètres!$G$5:$G$57,0)))+IF(RIGHT(TRIM(Paramètres!K27),3)="Fin",1-$H567,IF(LEFT(TRIM(Paramètres!K27),1)="F",1,0)))),IF(Paramètres!L27="",0,IF(Paramètres!M27="",NA(),IF(LEFT(TRIM(Paramètres!M27),1)="F",INDEX($F$545:$F$597,MATCH(Paramètres!L27,Paramètres!$G$5:$G$57,0)),INDEX($E$545:$E$597,MATCH(Paramètres!L27,Paramètres!$G$5:$G$57,0)))+IF(RIGHT(TRIM(Paramètres!M27),3)="Fin",1-$H567,IF(LEFT(TRIM(Paramètres!M27),1)="F",1,0)))),IF(Paramètres!N27="",0,IF(Paramètres!O27="",NA(),IF(LEFT(TRIM(Paramètres!O27),1)="F",INDEX($F$545:$F$597,MATCH(Paramètres!N27,Paramètres!$G$5:$G$57,0)),INDEX($E$545:$E$597,MATCH(Paramètres!N27,Paramètres!$G$5:$G$57,0)))+IF(RIGHT(TRIM(Paramètres!O27),3)="Fin",1-$H567,IF(LEFT(TRIM(Paramètres!O27),1)="F",1,0)))))))</f>
        <v/>
      </c>
      <c r="F567" s="19">
        <f>IF($A567="","",E567+$H567-1)</f>
        <v/>
      </c>
      <c r="G567" s="18" t="n"/>
      <c r="H567" s="18">
        <f>IF($A567="","",IF(I567&lt;&gt;"",I567,Paramètres!B27))</f>
        <v/>
      </c>
      <c r="I567" s="18" t="n"/>
    </row>
    <row r="568">
      <c r="A568" s="18">
        <f>IF(ISNUMBER(Dossiers!$D$14),Dossiers!$A$14&amp;" · "&amp;Dossiers!$B$14,"")</f>
        <v/>
      </c>
      <c r="B568" s="18">
        <f>IF($A568="","",Paramètres!G28)</f>
        <v/>
      </c>
      <c r="C568" s="18">
        <f>IF($A568="","",IF(Paramètres!H28="","",Paramètres!H28))</f>
        <v/>
      </c>
      <c r="D568" s="18">
        <f>IF($A568="","",IF(Paramètres!I28="","",Paramètres!I28))</f>
        <v/>
      </c>
      <c r="E568" s="19">
        <f>IF($A568="","",IF(Paramètres!J28&amp;Paramètres!L28&amp;Paramètres!N28="",Dossiers!$D$14,MAX(IF(Paramètres!J28="",0,IF(Paramètres!K28="",NA(),IF(LEFT(TRIM(Paramètres!K28),1)="F",INDEX($F$545:$F$597,MATCH(Paramètres!J28,Paramètres!$G$5:$G$57,0)),INDEX($E$545:$E$597,MATCH(Paramètres!J28,Paramètres!$G$5:$G$57,0)))+IF(RIGHT(TRIM(Paramètres!K28),3)="Fin",1-$H568,IF(LEFT(TRIM(Paramètres!K28),1)="F",1,0)))),IF(Paramètres!L28="",0,IF(Paramètres!M28="",NA(),IF(LEFT(TRIM(Paramètres!M28),1)="F",INDEX($F$545:$F$597,MATCH(Paramètres!L28,Paramètres!$G$5:$G$57,0)),INDEX($E$545:$E$597,MATCH(Paramètres!L28,Paramètres!$G$5:$G$57,0)))+IF(RIGHT(TRIM(Paramètres!M28),3)="Fin",1-$H568,IF(LEFT(TRIM(Paramètres!M28),1)="F",1,0)))),IF(Paramètres!N28="",0,IF(Paramètres!O28="",NA(),IF(LEFT(TRIM(Paramètres!O28),1)="F",INDEX($F$545:$F$597,MATCH(Paramètres!N28,Paramètres!$G$5:$G$57,0)),INDEX($E$545:$E$597,MATCH(Paramètres!N28,Paramètres!$G$5:$G$57,0)))+IF(RIGHT(TRIM(Paramètres!O28),3)="Fin",1-$H568,IF(LEFT(TRIM(Paramètres!O28),1)="F",1,0)))))))</f>
        <v/>
      </c>
      <c r="F568" s="19">
        <f>IF($A568="","",E568+$H568-1)</f>
        <v/>
      </c>
      <c r="G568" s="18" t="n"/>
      <c r="H568" s="18">
        <f>IF($A568="","",IF(I568&lt;&gt;"",I568,Paramètres!B28))</f>
        <v/>
      </c>
      <c r="I568" s="18" t="n"/>
    </row>
    <row r="569">
      <c r="A569" s="18">
        <f>IF(ISNUMBER(Dossiers!$D$14),Dossiers!$A$14&amp;" · "&amp;Dossiers!$B$14,"")</f>
        <v/>
      </c>
      <c r="B569" s="18">
        <f>IF($A569="","",Paramètres!G29)</f>
        <v/>
      </c>
      <c r="C569" s="18">
        <f>IF($A569="","",IF(Paramètres!H29="","",Paramètres!H29))</f>
        <v/>
      </c>
      <c r="D569" s="18">
        <f>IF($A569="","",IF(Paramètres!I29="","",Paramètres!I29))</f>
        <v/>
      </c>
      <c r="E569" s="19">
        <f>IF($A569="","",IF(Paramètres!J29&amp;Paramètres!L29&amp;Paramètres!N29="",Dossiers!$D$14,MAX(IF(Paramètres!J29="",0,IF(Paramètres!K29="",NA(),IF(LEFT(TRIM(Paramètres!K29),1)="F",INDEX($F$545:$F$597,MATCH(Paramètres!J29,Paramètres!$G$5:$G$57,0)),INDEX($E$545:$E$597,MATCH(Paramètres!J29,Paramètres!$G$5:$G$57,0)))+IF(RIGHT(TRIM(Paramètres!K29),3)="Fin",1-$H569,IF(LEFT(TRIM(Paramètres!K29),1)="F",1,0)))),IF(Paramètres!L29="",0,IF(Paramètres!M29="",NA(),IF(LEFT(TRIM(Paramètres!M29),1)="F",INDEX($F$545:$F$597,MATCH(Paramètres!L29,Paramètres!$G$5:$G$57,0)),INDEX($E$545:$E$597,MATCH(Paramètres!L29,Paramètres!$G$5:$G$57,0)))+IF(RIGHT(TRIM(Paramètres!M29),3)="Fin",1-$H569,IF(LEFT(TRIM(Paramètres!M29),1)="F",1,0)))),IF(Paramètres!N29="",0,IF(Paramètres!O29="",NA(),IF(LEFT(TRIM(Paramètres!O29),1)="F",INDEX($F$545:$F$597,MATCH(Paramètres!N29,Paramètres!$G$5:$G$57,0)),INDEX($E$545:$E$597,MATCH(Paramètres!N29,Paramètres!$G$5:$G$57,0)))+IF(RIGHT(TRIM(Paramètres!O29),3)="Fin",1-$H569,IF(LEFT(TRIM(Paramètres!O29),1)="F",1,0)))))))</f>
        <v/>
      </c>
      <c r="F569" s="19">
        <f>IF($A569="","",E569+$H569-1)</f>
        <v/>
      </c>
      <c r="G569" s="18" t="n"/>
      <c r="H569" s="18">
        <f>IF($A569="","",IF(I569&lt;&gt;"",I569,Paramètres!B29))</f>
        <v/>
      </c>
      <c r="I569" s="18" t="n"/>
    </row>
    <row r="570">
      <c r="A570" s="18">
        <f>IF(ISNUMBER(Dossiers!$D$14),Dossiers!$A$14&amp;" · "&amp;Dossiers!$B$14,"")</f>
        <v/>
      </c>
      <c r="B570" s="18">
        <f>IF($A570="","",Paramètres!G30)</f>
        <v/>
      </c>
      <c r="C570" s="18">
        <f>IF($A570="","",IF(Paramètres!H30="","",Paramètres!H30))</f>
        <v/>
      </c>
      <c r="D570" s="18">
        <f>IF($A570="","",IF(Paramètres!I30="","",Paramètres!I30))</f>
        <v/>
      </c>
      <c r="E570" s="19">
        <f>IF($A570="","",IF(Paramètres!J30&amp;Paramètres!L30&amp;Paramètres!N30="",Dossiers!$D$14,MAX(IF(Paramètres!J30="",0,IF(Paramètres!K30="",NA(),IF(LEFT(TRIM(Paramètres!K30),1)="F",INDEX($F$545:$F$597,MATCH(Paramètres!J30,Paramètres!$G$5:$G$57,0)),INDEX($E$545:$E$597,MATCH(Paramètres!J30,Paramètres!$G$5:$G$57,0)))+IF(RIGHT(TRIM(Paramètres!K30),3)="Fin",1-$H570,IF(LEFT(TRIM(Paramètres!K30),1)="F",1,0)))),IF(Paramètres!L30="",0,IF(Paramètres!M30="",NA(),IF(LEFT(TRIM(Paramètres!M30),1)="F",INDEX($F$545:$F$597,MATCH(Paramètres!L30,Paramètres!$G$5:$G$57,0)),INDEX($E$545:$E$597,MATCH(Paramètres!L30,Paramètres!$G$5:$G$57,0)))+IF(RIGHT(TRIM(Paramètres!M30),3)="Fin",1-$H570,IF(LEFT(TRIM(Paramètres!M30),1)="F",1,0)))),IF(Paramètres!N30="",0,IF(Paramètres!O30="",NA(),IF(LEFT(TRIM(Paramètres!O30),1)="F",INDEX($F$545:$F$597,MATCH(Paramètres!N30,Paramètres!$G$5:$G$57,0)),INDEX($E$545:$E$597,MATCH(Paramètres!N30,Paramètres!$G$5:$G$57,0)))+IF(RIGHT(TRIM(Paramètres!O30),3)="Fin",1-$H570,IF(LEFT(TRIM(Paramètres!O30),1)="F",1,0)))))))</f>
        <v/>
      </c>
      <c r="F570" s="19">
        <f>IF($A570="","",E570+$H570-1)</f>
        <v/>
      </c>
      <c r="G570" s="18" t="n"/>
      <c r="H570" s="18">
        <f>IF($A570="","",IF(I570&lt;&gt;"",I570,Paramètres!B30))</f>
        <v/>
      </c>
      <c r="I570" s="18" t="n"/>
    </row>
    <row r="571">
      <c r="A571" s="18">
        <f>IF(ISNUMBER(Dossiers!$D$14),Dossiers!$A$14&amp;" · "&amp;Dossiers!$B$14,"")</f>
        <v/>
      </c>
      <c r="B571" s="18">
        <f>IF($A571="","",Paramètres!G31)</f>
        <v/>
      </c>
      <c r="C571" s="20">
        <f>IF($A571="","",IF(Dossiers!$F$14="","",Dossiers!$F$14))</f>
        <v/>
      </c>
      <c r="D571" s="18">
        <f>IF($A571="","",IF(Paramètres!I31="","",Paramètres!I31))</f>
        <v/>
      </c>
      <c r="E571" s="19">
        <f>IF($A571="","",IF(Paramètres!J31&amp;Paramètres!L31&amp;Paramètres!N31="",Dossiers!$D$14,MAX(IF(Paramètres!J31="",0,IF(Paramètres!K31="",NA(),IF(LEFT(TRIM(Paramètres!K31),1)="F",INDEX($F$545:$F$597,MATCH(Paramètres!J31,Paramètres!$G$5:$G$57,0)),INDEX($E$545:$E$597,MATCH(Paramètres!J31,Paramètres!$G$5:$G$57,0)))+IF(RIGHT(TRIM(Paramètres!K31),3)="Fin",1-$H571,IF(LEFT(TRIM(Paramètres!K31),1)="F",1,0)))),IF(Paramètres!L31="",0,IF(Paramètres!M31="",NA(),IF(LEFT(TRIM(Paramètres!M31),1)="F",INDEX($F$545:$F$597,MATCH(Paramètres!L31,Paramètres!$G$5:$G$57,0)),INDEX($E$545:$E$597,MATCH(Paramètres!L31,Paramètres!$G$5:$G$57,0)))+IF(RIGHT(TRIM(Paramètres!M31),3)="Fin",1-$H571,IF(LEFT(TRIM(Paramètres!M31),1)="F",1,0)))),IF(Paramètres!N31="",0,IF(Paramètres!O31="",NA(),IF(LEFT(TRIM(Paramètres!O31),1)="F",INDEX($F$545:$F$597,MATCH(Paramètres!N31,Paramètres!$G$5:$G$57,0)),INDEX($E$545:$E$597,MATCH(Paramètres!N31,Paramètres!$G$5:$G$57,0)))+IF(RIGHT(TRIM(Paramètres!O31),3)="Fin",1-$H571,IF(LEFT(TRIM(Paramètres!O31),1)="F",1,0)))))))</f>
        <v/>
      </c>
      <c r="F571" s="19">
        <f>IF($A571="","",E571+$H571-1)</f>
        <v/>
      </c>
      <c r="G571" s="18" t="n"/>
      <c r="H571" s="18">
        <f>IF($A571="","",IF(I571&lt;&gt;"",I571,Paramètres!B31))</f>
        <v/>
      </c>
      <c r="I571" s="18" t="n"/>
    </row>
    <row r="572">
      <c r="A572" s="18">
        <f>IF(ISNUMBER(Dossiers!$D$14),Dossiers!$A$14&amp;" · "&amp;Dossiers!$B$14,"")</f>
        <v/>
      </c>
      <c r="B572" s="18">
        <f>IF($A572="","",Paramètres!G32)</f>
        <v/>
      </c>
      <c r="C572" s="18">
        <f>IF($A572="","",IF(Paramètres!H32="","",Paramètres!H32))</f>
        <v/>
      </c>
      <c r="D572" s="18">
        <f>IF($A572="","",IF(Paramètres!I32="","",Paramètres!I32))</f>
        <v/>
      </c>
      <c r="E572" s="19">
        <f>IF($A572="","",MIN(E573:E576))</f>
        <v/>
      </c>
      <c r="F572" s="19">
        <f>IF($A572="","",MAX(F573:F576))</f>
        <v/>
      </c>
      <c r="G572" s="18" t="n"/>
      <c r="H572" s="18">
        <f>IF($A572="","",F572-E572+1)</f>
        <v/>
      </c>
      <c r="I572" s="18" t="n"/>
    </row>
    <row r="573">
      <c r="A573" s="18">
        <f>IF(ISNUMBER(Dossiers!$D$14),Dossiers!$A$14&amp;" · "&amp;Dossiers!$B$14,"")</f>
        <v/>
      </c>
      <c r="B573" s="18">
        <f>IF($A573="","",Paramètres!G33)</f>
        <v/>
      </c>
      <c r="C573" s="18">
        <f>IF($A573="","",IF(Paramètres!H33="","",Paramètres!H33))</f>
        <v/>
      </c>
      <c r="D573" s="18">
        <f>IF($A573="","",IF(Paramètres!I33="","",Paramètres!I33))</f>
        <v/>
      </c>
      <c r="E573" s="19">
        <f>IF($A573="","",IF(Paramètres!J33&amp;Paramètres!L33&amp;Paramètres!N33="",Dossiers!$D$14,MAX(IF(Paramètres!J33="",0,IF(Paramètres!K33="",NA(),IF(LEFT(TRIM(Paramètres!K33),1)="F",INDEX($F$545:$F$597,MATCH(Paramètres!J33,Paramètres!$G$5:$G$57,0)),INDEX($E$545:$E$597,MATCH(Paramètres!J33,Paramètres!$G$5:$G$57,0)))+IF(RIGHT(TRIM(Paramètres!K33),3)="Fin",1-$H573,IF(LEFT(TRIM(Paramètres!K33),1)="F",1,0)))),IF(Paramètres!L33="",0,IF(Paramètres!M33="",NA(),IF(LEFT(TRIM(Paramètres!M33),1)="F",INDEX($F$545:$F$597,MATCH(Paramètres!L33,Paramètres!$G$5:$G$57,0)),INDEX($E$545:$E$597,MATCH(Paramètres!L33,Paramètres!$G$5:$G$57,0)))+IF(RIGHT(TRIM(Paramètres!M33),3)="Fin",1-$H573,IF(LEFT(TRIM(Paramètres!M33),1)="F",1,0)))),IF(Paramètres!N33="",0,IF(Paramètres!O33="",NA(),IF(LEFT(TRIM(Paramètres!O33),1)="F",INDEX($F$545:$F$597,MATCH(Paramètres!N33,Paramètres!$G$5:$G$57,0)),INDEX($E$545:$E$597,MATCH(Paramètres!N33,Paramètres!$G$5:$G$57,0)))+IF(RIGHT(TRIM(Paramètres!O33),3)="Fin",1-$H573,IF(LEFT(TRIM(Paramètres!O33),1)="F",1,0)))))))</f>
        <v/>
      </c>
      <c r="F573" s="19">
        <f>IF($A573="","",E573+$H573-1)</f>
        <v/>
      </c>
      <c r="G573" s="18" t="n"/>
      <c r="H573" s="18">
        <f>IF($A573="","",IF(I573&lt;&gt;"",I573,Paramètres!B33))</f>
        <v/>
      </c>
      <c r="I573" s="18" t="n"/>
    </row>
    <row r="574">
      <c r="A574" s="18">
        <f>IF(ISNUMBER(Dossiers!$D$14),Dossiers!$A$14&amp;" · "&amp;Dossiers!$B$14,"")</f>
        <v/>
      </c>
      <c r="B574" s="18">
        <f>IF($A574="","",Paramètres!G34)</f>
        <v/>
      </c>
      <c r="C574" s="18">
        <f>IF($A574="","",IF(Paramètres!H34="","",Paramètres!H34))</f>
        <v/>
      </c>
      <c r="D574" s="18">
        <f>IF($A574="","",IF(Paramètres!I34="","",Paramètres!I34))</f>
        <v/>
      </c>
      <c r="E574" s="19">
        <f>IF($A574="","",IF(Paramètres!J34&amp;Paramètres!L34&amp;Paramètres!N34="",Dossiers!$D$14,MAX(IF(Paramètres!J34="",0,IF(Paramètres!K34="",NA(),IF(LEFT(TRIM(Paramètres!K34),1)="F",INDEX($F$545:$F$597,MATCH(Paramètres!J34,Paramètres!$G$5:$G$57,0)),INDEX($E$545:$E$597,MATCH(Paramètres!J34,Paramètres!$G$5:$G$57,0)))+IF(RIGHT(TRIM(Paramètres!K34),3)="Fin",1-$H574,IF(LEFT(TRIM(Paramètres!K34),1)="F",1,0)))),IF(Paramètres!L34="",0,IF(Paramètres!M34="",NA(),IF(LEFT(TRIM(Paramètres!M34),1)="F",INDEX($F$545:$F$597,MATCH(Paramètres!L34,Paramètres!$G$5:$G$57,0)),INDEX($E$545:$E$597,MATCH(Paramètres!L34,Paramètres!$G$5:$G$57,0)))+IF(RIGHT(TRIM(Paramètres!M34),3)="Fin",1-$H574,IF(LEFT(TRIM(Paramètres!M34),1)="F",1,0)))),IF(Paramètres!N34="",0,IF(Paramètres!O34="",NA(),IF(LEFT(TRIM(Paramètres!O34),1)="F",INDEX($F$545:$F$597,MATCH(Paramètres!N34,Paramètres!$G$5:$G$57,0)),INDEX($E$545:$E$597,MATCH(Paramètres!N34,Paramètres!$G$5:$G$57,0)))+IF(RIGHT(TRIM(Paramètres!O34),3)="Fin",1-$H574,IF(LEFT(TRIM(Paramètres!O34),1)="F",1,0)))))))</f>
        <v/>
      </c>
      <c r="F574" s="19">
        <f>IF($A574="","",E574+$H574-1)</f>
        <v/>
      </c>
      <c r="G574" s="18" t="n"/>
      <c r="H574" s="18">
        <f>IF($A574="","",IF(I574&lt;&gt;"",I574,Paramètres!B34))</f>
        <v/>
      </c>
      <c r="I574" s="18" t="n"/>
    </row>
    <row r="575">
      <c r="A575" s="18">
        <f>IF(ISNUMBER(Dossiers!$D$14),Dossiers!$A$14&amp;" · "&amp;Dossiers!$B$14,"")</f>
        <v/>
      </c>
      <c r="B575" s="18">
        <f>IF($A575="","",Paramètres!G35)</f>
        <v/>
      </c>
      <c r="C575" s="18">
        <f>IF($A575="","",IF(Paramètres!H35="","",Paramètres!H35))</f>
        <v/>
      </c>
      <c r="D575" s="18">
        <f>IF($A575="","",IF(Paramètres!I35="","",Paramètres!I35))</f>
        <v/>
      </c>
      <c r="E575" s="19">
        <f>IF($A575="","",IF(Paramètres!J35&amp;Paramètres!L35&amp;Paramètres!N35="",Dossiers!$D$14,MAX(IF(Paramètres!J35="",0,IF(Paramètres!K35="",NA(),IF(LEFT(TRIM(Paramètres!K35),1)="F",INDEX($F$545:$F$597,MATCH(Paramètres!J35,Paramètres!$G$5:$G$57,0)),INDEX($E$545:$E$597,MATCH(Paramètres!J35,Paramètres!$G$5:$G$57,0)))+IF(RIGHT(TRIM(Paramètres!K35),3)="Fin",1-$H575,IF(LEFT(TRIM(Paramètres!K35),1)="F",1,0)))),IF(Paramètres!L35="",0,IF(Paramètres!M35="",NA(),IF(LEFT(TRIM(Paramètres!M35),1)="F",INDEX($F$545:$F$597,MATCH(Paramètres!L35,Paramètres!$G$5:$G$57,0)),INDEX($E$545:$E$597,MATCH(Paramètres!L35,Paramètres!$G$5:$G$57,0)))+IF(RIGHT(TRIM(Paramètres!M35),3)="Fin",1-$H575,IF(LEFT(TRIM(Paramètres!M35),1)="F",1,0)))),IF(Paramètres!N35="",0,IF(Paramètres!O35="",NA(),IF(LEFT(TRIM(Paramètres!O35),1)="F",INDEX($F$545:$F$597,MATCH(Paramètres!N35,Paramètres!$G$5:$G$57,0)),INDEX($E$545:$E$597,MATCH(Paramètres!N35,Paramètres!$G$5:$G$57,0)))+IF(RIGHT(TRIM(Paramètres!O35),3)="Fin",1-$H575,IF(LEFT(TRIM(Paramètres!O35),1)="F",1,0)))))))</f>
        <v/>
      </c>
      <c r="F575" s="19">
        <f>IF($A575="","",E575+$H575-1)</f>
        <v/>
      </c>
      <c r="G575" s="18" t="n"/>
      <c r="H575" s="18">
        <f>IF($A575="","",IF(I575&lt;&gt;"",I575,Paramètres!B35))</f>
        <v/>
      </c>
      <c r="I575" s="18" t="n"/>
    </row>
    <row r="576">
      <c r="A576" s="18">
        <f>IF(ISNUMBER(Dossiers!$D$14),Dossiers!$A$14&amp;" · "&amp;Dossiers!$B$14,"")</f>
        <v/>
      </c>
      <c r="B576" s="18">
        <f>IF($A576="","",Paramètres!G36)</f>
        <v/>
      </c>
      <c r="C576" s="18">
        <f>IF($A576="","",IF(Paramètres!H36="","",Paramètres!H36))</f>
        <v/>
      </c>
      <c r="D576" s="18">
        <f>IF($A576="","",IF(Paramètres!I36="","",Paramètres!I36))</f>
        <v/>
      </c>
      <c r="E576" s="19">
        <f>IF($A576="","",IF(Paramètres!J36&amp;Paramètres!L36&amp;Paramètres!N36="",Dossiers!$D$14,MAX(IF(Paramètres!J36="",0,IF(Paramètres!K36="",NA(),IF(LEFT(TRIM(Paramètres!K36),1)="F",INDEX($F$545:$F$597,MATCH(Paramètres!J36,Paramètres!$G$5:$G$57,0)),INDEX($E$545:$E$597,MATCH(Paramètres!J36,Paramètres!$G$5:$G$57,0)))+IF(RIGHT(TRIM(Paramètres!K36),3)="Fin",1-$H576,IF(LEFT(TRIM(Paramètres!K36),1)="F",1,0)))),IF(Paramètres!L36="",0,IF(Paramètres!M36="",NA(),IF(LEFT(TRIM(Paramètres!M36),1)="F",INDEX($F$545:$F$597,MATCH(Paramètres!L36,Paramètres!$G$5:$G$57,0)),INDEX($E$545:$E$597,MATCH(Paramètres!L36,Paramètres!$G$5:$G$57,0)))+IF(RIGHT(TRIM(Paramètres!M36),3)="Fin",1-$H576,IF(LEFT(TRIM(Paramètres!M36),1)="F",1,0)))),IF(Paramètres!N36="",0,IF(Paramètres!O36="",NA(),IF(LEFT(TRIM(Paramètres!O36),1)="F",INDEX($F$545:$F$597,MATCH(Paramètres!N36,Paramètres!$G$5:$G$57,0)),INDEX($E$545:$E$597,MATCH(Paramètres!N36,Paramètres!$G$5:$G$57,0)))+IF(RIGHT(TRIM(Paramètres!O36),3)="Fin",1-$H576,IF(LEFT(TRIM(Paramètres!O36),1)="F",1,0)))))))</f>
        <v/>
      </c>
      <c r="F576" s="19">
        <f>IF($A576="","",E576+$H576-1)</f>
        <v/>
      </c>
      <c r="G576" s="18" t="n"/>
      <c r="H576" s="18">
        <f>IF($A576="","",IF(I576&lt;&gt;"",I576,Paramètres!B36))</f>
        <v/>
      </c>
      <c r="I576" s="18" t="n"/>
    </row>
    <row r="577">
      <c r="A577" s="18">
        <f>IF(ISNUMBER(Dossiers!$D$14),Dossiers!$A$14&amp;" · "&amp;Dossiers!$B$14,"")</f>
        <v/>
      </c>
      <c r="B577" s="18">
        <f>IF($A577="","",Paramètres!G37)</f>
        <v/>
      </c>
      <c r="C577" s="18">
        <f>IF($A577="","",IF(Paramètres!H37="","",Paramètres!H37))</f>
        <v/>
      </c>
      <c r="D577" s="18">
        <f>IF($A577="","",IF(Paramètres!I37="","",Paramètres!I37))</f>
        <v/>
      </c>
      <c r="E577" s="19">
        <f>IF($A577="","",MIN(E578:E595))</f>
        <v/>
      </c>
      <c r="F577" s="19">
        <f>IF($A577="","",MAX(F578:F595))</f>
        <v/>
      </c>
      <c r="G577" s="18" t="n"/>
      <c r="H577" s="18">
        <f>IF($A577="","",F577-E577+1)</f>
        <v/>
      </c>
      <c r="I577" s="18" t="n"/>
    </row>
    <row r="578">
      <c r="A578" s="18">
        <f>IF(ISNUMBER(Dossiers!$D$14),Dossiers!$A$14&amp;" · "&amp;Dossiers!$B$14,"")</f>
        <v/>
      </c>
      <c r="B578" s="18">
        <f>IF($A578="","",Paramètres!G38)</f>
        <v/>
      </c>
      <c r="C578" s="18">
        <f>IF($A578="","",IF(Paramètres!H38="","",Paramètres!H38))</f>
        <v/>
      </c>
      <c r="D578" s="18">
        <f>IF($A578="","",IF(Paramètres!I38="","",Paramètres!I38))</f>
        <v/>
      </c>
      <c r="E578" s="19">
        <f>IF($A578="","",IF(Paramètres!J38&amp;Paramètres!L38&amp;Paramètres!N38="",Dossiers!$D$14,MAX(IF(Paramètres!J38="",0,IF(Paramètres!K38="",NA(),IF(LEFT(TRIM(Paramètres!K38),1)="F",INDEX($F$545:$F$597,MATCH(Paramètres!J38,Paramètres!$G$5:$G$57,0)),INDEX($E$545:$E$597,MATCH(Paramètres!J38,Paramètres!$G$5:$G$57,0)))+IF(RIGHT(TRIM(Paramètres!K38),3)="Fin",1-$H578,IF(LEFT(TRIM(Paramètres!K38),1)="F",1,0)))),IF(Paramètres!L38="",0,IF(Paramètres!M38="",NA(),IF(LEFT(TRIM(Paramètres!M38),1)="F",INDEX($F$545:$F$597,MATCH(Paramètres!L38,Paramètres!$G$5:$G$57,0)),INDEX($E$545:$E$597,MATCH(Paramètres!L38,Paramètres!$G$5:$G$57,0)))+IF(RIGHT(TRIM(Paramètres!M38),3)="Fin",1-$H578,IF(LEFT(TRIM(Paramètres!M38),1)="F",1,0)))),IF(Paramètres!N38="",0,IF(Paramètres!O38="",NA(),IF(LEFT(TRIM(Paramètres!O38),1)="F",INDEX($F$545:$F$597,MATCH(Paramètres!N38,Paramètres!$G$5:$G$57,0)),INDEX($E$545:$E$597,MATCH(Paramètres!N38,Paramètres!$G$5:$G$57,0)))+IF(RIGHT(TRIM(Paramètres!O38),3)="Fin",1-$H578,IF(LEFT(TRIM(Paramètres!O38),1)="F",1,0)))))))</f>
        <v/>
      </c>
      <c r="F578" s="19">
        <f>IF($A578="","",E578+$H578-1)</f>
        <v/>
      </c>
      <c r="G578" s="18" t="n"/>
      <c r="H578" s="18">
        <f>IF($A578="","",IF(I578&lt;&gt;"",I578,Paramètres!B38))</f>
        <v/>
      </c>
      <c r="I578" s="18" t="n"/>
    </row>
    <row r="579">
      <c r="A579" s="18">
        <f>IF(ISNUMBER(Dossiers!$D$14),Dossiers!$A$14&amp;" · "&amp;Dossiers!$B$14,"")</f>
        <v/>
      </c>
      <c r="B579" s="18">
        <f>IF($A579="","",Paramètres!G39)</f>
        <v/>
      </c>
      <c r="C579" s="18">
        <f>IF($A579="","",IF(Paramètres!H39="","",Paramètres!H39))</f>
        <v/>
      </c>
      <c r="D579" s="18">
        <f>IF($A579="","",IF(Paramètres!I39="","",Paramètres!I39))</f>
        <v/>
      </c>
      <c r="E579" s="19">
        <f>IF($A579="","",IF(Paramètres!J39&amp;Paramètres!L39&amp;Paramètres!N39="",Dossiers!$D$14,MAX(IF(Paramètres!J39="",0,IF(Paramètres!K39="",NA(),IF(LEFT(TRIM(Paramètres!K39),1)="F",INDEX($F$545:$F$597,MATCH(Paramètres!J39,Paramètres!$G$5:$G$57,0)),INDEX($E$545:$E$597,MATCH(Paramètres!J39,Paramètres!$G$5:$G$57,0)))+IF(RIGHT(TRIM(Paramètres!K39),3)="Fin",1-$H579,IF(LEFT(TRIM(Paramètres!K39),1)="F",1,0)))),IF(Paramètres!L39="",0,IF(Paramètres!M39="",NA(),IF(LEFT(TRIM(Paramètres!M39),1)="F",INDEX($F$545:$F$597,MATCH(Paramètres!L39,Paramètres!$G$5:$G$57,0)),INDEX($E$545:$E$597,MATCH(Paramètres!L39,Paramètres!$G$5:$G$57,0)))+IF(RIGHT(TRIM(Paramètres!M39),3)="Fin",1-$H579,IF(LEFT(TRIM(Paramètres!M39),1)="F",1,0)))),IF(Paramètres!N39="",0,IF(Paramètres!O39="",NA(),IF(LEFT(TRIM(Paramètres!O39),1)="F",INDEX($F$545:$F$597,MATCH(Paramètres!N39,Paramètres!$G$5:$G$57,0)),INDEX($E$545:$E$597,MATCH(Paramètres!N39,Paramètres!$G$5:$G$57,0)))+IF(RIGHT(TRIM(Paramètres!O39),3)="Fin",1-$H579,IF(LEFT(TRIM(Paramètres!O39),1)="F",1,0)))))))</f>
        <v/>
      </c>
      <c r="F579" s="19">
        <f>IF($A579="","",E579+$H579-1)</f>
        <v/>
      </c>
      <c r="G579" s="18" t="n"/>
      <c r="H579" s="18">
        <f>IF($A579="","",IF(I579&lt;&gt;"",I579,Paramètres!B39))</f>
        <v/>
      </c>
      <c r="I579" s="18" t="n"/>
    </row>
    <row r="580">
      <c r="A580" s="18">
        <f>IF(ISNUMBER(Dossiers!$D$14),Dossiers!$A$14&amp;" · "&amp;Dossiers!$B$14,"")</f>
        <v/>
      </c>
      <c r="B580" s="18">
        <f>IF($A580="","",Paramètres!G40)</f>
        <v/>
      </c>
      <c r="C580" s="18">
        <f>IF($A580="","",IF(Paramètres!H40="","",Paramètres!H40))</f>
        <v/>
      </c>
      <c r="D580" s="18">
        <f>IF($A580="","",IF(Paramètres!I40="","",Paramètres!I40))</f>
        <v/>
      </c>
      <c r="E580" s="19">
        <f>IF($A580="","",IF(Paramètres!J40&amp;Paramètres!L40&amp;Paramètres!N40="",Dossiers!$D$14,MAX(IF(Paramètres!J40="",0,IF(Paramètres!K40="",NA(),IF(LEFT(TRIM(Paramètres!K40),1)="F",INDEX($F$545:$F$597,MATCH(Paramètres!J40,Paramètres!$G$5:$G$57,0)),INDEX($E$545:$E$597,MATCH(Paramètres!J40,Paramètres!$G$5:$G$57,0)))+IF(RIGHT(TRIM(Paramètres!K40),3)="Fin",1-$H580,IF(LEFT(TRIM(Paramètres!K40),1)="F",1,0)))),IF(Paramètres!L40="",0,IF(Paramètres!M40="",NA(),IF(LEFT(TRIM(Paramètres!M40),1)="F",INDEX($F$545:$F$597,MATCH(Paramètres!L40,Paramètres!$G$5:$G$57,0)),INDEX($E$545:$E$597,MATCH(Paramètres!L40,Paramètres!$G$5:$G$57,0)))+IF(RIGHT(TRIM(Paramètres!M40),3)="Fin",1-$H580,IF(LEFT(TRIM(Paramètres!M40),1)="F",1,0)))),IF(Paramètres!N40="",0,IF(Paramètres!O40="",NA(),IF(LEFT(TRIM(Paramètres!O40),1)="F",INDEX($F$545:$F$597,MATCH(Paramètres!N40,Paramètres!$G$5:$G$57,0)),INDEX($E$545:$E$597,MATCH(Paramètres!N40,Paramètres!$G$5:$G$57,0)))+IF(RIGHT(TRIM(Paramètres!O40),3)="Fin",1-$H580,IF(LEFT(TRIM(Paramètres!O40),1)="F",1,0)))))))</f>
        <v/>
      </c>
      <c r="F580" s="19">
        <f>IF($A580="","",E580+$H580-1)</f>
        <v/>
      </c>
      <c r="G580" s="18" t="n"/>
      <c r="H580" s="18">
        <f>IF($A580="","",IF(I580&lt;&gt;"",I580,Paramètres!B40))</f>
        <v/>
      </c>
      <c r="I580" s="18" t="n"/>
    </row>
    <row r="581">
      <c r="A581" s="18">
        <f>IF(ISNUMBER(Dossiers!$D$14),Dossiers!$A$14&amp;" · "&amp;Dossiers!$B$14,"")</f>
        <v/>
      </c>
      <c r="B581" s="18">
        <f>IF($A581="","",Paramètres!G41)</f>
        <v/>
      </c>
      <c r="C581" s="18">
        <f>IF($A581="","",IF(Paramètres!H41="","",Paramètres!H41))</f>
        <v/>
      </c>
      <c r="D581" s="18">
        <f>IF($A581="","",IF(Paramètres!I41="","",Paramètres!I41))</f>
        <v/>
      </c>
      <c r="E581" s="19">
        <f>IF($A581="","",IF(Paramètres!J41&amp;Paramètres!L41&amp;Paramètres!N41="",Dossiers!$D$14,MAX(IF(Paramètres!J41="",0,IF(Paramètres!K41="",NA(),IF(LEFT(TRIM(Paramètres!K41),1)="F",INDEX($F$545:$F$597,MATCH(Paramètres!J41,Paramètres!$G$5:$G$57,0)),INDEX($E$545:$E$597,MATCH(Paramètres!J41,Paramètres!$G$5:$G$57,0)))+IF(RIGHT(TRIM(Paramètres!K41),3)="Fin",1-$H581,IF(LEFT(TRIM(Paramètres!K41),1)="F",1,0)))),IF(Paramètres!L41="",0,IF(Paramètres!M41="",NA(),IF(LEFT(TRIM(Paramètres!M41),1)="F",INDEX($F$545:$F$597,MATCH(Paramètres!L41,Paramètres!$G$5:$G$57,0)),INDEX($E$545:$E$597,MATCH(Paramètres!L41,Paramètres!$G$5:$G$57,0)))+IF(RIGHT(TRIM(Paramètres!M41),3)="Fin",1-$H581,IF(LEFT(TRIM(Paramètres!M41),1)="F",1,0)))),IF(Paramètres!N41="",0,IF(Paramètres!O41="",NA(),IF(LEFT(TRIM(Paramètres!O41),1)="F",INDEX($F$545:$F$597,MATCH(Paramètres!N41,Paramètres!$G$5:$G$57,0)),INDEX($E$545:$E$597,MATCH(Paramètres!N41,Paramètres!$G$5:$G$57,0)))+IF(RIGHT(TRIM(Paramètres!O41),3)="Fin",1-$H581,IF(LEFT(TRIM(Paramètres!O41),1)="F",1,0)))))))</f>
        <v/>
      </c>
      <c r="F581" s="19">
        <f>IF($A581="","",E581+$H581-1)</f>
        <v/>
      </c>
      <c r="G581" s="18" t="n"/>
      <c r="H581" s="18">
        <f>IF($A581="","",IF(I581&lt;&gt;"",I581,Paramètres!B41))</f>
        <v/>
      </c>
      <c r="I581" s="18" t="n"/>
    </row>
    <row r="582">
      <c r="A582" s="18">
        <f>IF(ISNUMBER(Dossiers!$D$14),Dossiers!$A$14&amp;" · "&amp;Dossiers!$B$14,"")</f>
        <v/>
      </c>
      <c r="B582" s="18">
        <f>IF($A582="","",Paramètres!G42)</f>
        <v/>
      </c>
      <c r="C582" s="18">
        <f>IF($A582="","",IF(Paramètres!H42="","",Paramètres!H42))</f>
        <v/>
      </c>
      <c r="D582" s="18">
        <f>IF($A582="","",IF(Paramètres!I42="","",Paramètres!I42))</f>
        <v/>
      </c>
      <c r="E582" s="19">
        <f>IF($A582="","",IF(Paramètres!J42&amp;Paramètres!L42&amp;Paramètres!N42="",Dossiers!$D$14,MAX(IF(Paramètres!J42="",0,IF(Paramètres!K42="",NA(),IF(LEFT(TRIM(Paramètres!K42),1)="F",INDEX($F$545:$F$597,MATCH(Paramètres!J42,Paramètres!$G$5:$G$57,0)),INDEX($E$545:$E$597,MATCH(Paramètres!J42,Paramètres!$G$5:$G$57,0)))+IF(RIGHT(TRIM(Paramètres!K42),3)="Fin",1-$H582,IF(LEFT(TRIM(Paramètres!K42),1)="F",1,0)))),IF(Paramètres!L42="",0,IF(Paramètres!M42="",NA(),IF(LEFT(TRIM(Paramètres!M42),1)="F",INDEX($F$545:$F$597,MATCH(Paramètres!L42,Paramètres!$G$5:$G$57,0)),INDEX($E$545:$E$597,MATCH(Paramètres!L42,Paramètres!$G$5:$G$57,0)))+IF(RIGHT(TRIM(Paramètres!M42),3)="Fin",1-$H582,IF(LEFT(TRIM(Paramètres!M42),1)="F",1,0)))),IF(Paramètres!N42="",0,IF(Paramètres!O42="",NA(),IF(LEFT(TRIM(Paramètres!O42),1)="F",INDEX($F$545:$F$597,MATCH(Paramètres!N42,Paramètres!$G$5:$G$57,0)),INDEX($E$545:$E$597,MATCH(Paramètres!N42,Paramètres!$G$5:$G$57,0)))+IF(RIGHT(TRIM(Paramètres!O42),3)="Fin",1-$H582,IF(LEFT(TRIM(Paramètres!O42),1)="F",1,0)))))))</f>
        <v/>
      </c>
      <c r="F582" s="19">
        <f>IF($A582="","",E582+$H582-1)</f>
        <v/>
      </c>
      <c r="G582" s="18" t="n"/>
      <c r="H582" s="18">
        <f>IF($A582="","",IF(I582&lt;&gt;"",I582,Paramètres!B42))</f>
        <v/>
      </c>
      <c r="I582" s="18" t="n"/>
    </row>
    <row r="583">
      <c r="A583" s="18">
        <f>IF(ISNUMBER(Dossiers!$D$14),Dossiers!$A$14&amp;" · "&amp;Dossiers!$B$14,"")</f>
        <v/>
      </c>
      <c r="B583" s="18">
        <f>IF($A583="","",Paramètres!G43)</f>
        <v/>
      </c>
      <c r="C583" s="18">
        <f>IF($A583="","",IF(Paramètres!H43="","",Paramètres!H43))</f>
        <v/>
      </c>
      <c r="D583" s="18">
        <f>IF($A583="","",IF(Paramètres!I43="","",Paramètres!I43))</f>
        <v/>
      </c>
      <c r="E583" s="19">
        <f>IF($A583="","",IF(Paramètres!J43&amp;Paramètres!L43&amp;Paramètres!N43="",Dossiers!$D$14,MAX(IF(Paramètres!J43="",0,IF(Paramètres!K43="",NA(),IF(LEFT(TRIM(Paramètres!K43),1)="F",INDEX($F$545:$F$597,MATCH(Paramètres!J43,Paramètres!$G$5:$G$57,0)),INDEX($E$545:$E$597,MATCH(Paramètres!J43,Paramètres!$G$5:$G$57,0)))+IF(RIGHT(TRIM(Paramètres!K43),3)="Fin",1-$H583,IF(LEFT(TRIM(Paramètres!K43),1)="F",1,0)))),IF(Paramètres!L43="",0,IF(Paramètres!M43="",NA(),IF(LEFT(TRIM(Paramètres!M43),1)="F",INDEX($F$545:$F$597,MATCH(Paramètres!L43,Paramètres!$G$5:$G$57,0)),INDEX($E$545:$E$597,MATCH(Paramètres!L43,Paramètres!$G$5:$G$57,0)))+IF(RIGHT(TRIM(Paramètres!M43),3)="Fin",1-$H583,IF(LEFT(TRIM(Paramètres!M43),1)="F",1,0)))),IF(Paramètres!N43="",0,IF(Paramètres!O43="",NA(),IF(LEFT(TRIM(Paramètres!O43),1)="F",INDEX($F$545:$F$597,MATCH(Paramètres!N43,Paramètres!$G$5:$G$57,0)),INDEX($E$545:$E$597,MATCH(Paramètres!N43,Paramètres!$G$5:$G$57,0)))+IF(RIGHT(TRIM(Paramètres!O43),3)="Fin",1-$H583,IF(LEFT(TRIM(Paramètres!O43),1)="F",1,0)))))))</f>
        <v/>
      </c>
      <c r="F583" s="19">
        <f>IF($A583="","",E583+$H583-1)</f>
        <v/>
      </c>
      <c r="G583" s="18" t="n"/>
      <c r="H583" s="18">
        <f>IF($A583="","",IF(I583&lt;&gt;"",I583,Paramètres!B43))</f>
        <v/>
      </c>
      <c r="I583" s="18" t="n"/>
    </row>
    <row r="584">
      <c r="A584" s="18">
        <f>IF(ISNUMBER(Dossiers!$D$14),Dossiers!$A$14&amp;" · "&amp;Dossiers!$B$14,"")</f>
        <v/>
      </c>
      <c r="B584" s="18">
        <f>IF($A584="","",Paramètres!G44)</f>
        <v/>
      </c>
      <c r="C584" s="18">
        <f>IF($A584="","",IF(Paramètres!H44="","",Paramètres!H44))</f>
        <v/>
      </c>
      <c r="D584" s="18">
        <f>IF($A584="","",IF(Paramètres!I44="","",Paramètres!I44))</f>
        <v/>
      </c>
      <c r="E584" s="19">
        <f>IF($A584="","",IF(Paramètres!J44&amp;Paramètres!L44&amp;Paramètres!N44="",Dossiers!$D$14,MAX(IF(Paramètres!J44="",0,IF(Paramètres!K44="",NA(),IF(LEFT(TRIM(Paramètres!K44),1)="F",INDEX($F$545:$F$597,MATCH(Paramètres!J44,Paramètres!$G$5:$G$57,0)),INDEX($E$545:$E$597,MATCH(Paramètres!J44,Paramètres!$G$5:$G$57,0)))+IF(RIGHT(TRIM(Paramètres!K44),3)="Fin",1-$H584,IF(LEFT(TRIM(Paramètres!K44),1)="F",1,0)))),IF(Paramètres!L44="",0,IF(Paramètres!M44="",NA(),IF(LEFT(TRIM(Paramètres!M44),1)="F",INDEX($F$545:$F$597,MATCH(Paramètres!L44,Paramètres!$G$5:$G$57,0)),INDEX($E$545:$E$597,MATCH(Paramètres!L44,Paramètres!$G$5:$G$57,0)))+IF(RIGHT(TRIM(Paramètres!M44),3)="Fin",1-$H584,IF(LEFT(TRIM(Paramètres!M44),1)="F",1,0)))),IF(Paramètres!N44="",0,IF(Paramètres!O44="",NA(),IF(LEFT(TRIM(Paramètres!O44),1)="F",INDEX($F$545:$F$597,MATCH(Paramètres!N44,Paramètres!$G$5:$G$57,0)),INDEX($E$545:$E$597,MATCH(Paramètres!N44,Paramètres!$G$5:$G$57,0)))+IF(RIGHT(TRIM(Paramètres!O44),3)="Fin",1-$H584,IF(LEFT(TRIM(Paramètres!O44),1)="F",1,0)))))))</f>
        <v/>
      </c>
      <c r="F584" s="19">
        <f>IF($A584="","",E584+$H584-1)</f>
        <v/>
      </c>
      <c r="G584" s="18" t="n"/>
      <c r="H584" s="18">
        <f>IF($A584="","",IF(I584&lt;&gt;"",I584,Paramètres!B44))</f>
        <v/>
      </c>
      <c r="I584" s="18" t="n"/>
    </row>
    <row r="585">
      <c r="A585" s="18">
        <f>IF(ISNUMBER(Dossiers!$D$14),Dossiers!$A$14&amp;" · "&amp;Dossiers!$B$14,"")</f>
        <v/>
      </c>
      <c r="B585" s="18">
        <f>IF($A585="","",Paramètres!G45)</f>
        <v/>
      </c>
      <c r="C585" s="20">
        <f>IF($A585="","",IF(Dossiers!$G$14="","",Dossiers!$G$14))</f>
        <v/>
      </c>
      <c r="D585" s="18">
        <f>IF($A585="","",IF(Paramètres!I45="","",Paramètres!I45))</f>
        <v/>
      </c>
      <c r="E585" s="19">
        <f>IF($A585="","",IF(Paramètres!J45&amp;Paramètres!L45&amp;Paramètres!N45="",Dossiers!$D$14,MAX(IF(Paramètres!J45="",0,IF(Paramètres!K45="",NA(),IF(LEFT(TRIM(Paramètres!K45),1)="F",INDEX($F$545:$F$597,MATCH(Paramètres!J45,Paramètres!$G$5:$G$57,0)),INDEX($E$545:$E$597,MATCH(Paramètres!J45,Paramètres!$G$5:$G$57,0)))+IF(RIGHT(TRIM(Paramètres!K45),3)="Fin",1-$H585,IF(LEFT(TRIM(Paramètres!K45),1)="F",1,0)))),IF(Paramètres!L45="",0,IF(Paramètres!M45="",NA(),IF(LEFT(TRIM(Paramètres!M45),1)="F",INDEX($F$545:$F$597,MATCH(Paramètres!L45,Paramètres!$G$5:$G$57,0)),INDEX($E$545:$E$597,MATCH(Paramètres!L45,Paramètres!$G$5:$G$57,0)))+IF(RIGHT(TRIM(Paramètres!M45),3)="Fin",1-$H585,IF(LEFT(TRIM(Paramètres!M45),1)="F",1,0)))),IF(Paramètres!N45="",0,IF(Paramètres!O45="",NA(),IF(LEFT(TRIM(Paramètres!O45),1)="F",INDEX($F$545:$F$597,MATCH(Paramètres!N45,Paramètres!$G$5:$G$57,0)),INDEX($E$545:$E$597,MATCH(Paramètres!N45,Paramètres!$G$5:$G$57,0)))+IF(RIGHT(TRIM(Paramètres!O45),3)="Fin",1-$H585,IF(LEFT(TRIM(Paramètres!O45),1)="F",1,0)))))))</f>
        <v/>
      </c>
      <c r="F585" s="19">
        <f>IF($A585="","",E585+$H585-1)</f>
        <v/>
      </c>
      <c r="G585" s="18" t="n"/>
      <c r="H585" s="18">
        <f>IF($A585="","",IF(I585&lt;&gt;"",I585,Paramètres!B45))</f>
        <v/>
      </c>
      <c r="I585" s="18" t="n"/>
    </row>
    <row r="586">
      <c r="A586" s="18">
        <f>IF(ISNUMBER(Dossiers!$D$14),Dossiers!$A$14&amp;" · "&amp;Dossiers!$B$14,"")</f>
        <v/>
      </c>
      <c r="B586" s="18">
        <f>IF($A586="","",Paramètres!G46)</f>
        <v/>
      </c>
      <c r="C586" s="18">
        <f>IF($A586="","",IF(Paramètres!H46="","",Paramètres!H46))</f>
        <v/>
      </c>
      <c r="D586" s="18">
        <f>IF($A586="","",IF(Paramètres!I46="","",Paramètres!I46))</f>
        <v/>
      </c>
      <c r="E586" s="19">
        <f>IF($A586="","",IF(Paramètres!J46&amp;Paramètres!L46&amp;Paramètres!N46="",Dossiers!$D$14,MAX(IF(Paramètres!J46="",0,IF(Paramètres!K46="",NA(),IF(LEFT(TRIM(Paramètres!K46),1)="F",INDEX($F$545:$F$597,MATCH(Paramètres!J46,Paramètres!$G$5:$G$57,0)),INDEX($E$545:$E$597,MATCH(Paramètres!J46,Paramètres!$G$5:$G$57,0)))+IF(RIGHT(TRIM(Paramètres!K46),3)="Fin",1-$H586,IF(LEFT(TRIM(Paramètres!K46),1)="F",1,0)))),IF(Paramètres!L46="",0,IF(Paramètres!M46="",NA(),IF(LEFT(TRIM(Paramètres!M46),1)="F",INDEX($F$545:$F$597,MATCH(Paramètres!L46,Paramètres!$G$5:$G$57,0)),INDEX($E$545:$E$597,MATCH(Paramètres!L46,Paramètres!$G$5:$G$57,0)))+IF(RIGHT(TRIM(Paramètres!M46),3)="Fin",1-$H586,IF(LEFT(TRIM(Paramètres!M46),1)="F",1,0)))),IF(Paramètres!N46="",0,IF(Paramètres!O46="",NA(),IF(LEFT(TRIM(Paramètres!O46),1)="F",INDEX($F$545:$F$597,MATCH(Paramètres!N46,Paramètres!$G$5:$G$57,0)),INDEX($E$545:$E$597,MATCH(Paramètres!N46,Paramètres!$G$5:$G$57,0)))+IF(RIGHT(TRIM(Paramètres!O46),3)="Fin",1-$H586,IF(LEFT(TRIM(Paramètres!O46),1)="F",1,0)))))))</f>
        <v/>
      </c>
      <c r="F586" s="19">
        <f>IF($A586="","",E586+$H586-1)</f>
        <v/>
      </c>
      <c r="G586" s="18" t="n"/>
      <c r="H586" s="18">
        <f>IF($A586="","",IF(I586&lt;&gt;"",I586,Paramètres!B46))</f>
        <v/>
      </c>
      <c r="I586" s="18" t="n"/>
    </row>
    <row r="587">
      <c r="A587" s="18">
        <f>IF(ISNUMBER(Dossiers!$D$14),Dossiers!$A$14&amp;" · "&amp;Dossiers!$B$14,"")</f>
        <v/>
      </c>
      <c r="B587" s="18">
        <f>IF($A587="","",Paramètres!G47)</f>
        <v/>
      </c>
      <c r="C587" s="18">
        <f>IF($A587="","",IF(Paramètres!H47="","",Paramètres!H47))</f>
        <v/>
      </c>
      <c r="D587" s="18">
        <f>IF($A587="","",IF(Paramètres!I47="","",Paramètres!I47))</f>
        <v/>
      </c>
      <c r="E587" s="19">
        <f>IF($A587="","",IF(Paramètres!J47&amp;Paramètres!L47&amp;Paramètres!N47="",Dossiers!$D$14,MAX(IF(Paramètres!J47="",0,IF(Paramètres!K47="",NA(),IF(LEFT(TRIM(Paramètres!K47),1)="F",INDEX($F$545:$F$597,MATCH(Paramètres!J47,Paramètres!$G$5:$G$57,0)),INDEX($E$545:$E$597,MATCH(Paramètres!J47,Paramètres!$G$5:$G$57,0)))+IF(RIGHT(TRIM(Paramètres!K47),3)="Fin",1-$H587,IF(LEFT(TRIM(Paramètres!K47),1)="F",1,0)))),IF(Paramètres!L47="",0,IF(Paramètres!M47="",NA(),IF(LEFT(TRIM(Paramètres!M47),1)="F",INDEX($F$545:$F$597,MATCH(Paramètres!L47,Paramètres!$G$5:$G$57,0)),INDEX($E$545:$E$597,MATCH(Paramètres!L47,Paramètres!$G$5:$G$57,0)))+IF(RIGHT(TRIM(Paramètres!M47),3)="Fin",1-$H587,IF(LEFT(TRIM(Paramètres!M47),1)="F",1,0)))),IF(Paramètres!N47="",0,IF(Paramètres!O47="",NA(),IF(LEFT(TRIM(Paramètres!O47),1)="F",INDEX($F$545:$F$597,MATCH(Paramètres!N47,Paramètres!$G$5:$G$57,0)),INDEX($E$545:$E$597,MATCH(Paramètres!N47,Paramètres!$G$5:$G$57,0)))+IF(RIGHT(TRIM(Paramètres!O47),3)="Fin",1-$H587,IF(LEFT(TRIM(Paramètres!O47),1)="F",1,0)))))))</f>
        <v/>
      </c>
      <c r="F587" s="19">
        <f>IF($A587="","",E587+$H587-1)</f>
        <v/>
      </c>
      <c r="G587" s="18" t="n"/>
      <c r="H587" s="18">
        <f>IF($A587="","",IF(I587&lt;&gt;"",I587,Paramètres!B47))</f>
        <v/>
      </c>
      <c r="I587" s="18" t="n"/>
    </row>
    <row r="588">
      <c r="A588" s="18">
        <f>IF(ISNUMBER(Dossiers!$D$14),Dossiers!$A$14&amp;" · "&amp;Dossiers!$B$14,"")</f>
        <v/>
      </c>
      <c r="B588" s="18">
        <f>IF($A588="","",Paramètres!G48)</f>
        <v/>
      </c>
      <c r="C588" s="18">
        <f>IF($A588="","",IF(Paramètres!H48="","",Paramètres!H48))</f>
        <v/>
      </c>
      <c r="D588" s="18">
        <f>IF($A588="","",IF(Paramètres!I48="","",Paramètres!I48))</f>
        <v/>
      </c>
      <c r="E588" s="19">
        <f>IF($A588="","",IF(Paramètres!J48&amp;Paramètres!L48&amp;Paramètres!N48="",Dossiers!$D$14,MAX(IF(Paramètres!J48="",0,IF(Paramètres!K48="",NA(),IF(LEFT(TRIM(Paramètres!K48),1)="F",INDEX($F$545:$F$597,MATCH(Paramètres!J48,Paramètres!$G$5:$G$57,0)),INDEX($E$545:$E$597,MATCH(Paramètres!J48,Paramètres!$G$5:$G$57,0)))+IF(RIGHT(TRIM(Paramètres!K48),3)="Fin",1-$H588,IF(LEFT(TRIM(Paramètres!K48),1)="F",1,0)))),IF(Paramètres!L48="",0,IF(Paramètres!M48="",NA(),IF(LEFT(TRIM(Paramètres!M48),1)="F",INDEX($F$545:$F$597,MATCH(Paramètres!L48,Paramètres!$G$5:$G$57,0)),INDEX($E$545:$E$597,MATCH(Paramètres!L48,Paramètres!$G$5:$G$57,0)))+IF(RIGHT(TRIM(Paramètres!M48),3)="Fin",1-$H588,IF(LEFT(TRIM(Paramètres!M48),1)="F",1,0)))),IF(Paramètres!N48="",0,IF(Paramètres!O48="",NA(),IF(LEFT(TRIM(Paramètres!O48),1)="F",INDEX($F$545:$F$597,MATCH(Paramètres!N48,Paramètres!$G$5:$G$57,0)),INDEX($E$545:$E$597,MATCH(Paramètres!N48,Paramètres!$G$5:$G$57,0)))+IF(RIGHT(TRIM(Paramètres!O48),3)="Fin",1-$H588,IF(LEFT(TRIM(Paramètres!O48),1)="F",1,0)))))))</f>
        <v/>
      </c>
      <c r="F588" s="19">
        <f>IF($A588="","",E588+$H588-1)</f>
        <v/>
      </c>
      <c r="G588" s="18" t="n"/>
      <c r="H588" s="18">
        <f>IF($A588="","",IF(I588&lt;&gt;"",I588,Paramètres!B48))</f>
        <v/>
      </c>
      <c r="I588" s="18" t="n"/>
    </row>
    <row r="589">
      <c r="A589" s="18">
        <f>IF(ISNUMBER(Dossiers!$D$14),Dossiers!$A$14&amp;" · "&amp;Dossiers!$B$14,"")</f>
        <v/>
      </c>
      <c r="B589" s="18">
        <f>IF($A589="","",Paramètres!G49)</f>
        <v/>
      </c>
      <c r="C589" s="18">
        <f>IF($A589="","",IF(Paramètres!H49="","",Paramètres!H49))</f>
        <v/>
      </c>
      <c r="D589" s="18">
        <f>IF($A589="","",IF(Paramètres!I49="","",Paramètres!I49))</f>
        <v/>
      </c>
      <c r="E589" s="19">
        <f>IF($A589="","",IF(Paramètres!J49&amp;Paramètres!L49&amp;Paramètres!N49="",Dossiers!$D$14,MAX(IF(Paramètres!J49="",0,IF(Paramètres!K49="",NA(),IF(LEFT(TRIM(Paramètres!K49),1)="F",INDEX($F$545:$F$597,MATCH(Paramètres!J49,Paramètres!$G$5:$G$57,0)),INDEX($E$545:$E$597,MATCH(Paramètres!J49,Paramètres!$G$5:$G$57,0)))+IF(RIGHT(TRIM(Paramètres!K49),3)="Fin",1-$H589,IF(LEFT(TRIM(Paramètres!K49),1)="F",1,0)))),IF(Paramètres!L49="",0,IF(Paramètres!M49="",NA(),IF(LEFT(TRIM(Paramètres!M49),1)="F",INDEX($F$545:$F$597,MATCH(Paramètres!L49,Paramètres!$G$5:$G$57,0)),INDEX($E$545:$E$597,MATCH(Paramètres!L49,Paramètres!$G$5:$G$57,0)))+IF(RIGHT(TRIM(Paramètres!M49),3)="Fin",1-$H589,IF(LEFT(TRIM(Paramètres!M49),1)="F",1,0)))),IF(Paramètres!N49="",0,IF(Paramètres!O49="",NA(),IF(LEFT(TRIM(Paramètres!O49),1)="F",INDEX($F$545:$F$597,MATCH(Paramètres!N49,Paramètres!$G$5:$G$57,0)),INDEX($E$545:$E$597,MATCH(Paramètres!N49,Paramètres!$G$5:$G$57,0)))+IF(RIGHT(TRIM(Paramètres!O49),3)="Fin",1-$H589,IF(LEFT(TRIM(Paramètres!O49),1)="F",1,0)))))))</f>
        <v/>
      </c>
      <c r="F589" s="19">
        <f>IF($A589="","",E589+$H589-1)</f>
        <v/>
      </c>
      <c r="G589" s="18" t="n"/>
      <c r="H589" s="18">
        <f>IF($A589="","",IF(I589&lt;&gt;"",I589,Paramètres!B49))</f>
        <v/>
      </c>
      <c r="I589" s="18" t="n"/>
    </row>
    <row r="590">
      <c r="A590" s="18">
        <f>IF(ISNUMBER(Dossiers!$D$14),Dossiers!$A$14&amp;" · "&amp;Dossiers!$B$14,"")</f>
        <v/>
      </c>
      <c r="B590" s="18">
        <f>IF($A590="","",Paramètres!G50)</f>
        <v/>
      </c>
      <c r="C590" s="18">
        <f>IF($A590="","",IF(Paramètres!H50="","",Paramètres!H50))</f>
        <v/>
      </c>
      <c r="D590" s="18">
        <f>IF($A590="","",IF(Paramètres!I50="","",Paramètres!I50))</f>
        <v/>
      </c>
      <c r="E590" s="19">
        <f>IF($A590="","",IF(Paramètres!J50&amp;Paramètres!L50&amp;Paramètres!N50="",Dossiers!$D$14,MAX(IF(Paramètres!J50="",0,IF(Paramètres!K50="",NA(),IF(LEFT(TRIM(Paramètres!K50),1)="F",INDEX($F$545:$F$597,MATCH(Paramètres!J50,Paramètres!$G$5:$G$57,0)),INDEX($E$545:$E$597,MATCH(Paramètres!J50,Paramètres!$G$5:$G$57,0)))+IF(RIGHT(TRIM(Paramètres!K50),3)="Fin",1-$H590,IF(LEFT(TRIM(Paramètres!K50),1)="F",1,0)))),IF(Paramètres!L50="",0,IF(Paramètres!M50="",NA(),IF(LEFT(TRIM(Paramètres!M50),1)="F",INDEX($F$545:$F$597,MATCH(Paramètres!L50,Paramètres!$G$5:$G$57,0)),INDEX($E$545:$E$597,MATCH(Paramètres!L50,Paramètres!$G$5:$G$57,0)))+IF(RIGHT(TRIM(Paramètres!M50),3)="Fin",1-$H590,IF(LEFT(TRIM(Paramètres!M50),1)="F",1,0)))),IF(Paramètres!N50="",0,IF(Paramètres!O50="",NA(),IF(LEFT(TRIM(Paramètres!O50),1)="F",INDEX($F$545:$F$597,MATCH(Paramètres!N50,Paramètres!$G$5:$G$57,0)),INDEX($E$545:$E$597,MATCH(Paramètres!N50,Paramètres!$G$5:$G$57,0)))+IF(RIGHT(TRIM(Paramètres!O50),3)="Fin",1-$H590,IF(LEFT(TRIM(Paramètres!O50),1)="F",1,0)))))))</f>
        <v/>
      </c>
      <c r="F590" s="19">
        <f>IF($A590="","",E590+$H590-1)</f>
        <v/>
      </c>
      <c r="G590" s="18" t="n"/>
      <c r="H590" s="18">
        <f>IF($A590="","",IF(I590&lt;&gt;"",I590,Paramètres!B50))</f>
        <v/>
      </c>
      <c r="I590" s="18" t="n"/>
    </row>
    <row r="591">
      <c r="A591" s="18">
        <f>IF(ISNUMBER(Dossiers!$D$14),Dossiers!$A$14&amp;" · "&amp;Dossiers!$B$14,"")</f>
        <v/>
      </c>
      <c r="B591" s="18">
        <f>IF($A591="","",Paramètres!G51)</f>
        <v/>
      </c>
      <c r="C591" s="18">
        <f>IF($A591="","",IF(Paramètres!H51="","",Paramètres!H51))</f>
        <v/>
      </c>
      <c r="D591" s="18">
        <f>IF($A591="","",IF(Paramètres!I51="","",Paramètres!I51))</f>
        <v/>
      </c>
      <c r="E591" s="19">
        <f>IF($A591="","",IF(Paramètres!J51&amp;Paramètres!L51&amp;Paramètres!N51="",Dossiers!$D$14,MAX(IF(Paramètres!J51="",0,IF(Paramètres!K51="",NA(),IF(LEFT(TRIM(Paramètres!K51),1)="F",INDEX($F$545:$F$597,MATCH(Paramètres!J51,Paramètres!$G$5:$G$57,0)),INDEX($E$545:$E$597,MATCH(Paramètres!J51,Paramètres!$G$5:$G$57,0)))+IF(RIGHT(TRIM(Paramètres!K51),3)="Fin",1-$H591,IF(LEFT(TRIM(Paramètres!K51),1)="F",1,0)))),IF(Paramètres!L51="",0,IF(Paramètres!M51="",NA(),IF(LEFT(TRIM(Paramètres!M51),1)="F",INDEX($F$545:$F$597,MATCH(Paramètres!L51,Paramètres!$G$5:$G$57,0)),INDEX($E$545:$E$597,MATCH(Paramètres!L51,Paramètres!$G$5:$G$57,0)))+IF(RIGHT(TRIM(Paramètres!M51),3)="Fin",1-$H591,IF(LEFT(TRIM(Paramètres!M51),1)="F",1,0)))),IF(Paramètres!N51="",0,IF(Paramètres!O51="",NA(),IF(LEFT(TRIM(Paramètres!O51),1)="F",INDEX($F$545:$F$597,MATCH(Paramètres!N51,Paramètres!$G$5:$G$57,0)),INDEX($E$545:$E$597,MATCH(Paramètres!N51,Paramètres!$G$5:$G$57,0)))+IF(RIGHT(TRIM(Paramètres!O51),3)="Fin",1-$H591,IF(LEFT(TRIM(Paramètres!O51),1)="F",1,0)))))))</f>
        <v/>
      </c>
      <c r="F591" s="19">
        <f>IF($A591="","",E591+$H591-1)</f>
        <v/>
      </c>
      <c r="G591" s="18" t="n"/>
      <c r="H591" s="18">
        <f>IF($A591="","",IF(I591&lt;&gt;"",I591,Paramètres!B51))</f>
        <v/>
      </c>
      <c r="I591" s="18" t="n"/>
    </row>
    <row r="592">
      <c r="A592" s="18">
        <f>IF(ISNUMBER(Dossiers!$D$14),Dossiers!$A$14&amp;" · "&amp;Dossiers!$B$14,"")</f>
        <v/>
      </c>
      <c r="B592" s="18">
        <f>IF($A592="","",Paramètres!G52)</f>
        <v/>
      </c>
      <c r="C592" s="18">
        <f>IF($A592="","",IF(Paramètres!H52="","",Paramètres!H52))</f>
        <v/>
      </c>
      <c r="D592" s="18">
        <f>IF($A592="","",IF(Paramètres!I52="","",Paramètres!I52))</f>
        <v/>
      </c>
      <c r="E592" s="19">
        <f>IF($A592="","",IF(Paramètres!J52&amp;Paramètres!L52&amp;Paramètres!N52="",Dossiers!$D$14,MAX(IF(Paramètres!J52="",0,IF(Paramètres!K52="",NA(),IF(LEFT(TRIM(Paramètres!K52),1)="F",INDEX($F$545:$F$597,MATCH(Paramètres!J52,Paramètres!$G$5:$G$57,0)),INDEX($E$545:$E$597,MATCH(Paramètres!J52,Paramètres!$G$5:$G$57,0)))+IF(RIGHT(TRIM(Paramètres!K52),3)="Fin",1-$H592,IF(LEFT(TRIM(Paramètres!K52),1)="F",1,0)))),IF(Paramètres!L52="",0,IF(Paramètres!M52="",NA(),IF(LEFT(TRIM(Paramètres!M52),1)="F",INDEX($F$545:$F$597,MATCH(Paramètres!L52,Paramètres!$G$5:$G$57,0)),INDEX($E$545:$E$597,MATCH(Paramètres!L52,Paramètres!$G$5:$G$57,0)))+IF(RIGHT(TRIM(Paramètres!M52),3)="Fin",1-$H592,IF(LEFT(TRIM(Paramètres!M52),1)="F",1,0)))),IF(Paramètres!N52="",0,IF(Paramètres!O52="",NA(),IF(LEFT(TRIM(Paramètres!O52),1)="F",INDEX($F$545:$F$597,MATCH(Paramètres!N52,Paramètres!$G$5:$G$57,0)),INDEX($E$545:$E$597,MATCH(Paramètres!N52,Paramètres!$G$5:$G$57,0)))+IF(RIGHT(TRIM(Paramètres!O52),3)="Fin",1-$H592,IF(LEFT(TRIM(Paramètres!O52),1)="F",1,0)))))))</f>
        <v/>
      </c>
      <c r="F592" s="19">
        <f>IF($A592="","",E592+$H592-1)</f>
        <v/>
      </c>
      <c r="G592" s="18" t="n"/>
      <c r="H592" s="18">
        <f>IF($A592="","",IF(I592&lt;&gt;"",I592,Paramètres!B52))</f>
        <v/>
      </c>
      <c r="I592" s="18" t="n"/>
    </row>
    <row r="593">
      <c r="A593" s="18">
        <f>IF(ISNUMBER(Dossiers!$D$14),Dossiers!$A$14&amp;" · "&amp;Dossiers!$B$14,"")</f>
        <v/>
      </c>
      <c r="B593" s="18">
        <f>IF($A593="","",Paramètres!G53)</f>
        <v/>
      </c>
      <c r="C593" s="18">
        <f>IF($A593="","",IF(Paramètres!H53="","",Paramètres!H53))</f>
        <v/>
      </c>
      <c r="D593" s="18">
        <f>IF($A593="","",IF(Paramètres!I53="","",Paramètres!I53))</f>
        <v/>
      </c>
      <c r="E593" s="19">
        <f>IF($A593="","",IF(Paramètres!J53&amp;Paramètres!L53&amp;Paramètres!N53="",Dossiers!$D$14,MAX(IF(Paramètres!J53="",0,IF(Paramètres!K53="",NA(),IF(LEFT(TRIM(Paramètres!K53),1)="F",INDEX($F$545:$F$597,MATCH(Paramètres!J53,Paramètres!$G$5:$G$57,0)),INDEX($E$545:$E$597,MATCH(Paramètres!J53,Paramètres!$G$5:$G$57,0)))+IF(RIGHT(TRIM(Paramètres!K53),3)="Fin",1-$H593,IF(LEFT(TRIM(Paramètres!K53),1)="F",1,0)))),IF(Paramètres!L53="",0,IF(Paramètres!M53="",NA(),IF(LEFT(TRIM(Paramètres!M53),1)="F",INDEX($F$545:$F$597,MATCH(Paramètres!L53,Paramètres!$G$5:$G$57,0)),INDEX($E$545:$E$597,MATCH(Paramètres!L53,Paramètres!$G$5:$G$57,0)))+IF(RIGHT(TRIM(Paramètres!M53),3)="Fin",1-$H593,IF(LEFT(TRIM(Paramètres!M53),1)="F",1,0)))),IF(Paramètres!N53="",0,IF(Paramètres!O53="",NA(),IF(LEFT(TRIM(Paramètres!O53),1)="F",INDEX($F$545:$F$597,MATCH(Paramètres!N53,Paramètres!$G$5:$G$57,0)),INDEX($E$545:$E$597,MATCH(Paramètres!N53,Paramètres!$G$5:$G$57,0)))+IF(RIGHT(TRIM(Paramètres!O53),3)="Fin",1-$H593,IF(LEFT(TRIM(Paramètres!O53),1)="F",1,0)))))))</f>
        <v/>
      </c>
      <c r="F593" s="19">
        <f>IF($A593="","",E593+$H593-1)</f>
        <v/>
      </c>
      <c r="G593" s="18" t="n"/>
      <c r="H593" s="18">
        <f>IF($A593="","",IF(I593&lt;&gt;"",I593,Paramètres!B53))</f>
        <v/>
      </c>
      <c r="I593" s="18" t="n"/>
    </row>
    <row r="594">
      <c r="A594" s="18">
        <f>IF(ISNUMBER(Dossiers!$D$14),Dossiers!$A$14&amp;" · "&amp;Dossiers!$B$14,"")</f>
        <v/>
      </c>
      <c r="B594" s="18">
        <f>IF($A594="","",Paramètres!G54)</f>
        <v/>
      </c>
      <c r="C594" s="18">
        <f>IF($A594="","",IF(Paramètres!H54="","",Paramètres!H54))</f>
        <v/>
      </c>
      <c r="D594" s="18">
        <f>IF($A594="","",IF(Paramètres!I54="","",Paramètres!I54))</f>
        <v/>
      </c>
      <c r="E594" s="19">
        <f>IF($A594="","",IF(Paramètres!J54&amp;Paramètres!L54&amp;Paramètres!N54="",Dossiers!$D$14,MAX(IF(Paramètres!J54="",0,IF(Paramètres!K54="",NA(),IF(LEFT(TRIM(Paramètres!K54),1)="F",INDEX($F$545:$F$597,MATCH(Paramètres!J54,Paramètres!$G$5:$G$57,0)),INDEX($E$545:$E$597,MATCH(Paramètres!J54,Paramètres!$G$5:$G$57,0)))+IF(RIGHT(TRIM(Paramètres!K54),3)="Fin",1-$H594,IF(LEFT(TRIM(Paramètres!K54),1)="F",1,0)))),IF(Paramètres!L54="",0,IF(Paramètres!M54="",NA(),IF(LEFT(TRIM(Paramètres!M54),1)="F",INDEX($F$545:$F$597,MATCH(Paramètres!L54,Paramètres!$G$5:$G$57,0)),INDEX($E$545:$E$597,MATCH(Paramètres!L54,Paramètres!$G$5:$G$57,0)))+IF(RIGHT(TRIM(Paramètres!M54),3)="Fin",1-$H594,IF(LEFT(TRIM(Paramètres!M54),1)="F",1,0)))),IF(Paramètres!N54="",0,IF(Paramètres!O54="",NA(),IF(LEFT(TRIM(Paramètres!O54),1)="F",INDEX($F$545:$F$597,MATCH(Paramètres!N54,Paramètres!$G$5:$G$57,0)),INDEX($E$545:$E$597,MATCH(Paramètres!N54,Paramètres!$G$5:$G$57,0)))+IF(RIGHT(TRIM(Paramètres!O54),3)="Fin",1-$H594,IF(LEFT(TRIM(Paramètres!O54),1)="F",1,0)))))))</f>
        <v/>
      </c>
      <c r="F594" s="19">
        <f>IF($A594="","",E594+$H594-1)</f>
        <v/>
      </c>
      <c r="G594" s="18" t="n"/>
      <c r="H594" s="18">
        <f>IF($A594="","",IF(I594&lt;&gt;"",I594,Paramètres!B54))</f>
        <v/>
      </c>
      <c r="I594" s="18" t="n"/>
    </row>
    <row r="595">
      <c r="A595" s="18">
        <f>IF(ISNUMBER(Dossiers!$D$14),Dossiers!$A$14&amp;" · "&amp;Dossiers!$B$14,"")</f>
        <v/>
      </c>
      <c r="B595" s="18">
        <f>IF($A595="","",Paramètres!G55)</f>
        <v/>
      </c>
      <c r="C595" s="18">
        <f>IF($A595="","",IF(Paramètres!H55="","",Paramètres!H55))</f>
        <v/>
      </c>
      <c r="D595" s="18">
        <f>IF($A595="","",IF(Paramètres!I55="","",Paramètres!I55))</f>
        <v/>
      </c>
      <c r="E595" s="19">
        <f>IF($A595="","",IF(Paramètres!J55&amp;Paramètres!L55&amp;Paramètres!N55="",Dossiers!$D$14,MAX(IF(Paramètres!J55="",0,IF(Paramètres!K55="",NA(),IF(LEFT(TRIM(Paramètres!K55),1)="F",INDEX($F$545:$F$597,MATCH(Paramètres!J55,Paramètres!$G$5:$G$57,0)),INDEX($E$545:$E$597,MATCH(Paramètres!J55,Paramètres!$G$5:$G$57,0)))+IF(RIGHT(TRIM(Paramètres!K55),3)="Fin",1-$H595,IF(LEFT(TRIM(Paramètres!K55),1)="F",1,0)))),IF(Paramètres!L55="",0,IF(Paramètres!M55="",NA(),IF(LEFT(TRIM(Paramètres!M55),1)="F",INDEX($F$545:$F$597,MATCH(Paramètres!L55,Paramètres!$G$5:$G$57,0)),INDEX($E$545:$E$597,MATCH(Paramètres!L55,Paramètres!$G$5:$G$57,0)))+IF(RIGHT(TRIM(Paramètres!M55),3)="Fin",1-$H595,IF(LEFT(TRIM(Paramètres!M55),1)="F",1,0)))),IF(Paramètres!N55="",0,IF(Paramètres!O55="",NA(),IF(LEFT(TRIM(Paramètres!O55),1)="F",INDEX($F$545:$F$597,MATCH(Paramètres!N55,Paramètres!$G$5:$G$57,0)),INDEX($E$545:$E$597,MATCH(Paramètres!N55,Paramètres!$G$5:$G$57,0)))+IF(RIGHT(TRIM(Paramètres!O55),3)="Fin",1-$H595,IF(LEFT(TRIM(Paramètres!O55),1)="F",1,0)))))))</f>
        <v/>
      </c>
      <c r="F595" s="19">
        <f>IF($A595="","",E595+$H595-1)</f>
        <v/>
      </c>
      <c r="G595" s="18" t="n"/>
      <c r="H595" s="18">
        <f>IF($A595="","",IF(I595&lt;&gt;"",I595,Paramètres!B55))</f>
        <v/>
      </c>
      <c r="I595" s="18" t="n"/>
    </row>
    <row r="596">
      <c r="A596" s="18">
        <f>IF(ISNUMBER(Dossiers!$D$14),Dossiers!$A$14&amp;" · "&amp;Dossiers!$B$14,"")</f>
        <v/>
      </c>
      <c r="B596" s="18">
        <f>IF($A596="","",Paramètres!G56)</f>
        <v/>
      </c>
      <c r="C596" s="18">
        <f>IF($A596="","",IF(Paramètres!H56="","",Paramètres!H56))</f>
        <v/>
      </c>
      <c r="D596" s="18">
        <f>IF($A596="","",IF(Paramètres!I56="","",Paramètres!I56))</f>
        <v/>
      </c>
      <c r="E596" s="19">
        <f>IF($A596="","",MIN(E597:E597))</f>
        <v/>
      </c>
      <c r="F596" s="19">
        <f>IF($A596="","",MAX(F597:F597))</f>
        <v/>
      </c>
      <c r="G596" s="18" t="n"/>
      <c r="H596" s="18">
        <f>IF($A596="","",F596-E596+1)</f>
        <v/>
      </c>
      <c r="I596" s="18" t="n"/>
    </row>
    <row r="597">
      <c r="A597" s="18">
        <f>IF(ISNUMBER(Dossiers!$D$14),Dossiers!$A$14&amp;" · "&amp;Dossiers!$B$14,"")</f>
        <v/>
      </c>
      <c r="B597" s="18">
        <f>IF($A597="","",Paramètres!G57)</f>
        <v/>
      </c>
      <c r="C597" s="18">
        <f>IF($A597="","",IF(Paramètres!H57="","",Paramètres!H57))</f>
        <v/>
      </c>
      <c r="D597" s="18">
        <f>IF($A597="","",IF(Paramètres!I57="","",Paramètres!I57))</f>
        <v/>
      </c>
      <c r="E597" s="19">
        <f>IF($A597="","",IF(Paramètres!J57&amp;Paramètres!L57&amp;Paramètres!N57="",Dossiers!$D$14,MAX(IF(Paramètres!J57="",0,IF(Paramètres!K57="",NA(),IF(LEFT(TRIM(Paramètres!K57),1)="F",INDEX($F$545:$F$597,MATCH(Paramètres!J57,Paramètres!$G$5:$G$57,0)),INDEX($E$545:$E$597,MATCH(Paramètres!J57,Paramètres!$G$5:$G$57,0)))+IF(RIGHT(TRIM(Paramètres!K57),3)="Fin",1-$H597,IF(LEFT(TRIM(Paramètres!K57),1)="F",1,0)))),IF(Paramètres!L57="",0,IF(Paramètres!M57="",NA(),IF(LEFT(TRIM(Paramètres!M57),1)="F",INDEX($F$545:$F$597,MATCH(Paramètres!L57,Paramètres!$G$5:$G$57,0)),INDEX($E$545:$E$597,MATCH(Paramètres!L57,Paramètres!$G$5:$G$57,0)))+IF(RIGHT(TRIM(Paramètres!M57),3)="Fin",1-$H597,IF(LEFT(TRIM(Paramètres!M57),1)="F",1,0)))),IF(Paramètres!N57="",0,IF(Paramètres!O57="",NA(),IF(LEFT(TRIM(Paramètres!O57),1)="F",INDEX($F$545:$F$597,MATCH(Paramètres!N57,Paramètres!$G$5:$G$57,0)),INDEX($E$545:$E$597,MATCH(Paramètres!N57,Paramètres!$G$5:$G$57,0)))+IF(RIGHT(TRIM(Paramètres!O57),3)="Fin",1-$H597,IF(LEFT(TRIM(Paramètres!O57),1)="F",1,0)))))))</f>
        <v/>
      </c>
      <c r="F597" s="19">
        <f>IF($A597="","",E597+$H597-1)</f>
        <v/>
      </c>
      <c r="G597" s="18" t="n"/>
      <c r="H597" s="18">
        <f>IF($A597="","",IF(I597&lt;&gt;"",I597,Paramètres!B57))</f>
        <v/>
      </c>
      <c r="I597" s="18" t="n"/>
    </row>
    <row r="598">
      <c r="A598" s="16">
        <f>IF(ISNUMBER(Dossiers!$D$15),Dossiers!$E$15,"")</f>
        <v/>
      </c>
      <c r="B598" s="16">
        <f>IF($A598="","","Identifiant")</f>
        <v/>
      </c>
      <c r="C598" s="16">
        <f>IF($A598="","","Macro Etape")</f>
        <v/>
      </c>
      <c r="D598" s="16">
        <f>IF($A598="","","Etape")</f>
        <v/>
      </c>
      <c r="E598" s="17">
        <f>IF($A598="","","Début le")</f>
        <v/>
      </c>
      <c r="F598" s="17">
        <f>IF($A598="","","Fin prévue le")</f>
        <v/>
      </c>
      <c r="G598" s="16">
        <f>IF($A598="","","Statut")</f>
        <v/>
      </c>
      <c r="H598" s="16">
        <f>IF($A598="","","Durée (jours)")</f>
        <v/>
      </c>
      <c r="I598" s="16">
        <f>IF($A598="","","Durée particulière")</f>
        <v/>
      </c>
      <c r="J598" s="10">
        <f>IF($A598="","",HYPERLINK("#'Tableau de bord'!A1","↑ Tableau de bord"))</f>
        <v/>
      </c>
    </row>
    <row r="599">
      <c r="A599" s="18">
        <f>IF(ISNUMBER(Dossiers!$D$15),Dossiers!$A$15&amp;" · "&amp;Dossiers!$B$15,"")</f>
        <v/>
      </c>
      <c r="B599" s="18">
        <f>IF($A599="","",Paramètres!G5)</f>
        <v/>
      </c>
      <c r="C599" s="18">
        <f>IF($A599="","",IF(Paramètres!H5="","",Paramètres!H5))</f>
        <v/>
      </c>
      <c r="D599" s="18">
        <f>IF($A599="","",IF(Paramètres!I5="","",Paramètres!I5))</f>
        <v/>
      </c>
      <c r="E599" s="19">
        <f>IF($A599="","",MIN(E600:E603))</f>
        <v/>
      </c>
      <c r="F599" s="19">
        <f>IF($A599="","",MAX(F600:F603))</f>
        <v/>
      </c>
      <c r="G599" s="18" t="n"/>
      <c r="H599" s="18">
        <f>IF($A599="","",F599-E599+1)</f>
        <v/>
      </c>
      <c r="I599" s="18" t="n"/>
    </row>
    <row r="600">
      <c r="A600" s="18">
        <f>IF(ISNUMBER(Dossiers!$D$15),Dossiers!$A$15&amp;" · "&amp;Dossiers!$B$15,"")</f>
        <v/>
      </c>
      <c r="B600" s="18">
        <f>IF($A600="","",Paramètres!G6)</f>
        <v/>
      </c>
      <c r="C600" s="18">
        <f>IF($A600="","",IF(Paramètres!H6="","",Paramètres!H6))</f>
        <v/>
      </c>
      <c r="D600" s="18">
        <f>IF($A600="","",IF(Paramètres!I6="","",Paramètres!I6))</f>
        <v/>
      </c>
      <c r="E600" s="19">
        <f>IF($A600="","",IF(Paramètres!J6&amp;Paramètres!L6&amp;Paramètres!N6="",Dossiers!$D$15,MAX(IF(Paramètres!J6="",0,IF(Paramètres!K6="",NA(),IF(LEFT(TRIM(Paramètres!K6),1)="F",INDEX($F$599:$F$651,MATCH(Paramètres!J6,Paramètres!$G$5:$G$57,0)),INDEX($E$599:$E$651,MATCH(Paramètres!J6,Paramètres!$G$5:$G$57,0)))+IF(RIGHT(TRIM(Paramètres!K6),3)="Fin",1-$H600,IF(LEFT(TRIM(Paramètres!K6),1)="F",1,0)))),IF(Paramètres!L6="",0,IF(Paramètres!M6="",NA(),IF(LEFT(TRIM(Paramètres!M6),1)="F",INDEX($F$599:$F$651,MATCH(Paramètres!L6,Paramètres!$G$5:$G$57,0)),INDEX($E$599:$E$651,MATCH(Paramètres!L6,Paramètres!$G$5:$G$57,0)))+IF(RIGHT(TRIM(Paramètres!M6),3)="Fin",1-$H600,IF(LEFT(TRIM(Paramètres!M6),1)="F",1,0)))),IF(Paramètres!N6="",0,IF(Paramètres!O6="",NA(),IF(LEFT(TRIM(Paramètres!O6),1)="F",INDEX($F$599:$F$651,MATCH(Paramètres!N6,Paramètres!$G$5:$G$57,0)),INDEX($E$599:$E$651,MATCH(Paramètres!N6,Paramètres!$G$5:$G$57,0)))+IF(RIGHT(TRIM(Paramètres!O6),3)="Fin",1-$H600,IF(LEFT(TRIM(Paramètres!O6),1)="F",1,0)))))))</f>
        <v/>
      </c>
      <c r="F600" s="19">
        <f>IF($A600="","",E600+$H600-1)</f>
        <v/>
      </c>
      <c r="G600" s="18" t="n"/>
      <c r="H600" s="18">
        <f>IF($A600="","",IF(I600&lt;&gt;"",I600,Paramètres!B6))</f>
        <v/>
      </c>
      <c r="I600" s="18" t="n"/>
    </row>
    <row r="601">
      <c r="A601" s="18">
        <f>IF(ISNUMBER(Dossiers!$D$15),Dossiers!$A$15&amp;" · "&amp;Dossiers!$B$15,"")</f>
        <v/>
      </c>
      <c r="B601" s="18">
        <f>IF($A601="","",Paramètres!G7)</f>
        <v/>
      </c>
      <c r="C601" s="18">
        <f>IF($A601="","",IF(Paramètres!H7="","",Paramètres!H7))</f>
        <v/>
      </c>
      <c r="D601" s="18">
        <f>IF($A601="","",IF(Paramètres!I7="","",Paramètres!I7))</f>
        <v/>
      </c>
      <c r="E601" s="19">
        <f>IF($A601="","",IF(Paramètres!J7&amp;Paramètres!L7&amp;Paramètres!N7="",Dossiers!$D$15,MAX(IF(Paramètres!J7="",0,IF(Paramètres!K7="",NA(),IF(LEFT(TRIM(Paramètres!K7),1)="F",INDEX($F$599:$F$651,MATCH(Paramètres!J7,Paramètres!$G$5:$G$57,0)),INDEX($E$599:$E$651,MATCH(Paramètres!J7,Paramètres!$G$5:$G$57,0)))+IF(RIGHT(TRIM(Paramètres!K7),3)="Fin",1-$H601,IF(LEFT(TRIM(Paramètres!K7),1)="F",1,0)))),IF(Paramètres!L7="",0,IF(Paramètres!M7="",NA(),IF(LEFT(TRIM(Paramètres!M7),1)="F",INDEX($F$599:$F$651,MATCH(Paramètres!L7,Paramètres!$G$5:$G$57,0)),INDEX($E$599:$E$651,MATCH(Paramètres!L7,Paramètres!$G$5:$G$57,0)))+IF(RIGHT(TRIM(Paramètres!M7),3)="Fin",1-$H601,IF(LEFT(TRIM(Paramètres!M7),1)="F",1,0)))),IF(Paramètres!N7="",0,IF(Paramètres!O7="",NA(),IF(LEFT(TRIM(Paramètres!O7),1)="F",INDEX($F$599:$F$651,MATCH(Paramètres!N7,Paramètres!$G$5:$G$57,0)),INDEX($E$599:$E$651,MATCH(Paramètres!N7,Paramètres!$G$5:$G$57,0)))+IF(RIGHT(TRIM(Paramètres!O7),3)="Fin",1-$H601,IF(LEFT(TRIM(Paramètres!O7),1)="F",1,0)))))))</f>
        <v/>
      </c>
      <c r="F601" s="19">
        <f>IF($A601="","",E601+$H601-1)</f>
        <v/>
      </c>
      <c r="G601" s="18" t="n"/>
      <c r="H601" s="18">
        <f>IF($A601="","",IF(I601&lt;&gt;"",I601,Paramètres!B7))</f>
        <v/>
      </c>
      <c r="I601" s="18" t="n"/>
    </row>
    <row r="602">
      <c r="A602" s="18">
        <f>IF(ISNUMBER(Dossiers!$D$15),Dossiers!$A$15&amp;" · "&amp;Dossiers!$B$15,"")</f>
        <v/>
      </c>
      <c r="B602" s="18">
        <f>IF($A602="","",Paramètres!G8)</f>
        <v/>
      </c>
      <c r="C602" s="18">
        <f>IF($A602="","",IF(Paramètres!H8="","",Paramètres!H8))</f>
        <v/>
      </c>
      <c r="D602" s="18">
        <f>IF($A602="","",IF(Paramètres!I8="","",Paramètres!I8))</f>
        <v/>
      </c>
      <c r="E602" s="19">
        <f>IF($A602="","",IF(Paramètres!J8&amp;Paramètres!L8&amp;Paramètres!N8="",Dossiers!$D$15,MAX(IF(Paramètres!J8="",0,IF(Paramètres!K8="",NA(),IF(LEFT(TRIM(Paramètres!K8),1)="F",INDEX($F$599:$F$651,MATCH(Paramètres!J8,Paramètres!$G$5:$G$57,0)),INDEX($E$599:$E$651,MATCH(Paramètres!J8,Paramètres!$G$5:$G$57,0)))+IF(RIGHT(TRIM(Paramètres!K8),3)="Fin",1-$H602,IF(LEFT(TRIM(Paramètres!K8),1)="F",1,0)))),IF(Paramètres!L8="",0,IF(Paramètres!M8="",NA(),IF(LEFT(TRIM(Paramètres!M8),1)="F",INDEX($F$599:$F$651,MATCH(Paramètres!L8,Paramètres!$G$5:$G$57,0)),INDEX($E$599:$E$651,MATCH(Paramètres!L8,Paramètres!$G$5:$G$57,0)))+IF(RIGHT(TRIM(Paramètres!M8),3)="Fin",1-$H602,IF(LEFT(TRIM(Paramètres!M8),1)="F",1,0)))),IF(Paramètres!N8="",0,IF(Paramètres!O8="",NA(),IF(LEFT(TRIM(Paramètres!O8),1)="F",INDEX($F$599:$F$651,MATCH(Paramètres!N8,Paramètres!$G$5:$G$57,0)),INDEX($E$599:$E$651,MATCH(Paramètres!N8,Paramètres!$G$5:$G$57,0)))+IF(RIGHT(TRIM(Paramètres!O8),3)="Fin",1-$H602,IF(LEFT(TRIM(Paramètres!O8),1)="F",1,0)))))))</f>
        <v/>
      </c>
      <c r="F602" s="19">
        <f>IF($A602="","",E602+$H602-1)</f>
        <v/>
      </c>
      <c r="G602" s="18" t="n"/>
      <c r="H602" s="18">
        <f>IF($A602="","",IF(I602&lt;&gt;"",I602,Paramètres!B8))</f>
        <v/>
      </c>
      <c r="I602" s="18" t="n"/>
    </row>
    <row r="603">
      <c r="A603" s="18">
        <f>IF(ISNUMBER(Dossiers!$D$15),Dossiers!$A$15&amp;" · "&amp;Dossiers!$B$15,"")</f>
        <v/>
      </c>
      <c r="B603" s="18">
        <f>IF($A603="","",Paramètres!G9)</f>
        <v/>
      </c>
      <c r="C603" s="18">
        <f>IF($A603="","",IF(Paramètres!H9="","",Paramètres!H9))</f>
        <v/>
      </c>
      <c r="D603" s="18">
        <f>IF($A603="","",IF(Paramètres!I9="","",Paramètres!I9))</f>
        <v/>
      </c>
      <c r="E603" s="19">
        <f>IF($A603="","",IF(Paramètres!J9&amp;Paramètres!L9&amp;Paramètres!N9="",Dossiers!$D$15,MAX(IF(Paramètres!J9="",0,IF(Paramètres!K9="",NA(),IF(LEFT(TRIM(Paramètres!K9),1)="F",INDEX($F$599:$F$651,MATCH(Paramètres!J9,Paramètres!$G$5:$G$57,0)),INDEX($E$599:$E$651,MATCH(Paramètres!J9,Paramètres!$G$5:$G$57,0)))+IF(RIGHT(TRIM(Paramètres!K9),3)="Fin",1-$H603,IF(LEFT(TRIM(Paramètres!K9),1)="F",1,0)))),IF(Paramètres!L9="",0,IF(Paramètres!M9="",NA(),IF(LEFT(TRIM(Paramètres!M9),1)="F",INDEX($F$599:$F$651,MATCH(Paramètres!L9,Paramètres!$G$5:$G$57,0)),INDEX($E$599:$E$651,MATCH(Paramètres!L9,Paramètres!$G$5:$G$57,0)))+IF(RIGHT(TRIM(Paramètres!M9),3)="Fin",1-$H603,IF(LEFT(TRIM(Paramètres!M9),1)="F",1,0)))),IF(Paramètres!N9="",0,IF(Paramètres!O9="",NA(),IF(LEFT(TRIM(Paramètres!O9),1)="F",INDEX($F$599:$F$651,MATCH(Paramètres!N9,Paramètres!$G$5:$G$57,0)),INDEX($E$599:$E$651,MATCH(Paramètres!N9,Paramètres!$G$5:$G$57,0)))+IF(RIGHT(TRIM(Paramètres!O9),3)="Fin",1-$H603,IF(LEFT(TRIM(Paramètres!O9),1)="F",1,0)))))))</f>
        <v/>
      </c>
      <c r="F603" s="19">
        <f>IF($A603="","",E603+$H603-1)</f>
        <v/>
      </c>
      <c r="G603" s="18" t="n"/>
      <c r="H603" s="18">
        <f>IF($A603="","",IF(I603&lt;&gt;"",I603,Paramètres!B9))</f>
        <v/>
      </c>
      <c r="I603" s="18" t="n"/>
    </row>
    <row r="604">
      <c r="A604" s="18">
        <f>IF(ISNUMBER(Dossiers!$D$15),Dossiers!$A$15&amp;" · "&amp;Dossiers!$B$15,"")</f>
        <v/>
      </c>
      <c r="B604" s="18">
        <f>IF($A604="","",Paramètres!G10)</f>
        <v/>
      </c>
      <c r="C604" s="18">
        <f>IF($A604="","",IF(Paramètres!H10="","",Paramètres!H10))</f>
        <v/>
      </c>
      <c r="D604" s="18">
        <f>IF($A604="","",IF(Paramètres!I10="","",Paramètres!I10))</f>
        <v/>
      </c>
      <c r="E604" s="19">
        <f>IF($A604="","",MIN(E605:E608))</f>
        <v/>
      </c>
      <c r="F604" s="19">
        <f>IF($A604="","",MAX(F605:F608))</f>
        <v/>
      </c>
      <c r="G604" s="18" t="n"/>
      <c r="H604" s="18">
        <f>IF($A604="","",F604-E604+1)</f>
        <v/>
      </c>
      <c r="I604" s="18" t="n"/>
    </row>
    <row r="605">
      <c r="A605" s="18">
        <f>IF(ISNUMBER(Dossiers!$D$15),Dossiers!$A$15&amp;" · "&amp;Dossiers!$B$15,"")</f>
        <v/>
      </c>
      <c r="B605" s="18">
        <f>IF($A605="","",Paramètres!G11)</f>
        <v/>
      </c>
      <c r="C605" s="18">
        <f>IF($A605="","",IF(Paramètres!H11="","",Paramètres!H11))</f>
        <v/>
      </c>
      <c r="D605" s="18">
        <f>IF($A605="","",IF(Paramètres!I11="","",Paramètres!I11))</f>
        <v/>
      </c>
      <c r="E605" s="19">
        <f>IF($A605="","",IF(Paramètres!J11&amp;Paramètres!L11&amp;Paramètres!N11="",Dossiers!$D$15,MAX(IF(Paramètres!J11="",0,IF(Paramètres!K11="",NA(),IF(LEFT(TRIM(Paramètres!K11),1)="F",INDEX($F$599:$F$651,MATCH(Paramètres!J11,Paramètres!$G$5:$G$57,0)),INDEX($E$599:$E$651,MATCH(Paramètres!J11,Paramètres!$G$5:$G$57,0)))+IF(RIGHT(TRIM(Paramètres!K11),3)="Fin",1-$H605,IF(LEFT(TRIM(Paramètres!K11),1)="F",1,0)))),IF(Paramètres!L11="",0,IF(Paramètres!M11="",NA(),IF(LEFT(TRIM(Paramètres!M11),1)="F",INDEX($F$599:$F$651,MATCH(Paramètres!L11,Paramètres!$G$5:$G$57,0)),INDEX($E$599:$E$651,MATCH(Paramètres!L11,Paramètres!$G$5:$G$57,0)))+IF(RIGHT(TRIM(Paramètres!M11),3)="Fin",1-$H605,IF(LEFT(TRIM(Paramètres!M11),1)="F",1,0)))),IF(Paramètres!N11="",0,IF(Paramètres!O11="",NA(),IF(LEFT(TRIM(Paramètres!O11),1)="F",INDEX($F$599:$F$651,MATCH(Paramètres!N11,Paramètres!$G$5:$G$57,0)),INDEX($E$599:$E$651,MATCH(Paramètres!N11,Paramètres!$G$5:$G$57,0)))+IF(RIGHT(TRIM(Paramètres!O11),3)="Fin",1-$H605,IF(LEFT(TRIM(Paramètres!O11),1)="F",1,0)))))))</f>
        <v/>
      </c>
      <c r="F605" s="19">
        <f>IF($A605="","",E605+$H605-1)</f>
        <v/>
      </c>
      <c r="G605" s="18" t="n"/>
      <c r="H605" s="18">
        <f>IF($A605="","",IF(I605&lt;&gt;"",I605,Paramètres!B11))</f>
        <v/>
      </c>
      <c r="I605" s="18" t="n"/>
    </row>
    <row r="606">
      <c r="A606" s="18">
        <f>IF(ISNUMBER(Dossiers!$D$15),Dossiers!$A$15&amp;" · "&amp;Dossiers!$B$15,"")</f>
        <v/>
      </c>
      <c r="B606" s="18">
        <f>IF($A606="","",Paramètres!G12)</f>
        <v/>
      </c>
      <c r="C606" s="18">
        <f>IF($A606="","",IF(Paramètres!H12="","",Paramètres!H12))</f>
        <v/>
      </c>
      <c r="D606" s="18">
        <f>IF($A606="","",IF(Paramètres!I12="","",Paramètres!I12))</f>
        <v/>
      </c>
      <c r="E606" s="19">
        <f>IF($A606="","",IF(Paramètres!J12&amp;Paramètres!L12&amp;Paramètres!N12="",Dossiers!$D$15,MAX(IF(Paramètres!J12="",0,IF(Paramètres!K12="",NA(),IF(LEFT(TRIM(Paramètres!K12),1)="F",INDEX($F$599:$F$651,MATCH(Paramètres!J12,Paramètres!$G$5:$G$57,0)),INDEX($E$599:$E$651,MATCH(Paramètres!J12,Paramètres!$G$5:$G$57,0)))+IF(RIGHT(TRIM(Paramètres!K12),3)="Fin",1-$H606,IF(LEFT(TRIM(Paramètres!K12),1)="F",1,0)))),IF(Paramètres!L12="",0,IF(Paramètres!M12="",NA(),IF(LEFT(TRIM(Paramètres!M12),1)="F",INDEX($F$599:$F$651,MATCH(Paramètres!L12,Paramètres!$G$5:$G$57,0)),INDEX($E$599:$E$651,MATCH(Paramètres!L12,Paramètres!$G$5:$G$57,0)))+IF(RIGHT(TRIM(Paramètres!M12),3)="Fin",1-$H606,IF(LEFT(TRIM(Paramètres!M12),1)="F",1,0)))),IF(Paramètres!N12="",0,IF(Paramètres!O12="",NA(),IF(LEFT(TRIM(Paramètres!O12),1)="F",INDEX($F$599:$F$651,MATCH(Paramètres!N12,Paramètres!$G$5:$G$57,0)),INDEX($E$599:$E$651,MATCH(Paramètres!N12,Paramètres!$G$5:$G$57,0)))+IF(RIGHT(TRIM(Paramètres!O12),3)="Fin",1-$H606,IF(LEFT(TRIM(Paramètres!O12),1)="F",1,0)))))))</f>
        <v/>
      </c>
      <c r="F606" s="19">
        <f>IF($A606="","",E606+$H606-1)</f>
        <v/>
      </c>
      <c r="G606" s="18" t="n"/>
      <c r="H606" s="18">
        <f>IF($A606="","",IF(I606&lt;&gt;"",I606,Paramètres!B12))</f>
        <v/>
      </c>
      <c r="I606" s="18" t="n"/>
    </row>
    <row r="607">
      <c r="A607" s="18">
        <f>IF(ISNUMBER(Dossiers!$D$15),Dossiers!$A$15&amp;" · "&amp;Dossiers!$B$15,"")</f>
        <v/>
      </c>
      <c r="B607" s="18">
        <f>IF($A607="","",Paramètres!G13)</f>
        <v/>
      </c>
      <c r="C607" s="18">
        <f>IF($A607="","",IF(Paramètres!H13="","",Paramètres!H13))</f>
        <v/>
      </c>
      <c r="D607" s="18">
        <f>IF($A607="","",IF(Paramètres!I13="","",Paramètres!I13))</f>
        <v/>
      </c>
      <c r="E607" s="19">
        <f>IF($A607="","",IF(Paramètres!J13&amp;Paramètres!L13&amp;Paramètres!N13="",Dossiers!$D$15,MAX(IF(Paramètres!J13="",0,IF(Paramètres!K13="",NA(),IF(LEFT(TRIM(Paramètres!K13),1)="F",INDEX($F$599:$F$651,MATCH(Paramètres!J13,Paramètres!$G$5:$G$57,0)),INDEX($E$599:$E$651,MATCH(Paramètres!J13,Paramètres!$G$5:$G$57,0)))+IF(RIGHT(TRIM(Paramètres!K13),3)="Fin",1-$H607,IF(LEFT(TRIM(Paramètres!K13),1)="F",1,0)))),IF(Paramètres!L13="",0,IF(Paramètres!M13="",NA(),IF(LEFT(TRIM(Paramètres!M13),1)="F",INDEX($F$599:$F$651,MATCH(Paramètres!L13,Paramètres!$G$5:$G$57,0)),INDEX($E$599:$E$651,MATCH(Paramètres!L13,Paramètres!$G$5:$G$57,0)))+IF(RIGHT(TRIM(Paramètres!M13),3)="Fin",1-$H607,IF(LEFT(TRIM(Paramètres!M13),1)="F",1,0)))),IF(Paramètres!N13="",0,IF(Paramètres!O13="",NA(),IF(LEFT(TRIM(Paramètres!O13),1)="F",INDEX($F$599:$F$651,MATCH(Paramètres!N13,Paramètres!$G$5:$G$57,0)),INDEX($E$599:$E$651,MATCH(Paramètres!N13,Paramètres!$G$5:$G$57,0)))+IF(RIGHT(TRIM(Paramètres!O13),3)="Fin",1-$H607,IF(LEFT(TRIM(Paramètres!O13),1)="F",1,0)))))))</f>
        <v/>
      </c>
      <c r="F607" s="19">
        <f>IF($A607="","",E607+$H607-1)</f>
        <v/>
      </c>
      <c r="G607" s="18" t="n"/>
      <c r="H607" s="18">
        <f>IF($A607="","",IF(I607&lt;&gt;"",I607,Paramètres!B13))</f>
        <v/>
      </c>
      <c r="I607" s="18" t="n"/>
    </row>
    <row r="608">
      <c r="A608" s="18">
        <f>IF(ISNUMBER(Dossiers!$D$15),Dossiers!$A$15&amp;" · "&amp;Dossiers!$B$15,"")</f>
        <v/>
      </c>
      <c r="B608" s="18">
        <f>IF($A608="","",Paramètres!G14)</f>
        <v/>
      </c>
      <c r="C608" s="18">
        <f>IF($A608="","",IF(Paramètres!H14="","",Paramètres!H14))</f>
        <v/>
      </c>
      <c r="D608" s="18">
        <f>IF($A608="","",IF(Paramètres!I14="","",Paramètres!I14))</f>
        <v/>
      </c>
      <c r="E608" s="19">
        <f>IF($A608="","",IF(Paramètres!J14&amp;Paramètres!L14&amp;Paramètres!N14="",Dossiers!$D$15,MAX(IF(Paramètres!J14="",0,IF(Paramètres!K14="",NA(),IF(LEFT(TRIM(Paramètres!K14),1)="F",INDEX($F$599:$F$651,MATCH(Paramètres!J14,Paramètres!$G$5:$G$57,0)),INDEX($E$599:$E$651,MATCH(Paramètres!J14,Paramètres!$G$5:$G$57,0)))+IF(RIGHT(TRIM(Paramètres!K14),3)="Fin",1-$H608,IF(LEFT(TRIM(Paramètres!K14),1)="F",1,0)))),IF(Paramètres!L14="",0,IF(Paramètres!M14="",NA(),IF(LEFT(TRIM(Paramètres!M14),1)="F",INDEX($F$599:$F$651,MATCH(Paramètres!L14,Paramètres!$G$5:$G$57,0)),INDEX($E$599:$E$651,MATCH(Paramètres!L14,Paramètres!$G$5:$G$57,0)))+IF(RIGHT(TRIM(Paramètres!M14),3)="Fin",1-$H608,IF(LEFT(TRIM(Paramètres!M14),1)="F",1,0)))),IF(Paramètres!N14="",0,IF(Paramètres!O14="",NA(),IF(LEFT(TRIM(Paramètres!O14),1)="F",INDEX($F$599:$F$651,MATCH(Paramètres!N14,Paramètres!$G$5:$G$57,0)),INDEX($E$599:$E$651,MATCH(Paramètres!N14,Paramètres!$G$5:$G$57,0)))+IF(RIGHT(TRIM(Paramètres!O14),3)="Fin",1-$H608,IF(LEFT(TRIM(Paramètres!O14),1)="F",1,0)))))))</f>
        <v/>
      </c>
      <c r="F608" s="19">
        <f>IF($A608="","",E608+$H608-1)</f>
        <v/>
      </c>
      <c r="G608" s="18" t="n"/>
      <c r="H608" s="18">
        <f>IF($A608="","",IF(I608&lt;&gt;"",I608,Paramètres!B14))</f>
        <v/>
      </c>
      <c r="I608" s="18" t="n"/>
    </row>
    <row r="609">
      <c r="A609" s="18">
        <f>IF(ISNUMBER(Dossiers!$D$15),Dossiers!$A$15&amp;" · "&amp;Dossiers!$B$15,"")</f>
        <v/>
      </c>
      <c r="B609" s="18">
        <f>IF($A609="","",Paramètres!G15)</f>
        <v/>
      </c>
      <c r="C609" s="18">
        <f>IF($A609="","",IF(Paramètres!H15="","",Paramètres!H15))</f>
        <v/>
      </c>
      <c r="D609" s="18">
        <f>IF($A609="","",IF(Paramètres!I15="","",Paramètres!I15))</f>
        <v/>
      </c>
      <c r="E609" s="19">
        <f>IF($A609="","",MIN(E610:E625))</f>
        <v/>
      </c>
      <c r="F609" s="19">
        <f>IF($A609="","",MAX(F610:F625))</f>
        <v/>
      </c>
      <c r="G609" s="18" t="n"/>
      <c r="H609" s="18">
        <f>IF($A609="","",F609-E609+1)</f>
        <v/>
      </c>
      <c r="I609" s="18" t="n"/>
    </row>
    <row r="610">
      <c r="A610" s="18">
        <f>IF(ISNUMBER(Dossiers!$D$15),Dossiers!$A$15&amp;" · "&amp;Dossiers!$B$15,"")</f>
        <v/>
      </c>
      <c r="B610" s="18">
        <f>IF($A610="","",Paramètres!G16)</f>
        <v/>
      </c>
      <c r="C610" s="18">
        <f>IF($A610="","",IF(Paramètres!H16="","",Paramètres!H16))</f>
        <v/>
      </c>
      <c r="D610" s="18">
        <f>IF($A610="","",IF(Paramètres!I16="","",Paramètres!I16))</f>
        <v/>
      </c>
      <c r="E610" s="19">
        <f>IF($A610="","",IF(Paramètres!J16&amp;Paramètres!L16&amp;Paramètres!N16="",Dossiers!$D$15,MAX(IF(Paramètres!J16="",0,IF(Paramètres!K16="",NA(),IF(LEFT(TRIM(Paramètres!K16),1)="F",INDEX($F$599:$F$651,MATCH(Paramètres!J16,Paramètres!$G$5:$G$57,0)),INDEX($E$599:$E$651,MATCH(Paramètres!J16,Paramètres!$G$5:$G$57,0)))+IF(RIGHT(TRIM(Paramètres!K16),3)="Fin",1-$H610,IF(LEFT(TRIM(Paramètres!K16),1)="F",1,0)))),IF(Paramètres!L16="",0,IF(Paramètres!M16="",NA(),IF(LEFT(TRIM(Paramètres!M16),1)="F",INDEX($F$599:$F$651,MATCH(Paramètres!L16,Paramètres!$G$5:$G$57,0)),INDEX($E$599:$E$651,MATCH(Paramètres!L16,Paramètres!$G$5:$G$57,0)))+IF(RIGHT(TRIM(Paramètres!M16),3)="Fin",1-$H610,IF(LEFT(TRIM(Paramètres!M16),1)="F",1,0)))),IF(Paramètres!N16="",0,IF(Paramètres!O16="",NA(),IF(LEFT(TRIM(Paramètres!O16),1)="F",INDEX($F$599:$F$651,MATCH(Paramètres!N16,Paramètres!$G$5:$G$57,0)),INDEX($E$599:$E$651,MATCH(Paramètres!N16,Paramètres!$G$5:$G$57,0)))+IF(RIGHT(TRIM(Paramètres!O16),3)="Fin",1-$H610,IF(LEFT(TRIM(Paramètres!O16),1)="F",1,0)))))))</f>
        <v/>
      </c>
      <c r="F610" s="19">
        <f>IF($A610="","",E610+$H610-1)</f>
        <v/>
      </c>
      <c r="G610" s="18" t="n"/>
      <c r="H610" s="18">
        <f>IF($A610="","",IF(I610&lt;&gt;"",I610,Paramètres!B16))</f>
        <v/>
      </c>
      <c r="I610" s="18" t="n"/>
    </row>
    <row r="611">
      <c r="A611" s="18">
        <f>IF(ISNUMBER(Dossiers!$D$15),Dossiers!$A$15&amp;" · "&amp;Dossiers!$B$15,"")</f>
        <v/>
      </c>
      <c r="B611" s="18">
        <f>IF($A611="","",Paramètres!G17)</f>
        <v/>
      </c>
      <c r="C611" s="18">
        <f>IF($A611="","",IF(Paramètres!H17="","",Paramètres!H17))</f>
        <v/>
      </c>
      <c r="D611" s="18">
        <f>IF($A611="","",IF(Paramètres!I17="","",Paramètres!I17))</f>
        <v/>
      </c>
      <c r="E611" s="19">
        <f>IF($A611="","",IF(Paramètres!J17&amp;Paramètres!L17&amp;Paramètres!N17="",Dossiers!$D$15,MAX(IF(Paramètres!J17="",0,IF(Paramètres!K17="",NA(),IF(LEFT(TRIM(Paramètres!K17),1)="F",INDEX($F$599:$F$651,MATCH(Paramètres!J17,Paramètres!$G$5:$G$57,0)),INDEX($E$599:$E$651,MATCH(Paramètres!J17,Paramètres!$G$5:$G$57,0)))+IF(RIGHT(TRIM(Paramètres!K17),3)="Fin",1-$H611,IF(LEFT(TRIM(Paramètres!K17),1)="F",1,0)))),IF(Paramètres!L17="",0,IF(Paramètres!M17="",NA(),IF(LEFT(TRIM(Paramètres!M17),1)="F",INDEX($F$599:$F$651,MATCH(Paramètres!L17,Paramètres!$G$5:$G$57,0)),INDEX($E$599:$E$651,MATCH(Paramètres!L17,Paramètres!$G$5:$G$57,0)))+IF(RIGHT(TRIM(Paramètres!M17),3)="Fin",1-$H611,IF(LEFT(TRIM(Paramètres!M17),1)="F",1,0)))),IF(Paramètres!N17="",0,IF(Paramètres!O17="",NA(),IF(LEFT(TRIM(Paramètres!O17),1)="F",INDEX($F$599:$F$651,MATCH(Paramètres!N17,Paramètres!$G$5:$G$57,0)),INDEX($E$599:$E$651,MATCH(Paramètres!N17,Paramètres!$G$5:$G$57,0)))+IF(RIGHT(TRIM(Paramètres!O17),3)="Fin",1-$H611,IF(LEFT(TRIM(Paramètres!O17),1)="F",1,0)))))))</f>
        <v/>
      </c>
      <c r="F611" s="19">
        <f>IF($A611="","",E611+$H611-1)</f>
        <v/>
      </c>
      <c r="G611" s="18" t="n"/>
      <c r="H611" s="18">
        <f>IF($A611="","",IF(I611&lt;&gt;"",I611,Paramètres!B17))</f>
        <v/>
      </c>
      <c r="I611" s="18" t="n"/>
    </row>
    <row r="612">
      <c r="A612" s="18">
        <f>IF(ISNUMBER(Dossiers!$D$15),Dossiers!$A$15&amp;" · "&amp;Dossiers!$B$15,"")</f>
        <v/>
      </c>
      <c r="B612" s="18">
        <f>IF($A612="","",Paramètres!G18)</f>
        <v/>
      </c>
      <c r="C612" s="18">
        <f>IF($A612="","",IF(Paramètres!H18="","",Paramètres!H18))</f>
        <v/>
      </c>
      <c r="D612" s="18">
        <f>IF($A612="","",IF(Paramètres!I18="","",Paramètres!I18))</f>
        <v/>
      </c>
      <c r="E612" s="19">
        <f>IF($A612="","",IF(Paramètres!J18&amp;Paramètres!L18&amp;Paramètres!N18="",Dossiers!$D$15,MAX(IF(Paramètres!J18="",0,IF(Paramètres!K18="",NA(),IF(LEFT(TRIM(Paramètres!K18),1)="F",INDEX($F$599:$F$651,MATCH(Paramètres!J18,Paramètres!$G$5:$G$57,0)),INDEX($E$599:$E$651,MATCH(Paramètres!J18,Paramètres!$G$5:$G$57,0)))+IF(RIGHT(TRIM(Paramètres!K18),3)="Fin",1-$H612,IF(LEFT(TRIM(Paramètres!K18),1)="F",1,0)))),IF(Paramètres!L18="",0,IF(Paramètres!M18="",NA(),IF(LEFT(TRIM(Paramètres!M18),1)="F",INDEX($F$599:$F$651,MATCH(Paramètres!L18,Paramètres!$G$5:$G$57,0)),INDEX($E$599:$E$651,MATCH(Paramètres!L18,Paramètres!$G$5:$G$57,0)))+IF(RIGHT(TRIM(Paramètres!M18),3)="Fin",1-$H612,IF(LEFT(TRIM(Paramètres!M18),1)="F",1,0)))),IF(Paramètres!N18="",0,IF(Paramètres!O18="",NA(),IF(LEFT(TRIM(Paramètres!O18),1)="F",INDEX($F$599:$F$651,MATCH(Paramètres!N18,Paramètres!$G$5:$G$57,0)),INDEX($E$599:$E$651,MATCH(Paramètres!N18,Paramètres!$G$5:$G$57,0)))+IF(RIGHT(TRIM(Paramètres!O18),3)="Fin",1-$H612,IF(LEFT(TRIM(Paramètres!O18),1)="F",1,0)))))))</f>
        <v/>
      </c>
      <c r="F612" s="19">
        <f>IF($A612="","",E612+$H612-1)</f>
        <v/>
      </c>
      <c r="G612" s="18" t="n"/>
      <c r="H612" s="18">
        <f>IF($A612="","",IF(I612&lt;&gt;"",I612,Paramètres!B18))</f>
        <v/>
      </c>
      <c r="I612" s="18" t="n"/>
    </row>
    <row r="613">
      <c r="A613" s="18">
        <f>IF(ISNUMBER(Dossiers!$D$15),Dossiers!$A$15&amp;" · "&amp;Dossiers!$B$15,"")</f>
        <v/>
      </c>
      <c r="B613" s="18">
        <f>IF($A613="","",Paramètres!G19)</f>
        <v/>
      </c>
      <c r="C613" s="18">
        <f>IF($A613="","",IF(Paramètres!H19="","",Paramètres!H19))</f>
        <v/>
      </c>
      <c r="D613" s="18">
        <f>IF($A613="","",IF(Paramètres!I19="","",Paramètres!I19))</f>
        <v/>
      </c>
      <c r="E613" s="19">
        <f>IF($A613="","",IF(Paramètres!J19&amp;Paramètres!L19&amp;Paramètres!N19="",Dossiers!$D$15,MAX(IF(Paramètres!J19="",0,IF(Paramètres!K19="",NA(),IF(LEFT(TRIM(Paramètres!K19),1)="F",INDEX($F$599:$F$651,MATCH(Paramètres!J19,Paramètres!$G$5:$G$57,0)),INDEX($E$599:$E$651,MATCH(Paramètres!J19,Paramètres!$G$5:$G$57,0)))+IF(RIGHT(TRIM(Paramètres!K19),3)="Fin",1-$H613,IF(LEFT(TRIM(Paramètres!K19),1)="F",1,0)))),IF(Paramètres!L19="",0,IF(Paramètres!M19="",NA(),IF(LEFT(TRIM(Paramètres!M19),1)="F",INDEX($F$599:$F$651,MATCH(Paramètres!L19,Paramètres!$G$5:$G$57,0)),INDEX($E$599:$E$651,MATCH(Paramètres!L19,Paramètres!$G$5:$G$57,0)))+IF(RIGHT(TRIM(Paramètres!M19),3)="Fin",1-$H613,IF(LEFT(TRIM(Paramètres!M19),1)="F",1,0)))),IF(Paramètres!N19="",0,IF(Paramètres!O19="",NA(),IF(LEFT(TRIM(Paramètres!O19),1)="F",INDEX($F$599:$F$651,MATCH(Paramètres!N19,Paramètres!$G$5:$G$57,0)),INDEX($E$599:$E$651,MATCH(Paramètres!N19,Paramètres!$G$5:$G$57,0)))+IF(RIGHT(TRIM(Paramètres!O19),3)="Fin",1-$H613,IF(LEFT(TRIM(Paramètres!O19),1)="F",1,0)))))))</f>
        <v/>
      </c>
      <c r="F613" s="19">
        <f>IF($A613="","",E613+$H613-1)</f>
        <v/>
      </c>
      <c r="G613" s="18" t="n"/>
      <c r="H613" s="18">
        <f>IF($A613="","",IF(I613&lt;&gt;"",I613,Paramètres!B19))</f>
        <v/>
      </c>
      <c r="I613" s="18" t="n"/>
    </row>
    <row r="614">
      <c r="A614" s="18">
        <f>IF(ISNUMBER(Dossiers!$D$15),Dossiers!$A$15&amp;" · "&amp;Dossiers!$B$15,"")</f>
        <v/>
      </c>
      <c r="B614" s="18">
        <f>IF($A614="","",Paramètres!G20)</f>
        <v/>
      </c>
      <c r="C614" s="18">
        <f>IF($A614="","",IF(Paramètres!H20="","",Paramètres!H20))</f>
        <v/>
      </c>
      <c r="D614" s="18">
        <f>IF($A614="","",IF(Paramètres!I20="","",Paramètres!I20))</f>
        <v/>
      </c>
      <c r="E614" s="19">
        <f>IF($A614="","",IF(Paramètres!J20&amp;Paramètres!L20&amp;Paramètres!N20="",Dossiers!$D$15,MAX(IF(Paramètres!J20="",0,IF(Paramètres!K20="",NA(),IF(LEFT(TRIM(Paramètres!K20),1)="F",INDEX($F$599:$F$651,MATCH(Paramètres!J20,Paramètres!$G$5:$G$57,0)),INDEX($E$599:$E$651,MATCH(Paramètres!J20,Paramètres!$G$5:$G$57,0)))+IF(RIGHT(TRIM(Paramètres!K20),3)="Fin",1-$H614,IF(LEFT(TRIM(Paramètres!K20),1)="F",1,0)))),IF(Paramètres!L20="",0,IF(Paramètres!M20="",NA(),IF(LEFT(TRIM(Paramètres!M20),1)="F",INDEX($F$599:$F$651,MATCH(Paramètres!L20,Paramètres!$G$5:$G$57,0)),INDEX($E$599:$E$651,MATCH(Paramètres!L20,Paramètres!$G$5:$G$57,0)))+IF(RIGHT(TRIM(Paramètres!M20),3)="Fin",1-$H614,IF(LEFT(TRIM(Paramètres!M20),1)="F",1,0)))),IF(Paramètres!N20="",0,IF(Paramètres!O20="",NA(),IF(LEFT(TRIM(Paramètres!O20),1)="F",INDEX($F$599:$F$651,MATCH(Paramètres!N20,Paramètres!$G$5:$G$57,0)),INDEX($E$599:$E$651,MATCH(Paramètres!N20,Paramètres!$G$5:$G$57,0)))+IF(RIGHT(TRIM(Paramètres!O20),3)="Fin",1-$H614,IF(LEFT(TRIM(Paramètres!O20),1)="F",1,0)))))))</f>
        <v/>
      </c>
      <c r="F614" s="19">
        <f>IF($A614="","",E614+$H614-1)</f>
        <v/>
      </c>
      <c r="G614" s="18" t="n"/>
      <c r="H614" s="18">
        <f>IF($A614="","",IF(I614&lt;&gt;"",I614,Paramètres!B20))</f>
        <v/>
      </c>
      <c r="I614" s="18" t="n"/>
    </row>
    <row r="615">
      <c r="A615" s="18">
        <f>IF(ISNUMBER(Dossiers!$D$15),Dossiers!$A$15&amp;" · "&amp;Dossiers!$B$15,"")</f>
        <v/>
      </c>
      <c r="B615" s="18">
        <f>IF($A615="","",Paramètres!G21)</f>
        <v/>
      </c>
      <c r="C615" s="18">
        <f>IF($A615="","",IF(Paramètres!H21="","",Paramètres!H21))</f>
        <v/>
      </c>
      <c r="D615" s="18">
        <f>IF($A615="","",IF(Paramètres!I21="","",Paramètres!I21))</f>
        <v/>
      </c>
      <c r="E615" s="19">
        <f>IF($A615="","",IF(Paramètres!J21&amp;Paramètres!L21&amp;Paramètres!N21="",Dossiers!$D$15,MAX(IF(Paramètres!J21="",0,IF(Paramètres!K21="",NA(),IF(LEFT(TRIM(Paramètres!K21),1)="F",INDEX($F$599:$F$651,MATCH(Paramètres!J21,Paramètres!$G$5:$G$57,0)),INDEX($E$599:$E$651,MATCH(Paramètres!J21,Paramètres!$G$5:$G$57,0)))+IF(RIGHT(TRIM(Paramètres!K21),3)="Fin",1-$H615,IF(LEFT(TRIM(Paramètres!K21),1)="F",1,0)))),IF(Paramètres!L21="",0,IF(Paramètres!M21="",NA(),IF(LEFT(TRIM(Paramètres!M21),1)="F",INDEX($F$599:$F$651,MATCH(Paramètres!L21,Paramètres!$G$5:$G$57,0)),INDEX($E$599:$E$651,MATCH(Paramètres!L21,Paramètres!$G$5:$G$57,0)))+IF(RIGHT(TRIM(Paramètres!M21),3)="Fin",1-$H615,IF(LEFT(TRIM(Paramètres!M21),1)="F",1,0)))),IF(Paramètres!N21="",0,IF(Paramètres!O21="",NA(),IF(LEFT(TRIM(Paramètres!O21),1)="F",INDEX($F$599:$F$651,MATCH(Paramètres!N21,Paramètres!$G$5:$G$57,0)),INDEX($E$599:$E$651,MATCH(Paramètres!N21,Paramètres!$G$5:$G$57,0)))+IF(RIGHT(TRIM(Paramètres!O21),3)="Fin",1-$H615,IF(LEFT(TRIM(Paramètres!O21),1)="F",1,0)))))))</f>
        <v/>
      </c>
      <c r="F615" s="19">
        <f>IF($A615="","",E615+$H615-1)</f>
        <v/>
      </c>
      <c r="G615" s="18" t="n"/>
      <c r="H615" s="18">
        <f>IF($A615="","",IF(I615&lt;&gt;"",I615,Paramètres!B21))</f>
        <v/>
      </c>
      <c r="I615" s="18" t="n"/>
    </row>
    <row r="616">
      <c r="A616" s="18">
        <f>IF(ISNUMBER(Dossiers!$D$15),Dossiers!$A$15&amp;" · "&amp;Dossiers!$B$15,"")</f>
        <v/>
      </c>
      <c r="B616" s="18">
        <f>IF($A616="","",Paramètres!G22)</f>
        <v/>
      </c>
      <c r="C616" s="18">
        <f>IF($A616="","",IF(Paramètres!H22="","",Paramètres!H22))</f>
        <v/>
      </c>
      <c r="D616" s="18">
        <f>IF($A616="","",IF(Paramètres!I22="","",Paramètres!I22))</f>
        <v/>
      </c>
      <c r="E616" s="19">
        <f>IF($A616="","",IF(Paramètres!J22&amp;Paramètres!L22&amp;Paramètres!N22="",Dossiers!$D$15,MAX(IF(Paramètres!J22="",0,IF(Paramètres!K22="",NA(),IF(LEFT(TRIM(Paramètres!K22),1)="F",INDEX($F$599:$F$651,MATCH(Paramètres!J22,Paramètres!$G$5:$G$57,0)),INDEX($E$599:$E$651,MATCH(Paramètres!J22,Paramètres!$G$5:$G$57,0)))+IF(RIGHT(TRIM(Paramètres!K22),3)="Fin",1-$H616,IF(LEFT(TRIM(Paramètres!K22),1)="F",1,0)))),IF(Paramètres!L22="",0,IF(Paramètres!M22="",NA(),IF(LEFT(TRIM(Paramètres!M22),1)="F",INDEX($F$599:$F$651,MATCH(Paramètres!L22,Paramètres!$G$5:$G$57,0)),INDEX($E$599:$E$651,MATCH(Paramètres!L22,Paramètres!$G$5:$G$57,0)))+IF(RIGHT(TRIM(Paramètres!M22),3)="Fin",1-$H616,IF(LEFT(TRIM(Paramètres!M22),1)="F",1,0)))),IF(Paramètres!N22="",0,IF(Paramètres!O22="",NA(),IF(LEFT(TRIM(Paramètres!O22),1)="F",INDEX($F$599:$F$651,MATCH(Paramètres!N22,Paramètres!$G$5:$G$57,0)),INDEX($E$599:$E$651,MATCH(Paramètres!N22,Paramètres!$G$5:$G$57,0)))+IF(RIGHT(TRIM(Paramètres!O22),3)="Fin",1-$H616,IF(LEFT(TRIM(Paramètres!O22),1)="F",1,0)))))))</f>
        <v/>
      </c>
      <c r="F616" s="19">
        <f>IF($A616="","",E616+$H616-1)</f>
        <v/>
      </c>
      <c r="G616" s="18" t="n"/>
      <c r="H616" s="18">
        <f>IF($A616="","",IF(I616&lt;&gt;"",I616,Paramètres!B22))</f>
        <v/>
      </c>
      <c r="I616" s="18" t="n"/>
    </row>
    <row r="617">
      <c r="A617" s="18">
        <f>IF(ISNUMBER(Dossiers!$D$15),Dossiers!$A$15&amp;" · "&amp;Dossiers!$B$15,"")</f>
        <v/>
      </c>
      <c r="B617" s="18">
        <f>IF($A617="","",Paramètres!G23)</f>
        <v/>
      </c>
      <c r="C617" s="18">
        <f>IF($A617="","",IF(Paramètres!H23="","",Paramètres!H23))</f>
        <v/>
      </c>
      <c r="D617" s="18">
        <f>IF($A617="","",IF(Paramètres!I23="","",Paramètres!I23))</f>
        <v/>
      </c>
      <c r="E617" s="19">
        <f>IF($A617="","",IF(Paramètres!J23&amp;Paramètres!L23&amp;Paramètres!N23="",Dossiers!$D$15,MAX(IF(Paramètres!J23="",0,IF(Paramètres!K23="",NA(),IF(LEFT(TRIM(Paramètres!K23),1)="F",INDEX($F$599:$F$651,MATCH(Paramètres!J23,Paramètres!$G$5:$G$57,0)),INDEX($E$599:$E$651,MATCH(Paramètres!J23,Paramètres!$G$5:$G$57,0)))+IF(RIGHT(TRIM(Paramètres!K23),3)="Fin",1-$H617,IF(LEFT(TRIM(Paramètres!K23),1)="F",1,0)))),IF(Paramètres!L23="",0,IF(Paramètres!M23="",NA(),IF(LEFT(TRIM(Paramètres!M23),1)="F",INDEX($F$599:$F$651,MATCH(Paramètres!L23,Paramètres!$G$5:$G$57,0)),INDEX($E$599:$E$651,MATCH(Paramètres!L23,Paramètres!$G$5:$G$57,0)))+IF(RIGHT(TRIM(Paramètres!M23),3)="Fin",1-$H617,IF(LEFT(TRIM(Paramètres!M23),1)="F",1,0)))),IF(Paramètres!N23="",0,IF(Paramètres!O23="",NA(),IF(LEFT(TRIM(Paramètres!O23),1)="F",INDEX($F$599:$F$651,MATCH(Paramètres!N23,Paramètres!$G$5:$G$57,0)),INDEX($E$599:$E$651,MATCH(Paramètres!N23,Paramètres!$G$5:$G$57,0)))+IF(RIGHT(TRIM(Paramètres!O23),3)="Fin",1-$H617,IF(LEFT(TRIM(Paramètres!O23),1)="F",1,0)))))))</f>
        <v/>
      </c>
      <c r="F617" s="19">
        <f>IF($A617="","",E617+$H617-1)</f>
        <v/>
      </c>
      <c r="G617" s="18" t="n"/>
      <c r="H617" s="18">
        <f>IF($A617="","",IF(I617&lt;&gt;"",I617,Paramètres!B23))</f>
        <v/>
      </c>
      <c r="I617" s="18" t="n"/>
    </row>
    <row r="618">
      <c r="A618" s="18">
        <f>IF(ISNUMBER(Dossiers!$D$15),Dossiers!$A$15&amp;" · "&amp;Dossiers!$B$15,"")</f>
        <v/>
      </c>
      <c r="B618" s="18">
        <f>IF($A618="","",Paramètres!G24)</f>
        <v/>
      </c>
      <c r="C618" s="18">
        <f>IF($A618="","",IF(Paramètres!H24="","",Paramètres!H24))</f>
        <v/>
      </c>
      <c r="D618" s="18">
        <f>IF($A618="","",IF(Paramètres!I24="","",Paramètres!I24))</f>
        <v/>
      </c>
      <c r="E618" s="19">
        <f>IF($A618="","",IF(Paramètres!J24&amp;Paramètres!L24&amp;Paramètres!N24="",Dossiers!$D$15,MAX(IF(Paramètres!J24="",0,IF(Paramètres!K24="",NA(),IF(LEFT(TRIM(Paramètres!K24),1)="F",INDEX($F$599:$F$651,MATCH(Paramètres!J24,Paramètres!$G$5:$G$57,0)),INDEX($E$599:$E$651,MATCH(Paramètres!J24,Paramètres!$G$5:$G$57,0)))+IF(RIGHT(TRIM(Paramètres!K24),3)="Fin",1-$H618,IF(LEFT(TRIM(Paramètres!K24),1)="F",1,0)))),IF(Paramètres!L24="",0,IF(Paramètres!M24="",NA(),IF(LEFT(TRIM(Paramètres!M24),1)="F",INDEX($F$599:$F$651,MATCH(Paramètres!L24,Paramètres!$G$5:$G$57,0)),INDEX($E$599:$E$651,MATCH(Paramètres!L24,Paramètres!$G$5:$G$57,0)))+IF(RIGHT(TRIM(Paramètres!M24),3)="Fin",1-$H618,IF(LEFT(TRIM(Paramètres!M24),1)="F",1,0)))),IF(Paramètres!N24="",0,IF(Paramètres!O24="",NA(),IF(LEFT(TRIM(Paramètres!O24),1)="F",INDEX($F$599:$F$651,MATCH(Paramètres!N24,Paramètres!$G$5:$G$57,0)),INDEX($E$599:$E$651,MATCH(Paramètres!N24,Paramètres!$G$5:$G$57,0)))+IF(RIGHT(TRIM(Paramètres!O24),3)="Fin",1-$H618,IF(LEFT(TRIM(Paramètres!O24),1)="F",1,0)))))))</f>
        <v/>
      </c>
      <c r="F618" s="19">
        <f>IF($A618="","",E618+$H618-1)</f>
        <v/>
      </c>
      <c r="G618" s="18" t="n"/>
      <c r="H618" s="18">
        <f>IF($A618="","",IF(I618&lt;&gt;"",I618,Paramètres!B24))</f>
        <v/>
      </c>
      <c r="I618" s="18" t="n"/>
    </row>
    <row r="619">
      <c r="A619" s="18">
        <f>IF(ISNUMBER(Dossiers!$D$15),Dossiers!$A$15&amp;" · "&amp;Dossiers!$B$15,"")</f>
        <v/>
      </c>
      <c r="B619" s="18">
        <f>IF($A619="","",Paramètres!G25)</f>
        <v/>
      </c>
      <c r="C619" s="18">
        <f>IF($A619="","",IF(Paramètres!H25="","",Paramètres!H25))</f>
        <v/>
      </c>
      <c r="D619" s="18">
        <f>IF($A619="","",IF(Paramètres!I25="","",Paramètres!I25))</f>
        <v/>
      </c>
      <c r="E619" s="19">
        <f>IF($A619="","",IF(Paramètres!J25&amp;Paramètres!L25&amp;Paramètres!N25="",Dossiers!$D$15,MAX(IF(Paramètres!J25="",0,IF(Paramètres!K25="",NA(),IF(LEFT(TRIM(Paramètres!K25),1)="F",INDEX($F$599:$F$651,MATCH(Paramètres!J25,Paramètres!$G$5:$G$57,0)),INDEX($E$599:$E$651,MATCH(Paramètres!J25,Paramètres!$G$5:$G$57,0)))+IF(RIGHT(TRIM(Paramètres!K25),3)="Fin",1-$H619,IF(LEFT(TRIM(Paramètres!K25),1)="F",1,0)))),IF(Paramètres!L25="",0,IF(Paramètres!M25="",NA(),IF(LEFT(TRIM(Paramètres!M25),1)="F",INDEX($F$599:$F$651,MATCH(Paramètres!L25,Paramètres!$G$5:$G$57,0)),INDEX($E$599:$E$651,MATCH(Paramètres!L25,Paramètres!$G$5:$G$57,0)))+IF(RIGHT(TRIM(Paramètres!M25),3)="Fin",1-$H619,IF(LEFT(TRIM(Paramètres!M25),1)="F",1,0)))),IF(Paramètres!N25="",0,IF(Paramètres!O25="",NA(),IF(LEFT(TRIM(Paramètres!O25),1)="F",INDEX($F$599:$F$651,MATCH(Paramètres!N25,Paramètres!$G$5:$G$57,0)),INDEX($E$599:$E$651,MATCH(Paramètres!N25,Paramètres!$G$5:$G$57,0)))+IF(RIGHT(TRIM(Paramètres!O25),3)="Fin",1-$H619,IF(LEFT(TRIM(Paramètres!O25),1)="F",1,0)))))))</f>
        <v/>
      </c>
      <c r="F619" s="19">
        <f>IF($A619="","",E619+$H619-1)</f>
        <v/>
      </c>
      <c r="G619" s="18" t="n"/>
      <c r="H619" s="18">
        <f>IF($A619="","",IF(I619&lt;&gt;"",I619,Paramètres!B25))</f>
        <v/>
      </c>
      <c r="I619" s="18" t="n"/>
    </row>
    <row r="620">
      <c r="A620" s="18">
        <f>IF(ISNUMBER(Dossiers!$D$15),Dossiers!$A$15&amp;" · "&amp;Dossiers!$B$15,"")</f>
        <v/>
      </c>
      <c r="B620" s="18">
        <f>IF($A620="","",Paramètres!G26)</f>
        <v/>
      </c>
      <c r="C620" s="18">
        <f>IF($A620="","",IF(Paramètres!H26="","",Paramètres!H26))</f>
        <v/>
      </c>
      <c r="D620" s="18">
        <f>IF($A620="","",IF(Paramètres!I26="","",Paramètres!I26))</f>
        <v/>
      </c>
      <c r="E620" s="19">
        <f>IF($A620="","",IF(Paramètres!J26&amp;Paramètres!L26&amp;Paramètres!N26="",Dossiers!$D$15,MAX(IF(Paramètres!J26="",0,IF(Paramètres!K26="",NA(),IF(LEFT(TRIM(Paramètres!K26),1)="F",INDEX($F$599:$F$651,MATCH(Paramètres!J26,Paramètres!$G$5:$G$57,0)),INDEX($E$599:$E$651,MATCH(Paramètres!J26,Paramètres!$G$5:$G$57,0)))+IF(RIGHT(TRIM(Paramètres!K26),3)="Fin",1-$H620,IF(LEFT(TRIM(Paramètres!K26),1)="F",1,0)))),IF(Paramètres!L26="",0,IF(Paramètres!M26="",NA(),IF(LEFT(TRIM(Paramètres!M26),1)="F",INDEX($F$599:$F$651,MATCH(Paramètres!L26,Paramètres!$G$5:$G$57,0)),INDEX($E$599:$E$651,MATCH(Paramètres!L26,Paramètres!$G$5:$G$57,0)))+IF(RIGHT(TRIM(Paramètres!M26),3)="Fin",1-$H620,IF(LEFT(TRIM(Paramètres!M26),1)="F",1,0)))),IF(Paramètres!N26="",0,IF(Paramètres!O26="",NA(),IF(LEFT(TRIM(Paramètres!O26),1)="F",INDEX($F$599:$F$651,MATCH(Paramètres!N26,Paramètres!$G$5:$G$57,0)),INDEX($E$599:$E$651,MATCH(Paramètres!N26,Paramètres!$G$5:$G$57,0)))+IF(RIGHT(TRIM(Paramètres!O26),3)="Fin",1-$H620,IF(LEFT(TRIM(Paramètres!O26),1)="F",1,0)))))))</f>
        <v/>
      </c>
      <c r="F620" s="19">
        <f>IF($A620="","",E620+$H620-1)</f>
        <v/>
      </c>
      <c r="G620" s="18" t="n"/>
      <c r="H620" s="18">
        <f>IF($A620="","",IF(I620&lt;&gt;"",I620,Paramètres!B26))</f>
        <v/>
      </c>
      <c r="I620" s="18" t="n"/>
    </row>
    <row r="621">
      <c r="A621" s="18">
        <f>IF(ISNUMBER(Dossiers!$D$15),Dossiers!$A$15&amp;" · "&amp;Dossiers!$B$15,"")</f>
        <v/>
      </c>
      <c r="B621" s="18">
        <f>IF($A621="","",Paramètres!G27)</f>
        <v/>
      </c>
      <c r="C621" s="18">
        <f>IF($A621="","",IF(Paramètres!H27="","",Paramètres!H27))</f>
        <v/>
      </c>
      <c r="D621" s="18">
        <f>IF($A621="","",IF(Paramètres!I27="","",Paramètres!I27))</f>
        <v/>
      </c>
      <c r="E621" s="19">
        <f>IF($A621="","",IF(Paramètres!J27&amp;Paramètres!L27&amp;Paramètres!N27="",Dossiers!$D$15,MAX(IF(Paramètres!J27="",0,IF(Paramètres!K27="",NA(),IF(LEFT(TRIM(Paramètres!K27),1)="F",INDEX($F$599:$F$651,MATCH(Paramètres!J27,Paramètres!$G$5:$G$57,0)),INDEX($E$599:$E$651,MATCH(Paramètres!J27,Paramètres!$G$5:$G$57,0)))+IF(RIGHT(TRIM(Paramètres!K27),3)="Fin",1-$H621,IF(LEFT(TRIM(Paramètres!K27),1)="F",1,0)))),IF(Paramètres!L27="",0,IF(Paramètres!M27="",NA(),IF(LEFT(TRIM(Paramètres!M27),1)="F",INDEX($F$599:$F$651,MATCH(Paramètres!L27,Paramètres!$G$5:$G$57,0)),INDEX($E$599:$E$651,MATCH(Paramètres!L27,Paramètres!$G$5:$G$57,0)))+IF(RIGHT(TRIM(Paramètres!M27),3)="Fin",1-$H621,IF(LEFT(TRIM(Paramètres!M27),1)="F",1,0)))),IF(Paramètres!N27="",0,IF(Paramètres!O27="",NA(),IF(LEFT(TRIM(Paramètres!O27),1)="F",INDEX($F$599:$F$651,MATCH(Paramètres!N27,Paramètres!$G$5:$G$57,0)),INDEX($E$599:$E$651,MATCH(Paramètres!N27,Paramètres!$G$5:$G$57,0)))+IF(RIGHT(TRIM(Paramètres!O27),3)="Fin",1-$H621,IF(LEFT(TRIM(Paramètres!O27),1)="F",1,0)))))))</f>
        <v/>
      </c>
      <c r="F621" s="19">
        <f>IF($A621="","",E621+$H621-1)</f>
        <v/>
      </c>
      <c r="G621" s="18" t="n"/>
      <c r="H621" s="18">
        <f>IF($A621="","",IF(I621&lt;&gt;"",I621,Paramètres!B27))</f>
        <v/>
      </c>
      <c r="I621" s="18" t="n"/>
    </row>
    <row r="622">
      <c r="A622" s="18">
        <f>IF(ISNUMBER(Dossiers!$D$15),Dossiers!$A$15&amp;" · "&amp;Dossiers!$B$15,"")</f>
        <v/>
      </c>
      <c r="B622" s="18">
        <f>IF($A622="","",Paramètres!G28)</f>
        <v/>
      </c>
      <c r="C622" s="18">
        <f>IF($A622="","",IF(Paramètres!H28="","",Paramètres!H28))</f>
        <v/>
      </c>
      <c r="D622" s="18">
        <f>IF($A622="","",IF(Paramètres!I28="","",Paramètres!I28))</f>
        <v/>
      </c>
      <c r="E622" s="19">
        <f>IF($A622="","",IF(Paramètres!J28&amp;Paramètres!L28&amp;Paramètres!N28="",Dossiers!$D$15,MAX(IF(Paramètres!J28="",0,IF(Paramètres!K28="",NA(),IF(LEFT(TRIM(Paramètres!K28),1)="F",INDEX($F$599:$F$651,MATCH(Paramètres!J28,Paramètres!$G$5:$G$57,0)),INDEX($E$599:$E$651,MATCH(Paramètres!J28,Paramètres!$G$5:$G$57,0)))+IF(RIGHT(TRIM(Paramètres!K28),3)="Fin",1-$H622,IF(LEFT(TRIM(Paramètres!K28),1)="F",1,0)))),IF(Paramètres!L28="",0,IF(Paramètres!M28="",NA(),IF(LEFT(TRIM(Paramètres!M28),1)="F",INDEX($F$599:$F$651,MATCH(Paramètres!L28,Paramètres!$G$5:$G$57,0)),INDEX($E$599:$E$651,MATCH(Paramètres!L28,Paramètres!$G$5:$G$57,0)))+IF(RIGHT(TRIM(Paramètres!M28),3)="Fin",1-$H622,IF(LEFT(TRIM(Paramètres!M28),1)="F",1,0)))),IF(Paramètres!N28="",0,IF(Paramètres!O28="",NA(),IF(LEFT(TRIM(Paramètres!O28),1)="F",INDEX($F$599:$F$651,MATCH(Paramètres!N28,Paramètres!$G$5:$G$57,0)),INDEX($E$599:$E$651,MATCH(Paramètres!N28,Paramètres!$G$5:$G$57,0)))+IF(RIGHT(TRIM(Paramètres!O28),3)="Fin",1-$H622,IF(LEFT(TRIM(Paramètres!O28),1)="F",1,0)))))))</f>
        <v/>
      </c>
      <c r="F622" s="19">
        <f>IF($A622="","",E622+$H622-1)</f>
        <v/>
      </c>
      <c r="G622" s="18" t="n"/>
      <c r="H622" s="18">
        <f>IF($A622="","",IF(I622&lt;&gt;"",I622,Paramètres!B28))</f>
        <v/>
      </c>
      <c r="I622" s="18" t="n"/>
    </row>
    <row r="623">
      <c r="A623" s="18">
        <f>IF(ISNUMBER(Dossiers!$D$15),Dossiers!$A$15&amp;" · "&amp;Dossiers!$B$15,"")</f>
        <v/>
      </c>
      <c r="B623" s="18">
        <f>IF($A623="","",Paramètres!G29)</f>
        <v/>
      </c>
      <c r="C623" s="18">
        <f>IF($A623="","",IF(Paramètres!H29="","",Paramètres!H29))</f>
        <v/>
      </c>
      <c r="D623" s="18">
        <f>IF($A623="","",IF(Paramètres!I29="","",Paramètres!I29))</f>
        <v/>
      </c>
      <c r="E623" s="19">
        <f>IF($A623="","",IF(Paramètres!J29&amp;Paramètres!L29&amp;Paramètres!N29="",Dossiers!$D$15,MAX(IF(Paramètres!J29="",0,IF(Paramètres!K29="",NA(),IF(LEFT(TRIM(Paramètres!K29),1)="F",INDEX($F$599:$F$651,MATCH(Paramètres!J29,Paramètres!$G$5:$G$57,0)),INDEX($E$599:$E$651,MATCH(Paramètres!J29,Paramètres!$G$5:$G$57,0)))+IF(RIGHT(TRIM(Paramètres!K29),3)="Fin",1-$H623,IF(LEFT(TRIM(Paramètres!K29),1)="F",1,0)))),IF(Paramètres!L29="",0,IF(Paramètres!M29="",NA(),IF(LEFT(TRIM(Paramètres!M29),1)="F",INDEX($F$599:$F$651,MATCH(Paramètres!L29,Paramètres!$G$5:$G$57,0)),INDEX($E$599:$E$651,MATCH(Paramètres!L29,Paramètres!$G$5:$G$57,0)))+IF(RIGHT(TRIM(Paramètres!M29),3)="Fin",1-$H623,IF(LEFT(TRIM(Paramètres!M29),1)="F",1,0)))),IF(Paramètres!N29="",0,IF(Paramètres!O29="",NA(),IF(LEFT(TRIM(Paramètres!O29),1)="F",INDEX($F$599:$F$651,MATCH(Paramètres!N29,Paramètres!$G$5:$G$57,0)),INDEX($E$599:$E$651,MATCH(Paramètres!N29,Paramètres!$G$5:$G$57,0)))+IF(RIGHT(TRIM(Paramètres!O29),3)="Fin",1-$H623,IF(LEFT(TRIM(Paramètres!O29),1)="F",1,0)))))))</f>
        <v/>
      </c>
      <c r="F623" s="19">
        <f>IF($A623="","",E623+$H623-1)</f>
        <v/>
      </c>
      <c r="G623" s="18" t="n"/>
      <c r="H623" s="18">
        <f>IF($A623="","",IF(I623&lt;&gt;"",I623,Paramètres!B29))</f>
        <v/>
      </c>
      <c r="I623" s="18" t="n"/>
    </row>
    <row r="624">
      <c r="A624" s="18">
        <f>IF(ISNUMBER(Dossiers!$D$15),Dossiers!$A$15&amp;" · "&amp;Dossiers!$B$15,"")</f>
        <v/>
      </c>
      <c r="B624" s="18">
        <f>IF($A624="","",Paramètres!G30)</f>
        <v/>
      </c>
      <c r="C624" s="18">
        <f>IF($A624="","",IF(Paramètres!H30="","",Paramètres!H30))</f>
        <v/>
      </c>
      <c r="D624" s="18">
        <f>IF($A624="","",IF(Paramètres!I30="","",Paramètres!I30))</f>
        <v/>
      </c>
      <c r="E624" s="19">
        <f>IF($A624="","",IF(Paramètres!J30&amp;Paramètres!L30&amp;Paramètres!N30="",Dossiers!$D$15,MAX(IF(Paramètres!J30="",0,IF(Paramètres!K30="",NA(),IF(LEFT(TRIM(Paramètres!K30),1)="F",INDEX($F$599:$F$651,MATCH(Paramètres!J30,Paramètres!$G$5:$G$57,0)),INDEX($E$599:$E$651,MATCH(Paramètres!J30,Paramètres!$G$5:$G$57,0)))+IF(RIGHT(TRIM(Paramètres!K30),3)="Fin",1-$H624,IF(LEFT(TRIM(Paramètres!K30),1)="F",1,0)))),IF(Paramètres!L30="",0,IF(Paramètres!M30="",NA(),IF(LEFT(TRIM(Paramètres!M30),1)="F",INDEX($F$599:$F$651,MATCH(Paramètres!L30,Paramètres!$G$5:$G$57,0)),INDEX($E$599:$E$651,MATCH(Paramètres!L30,Paramètres!$G$5:$G$57,0)))+IF(RIGHT(TRIM(Paramètres!M30),3)="Fin",1-$H624,IF(LEFT(TRIM(Paramètres!M30),1)="F",1,0)))),IF(Paramètres!N30="",0,IF(Paramètres!O30="",NA(),IF(LEFT(TRIM(Paramètres!O30),1)="F",INDEX($F$599:$F$651,MATCH(Paramètres!N30,Paramètres!$G$5:$G$57,0)),INDEX($E$599:$E$651,MATCH(Paramètres!N30,Paramètres!$G$5:$G$57,0)))+IF(RIGHT(TRIM(Paramètres!O30),3)="Fin",1-$H624,IF(LEFT(TRIM(Paramètres!O30),1)="F",1,0)))))))</f>
        <v/>
      </c>
      <c r="F624" s="19">
        <f>IF($A624="","",E624+$H624-1)</f>
        <v/>
      </c>
      <c r="G624" s="18" t="n"/>
      <c r="H624" s="18">
        <f>IF($A624="","",IF(I624&lt;&gt;"",I624,Paramètres!B30))</f>
        <v/>
      </c>
      <c r="I624" s="18" t="n"/>
    </row>
    <row r="625">
      <c r="A625" s="18">
        <f>IF(ISNUMBER(Dossiers!$D$15),Dossiers!$A$15&amp;" · "&amp;Dossiers!$B$15,"")</f>
        <v/>
      </c>
      <c r="B625" s="18">
        <f>IF($A625="","",Paramètres!G31)</f>
        <v/>
      </c>
      <c r="C625" s="20">
        <f>IF($A625="","",IF(Dossiers!$F$15="","",Dossiers!$F$15))</f>
        <v/>
      </c>
      <c r="D625" s="18">
        <f>IF($A625="","",IF(Paramètres!I31="","",Paramètres!I31))</f>
        <v/>
      </c>
      <c r="E625" s="19">
        <f>IF($A625="","",IF(Paramètres!J31&amp;Paramètres!L31&amp;Paramètres!N31="",Dossiers!$D$15,MAX(IF(Paramètres!J31="",0,IF(Paramètres!K31="",NA(),IF(LEFT(TRIM(Paramètres!K31),1)="F",INDEX($F$599:$F$651,MATCH(Paramètres!J31,Paramètres!$G$5:$G$57,0)),INDEX($E$599:$E$651,MATCH(Paramètres!J31,Paramètres!$G$5:$G$57,0)))+IF(RIGHT(TRIM(Paramètres!K31),3)="Fin",1-$H625,IF(LEFT(TRIM(Paramètres!K31),1)="F",1,0)))),IF(Paramètres!L31="",0,IF(Paramètres!M31="",NA(),IF(LEFT(TRIM(Paramètres!M31),1)="F",INDEX($F$599:$F$651,MATCH(Paramètres!L31,Paramètres!$G$5:$G$57,0)),INDEX($E$599:$E$651,MATCH(Paramètres!L31,Paramètres!$G$5:$G$57,0)))+IF(RIGHT(TRIM(Paramètres!M31),3)="Fin",1-$H625,IF(LEFT(TRIM(Paramètres!M31),1)="F",1,0)))),IF(Paramètres!N31="",0,IF(Paramètres!O31="",NA(),IF(LEFT(TRIM(Paramètres!O31),1)="F",INDEX($F$599:$F$651,MATCH(Paramètres!N31,Paramètres!$G$5:$G$57,0)),INDEX($E$599:$E$651,MATCH(Paramètres!N31,Paramètres!$G$5:$G$57,0)))+IF(RIGHT(TRIM(Paramètres!O31),3)="Fin",1-$H625,IF(LEFT(TRIM(Paramètres!O31),1)="F",1,0)))))))</f>
        <v/>
      </c>
      <c r="F625" s="19">
        <f>IF($A625="","",E625+$H625-1)</f>
        <v/>
      </c>
      <c r="G625" s="18" t="n"/>
      <c r="H625" s="18">
        <f>IF($A625="","",IF(I625&lt;&gt;"",I625,Paramètres!B31))</f>
        <v/>
      </c>
      <c r="I625" s="18" t="n"/>
    </row>
    <row r="626">
      <c r="A626" s="18">
        <f>IF(ISNUMBER(Dossiers!$D$15),Dossiers!$A$15&amp;" · "&amp;Dossiers!$B$15,"")</f>
        <v/>
      </c>
      <c r="B626" s="18">
        <f>IF($A626="","",Paramètres!G32)</f>
        <v/>
      </c>
      <c r="C626" s="18">
        <f>IF($A626="","",IF(Paramètres!H32="","",Paramètres!H32))</f>
        <v/>
      </c>
      <c r="D626" s="18">
        <f>IF($A626="","",IF(Paramètres!I32="","",Paramètres!I32))</f>
        <v/>
      </c>
      <c r="E626" s="19">
        <f>IF($A626="","",MIN(E627:E630))</f>
        <v/>
      </c>
      <c r="F626" s="19">
        <f>IF($A626="","",MAX(F627:F630))</f>
        <v/>
      </c>
      <c r="G626" s="18" t="n"/>
      <c r="H626" s="18">
        <f>IF($A626="","",F626-E626+1)</f>
        <v/>
      </c>
      <c r="I626" s="18" t="n"/>
    </row>
    <row r="627">
      <c r="A627" s="18">
        <f>IF(ISNUMBER(Dossiers!$D$15),Dossiers!$A$15&amp;" · "&amp;Dossiers!$B$15,"")</f>
        <v/>
      </c>
      <c r="B627" s="18">
        <f>IF($A627="","",Paramètres!G33)</f>
        <v/>
      </c>
      <c r="C627" s="18">
        <f>IF($A627="","",IF(Paramètres!H33="","",Paramètres!H33))</f>
        <v/>
      </c>
      <c r="D627" s="18">
        <f>IF($A627="","",IF(Paramètres!I33="","",Paramètres!I33))</f>
        <v/>
      </c>
      <c r="E627" s="19">
        <f>IF($A627="","",IF(Paramètres!J33&amp;Paramètres!L33&amp;Paramètres!N33="",Dossiers!$D$15,MAX(IF(Paramètres!J33="",0,IF(Paramètres!K33="",NA(),IF(LEFT(TRIM(Paramètres!K33),1)="F",INDEX($F$599:$F$651,MATCH(Paramètres!J33,Paramètres!$G$5:$G$57,0)),INDEX($E$599:$E$651,MATCH(Paramètres!J33,Paramètres!$G$5:$G$57,0)))+IF(RIGHT(TRIM(Paramètres!K33),3)="Fin",1-$H627,IF(LEFT(TRIM(Paramètres!K33),1)="F",1,0)))),IF(Paramètres!L33="",0,IF(Paramètres!M33="",NA(),IF(LEFT(TRIM(Paramètres!M33),1)="F",INDEX($F$599:$F$651,MATCH(Paramètres!L33,Paramètres!$G$5:$G$57,0)),INDEX($E$599:$E$651,MATCH(Paramètres!L33,Paramètres!$G$5:$G$57,0)))+IF(RIGHT(TRIM(Paramètres!M33),3)="Fin",1-$H627,IF(LEFT(TRIM(Paramètres!M33),1)="F",1,0)))),IF(Paramètres!N33="",0,IF(Paramètres!O33="",NA(),IF(LEFT(TRIM(Paramètres!O33),1)="F",INDEX($F$599:$F$651,MATCH(Paramètres!N33,Paramètres!$G$5:$G$57,0)),INDEX($E$599:$E$651,MATCH(Paramètres!N33,Paramètres!$G$5:$G$57,0)))+IF(RIGHT(TRIM(Paramètres!O33),3)="Fin",1-$H627,IF(LEFT(TRIM(Paramètres!O33),1)="F",1,0)))))))</f>
        <v/>
      </c>
      <c r="F627" s="19">
        <f>IF($A627="","",E627+$H627-1)</f>
        <v/>
      </c>
      <c r="G627" s="18" t="n"/>
      <c r="H627" s="18">
        <f>IF($A627="","",IF(I627&lt;&gt;"",I627,Paramètres!B33))</f>
        <v/>
      </c>
      <c r="I627" s="18" t="n"/>
    </row>
    <row r="628">
      <c r="A628" s="18">
        <f>IF(ISNUMBER(Dossiers!$D$15),Dossiers!$A$15&amp;" · "&amp;Dossiers!$B$15,"")</f>
        <v/>
      </c>
      <c r="B628" s="18">
        <f>IF($A628="","",Paramètres!G34)</f>
        <v/>
      </c>
      <c r="C628" s="18">
        <f>IF($A628="","",IF(Paramètres!H34="","",Paramètres!H34))</f>
        <v/>
      </c>
      <c r="D628" s="18">
        <f>IF($A628="","",IF(Paramètres!I34="","",Paramètres!I34))</f>
        <v/>
      </c>
      <c r="E628" s="19">
        <f>IF($A628="","",IF(Paramètres!J34&amp;Paramètres!L34&amp;Paramètres!N34="",Dossiers!$D$15,MAX(IF(Paramètres!J34="",0,IF(Paramètres!K34="",NA(),IF(LEFT(TRIM(Paramètres!K34),1)="F",INDEX($F$599:$F$651,MATCH(Paramètres!J34,Paramètres!$G$5:$G$57,0)),INDEX($E$599:$E$651,MATCH(Paramètres!J34,Paramètres!$G$5:$G$57,0)))+IF(RIGHT(TRIM(Paramètres!K34),3)="Fin",1-$H628,IF(LEFT(TRIM(Paramètres!K34),1)="F",1,0)))),IF(Paramètres!L34="",0,IF(Paramètres!M34="",NA(),IF(LEFT(TRIM(Paramètres!M34),1)="F",INDEX($F$599:$F$651,MATCH(Paramètres!L34,Paramètres!$G$5:$G$57,0)),INDEX($E$599:$E$651,MATCH(Paramètres!L34,Paramètres!$G$5:$G$57,0)))+IF(RIGHT(TRIM(Paramètres!M34),3)="Fin",1-$H628,IF(LEFT(TRIM(Paramètres!M34),1)="F",1,0)))),IF(Paramètres!N34="",0,IF(Paramètres!O34="",NA(),IF(LEFT(TRIM(Paramètres!O34),1)="F",INDEX($F$599:$F$651,MATCH(Paramètres!N34,Paramètres!$G$5:$G$57,0)),INDEX($E$599:$E$651,MATCH(Paramètres!N34,Paramètres!$G$5:$G$57,0)))+IF(RIGHT(TRIM(Paramètres!O34),3)="Fin",1-$H628,IF(LEFT(TRIM(Paramètres!O34),1)="F",1,0)))))))</f>
        <v/>
      </c>
      <c r="F628" s="19">
        <f>IF($A628="","",E628+$H628-1)</f>
        <v/>
      </c>
      <c r="G628" s="18" t="n"/>
      <c r="H628" s="18">
        <f>IF($A628="","",IF(I628&lt;&gt;"",I628,Paramètres!B34))</f>
        <v/>
      </c>
      <c r="I628" s="18" t="n"/>
    </row>
    <row r="629">
      <c r="A629" s="18">
        <f>IF(ISNUMBER(Dossiers!$D$15),Dossiers!$A$15&amp;" · "&amp;Dossiers!$B$15,"")</f>
        <v/>
      </c>
      <c r="B629" s="18">
        <f>IF($A629="","",Paramètres!G35)</f>
        <v/>
      </c>
      <c r="C629" s="18">
        <f>IF($A629="","",IF(Paramètres!H35="","",Paramètres!H35))</f>
        <v/>
      </c>
      <c r="D629" s="18">
        <f>IF($A629="","",IF(Paramètres!I35="","",Paramètres!I35))</f>
        <v/>
      </c>
      <c r="E629" s="19">
        <f>IF($A629="","",IF(Paramètres!J35&amp;Paramètres!L35&amp;Paramètres!N35="",Dossiers!$D$15,MAX(IF(Paramètres!J35="",0,IF(Paramètres!K35="",NA(),IF(LEFT(TRIM(Paramètres!K35),1)="F",INDEX($F$599:$F$651,MATCH(Paramètres!J35,Paramètres!$G$5:$G$57,0)),INDEX($E$599:$E$651,MATCH(Paramètres!J35,Paramètres!$G$5:$G$57,0)))+IF(RIGHT(TRIM(Paramètres!K35),3)="Fin",1-$H629,IF(LEFT(TRIM(Paramètres!K35),1)="F",1,0)))),IF(Paramètres!L35="",0,IF(Paramètres!M35="",NA(),IF(LEFT(TRIM(Paramètres!M35),1)="F",INDEX($F$599:$F$651,MATCH(Paramètres!L35,Paramètres!$G$5:$G$57,0)),INDEX($E$599:$E$651,MATCH(Paramètres!L35,Paramètres!$G$5:$G$57,0)))+IF(RIGHT(TRIM(Paramètres!M35),3)="Fin",1-$H629,IF(LEFT(TRIM(Paramètres!M35),1)="F",1,0)))),IF(Paramètres!N35="",0,IF(Paramètres!O35="",NA(),IF(LEFT(TRIM(Paramètres!O35),1)="F",INDEX($F$599:$F$651,MATCH(Paramètres!N35,Paramètres!$G$5:$G$57,0)),INDEX($E$599:$E$651,MATCH(Paramètres!N35,Paramètres!$G$5:$G$57,0)))+IF(RIGHT(TRIM(Paramètres!O35),3)="Fin",1-$H629,IF(LEFT(TRIM(Paramètres!O35),1)="F",1,0)))))))</f>
        <v/>
      </c>
      <c r="F629" s="19">
        <f>IF($A629="","",E629+$H629-1)</f>
        <v/>
      </c>
      <c r="G629" s="18" t="n"/>
      <c r="H629" s="18">
        <f>IF($A629="","",IF(I629&lt;&gt;"",I629,Paramètres!B35))</f>
        <v/>
      </c>
      <c r="I629" s="18" t="n"/>
    </row>
    <row r="630">
      <c r="A630" s="18">
        <f>IF(ISNUMBER(Dossiers!$D$15),Dossiers!$A$15&amp;" · "&amp;Dossiers!$B$15,"")</f>
        <v/>
      </c>
      <c r="B630" s="18">
        <f>IF($A630="","",Paramètres!G36)</f>
        <v/>
      </c>
      <c r="C630" s="18">
        <f>IF($A630="","",IF(Paramètres!H36="","",Paramètres!H36))</f>
        <v/>
      </c>
      <c r="D630" s="18">
        <f>IF($A630="","",IF(Paramètres!I36="","",Paramètres!I36))</f>
        <v/>
      </c>
      <c r="E630" s="19">
        <f>IF($A630="","",IF(Paramètres!J36&amp;Paramètres!L36&amp;Paramètres!N36="",Dossiers!$D$15,MAX(IF(Paramètres!J36="",0,IF(Paramètres!K36="",NA(),IF(LEFT(TRIM(Paramètres!K36),1)="F",INDEX($F$599:$F$651,MATCH(Paramètres!J36,Paramètres!$G$5:$G$57,0)),INDEX($E$599:$E$651,MATCH(Paramètres!J36,Paramètres!$G$5:$G$57,0)))+IF(RIGHT(TRIM(Paramètres!K36),3)="Fin",1-$H630,IF(LEFT(TRIM(Paramètres!K36),1)="F",1,0)))),IF(Paramètres!L36="",0,IF(Paramètres!M36="",NA(),IF(LEFT(TRIM(Paramètres!M36),1)="F",INDEX($F$599:$F$651,MATCH(Paramètres!L36,Paramètres!$G$5:$G$57,0)),INDEX($E$599:$E$651,MATCH(Paramètres!L36,Paramètres!$G$5:$G$57,0)))+IF(RIGHT(TRIM(Paramètres!M36),3)="Fin",1-$H630,IF(LEFT(TRIM(Paramètres!M36),1)="F",1,0)))),IF(Paramètres!N36="",0,IF(Paramètres!O36="",NA(),IF(LEFT(TRIM(Paramètres!O36),1)="F",INDEX($F$599:$F$651,MATCH(Paramètres!N36,Paramètres!$G$5:$G$57,0)),INDEX($E$599:$E$651,MATCH(Paramètres!N36,Paramètres!$G$5:$G$57,0)))+IF(RIGHT(TRIM(Paramètres!O36),3)="Fin",1-$H630,IF(LEFT(TRIM(Paramètres!O36),1)="F",1,0)))))))</f>
        <v/>
      </c>
      <c r="F630" s="19">
        <f>IF($A630="","",E630+$H630-1)</f>
        <v/>
      </c>
      <c r="G630" s="18" t="n"/>
      <c r="H630" s="18">
        <f>IF($A630="","",IF(I630&lt;&gt;"",I630,Paramètres!B36))</f>
        <v/>
      </c>
      <c r="I630" s="18" t="n"/>
    </row>
    <row r="631">
      <c r="A631" s="18">
        <f>IF(ISNUMBER(Dossiers!$D$15),Dossiers!$A$15&amp;" · "&amp;Dossiers!$B$15,"")</f>
        <v/>
      </c>
      <c r="B631" s="18">
        <f>IF($A631="","",Paramètres!G37)</f>
        <v/>
      </c>
      <c r="C631" s="18">
        <f>IF($A631="","",IF(Paramètres!H37="","",Paramètres!H37))</f>
        <v/>
      </c>
      <c r="D631" s="18">
        <f>IF($A631="","",IF(Paramètres!I37="","",Paramètres!I37))</f>
        <v/>
      </c>
      <c r="E631" s="19">
        <f>IF($A631="","",MIN(E632:E649))</f>
        <v/>
      </c>
      <c r="F631" s="19">
        <f>IF($A631="","",MAX(F632:F649))</f>
        <v/>
      </c>
      <c r="G631" s="18" t="n"/>
      <c r="H631" s="18">
        <f>IF($A631="","",F631-E631+1)</f>
        <v/>
      </c>
      <c r="I631" s="18" t="n"/>
    </row>
    <row r="632">
      <c r="A632" s="18">
        <f>IF(ISNUMBER(Dossiers!$D$15),Dossiers!$A$15&amp;" · "&amp;Dossiers!$B$15,"")</f>
        <v/>
      </c>
      <c r="B632" s="18">
        <f>IF($A632="","",Paramètres!G38)</f>
        <v/>
      </c>
      <c r="C632" s="18">
        <f>IF($A632="","",IF(Paramètres!H38="","",Paramètres!H38))</f>
        <v/>
      </c>
      <c r="D632" s="18">
        <f>IF($A632="","",IF(Paramètres!I38="","",Paramètres!I38))</f>
        <v/>
      </c>
      <c r="E632" s="19">
        <f>IF($A632="","",IF(Paramètres!J38&amp;Paramètres!L38&amp;Paramètres!N38="",Dossiers!$D$15,MAX(IF(Paramètres!J38="",0,IF(Paramètres!K38="",NA(),IF(LEFT(TRIM(Paramètres!K38),1)="F",INDEX($F$599:$F$651,MATCH(Paramètres!J38,Paramètres!$G$5:$G$57,0)),INDEX($E$599:$E$651,MATCH(Paramètres!J38,Paramètres!$G$5:$G$57,0)))+IF(RIGHT(TRIM(Paramètres!K38),3)="Fin",1-$H632,IF(LEFT(TRIM(Paramètres!K38),1)="F",1,0)))),IF(Paramètres!L38="",0,IF(Paramètres!M38="",NA(),IF(LEFT(TRIM(Paramètres!M38),1)="F",INDEX($F$599:$F$651,MATCH(Paramètres!L38,Paramètres!$G$5:$G$57,0)),INDEX($E$599:$E$651,MATCH(Paramètres!L38,Paramètres!$G$5:$G$57,0)))+IF(RIGHT(TRIM(Paramètres!M38),3)="Fin",1-$H632,IF(LEFT(TRIM(Paramètres!M38),1)="F",1,0)))),IF(Paramètres!N38="",0,IF(Paramètres!O38="",NA(),IF(LEFT(TRIM(Paramètres!O38),1)="F",INDEX($F$599:$F$651,MATCH(Paramètres!N38,Paramètres!$G$5:$G$57,0)),INDEX($E$599:$E$651,MATCH(Paramètres!N38,Paramètres!$G$5:$G$57,0)))+IF(RIGHT(TRIM(Paramètres!O38),3)="Fin",1-$H632,IF(LEFT(TRIM(Paramètres!O38),1)="F",1,0)))))))</f>
        <v/>
      </c>
      <c r="F632" s="19">
        <f>IF($A632="","",E632+$H632-1)</f>
        <v/>
      </c>
      <c r="G632" s="18" t="n"/>
      <c r="H632" s="18">
        <f>IF($A632="","",IF(I632&lt;&gt;"",I632,Paramètres!B38))</f>
        <v/>
      </c>
      <c r="I632" s="18" t="n"/>
    </row>
    <row r="633">
      <c r="A633" s="18">
        <f>IF(ISNUMBER(Dossiers!$D$15),Dossiers!$A$15&amp;" · "&amp;Dossiers!$B$15,"")</f>
        <v/>
      </c>
      <c r="B633" s="18">
        <f>IF($A633="","",Paramètres!G39)</f>
        <v/>
      </c>
      <c r="C633" s="18">
        <f>IF($A633="","",IF(Paramètres!H39="","",Paramètres!H39))</f>
        <v/>
      </c>
      <c r="D633" s="18">
        <f>IF($A633="","",IF(Paramètres!I39="","",Paramètres!I39))</f>
        <v/>
      </c>
      <c r="E633" s="19">
        <f>IF($A633="","",IF(Paramètres!J39&amp;Paramètres!L39&amp;Paramètres!N39="",Dossiers!$D$15,MAX(IF(Paramètres!J39="",0,IF(Paramètres!K39="",NA(),IF(LEFT(TRIM(Paramètres!K39),1)="F",INDEX($F$599:$F$651,MATCH(Paramètres!J39,Paramètres!$G$5:$G$57,0)),INDEX($E$599:$E$651,MATCH(Paramètres!J39,Paramètres!$G$5:$G$57,0)))+IF(RIGHT(TRIM(Paramètres!K39),3)="Fin",1-$H633,IF(LEFT(TRIM(Paramètres!K39),1)="F",1,0)))),IF(Paramètres!L39="",0,IF(Paramètres!M39="",NA(),IF(LEFT(TRIM(Paramètres!M39),1)="F",INDEX($F$599:$F$651,MATCH(Paramètres!L39,Paramètres!$G$5:$G$57,0)),INDEX($E$599:$E$651,MATCH(Paramètres!L39,Paramètres!$G$5:$G$57,0)))+IF(RIGHT(TRIM(Paramètres!M39),3)="Fin",1-$H633,IF(LEFT(TRIM(Paramètres!M39),1)="F",1,0)))),IF(Paramètres!N39="",0,IF(Paramètres!O39="",NA(),IF(LEFT(TRIM(Paramètres!O39),1)="F",INDEX($F$599:$F$651,MATCH(Paramètres!N39,Paramètres!$G$5:$G$57,0)),INDEX($E$599:$E$651,MATCH(Paramètres!N39,Paramètres!$G$5:$G$57,0)))+IF(RIGHT(TRIM(Paramètres!O39),3)="Fin",1-$H633,IF(LEFT(TRIM(Paramètres!O39),1)="F",1,0)))))))</f>
        <v/>
      </c>
      <c r="F633" s="19">
        <f>IF($A633="","",E633+$H633-1)</f>
        <v/>
      </c>
      <c r="G633" s="18" t="n"/>
      <c r="H633" s="18">
        <f>IF($A633="","",IF(I633&lt;&gt;"",I633,Paramètres!B39))</f>
        <v/>
      </c>
      <c r="I633" s="18" t="n"/>
    </row>
    <row r="634">
      <c r="A634" s="18">
        <f>IF(ISNUMBER(Dossiers!$D$15),Dossiers!$A$15&amp;" · "&amp;Dossiers!$B$15,"")</f>
        <v/>
      </c>
      <c r="B634" s="18">
        <f>IF($A634="","",Paramètres!G40)</f>
        <v/>
      </c>
      <c r="C634" s="18">
        <f>IF($A634="","",IF(Paramètres!H40="","",Paramètres!H40))</f>
        <v/>
      </c>
      <c r="D634" s="18">
        <f>IF($A634="","",IF(Paramètres!I40="","",Paramètres!I40))</f>
        <v/>
      </c>
      <c r="E634" s="19">
        <f>IF($A634="","",IF(Paramètres!J40&amp;Paramètres!L40&amp;Paramètres!N40="",Dossiers!$D$15,MAX(IF(Paramètres!J40="",0,IF(Paramètres!K40="",NA(),IF(LEFT(TRIM(Paramètres!K40),1)="F",INDEX($F$599:$F$651,MATCH(Paramètres!J40,Paramètres!$G$5:$G$57,0)),INDEX($E$599:$E$651,MATCH(Paramètres!J40,Paramètres!$G$5:$G$57,0)))+IF(RIGHT(TRIM(Paramètres!K40),3)="Fin",1-$H634,IF(LEFT(TRIM(Paramètres!K40),1)="F",1,0)))),IF(Paramètres!L40="",0,IF(Paramètres!M40="",NA(),IF(LEFT(TRIM(Paramètres!M40),1)="F",INDEX($F$599:$F$651,MATCH(Paramètres!L40,Paramètres!$G$5:$G$57,0)),INDEX($E$599:$E$651,MATCH(Paramètres!L40,Paramètres!$G$5:$G$57,0)))+IF(RIGHT(TRIM(Paramètres!M40),3)="Fin",1-$H634,IF(LEFT(TRIM(Paramètres!M40),1)="F",1,0)))),IF(Paramètres!N40="",0,IF(Paramètres!O40="",NA(),IF(LEFT(TRIM(Paramètres!O40),1)="F",INDEX($F$599:$F$651,MATCH(Paramètres!N40,Paramètres!$G$5:$G$57,0)),INDEX($E$599:$E$651,MATCH(Paramètres!N40,Paramètres!$G$5:$G$57,0)))+IF(RIGHT(TRIM(Paramètres!O40),3)="Fin",1-$H634,IF(LEFT(TRIM(Paramètres!O40),1)="F",1,0)))))))</f>
        <v/>
      </c>
      <c r="F634" s="19">
        <f>IF($A634="","",E634+$H634-1)</f>
        <v/>
      </c>
      <c r="G634" s="18" t="n"/>
      <c r="H634" s="18">
        <f>IF($A634="","",IF(I634&lt;&gt;"",I634,Paramètres!B40))</f>
        <v/>
      </c>
      <c r="I634" s="18" t="n"/>
    </row>
    <row r="635">
      <c r="A635" s="18">
        <f>IF(ISNUMBER(Dossiers!$D$15),Dossiers!$A$15&amp;" · "&amp;Dossiers!$B$15,"")</f>
        <v/>
      </c>
      <c r="B635" s="18">
        <f>IF($A635="","",Paramètres!G41)</f>
        <v/>
      </c>
      <c r="C635" s="18">
        <f>IF($A635="","",IF(Paramètres!H41="","",Paramètres!H41))</f>
        <v/>
      </c>
      <c r="D635" s="18">
        <f>IF($A635="","",IF(Paramètres!I41="","",Paramètres!I41))</f>
        <v/>
      </c>
      <c r="E635" s="19">
        <f>IF($A635="","",IF(Paramètres!J41&amp;Paramètres!L41&amp;Paramètres!N41="",Dossiers!$D$15,MAX(IF(Paramètres!J41="",0,IF(Paramètres!K41="",NA(),IF(LEFT(TRIM(Paramètres!K41),1)="F",INDEX($F$599:$F$651,MATCH(Paramètres!J41,Paramètres!$G$5:$G$57,0)),INDEX($E$599:$E$651,MATCH(Paramètres!J41,Paramètres!$G$5:$G$57,0)))+IF(RIGHT(TRIM(Paramètres!K41),3)="Fin",1-$H635,IF(LEFT(TRIM(Paramètres!K41),1)="F",1,0)))),IF(Paramètres!L41="",0,IF(Paramètres!M41="",NA(),IF(LEFT(TRIM(Paramètres!M41),1)="F",INDEX($F$599:$F$651,MATCH(Paramètres!L41,Paramètres!$G$5:$G$57,0)),INDEX($E$599:$E$651,MATCH(Paramètres!L41,Paramètres!$G$5:$G$57,0)))+IF(RIGHT(TRIM(Paramètres!M41),3)="Fin",1-$H635,IF(LEFT(TRIM(Paramètres!M41),1)="F",1,0)))),IF(Paramètres!N41="",0,IF(Paramètres!O41="",NA(),IF(LEFT(TRIM(Paramètres!O41),1)="F",INDEX($F$599:$F$651,MATCH(Paramètres!N41,Paramètres!$G$5:$G$57,0)),INDEX($E$599:$E$651,MATCH(Paramètres!N41,Paramètres!$G$5:$G$57,0)))+IF(RIGHT(TRIM(Paramètres!O41),3)="Fin",1-$H635,IF(LEFT(TRIM(Paramètres!O41),1)="F",1,0)))))))</f>
        <v/>
      </c>
      <c r="F635" s="19">
        <f>IF($A635="","",E635+$H635-1)</f>
        <v/>
      </c>
      <c r="G635" s="18" t="n"/>
      <c r="H635" s="18">
        <f>IF($A635="","",IF(I635&lt;&gt;"",I635,Paramètres!B41))</f>
        <v/>
      </c>
      <c r="I635" s="18" t="n"/>
    </row>
    <row r="636">
      <c r="A636" s="18">
        <f>IF(ISNUMBER(Dossiers!$D$15),Dossiers!$A$15&amp;" · "&amp;Dossiers!$B$15,"")</f>
        <v/>
      </c>
      <c r="B636" s="18">
        <f>IF($A636="","",Paramètres!G42)</f>
        <v/>
      </c>
      <c r="C636" s="18">
        <f>IF($A636="","",IF(Paramètres!H42="","",Paramètres!H42))</f>
        <v/>
      </c>
      <c r="D636" s="18">
        <f>IF($A636="","",IF(Paramètres!I42="","",Paramètres!I42))</f>
        <v/>
      </c>
      <c r="E636" s="19">
        <f>IF($A636="","",IF(Paramètres!J42&amp;Paramètres!L42&amp;Paramètres!N42="",Dossiers!$D$15,MAX(IF(Paramètres!J42="",0,IF(Paramètres!K42="",NA(),IF(LEFT(TRIM(Paramètres!K42),1)="F",INDEX($F$599:$F$651,MATCH(Paramètres!J42,Paramètres!$G$5:$G$57,0)),INDEX($E$599:$E$651,MATCH(Paramètres!J42,Paramètres!$G$5:$G$57,0)))+IF(RIGHT(TRIM(Paramètres!K42),3)="Fin",1-$H636,IF(LEFT(TRIM(Paramètres!K42),1)="F",1,0)))),IF(Paramètres!L42="",0,IF(Paramètres!M42="",NA(),IF(LEFT(TRIM(Paramètres!M42),1)="F",INDEX($F$599:$F$651,MATCH(Paramètres!L42,Paramètres!$G$5:$G$57,0)),INDEX($E$599:$E$651,MATCH(Paramètres!L42,Paramètres!$G$5:$G$57,0)))+IF(RIGHT(TRIM(Paramètres!M42),3)="Fin",1-$H636,IF(LEFT(TRIM(Paramètres!M42),1)="F",1,0)))),IF(Paramètres!N42="",0,IF(Paramètres!O42="",NA(),IF(LEFT(TRIM(Paramètres!O42),1)="F",INDEX($F$599:$F$651,MATCH(Paramètres!N42,Paramètres!$G$5:$G$57,0)),INDEX($E$599:$E$651,MATCH(Paramètres!N42,Paramètres!$G$5:$G$57,0)))+IF(RIGHT(TRIM(Paramètres!O42),3)="Fin",1-$H636,IF(LEFT(TRIM(Paramètres!O42),1)="F",1,0)))))))</f>
        <v/>
      </c>
      <c r="F636" s="19">
        <f>IF($A636="","",E636+$H636-1)</f>
        <v/>
      </c>
      <c r="G636" s="18" t="n"/>
      <c r="H636" s="18">
        <f>IF($A636="","",IF(I636&lt;&gt;"",I636,Paramètres!B42))</f>
        <v/>
      </c>
      <c r="I636" s="18" t="n"/>
    </row>
    <row r="637">
      <c r="A637" s="18">
        <f>IF(ISNUMBER(Dossiers!$D$15),Dossiers!$A$15&amp;" · "&amp;Dossiers!$B$15,"")</f>
        <v/>
      </c>
      <c r="B637" s="18">
        <f>IF($A637="","",Paramètres!G43)</f>
        <v/>
      </c>
      <c r="C637" s="18">
        <f>IF($A637="","",IF(Paramètres!H43="","",Paramètres!H43))</f>
        <v/>
      </c>
      <c r="D637" s="18">
        <f>IF($A637="","",IF(Paramètres!I43="","",Paramètres!I43))</f>
        <v/>
      </c>
      <c r="E637" s="19">
        <f>IF($A637="","",IF(Paramètres!J43&amp;Paramètres!L43&amp;Paramètres!N43="",Dossiers!$D$15,MAX(IF(Paramètres!J43="",0,IF(Paramètres!K43="",NA(),IF(LEFT(TRIM(Paramètres!K43),1)="F",INDEX($F$599:$F$651,MATCH(Paramètres!J43,Paramètres!$G$5:$G$57,0)),INDEX($E$599:$E$651,MATCH(Paramètres!J43,Paramètres!$G$5:$G$57,0)))+IF(RIGHT(TRIM(Paramètres!K43),3)="Fin",1-$H637,IF(LEFT(TRIM(Paramètres!K43),1)="F",1,0)))),IF(Paramètres!L43="",0,IF(Paramètres!M43="",NA(),IF(LEFT(TRIM(Paramètres!M43),1)="F",INDEX($F$599:$F$651,MATCH(Paramètres!L43,Paramètres!$G$5:$G$57,0)),INDEX($E$599:$E$651,MATCH(Paramètres!L43,Paramètres!$G$5:$G$57,0)))+IF(RIGHT(TRIM(Paramètres!M43),3)="Fin",1-$H637,IF(LEFT(TRIM(Paramètres!M43),1)="F",1,0)))),IF(Paramètres!N43="",0,IF(Paramètres!O43="",NA(),IF(LEFT(TRIM(Paramètres!O43),1)="F",INDEX($F$599:$F$651,MATCH(Paramètres!N43,Paramètres!$G$5:$G$57,0)),INDEX($E$599:$E$651,MATCH(Paramètres!N43,Paramètres!$G$5:$G$57,0)))+IF(RIGHT(TRIM(Paramètres!O43),3)="Fin",1-$H637,IF(LEFT(TRIM(Paramètres!O43),1)="F",1,0)))))))</f>
        <v/>
      </c>
      <c r="F637" s="19">
        <f>IF($A637="","",E637+$H637-1)</f>
        <v/>
      </c>
      <c r="G637" s="18" t="n"/>
      <c r="H637" s="18">
        <f>IF($A637="","",IF(I637&lt;&gt;"",I637,Paramètres!B43))</f>
        <v/>
      </c>
      <c r="I637" s="18" t="n"/>
    </row>
    <row r="638">
      <c r="A638" s="18">
        <f>IF(ISNUMBER(Dossiers!$D$15),Dossiers!$A$15&amp;" · "&amp;Dossiers!$B$15,"")</f>
        <v/>
      </c>
      <c r="B638" s="18">
        <f>IF($A638="","",Paramètres!G44)</f>
        <v/>
      </c>
      <c r="C638" s="18">
        <f>IF($A638="","",IF(Paramètres!H44="","",Paramètres!H44))</f>
        <v/>
      </c>
      <c r="D638" s="18">
        <f>IF($A638="","",IF(Paramètres!I44="","",Paramètres!I44))</f>
        <v/>
      </c>
      <c r="E638" s="19">
        <f>IF($A638="","",IF(Paramètres!J44&amp;Paramètres!L44&amp;Paramètres!N44="",Dossiers!$D$15,MAX(IF(Paramètres!J44="",0,IF(Paramètres!K44="",NA(),IF(LEFT(TRIM(Paramètres!K44),1)="F",INDEX($F$599:$F$651,MATCH(Paramètres!J44,Paramètres!$G$5:$G$57,0)),INDEX($E$599:$E$651,MATCH(Paramètres!J44,Paramètres!$G$5:$G$57,0)))+IF(RIGHT(TRIM(Paramètres!K44),3)="Fin",1-$H638,IF(LEFT(TRIM(Paramètres!K44),1)="F",1,0)))),IF(Paramètres!L44="",0,IF(Paramètres!M44="",NA(),IF(LEFT(TRIM(Paramètres!M44),1)="F",INDEX($F$599:$F$651,MATCH(Paramètres!L44,Paramètres!$G$5:$G$57,0)),INDEX($E$599:$E$651,MATCH(Paramètres!L44,Paramètres!$G$5:$G$57,0)))+IF(RIGHT(TRIM(Paramètres!M44),3)="Fin",1-$H638,IF(LEFT(TRIM(Paramètres!M44),1)="F",1,0)))),IF(Paramètres!N44="",0,IF(Paramètres!O44="",NA(),IF(LEFT(TRIM(Paramètres!O44),1)="F",INDEX($F$599:$F$651,MATCH(Paramètres!N44,Paramètres!$G$5:$G$57,0)),INDEX($E$599:$E$651,MATCH(Paramètres!N44,Paramètres!$G$5:$G$57,0)))+IF(RIGHT(TRIM(Paramètres!O44),3)="Fin",1-$H638,IF(LEFT(TRIM(Paramètres!O44),1)="F",1,0)))))))</f>
        <v/>
      </c>
      <c r="F638" s="19">
        <f>IF($A638="","",E638+$H638-1)</f>
        <v/>
      </c>
      <c r="G638" s="18" t="n"/>
      <c r="H638" s="18">
        <f>IF($A638="","",IF(I638&lt;&gt;"",I638,Paramètres!B44))</f>
        <v/>
      </c>
      <c r="I638" s="18" t="n"/>
    </row>
    <row r="639">
      <c r="A639" s="18">
        <f>IF(ISNUMBER(Dossiers!$D$15),Dossiers!$A$15&amp;" · "&amp;Dossiers!$B$15,"")</f>
        <v/>
      </c>
      <c r="B639" s="18">
        <f>IF($A639="","",Paramètres!G45)</f>
        <v/>
      </c>
      <c r="C639" s="20">
        <f>IF($A639="","",IF(Dossiers!$G$15="","",Dossiers!$G$15))</f>
        <v/>
      </c>
      <c r="D639" s="18">
        <f>IF($A639="","",IF(Paramètres!I45="","",Paramètres!I45))</f>
        <v/>
      </c>
      <c r="E639" s="19">
        <f>IF($A639="","",IF(Paramètres!J45&amp;Paramètres!L45&amp;Paramètres!N45="",Dossiers!$D$15,MAX(IF(Paramètres!J45="",0,IF(Paramètres!K45="",NA(),IF(LEFT(TRIM(Paramètres!K45),1)="F",INDEX($F$599:$F$651,MATCH(Paramètres!J45,Paramètres!$G$5:$G$57,0)),INDEX($E$599:$E$651,MATCH(Paramètres!J45,Paramètres!$G$5:$G$57,0)))+IF(RIGHT(TRIM(Paramètres!K45),3)="Fin",1-$H639,IF(LEFT(TRIM(Paramètres!K45),1)="F",1,0)))),IF(Paramètres!L45="",0,IF(Paramètres!M45="",NA(),IF(LEFT(TRIM(Paramètres!M45),1)="F",INDEX($F$599:$F$651,MATCH(Paramètres!L45,Paramètres!$G$5:$G$57,0)),INDEX($E$599:$E$651,MATCH(Paramètres!L45,Paramètres!$G$5:$G$57,0)))+IF(RIGHT(TRIM(Paramètres!M45),3)="Fin",1-$H639,IF(LEFT(TRIM(Paramètres!M45),1)="F",1,0)))),IF(Paramètres!N45="",0,IF(Paramètres!O45="",NA(),IF(LEFT(TRIM(Paramètres!O45),1)="F",INDEX($F$599:$F$651,MATCH(Paramètres!N45,Paramètres!$G$5:$G$57,0)),INDEX($E$599:$E$651,MATCH(Paramètres!N45,Paramètres!$G$5:$G$57,0)))+IF(RIGHT(TRIM(Paramètres!O45),3)="Fin",1-$H639,IF(LEFT(TRIM(Paramètres!O45),1)="F",1,0)))))))</f>
        <v/>
      </c>
      <c r="F639" s="19">
        <f>IF($A639="","",E639+$H639-1)</f>
        <v/>
      </c>
      <c r="G639" s="18" t="n"/>
      <c r="H639" s="18">
        <f>IF($A639="","",IF(I639&lt;&gt;"",I639,Paramètres!B45))</f>
        <v/>
      </c>
      <c r="I639" s="18" t="n"/>
    </row>
    <row r="640">
      <c r="A640" s="18">
        <f>IF(ISNUMBER(Dossiers!$D$15),Dossiers!$A$15&amp;" · "&amp;Dossiers!$B$15,"")</f>
        <v/>
      </c>
      <c r="B640" s="18">
        <f>IF($A640="","",Paramètres!G46)</f>
        <v/>
      </c>
      <c r="C640" s="18">
        <f>IF($A640="","",IF(Paramètres!H46="","",Paramètres!H46))</f>
        <v/>
      </c>
      <c r="D640" s="18">
        <f>IF($A640="","",IF(Paramètres!I46="","",Paramètres!I46))</f>
        <v/>
      </c>
      <c r="E640" s="19">
        <f>IF($A640="","",IF(Paramètres!J46&amp;Paramètres!L46&amp;Paramètres!N46="",Dossiers!$D$15,MAX(IF(Paramètres!J46="",0,IF(Paramètres!K46="",NA(),IF(LEFT(TRIM(Paramètres!K46),1)="F",INDEX($F$599:$F$651,MATCH(Paramètres!J46,Paramètres!$G$5:$G$57,0)),INDEX($E$599:$E$651,MATCH(Paramètres!J46,Paramètres!$G$5:$G$57,0)))+IF(RIGHT(TRIM(Paramètres!K46),3)="Fin",1-$H640,IF(LEFT(TRIM(Paramètres!K46),1)="F",1,0)))),IF(Paramètres!L46="",0,IF(Paramètres!M46="",NA(),IF(LEFT(TRIM(Paramètres!M46),1)="F",INDEX($F$599:$F$651,MATCH(Paramètres!L46,Paramètres!$G$5:$G$57,0)),INDEX($E$599:$E$651,MATCH(Paramètres!L46,Paramètres!$G$5:$G$57,0)))+IF(RIGHT(TRIM(Paramètres!M46),3)="Fin",1-$H640,IF(LEFT(TRIM(Paramètres!M46),1)="F",1,0)))),IF(Paramètres!N46="",0,IF(Paramètres!O46="",NA(),IF(LEFT(TRIM(Paramètres!O46),1)="F",INDEX($F$599:$F$651,MATCH(Paramètres!N46,Paramètres!$G$5:$G$57,0)),INDEX($E$599:$E$651,MATCH(Paramètres!N46,Paramètres!$G$5:$G$57,0)))+IF(RIGHT(TRIM(Paramètres!O46),3)="Fin",1-$H640,IF(LEFT(TRIM(Paramètres!O46),1)="F",1,0)))))))</f>
        <v/>
      </c>
      <c r="F640" s="19">
        <f>IF($A640="","",E640+$H640-1)</f>
        <v/>
      </c>
      <c r="G640" s="18" t="n"/>
      <c r="H640" s="18">
        <f>IF($A640="","",IF(I640&lt;&gt;"",I640,Paramètres!B46))</f>
        <v/>
      </c>
      <c r="I640" s="18" t="n"/>
    </row>
    <row r="641">
      <c r="A641" s="18">
        <f>IF(ISNUMBER(Dossiers!$D$15),Dossiers!$A$15&amp;" · "&amp;Dossiers!$B$15,"")</f>
        <v/>
      </c>
      <c r="B641" s="18">
        <f>IF($A641="","",Paramètres!G47)</f>
        <v/>
      </c>
      <c r="C641" s="18">
        <f>IF($A641="","",IF(Paramètres!H47="","",Paramètres!H47))</f>
        <v/>
      </c>
      <c r="D641" s="18">
        <f>IF($A641="","",IF(Paramètres!I47="","",Paramètres!I47))</f>
        <v/>
      </c>
      <c r="E641" s="19">
        <f>IF($A641="","",IF(Paramètres!J47&amp;Paramètres!L47&amp;Paramètres!N47="",Dossiers!$D$15,MAX(IF(Paramètres!J47="",0,IF(Paramètres!K47="",NA(),IF(LEFT(TRIM(Paramètres!K47),1)="F",INDEX($F$599:$F$651,MATCH(Paramètres!J47,Paramètres!$G$5:$G$57,0)),INDEX($E$599:$E$651,MATCH(Paramètres!J47,Paramètres!$G$5:$G$57,0)))+IF(RIGHT(TRIM(Paramètres!K47),3)="Fin",1-$H641,IF(LEFT(TRIM(Paramètres!K47),1)="F",1,0)))),IF(Paramètres!L47="",0,IF(Paramètres!M47="",NA(),IF(LEFT(TRIM(Paramètres!M47),1)="F",INDEX($F$599:$F$651,MATCH(Paramètres!L47,Paramètres!$G$5:$G$57,0)),INDEX($E$599:$E$651,MATCH(Paramètres!L47,Paramètres!$G$5:$G$57,0)))+IF(RIGHT(TRIM(Paramètres!M47),3)="Fin",1-$H641,IF(LEFT(TRIM(Paramètres!M47),1)="F",1,0)))),IF(Paramètres!N47="",0,IF(Paramètres!O47="",NA(),IF(LEFT(TRIM(Paramètres!O47),1)="F",INDEX($F$599:$F$651,MATCH(Paramètres!N47,Paramètres!$G$5:$G$57,0)),INDEX($E$599:$E$651,MATCH(Paramètres!N47,Paramètres!$G$5:$G$57,0)))+IF(RIGHT(TRIM(Paramètres!O47),3)="Fin",1-$H641,IF(LEFT(TRIM(Paramètres!O47),1)="F",1,0)))))))</f>
        <v/>
      </c>
      <c r="F641" s="19">
        <f>IF($A641="","",E641+$H641-1)</f>
        <v/>
      </c>
      <c r="G641" s="18" t="n"/>
      <c r="H641" s="18">
        <f>IF($A641="","",IF(I641&lt;&gt;"",I641,Paramètres!B47))</f>
        <v/>
      </c>
      <c r="I641" s="18" t="n"/>
    </row>
    <row r="642">
      <c r="A642" s="18">
        <f>IF(ISNUMBER(Dossiers!$D$15),Dossiers!$A$15&amp;" · "&amp;Dossiers!$B$15,"")</f>
        <v/>
      </c>
      <c r="B642" s="18">
        <f>IF($A642="","",Paramètres!G48)</f>
        <v/>
      </c>
      <c r="C642" s="18">
        <f>IF($A642="","",IF(Paramètres!H48="","",Paramètres!H48))</f>
        <v/>
      </c>
      <c r="D642" s="18">
        <f>IF($A642="","",IF(Paramètres!I48="","",Paramètres!I48))</f>
        <v/>
      </c>
      <c r="E642" s="19">
        <f>IF($A642="","",IF(Paramètres!J48&amp;Paramètres!L48&amp;Paramètres!N48="",Dossiers!$D$15,MAX(IF(Paramètres!J48="",0,IF(Paramètres!K48="",NA(),IF(LEFT(TRIM(Paramètres!K48),1)="F",INDEX($F$599:$F$651,MATCH(Paramètres!J48,Paramètres!$G$5:$G$57,0)),INDEX($E$599:$E$651,MATCH(Paramètres!J48,Paramètres!$G$5:$G$57,0)))+IF(RIGHT(TRIM(Paramètres!K48),3)="Fin",1-$H642,IF(LEFT(TRIM(Paramètres!K48),1)="F",1,0)))),IF(Paramètres!L48="",0,IF(Paramètres!M48="",NA(),IF(LEFT(TRIM(Paramètres!M48),1)="F",INDEX($F$599:$F$651,MATCH(Paramètres!L48,Paramètres!$G$5:$G$57,0)),INDEX($E$599:$E$651,MATCH(Paramètres!L48,Paramètres!$G$5:$G$57,0)))+IF(RIGHT(TRIM(Paramètres!M48),3)="Fin",1-$H642,IF(LEFT(TRIM(Paramètres!M48),1)="F",1,0)))),IF(Paramètres!N48="",0,IF(Paramètres!O48="",NA(),IF(LEFT(TRIM(Paramètres!O48),1)="F",INDEX($F$599:$F$651,MATCH(Paramètres!N48,Paramètres!$G$5:$G$57,0)),INDEX($E$599:$E$651,MATCH(Paramètres!N48,Paramètres!$G$5:$G$57,0)))+IF(RIGHT(TRIM(Paramètres!O48),3)="Fin",1-$H642,IF(LEFT(TRIM(Paramètres!O48),1)="F",1,0)))))))</f>
        <v/>
      </c>
      <c r="F642" s="19">
        <f>IF($A642="","",E642+$H642-1)</f>
        <v/>
      </c>
      <c r="G642" s="18" t="n"/>
      <c r="H642" s="18">
        <f>IF($A642="","",IF(I642&lt;&gt;"",I642,Paramètres!B48))</f>
        <v/>
      </c>
      <c r="I642" s="18" t="n"/>
    </row>
    <row r="643">
      <c r="A643" s="18">
        <f>IF(ISNUMBER(Dossiers!$D$15),Dossiers!$A$15&amp;" · "&amp;Dossiers!$B$15,"")</f>
        <v/>
      </c>
      <c r="B643" s="18">
        <f>IF($A643="","",Paramètres!G49)</f>
        <v/>
      </c>
      <c r="C643" s="18">
        <f>IF($A643="","",IF(Paramètres!H49="","",Paramètres!H49))</f>
        <v/>
      </c>
      <c r="D643" s="18">
        <f>IF($A643="","",IF(Paramètres!I49="","",Paramètres!I49))</f>
        <v/>
      </c>
      <c r="E643" s="19">
        <f>IF($A643="","",IF(Paramètres!J49&amp;Paramètres!L49&amp;Paramètres!N49="",Dossiers!$D$15,MAX(IF(Paramètres!J49="",0,IF(Paramètres!K49="",NA(),IF(LEFT(TRIM(Paramètres!K49),1)="F",INDEX($F$599:$F$651,MATCH(Paramètres!J49,Paramètres!$G$5:$G$57,0)),INDEX($E$599:$E$651,MATCH(Paramètres!J49,Paramètres!$G$5:$G$57,0)))+IF(RIGHT(TRIM(Paramètres!K49),3)="Fin",1-$H643,IF(LEFT(TRIM(Paramètres!K49),1)="F",1,0)))),IF(Paramètres!L49="",0,IF(Paramètres!M49="",NA(),IF(LEFT(TRIM(Paramètres!M49),1)="F",INDEX($F$599:$F$651,MATCH(Paramètres!L49,Paramètres!$G$5:$G$57,0)),INDEX($E$599:$E$651,MATCH(Paramètres!L49,Paramètres!$G$5:$G$57,0)))+IF(RIGHT(TRIM(Paramètres!M49),3)="Fin",1-$H643,IF(LEFT(TRIM(Paramètres!M49),1)="F",1,0)))),IF(Paramètres!N49="",0,IF(Paramètres!O49="",NA(),IF(LEFT(TRIM(Paramètres!O49),1)="F",INDEX($F$599:$F$651,MATCH(Paramètres!N49,Paramètres!$G$5:$G$57,0)),INDEX($E$599:$E$651,MATCH(Paramètres!N49,Paramètres!$G$5:$G$57,0)))+IF(RIGHT(TRIM(Paramètres!O49),3)="Fin",1-$H643,IF(LEFT(TRIM(Paramètres!O49),1)="F",1,0)))))))</f>
        <v/>
      </c>
      <c r="F643" s="19">
        <f>IF($A643="","",E643+$H643-1)</f>
        <v/>
      </c>
      <c r="G643" s="18" t="n"/>
      <c r="H643" s="18">
        <f>IF($A643="","",IF(I643&lt;&gt;"",I643,Paramètres!B49))</f>
        <v/>
      </c>
      <c r="I643" s="18" t="n"/>
    </row>
    <row r="644">
      <c r="A644" s="18">
        <f>IF(ISNUMBER(Dossiers!$D$15),Dossiers!$A$15&amp;" · "&amp;Dossiers!$B$15,"")</f>
        <v/>
      </c>
      <c r="B644" s="18">
        <f>IF($A644="","",Paramètres!G50)</f>
        <v/>
      </c>
      <c r="C644" s="18">
        <f>IF($A644="","",IF(Paramètres!H50="","",Paramètres!H50))</f>
        <v/>
      </c>
      <c r="D644" s="18">
        <f>IF($A644="","",IF(Paramètres!I50="","",Paramètres!I50))</f>
        <v/>
      </c>
      <c r="E644" s="19">
        <f>IF($A644="","",IF(Paramètres!J50&amp;Paramètres!L50&amp;Paramètres!N50="",Dossiers!$D$15,MAX(IF(Paramètres!J50="",0,IF(Paramètres!K50="",NA(),IF(LEFT(TRIM(Paramètres!K50),1)="F",INDEX($F$599:$F$651,MATCH(Paramètres!J50,Paramètres!$G$5:$G$57,0)),INDEX($E$599:$E$651,MATCH(Paramètres!J50,Paramètres!$G$5:$G$57,0)))+IF(RIGHT(TRIM(Paramètres!K50),3)="Fin",1-$H644,IF(LEFT(TRIM(Paramètres!K50),1)="F",1,0)))),IF(Paramètres!L50="",0,IF(Paramètres!M50="",NA(),IF(LEFT(TRIM(Paramètres!M50),1)="F",INDEX($F$599:$F$651,MATCH(Paramètres!L50,Paramètres!$G$5:$G$57,0)),INDEX($E$599:$E$651,MATCH(Paramètres!L50,Paramètres!$G$5:$G$57,0)))+IF(RIGHT(TRIM(Paramètres!M50),3)="Fin",1-$H644,IF(LEFT(TRIM(Paramètres!M50),1)="F",1,0)))),IF(Paramètres!N50="",0,IF(Paramètres!O50="",NA(),IF(LEFT(TRIM(Paramètres!O50),1)="F",INDEX($F$599:$F$651,MATCH(Paramètres!N50,Paramètres!$G$5:$G$57,0)),INDEX($E$599:$E$651,MATCH(Paramètres!N50,Paramètres!$G$5:$G$57,0)))+IF(RIGHT(TRIM(Paramètres!O50),3)="Fin",1-$H644,IF(LEFT(TRIM(Paramètres!O50),1)="F",1,0)))))))</f>
        <v/>
      </c>
      <c r="F644" s="19">
        <f>IF($A644="","",E644+$H644-1)</f>
        <v/>
      </c>
      <c r="G644" s="18" t="n"/>
      <c r="H644" s="18">
        <f>IF($A644="","",IF(I644&lt;&gt;"",I644,Paramètres!B50))</f>
        <v/>
      </c>
      <c r="I644" s="18" t="n"/>
    </row>
    <row r="645">
      <c r="A645" s="18">
        <f>IF(ISNUMBER(Dossiers!$D$15),Dossiers!$A$15&amp;" · "&amp;Dossiers!$B$15,"")</f>
        <v/>
      </c>
      <c r="B645" s="18">
        <f>IF($A645="","",Paramètres!G51)</f>
        <v/>
      </c>
      <c r="C645" s="18">
        <f>IF($A645="","",IF(Paramètres!H51="","",Paramètres!H51))</f>
        <v/>
      </c>
      <c r="D645" s="18">
        <f>IF($A645="","",IF(Paramètres!I51="","",Paramètres!I51))</f>
        <v/>
      </c>
      <c r="E645" s="19">
        <f>IF($A645="","",IF(Paramètres!J51&amp;Paramètres!L51&amp;Paramètres!N51="",Dossiers!$D$15,MAX(IF(Paramètres!J51="",0,IF(Paramètres!K51="",NA(),IF(LEFT(TRIM(Paramètres!K51),1)="F",INDEX($F$599:$F$651,MATCH(Paramètres!J51,Paramètres!$G$5:$G$57,0)),INDEX($E$599:$E$651,MATCH(Paramètres!J51,Paramètres!$G$5:$G$57,0)))+IF(RIGHT(TRIM(Paramètres!K51),3)="Fin",1-$H645,IF(LEFT(TRIM(Paramètres!K51),1)="F",1,0)))),IF(Paramètres!L51="",0,IF(Paramètres!M51="",NA(),IF(LEFT(TRIM(Paramètres!M51),1)="F",INDEX($F$599:$F$651,MATCH(Paramètres!L51,Paramètres!$G$5:$G$57,0)),INDEX($E$599:$E$651,MATCH(Paramètres!L51,Paramètres!$G$5:$G$57,0)))+IF(RIGHT(TRIM(Paramètres!M51),3)="Fin",1-$H645,IF(LEFT(TRIM(Paramètres!M51),1)="F",1,0)))),IF(Paramètres!N51="",0,IF(Paramètres!O51="",NA(),IF(LEFT(TRIM(Paramètres!O51),1)="F",INDEX($F$599:$F$651,MATCH(Paramètres!N51,Paramètres!$G$5:$G$57,0)),INDEX($E$599:$E$651,MATCH(Paramètres!N51,Paramètres!$G$5:$G$57,0)))+IF(RIGHT(TRIM(Paramètres!O51),3)="Fin",1-$H645,IF(LEFT(TRIM(Paramètres!O51),1)="F",1,0)))))))</f>
        <v/>
      </c>
      <c r="F645" s="19">
        <f>IF($A645="","",E645+$H645-1)</f>
        <v/>
      </c>
      <c r="G645" s="18" t="n"/>
      <c r="H645" s="18">
        <f>IF($A645="","",IF(I645&lt;&gt;"",I645,Paramètres!B51))</f>
        <v/>
      </c>
      <c r="I645" s="18" t="n"/>
    </row>
    <row r="646">
      <c r="A646" s="18">
        <f>IF(ISNUMBER(Dossiers!$D$15),Dossiers!$A$15&amp;" · "&amp;Dossiers!$B$15,"")</f>
        <v/>
      </c>
      <c r="B646" s="18">
        <f>IF($A646="","",Paramètres!G52)</f>
        <v/>
      </c>
      <c r="C646" s="18">
        <f>IF($A646="","",IF(Paramètres!H52="","",Paramètres!H52))</f>
        <v/>
      </c>
      <c r="D646" s="18">
        <f>IF($A646="","",IF(Paramètres!I52="","",Paramètres!I52))</f>
        <v/>
      </c>
      <c r="E646" s="19">
        <f>IF($A646="","",IF(Paramètres!J52&amp;Paramètres!L52&amp;Paramètres!N52="",Dossiers!$D$15,MAX(IF(Paramètres!J52="",0,IF(Paramètres!K52="",NA(),IF(LEFT(TRIM(Paramètres!K52),1)="F",INDEX($F$599:$F$651,MATCH(Paramètres!J52,Paramètres!$G$5:$G$57,0)),INDEX($E$599:$E$651,MATCH(Paramètres!J52,Paramètres!$G$5:$G$57,0)))+IF(RIGHT(TRIM(Paramètres!K52),3)="Fin",1-$H646,IF(LEFT(TRIM(Paramètres!K52),1)="F",1,0)))),IF(Paramètres!L52="",0,IF(Paramètres!M52="",NA(),IF(LEFT(TRIM(Paramètres!M52),1)="F",INDEX($F$599:$F$651,MATCH(Paramètres!L52,Paramètres!$G$5:$G$57,0)),INDEX($E$599:$E$651,MATCH(Paramètres!L52,Paramètres!$G$5:$G$57,0)))+IF(RIGHT(TRIM(Paramètres!M52),3)="Fin",1-$H646,IF(LEFT(TRIM(Paramètres!M52),1)="F",1,0)))),IF(Paramètres!N52="",0,IF(Paramètres!O52="",NA(),IF(LEFT(TRIM(Paramètres!O52),1)="F",INDEX($F$599:$F$651,MATCH(Paramètres!N52,Paramètres!$G$5:$G$57,0)),INDEX($E$599:$E$651,MATCH(Paramètres!N52,Paramètres!$G$5:$G$57,0)))+IF(RIGHT(TRIM(Paramètres!O52),3)="Fin",1-$H646,IF(LEFT(TRIM(Paramètres!O52),1)="F",1,0)))))))</f>
        <v/>
      </c>
      <c r="F646" s="19">
        <f>IF($A646="","",E646+$H646-1)</f>
        <v/>
      </c>
      <c r="G646" s="18" t="n"/>
      <c r="H646" s="18">
        <f>IF($A646="","",IF(I646&lt;&gt;"",I646,Paramètres!B52))</f>
        <v/>
      </c>
      <c r="I646" s="18" t="n"/>
    </row>
    <row r="647">
      <c r="A647" s="18">
        <f>IF(ISNUMBER(Dossiers!$D$15),Dossiers!$A$15&amp;" · "&amp;Dossiers!$B$15,"")</f>
        <v/>
      </c>
      <c r="B647" s="18">
        <f>IF($A647="","",Paramètres!G53)</f>
        <v/>
      </c>
      <c r="C647" s="18">
        <f>IF($A647="","",IF(Paramètres!H53="","",Paramètres!H53))</f>
        <v/>
      </c>
      <c r="D647" s="18">
        <f>IF($A647="","",IF(Paramètres!I53="","",Paramètres!I53))</f>
        <v/>
      </c>
      <c r="E647" s="19">
        <f>IF($A647="","",IF(Paramètres!J53&amp;Paramètres!L53&amp;Paramètres!N53="",Dossiers!$D$15,MAX(IF(Paramètres!J53="",0,IF(Paramètres!K53="",NA(),IF(LEFT(TRIM(Paramètres!K53),1)="F",INDEX($F$599:$F$651,MATCH(Paramètres!J53,Paramètres!$G$5:$G$57,0)),INDEX($E$599:$E$651,MATCH(Paramètres!J53,Paramètres!$G$5:$G$57,0)))+IF(RIGHT(TRIM(Paramètres!K53),3)="Fin",1-$H647,IF(LEFT(TRIM(Paramètres!K53),1)="F",1,0)))),IF(Paramètres!L53="",0,IF(Paramètres!M53="",NA(),IF(LEFT(TRIM(Paramètres!M53),1)="F",INDEX($F$599:$F$651,MATCH(Paramètres!L53,Paramètres!$G$5:$G$57,0)),INDEX($E$599:$E$651,MATCH(Paramètres!L53,Paramètres!$G$5:$G$57,0)))+IF(RIGHT(TRIM(Paramètres!M53),3)="Fin",1-$H647,IF(LEFT(TRIM(Paramètres!M53),1)="F",1,0)))),IF(Paramètres!N53="",0,IF(Paramètres!O53="",NA(),IF(LEFT(TRIM(Paramètres!O53),1)="F",INDEX($F$599:$F$651,MATCH(Paramètres!N53,Paramètres!$G$5:$G$57,0)),INDEX($E$599:$E$651,MATCH(Paramètres!N53,Paramètres!$G$5:$G$57,0)))+IF(RIGHT(TRIM(Paramètres!O53),3)="Fin",1-$H647,IF(LEFT(TRIM(Paramètres!O53),1)="F",1,0)))))))</f>
        <v/>
      </c>
      <c r="F647" s="19">
        <f>IF($A647="","",E647+$H647-1)</f>
        <v/>
      </c>
      <c r="G647" s="18" t="n"/>
      <c r="H647" s="18">
        <f>IF($A647="","",IF(I647&lt;&gt;"",I647,Paramètres!B53))</f>
        <v/>
      </c>
      <c r="I647" s="18" t="n"/>
    </row>
    <row r="648">
      <c r="A648" s="18">
        <f>IF(ISNUMBER(Dossiers!$D$15),Dossiers!$A$15&amp;" · "&amp;Dossiers!$B$15,"")</f>
        <v/>
      </c>
      <c r="B648" s="18">
        <f>IF($A648="","",Paramètres!G54)</f>
        <v/>
      </c>
      <c r="C648" s="18">
        <f>IF($A648="","",IF(Paramètres!H54="","",Paramètres!H54))</f>
        <v/>
      </c>
      <c r="D648" s="18">
        <f>IF($A648="","",IF(Paramètres!I54="","",Paramètres!I54))</f>
        <v/>
      </c>
      <c r="E648" s="19">
        <f>IF($A648="","",IF(Paramètres!J54&amp;Paramètres!L54&amp;Paramètres!N54="",Dossiers!$D$15,MAX(IF(Paramètres!J54="",0,IF(Paramètres!K54="",NA(),IF(LEFT(TRIM(Paramètres!K54),1)="F",INDEX($F$599:$F$651,MATCH(Paramètres!J54,Paramètres!$G$5:$G$57,0)),INDEX($E$599:$E$651,MATCH(Paramètres!J54,Paramètres!$G$5:$G$57,0)))+IF(RIGHT(TRIM(Paramètres!K54),3)="Fin",1-$H648,IF(LEFT(TRIM(Paramètres!K54),1)="F",1,0)))),IF(Paramètres!L54="",0,IF(Paramètres!M54="",NA(),IF(LEFT(TRIM(Paramètres!M54),1)="F",INDEX($F$599:$F$651,MATCH(Paramètres!L54,Paramètres!$G$5:$G$57,0)),INDEX($E$599:$E$651,MATCH(Paramètres!L54,Paramètres!$G$5:$G$57,0)))+IF(RIGHT(TRIM(Paramètres!M54),3)="Fin",1-$H648,IF(LEFT(TRIM(Paramètres!M54),1)="F",1,0)))),IF(Paramètres!N54="",0,IF(Paramètres!O54="",NA(),IF(LEFT(TRIM(Paramètres!O54),1)="F",INDEX($F$599:$F$651,MATCH(Paramètres!N54,Paramètres!$G$5:$G$57,0)),INDEX($E$599:$E$651,MATCH(Paramètres!N54,Paramètres!$G$5:$G$57,0)))+IF(RIGHT(TRIM(Paramètres!O54),3)="Fin",1-$H648,IF(LEFT(TRIM(Paramètres!O54),1)="F",1,0)))))))</f>
        <v/>
      </c>
      <c r="F648" s="19">
        <f>IF($A648="","",E648+$H648-1)</f>
        <v/>
      </c>
      <c r="G648" s="18" t="n"/>
      <c r="H648" s="18">
        <f>IF($A648="","",IF(I648&lt;&gt;"",I648,Paramètres!B54))</f>
        <v/>
      </c>
      <c r="I648" s="18" t="n"/>
    </row>
    <row r="649">
      <c r="A649" s="18">
        <f>IF(ISNUMBER(Dossiers!$D$15),Dossiers!$A$15&amp;" · "&amp;Dossiers!$B$15,"")</f>
        <v/>
      </c>
      <c r="B649" s="18">
        <f>IF($A649="","",Paramètres!G55)</f>
        <v/>
      </c>
      <c r="C649" s="18">
        <f>IF($A649="","",IF(Paramètres!H55="","",Paramètres!H55))</f>
        <v/>
      </c>
      <c r="D649" s="18">
        <f>IF($A649="","",IF(Paramètres!I55="","",Paramètres!I55))</f>
        <v/>
      </c>
      <c r="E649" s="19">
        <f>IF($A649="","",IF(Paramètres!J55&amp;Paramètres!L55&amp;Paramètres!N55="",Dossiers!$D$15,MAX(IF(Paramètres!J55="",0,IF(Paramètres!K55="",NA(),IF(LEFT(TRIM(Paramètres!K55),1)="F",INDEX($F$599:$F$651,MATCH(Paramètres!J55,Paramètres!$G$5:$G$57,0)),INDEX($E$599:$E$651,MATCH(Paramètres!J55,Paramètres!$G$5:$G$57,0)))+IF(RIGHT(TRIM(Paramètres!K55),3)="Fin",1-$H649,IF(LEFT(TRIM(Paramètres!K55),1)="F",1,0)))),IF(Paramètres!L55="",0,IF(Paramètres!M55="",NA(),IF(LEFT(TRIM(Paramètres!M55),1)="F",INDEX($F$599:$F$651,MATCH(Paramètres!L55,Paramètres!$G$5:$G$57,0)),INDEX($E$599:$E$651,MATCH(Paramètres!L55,Paramètres!$G$5:$G$57,0)))+IF(RIGHT(TRIM(Paramètres!M55),3)="Fin",1-$H649,IF(LEFT(TRIM(Paramètres!M55),1)="F",1,0)))),IF(Paramètres!N55="",0,IF(Paramètres!O55="",NA(),IF(LEFT(TRIM(Paramètres!O55),1)="F",INDEX($F$599:$F$651,MATCH(Paramètres!N55,Paramètres!$G$5:$G$57,0)),INDEX($E$599:$E$651,MATCH(Paramètres!N55,Paramètres!$G$5:$G$57,0)))+IF(RIGHT(TRIM(Paramètres!O55),3)="Fin",1-$H649,IF(LEFT(TRIM(Paramètres!O55),1)="F",1,0)))))))</f>
        <v/>
      </c>
      <c r="F649" s="19">
        <f>IF($A649="","",E649+$H649-1)</f>
        <v/>
      </c>
      <c r="G649" s="18" t="n"/>
      <c r="H649" s="18">
        <f>IF($A649="","",IF(I649&lt;&gt;"",I649,Paramètres!B55))</f>
        <v/>
      </c>
      <c r="I649" s="18" t="n"/>
    </row>
    <row r="650">
      <c r="A650" s="18">
        <f>IF(ISNUMBER(Dossiers!$D$15),Dossiers!$A$15&amp;" · "&amp;Dossiers!$B$15,"")</f>
        <v/>
      </c>
      <c r="B650" s="18">
        <f>IF($A650="","",Paramètres!G56)</f>
        <v/>
      </c>
      <c r="C650" s="18">
        <f>IF($A650="","",IF(Paramètres!H56="","",Paramètres!H56))</f>
        <v/>
      </c>
      <c r="D650" s="18">
        <f>IF($A650="","",IF(Paramètres!I56="","",Paramètres!I56))</f>
        <v/>
      </c>
      <c r="E650" s="19">
        <f>IF($A650="","",MIN(E651:E651))</f>
        <v/>
      </c>
      <c r="F650" s="19">
        <f>IF($A650="","",MAX(F651:F651))</f>
        <v/>
      </c>
      <c r="G650" s="18" t="n"/>
      <c r="H650" s="18">
        <f>IF($A650="","",F650-E650+1)</f>
        <v/>
      </c>
      <c r="I650" s="18" t="n"/>
    </row>
    <row r="651">
      <c r="A651" s="18">
        <f>IF(ISNUMBER(Dossiers!$D$15),Dossiers!$A$15&amp;" · "&amp;Dossiers!$B$15,"")</f>
        <v/>
      </c>
      <c r="B651" s="18">
        <f>IF($A651="","",Paramètres!G57)</f>
        <v/>
      </c>
      <c r="C651" s="18">
        <f>IF($A651="","",IF(Paramètres!H57="","",Paramètres!H57))</f>
        <v/>
      </c>
      <c r="D651" s="18">
        <f>IF($A651="","",IF(Paramètres!I57="","",Paramètres!I57))</f>
        <v/>
      </c>
      <c r="E651" s="19">
        <f>IF($A651="","",IF(Paramètres!J57&amp;Paramètres!L57&amp;Paramètres!N57="",Dossiers!$D$15,MAX(IF(Paramètres!J57="",0,IF(Paramètres!K57="",NA(),IF(LEFT(TRIM(Paramètres!K57),1)="F",INDEX($F$599:$F$651,MATCH(Paramètres!J57,Paramètres!$G$5:$G$57,0)),INDEX($E$599:$E$651,MATCH(Paramètres!J57,Paramètres!$G$5:$G$57,0)))+IF(RIGHT(TRIM(Paramètres!K57),3)="Fin",1-$H651,IF(LEFT(TRIM(Paramètres!K57),1)="F",1,0)))),IF(Paramètres!L57="",0,IF(Paramètres!M57="",NA(),IF(LEFT(TRIM(Paramètres!M57),1)="F",INDEX($F$599:$F$651,MATCH(Paramètres!L57,Paramètres!$G$5:$G$57,0)),INDEX($E$599:$E$651,MATCH(Paramètres!L57,Paramètres!$G$5:$G$57,0)))+IF(RIGHT(TRIM(Paramètres!M57),3)="Fin",1-$H651,IF(LEFT(TRIM(Paramètres!M57),1)="F",1,0)))),IF(Paramètres!N57="",0,IF(Paramètres!O57="",NA(),IF(LEFT(TRIM(Paramètres!O57),1)="F",INDEX($F$599:$F$651,MATCH(Paramètres!N57,Paramètres!$G$5:$G$57,0)),INDEX($E$599:$E$651,MATCH(Paramètres!N57,Paramètres!$G$5:$G$57,0)))+IF(RIGHT(TRIM(Paramètres!O57),3)="Fin",1-$H651,IF(LEFT(TRIM(Paramètres!O57),1)="F",1,0)))))))</f>
        <v/>
      </c>
      <c r="F651" s="19">
        <f>IF($A651="","",E651+$H651-1)</f>
        <v/>
      </c>
      <c r="G651" s="18" t="n"/>
      <c r="H651" s="18">
        <f>IF($A651="","",IF(I651&lt;&gt;"",I651,Paramètres!B57))</f>
        <v/>
      </c>
      <c r="I651" s="18" t="n"/>
    </row>
    <row r="652">
      <c r="A652" s="16">
        <f>IF(ISNUMBER(Dossiers!$D$16),Dossiers!$E$16,"")</f>
        <v/>
      </c>
      <c r="B652" s="16">
        <f>IF($A652="","","Identifiant")</f>
        <v/>
      </c>
      <c r="C652" s="16">
        <f>IF($A652="","","Macro Etape")</f>
        <v/>
      </c>
      <c r="D652" s="16">
        <f>IF($A652="","","Etape")</f>
        <v/>
      </c>
      <c r="E652" s="17">
        <f>IF($A652="","","Début le")</f>
        <v/>
      </c>
      <c r="F652" s="17">
        <f>IF($A652="","","Fin prévue le")</f>
        <v/>
      </c>
      <c r="G652" s="16">
        <f>IF($A652="","","Statut")</f>
        <v/>
      </c>
      <c r="H652" s="16">
        <f>IF($A652="","","Durée (jours)")</f>
        <v/>
      </c>
      <c r="I652" s="16">
        <f>IF($A652="","","Durée particulière")</f>
        <v/>
      </c>
      <c r="J652" s="10">
        <f>IF($A652="","",HYPERLINK("#'Tableau de bord'!A1","↑ Tableau de bord"))</f>
        <v/>
      </c>
    </row>
    <row r="653">
      <c r="A653" s="18">
        <f>IF(ISNUMBER(Dossiers!$D$16),Dossiers!$A$16&amp;" · "&amp;Dossiers!$B$16,"")</f>
        <v/>
      </c>
      <c r="B653" s="18">
        <f>IF($A653="","",Paramètres!G5)</f>
        <v/>
      </c>
      <c r="C653" s="18">
        <f>IF($A653="","",IF(Paramètres!H5="","",Paramètres!H5))</f>
        <v/>
      </c>
      <c r="D653" s="18">
        <f>IF($A653="","",IF(Paramètres!I5="","",Paramètres!I5))</f>
        <v/>
      </c>
      <c r="E653" s="19">
        <f>IF($A653="","",MIN(E654:E657))</f>
        <v/>
      </c>
      <c r="F653" s="19">
        <f>IF($A653="","",MAX(F654:F657))</f>
        <v/>
      </c>
      <c r="G653" s="18" t="n"/>
      <c r="H653" s="18">
        <f>IF($A653="","",F653-E653+1)</f>
        <v/>
      </c>
      <c r="I653" s="18" t="n"/>
    </row>
    <row r="654">
      <c r="A654" s="18">
        <f>IF(ISNUMBER(Dossiers!$D$16),Dossiers!$A$16&amp;" · "&amp;Dossiers!$B$16,"")</f>
        <v/>
      </c>
      <c r="B654" s="18">
        <f>IF($A654="","",Paramètres!G6)</f>
        <v/>
      </c>
      <c r="C654" s="18">
        <f>IF($A654="","",IF(Paramètres!H6="","",Paramètres!H6))</f>
        <v/>
      </c>
      <c r="D654" s="18">
        <f>IF($A654="","",IF(Paramètres!I6="","",Paramètres!I6))</f>
        <v/>
      </c>
      <c r="E654" s="19">
        <f>IF($A654="","",IF(Paramètres!J6&amp;Paramètres!L6&amp;Paramètres!N6="",Dossiers!$D$16,MAX(IF(Paramètres!J6="",0,IF(Paramètres!K6="",NA(),IF(LEFT(TRIM(Paramètres!K6),1)="F",INDEX($F$653:$F$705,MATCH(Paramètres!J6,Paramètres!$G$5:$G$57,0)),INDEX($E$653:$E$705,MATCH(Paramètres!J6,Paramètres!$G$5:$G$57,0)))+IF(RIGHT(TRIM(Paramètres!K6),3)="Fin",1-$H654,IF(LEFT(TRIM(Paramètres!K6),1)="F",1,0)))),IF(Paramètres!L6="",0,IF(Paramètres!M6="",NA(),IF(LEFT(TRIM(Paramètres!M6),1)="F",INDEX($F$653:$F$705,MATCH(Paramètres!L6,Paramètres!$G$5:$G$57,0)),INDEX($E$653:$E$705,MATCH(Paramètres!L6,Paramètres!$G$5:$G$57,0)))+IF(RIGHT(TRIM(Paramètres!M6),3)="Fin",1-$H654,IF(LEFT(TRIM(Paramètres!M6),1)="F",1,0)))),IF(Paramètres!N6="",0,IF(Paramètres!O6="",NA(),IF(LEFT(TRIM(Paramètres!O6),1)="F",INDEX($F$653:$F$705,MATCH(Paramètres!N6,Paramètres!$G$5:$G$57,0)),INDEX($E$653:$E$705,MATCH(Paramètres!N6,Paramètres!$G$5:$G$57,0)))+IF(RIGHT(TRIM(Paramètres!O6),3)="Fin",1-$H654,IF(LEFT(TRIM(Paramètres!O6),1)="F",1,0)))))))</f>
        <v/>
      </c>
      <c r="F654" s="19">
        <f>IF($A654="","",E654+$H654-1)</f>
        <v/>
      </c>
      <c r="G654" s="18" t="n"/>
      <c r="H654" s="18">
        <f>IF($A654="","",IF(I654&lt;&gt;"",I654,Paramètres!B6))</f>
        <v/>
      </c>
      <c r="I654" s="18" t="n"/>
    </row>
    <row r="655">
      <c r="A655" s="18">
        <f>IF(ISNUMBER(Dossiers!$D$16),Dossiers!$A$16&amp;" · "&amp;Dossiers!$B$16,"")</f>
        <v/>
      </c>
      <c r="B655" s="18">
        <f>IF($A655="","",Paramètres!G7)</f>
        <v/>
      </c>
      <c r="C655" s="18">
        <f>IF($A655="","",IF(Paramètres!H7="","",Paramètres!H7))</f>
        <v/>
      </c>
      <c r="D655" s="18">
        <f>IF($A655="","",IF(Paramètres!I7="","",Paramètres!I7))</f>
        <v/>
      </c>
      <c r="E655" s="19">
        <f>IF($A655="","",IF(Paramètres!J7&amp;Paramètres!L7&amp;Paramètres!N7="",Dossiers!$D$16,MAX(IF(Paramètres!J7="",0,IF(Paramètres!K7="",NA(),IF(LEFT(TRIM(Paramètres!K7),1)="F",INDEX($F$653:$F$705,MATCH(Paramètres!J7,Paramètres!$G$5:$G$57,0)),INDEX($E$653:$E$705,MATCH(Paramètres!J7,Paramètres!$G$5:$G$57,0)))+IF(RIGHT(TRIM(Paramètres!K7),3)="Fin",1-$H655,IF(LEFT(TRIM(Paramètres!K7),1)="F",1,0)))),IF(Paramètres!L7="",0,IF(Paramètres!M7="",NA(),IF(LEFT(TRIM(Paramètres!M7),1)="F",INDEX($F$653:$F$705,MATCH(Paramètres!L7,Paramètres!$G$5:$G$57,0)),INDEX($E$653:$E$705,MATCH(Paramètres!L7,Paramètres!$G$5:$G$57,0)))+IF(RIGHT(TRIM(Paramètres!M7),3)="Fin",1-$H655,IF(LEFT(TRIM(Paramètres!M7),1)="F",1,0)))),IF(Paramètres!N7="",0,IF(Paramètres!O7="",NA(),IF(LEFT(TRIM(Paramètres!O7),1)="F",INDEX($F$653:$F$705,MATCH(Paramètres!N7,Paramètres!$G$5:$G$57,0)),INDEX($E$653:$E$705,MATCH(Paramètres!N7,Paramètres!$G$5:$G$57,0)))+IF(RIGHT(TRIM(Paramètres!O7),3)="Fin",1-$H655,IF(LEFT(TRIM(Paramètres!O7),1)="F",1,0)))))))</f>
        <v/>
      </c>
      <c r="F655" s="19">
        <f>IF($A655="","",E655+$H655-1)</f>
        <v/>
      </c>
      <c r="G655" s="18" t="n"/>
      <c r="H655" s="18">
        <f>IF($A655="","",IF(I655&lt;&gt;"",I655,Paramètres!B7))</f>
        <v/>
      </c>
      <c r="I655" s="18" t="n"/>
    </row>
    <row r="656">
      <c r="A656" s="18">
        <f>IF(ISNUMBER(Dossiers!$D$16),Dossiers!$A$16&amp;" · "&amp;Dossiers!$B$16,"")</f>
        <v/>
      </c>
      <c r="B656" s="18">
        <f>IF($A656="","",Paramètres!G8)</f>
        <v/>
      </c>
      <c r="C656" s="18">
        <f>IF($A656="","",IF(Paramètres!H8="","",Paramètres!H8))</f>
        <v/>
      </c>
      <c r="D656" s="18">
        <f>IF($A656="","",IF(Paramètres!I8="","",Paramètres!I8))</f>
        <v/>
      </c>
      <c r="E656" s="19">
        <f>IF($A656="","",IF(Paramètres!J8&amp;Paramètres!L8&amp;Paramètres!N8="",Dossiers!$D$16,MAX(IF(Paramètres!J8="",0,IF(Paramètres!K8="",NA(),IF(LEFT(TRIM(Paramètres!K8),1)="F",INDEX($F$653:$F$705,MATCH(Paramètres!J8,Paramètres!$G$5:$G$57,0)),INDEX($E$653:$E$705,MATCH(Paramètres!J8,Paramètres!$G$5:$G$57,0)))+IF(RIGHT(TRIM(Paramètres!K8),3)="Fin",1-$H656,IF(LEFT(TRIM(Paramètres!K8),1)="F",1,0)))),IF(Paramètres!L8="",0,IF(Paramètres!M8="",NA(),IF(LEFT(TRIM(Paramètres!M8),1)="F",INDEX($F$653:$F$705,MATCH(Paramètres!L8,Paramètres!$G$5:$G$57,0)),INDEX($E$653:$E$705,MATCH(Paramètres!L8,Paramètres!$G$5:$G$57,0)))+IF(RIGHT(TRIM(Paramètres!M8),3)="Fin",1-$H656,IF(LEFT(TRIM(Paramètres!M8),1)="F",1,0)))),IF(Paramètres!N8="",0,IF(Paramètres!O8="",NA(),IF(LEFT(TRIM(Paramètres!O8),1)="F",INDEX($F$653:$F$705,MATCH(Paramètres!N8,Paramètres!$G$5:$G$57,0)),INDEX($E$653:$E$705,MATCH(Paramètres!N8,Paramètres!$G$5:$G$57,0)))+IF(RIGHT(TRIM(Paramètres!O8),3)="Fin",1-$H656,IF(LEFT(TRIM(Paramètres!O8),1)="F",1,0)))))))</f>
        <v/>
      </c>
      <c r="F656" s="19">
        <f>IF($A656="","",E656+$H656-1)</f>
        <v/>
      </c>
      <c r="G656" s="18" t="n"/>
      <c r="H656" s="18">
        <f>IF($A656="","",IF(I656&lt;&gt;"",I656,Paramètres!B8))</f>
        <v/>
      </c>
      <c r="I656" s="18" t="n"/>
    </row>
    <row r="657">
      <c r="A657" s="18">
        <f>IF(ISNUMBER(Dossiers!$D$16),Dossiers!$A$16&amp;" · "&amp;Dossiers!$B$16,"")</f>
        <v/>
      </c>
      <c r="B657" s="18">
        <f>IF($A657="","",Paramètres!G9)</f>
        <v/>
      </c>
      <c r="C657" s="18">
        <f>IF($A657="","",IF(Paramètres!H9="","",Paramètres!H9))</f>
        <v/>
      </c>
      <c r="D657" s="18">
        <f>IF($A657="","",IF(Paramètres!I9="","",Paramètres!I9))</f>
        <v/>
      </c>
      <c r="E657" s="19">
        <f>IF($A657="","",IF(Paramètres!J9&amp;Paramètres!L9&amp;Paramètres!N9="",Dossiers!$D$16,MAX(IF(Paramètres!J9="",0,IF(Paramètres!K9="",NA(),IF(LEFT(TRIM(Paramètres!K9),1)="F",INDEX($F$653:$F$705,MATCH(Paramètres!J9,Paramètres!$G$5:$G$57,0)),INDEX($E$653:$E$705,MATCH(Paramètres!J9,Paramètres!$G$5:$G$57,0)))+IF(RIGHT(TRIM(Paramètres!K9),3)="Fin",1-$H657,IF(LEFT(TRIM(Paramètres!K9),1)="F",1,0)))),IF(Paramètres!L9="",0,IF(Paramètres!M9="",NA(),IF(LEFT(TRIM(Paramètres!M9),1)="F",INDEX($F$653:$F$705,MATCH(Paramètres!L9,Paramètres!$G$5:$G$57,0)),INDEX($E$653:$E$705,MATCH(Paramètres!L9,Paramètres!$G$5:$G$57,0)))+IF(RIGHT(TRIM(Paramètres!M9),3)="Fin",1-$H657,IF(LEFT(TRIM(Paramètres!M9),1)="F",1,0)))),IF(Paramètres!N9="",0,IF(Paramètres!O9="",NA(),IF(LEFT(TRIM(Paramètres!O9),1)="F",INDEX($F$653:$F$705,MATCH(Paramètres!N9,Paramètres!$G$5:$G$57,0)),INDEX($E$653:$E$705,MATCH(Paramètres!N9,Paramètres!$G$5:$G$57,0)))+IF(RIGHT(TRIM(Paramètres!O9),3)="Fin",1-$H657,IF(LEFT(TRIM(Paramètres!O9),1)="F",1,0)))))))</f>
        <v/>
      </c>
      <c r="F657" s="19">
        <f>IF($A657="","",E657+$H657-1)</f>
        <v/>
      </c>
      <c r="G657" s="18" t="n"/>
      <c r="H657" s="18">
        <f>IF($A657="","",IF(I657&lt;&gt;"",I657,Paramètres!B9))</f>
        <v/>
      </c>
      <c r="I657" s="18" t="n"/>
    </row>
    <row r="658">
      <c r="A658" s="18">
        <f>IF(ISNUMBER(Dossiers!$D$16),Dossiers!$A$16&amp;" · "&amp;Dossiers!$B$16,"")</f>
        <v/>
      </c>
      <c r="B658" s="18">
        <f>IF($A658="","",Paramètres!G10)</f>
        <v/>
      </c>
      <c r="C658" s="18">
        <f>IF($A658="","",IF(Paramètres!H10="","",Paramètres!H10))</f>
        <v/>
      </c>
      <c r="D658" s="18">
        <f>IF($A658="","",IF(Paramètres!I10="","",Paramètres!I10))</f>
        <v/>
      </c>
      <c r="E658" s="19">
        <f>IF($A658="","",MIN(E659:E662))</f>
        <v/>
      </c>
      <c r="F658" s="19">
        <f>IF($A658="","",MAX(F659:F662))</f>
        <v/>
      </c>
      <c r="G658" s="18" t="n"/>
      <c r="H658" s="18">
        <f>IF($A658="","",F658-E658+1)</f>
        <v/>
      </c>
      <c r="I658" s="18" t="n"/>
    </row>
    <row r="659">
      <c r="A659" s="18">
        <f>IF(ISNUMBER(Dossiers!$D$16),Dossiers!$A$16&amp;" · "&amp;Dossiers!$B$16,"")</f>
        <v/>
      </c>
      <c r="B659" s="18">
        <f>IF($A659="","",Paramètres!G11)</f>
        <v/>
      </c>
      <c r="C659" s="18">
        <f>IF($A659="","",IF(Paramètres!H11="","",Paramètres!H11))</f>
        <v/>
      </c>
      <c r="D659" s="18">
        <f>IF($A659="","",IF(Paramètres!I11="","",Paramètres!I11))</f>
        <v/>
      </c>
      <c r="E659" s="19">
        <f>IF($A659="","",IF(Paramètres!J11&amp;Paramètres!L11&amp;Paramètres!N11="",Dossiers!$D$16,MAX(IF(Paramètres!J11="",0,IF(Paramètres!K11="",NA(),IF(LEFT(TRIM(Paramètres!K11),1)="F",INDEX($F$653:$F$705,MATCH(Paramètres!J11,Paramètres!$G$5:$G$57,0)),INDEX($E$653:$E$705,MATCH(Paramètres!J11,Paramètres!$G$5:$G$57,0)))+IF(RIGHT(TRIM(Paramètres!K11),3)="Fin",1-$H659,IF(LEFT(TRIM(Paramètres!K11),1)="F",1,0)))),IF(Paramètres!L11="",0,IF(Paramètres!M11="",NA(),IF(LEFT(TRIM(Paramètres!M11),1)="F",INDEX($F$653:$F$705,MATCH(Paramètres!L11,Paramètres!$G$5:$G$57,0)),INDEX($E$653:$E$705,MATCH(Paramètres!L11,Paramètres!$G$5:$G$57,0)))+IF(RIGHT(TRIM(Paramètres!M11),3)="Fin",1-$H659,IF(LEFT(TRIM(Paramètres!M11),1)="F",1,0)))),IF(Paramètres!N11="",0,IF(Paramètres!O11="",NA(),IF(LEFT(TRIM(Paramètres!O11),1)="F",INDEX($F$653:$F$705,MATCH(Paramètres!N11,Paramètres!$G$5:$G$57,0)),INDEX($E$653:$E$705,MATCH(Paramètres!N11,Paramètres!$G$5:$G$57,0)))+IF(RIGHT(TRIM(Paramètres!O11),3)="Fin",1-$H659,IF(LEFT(TRIM(Paramètres!O11),1)="F",1,0)))))))</f>
        <v/>
      </c>
      <c r="F659" s="19">
        <f>IF($A659="","",E659+$H659-1)</f>
        <v/>
      </c>
      <c r="G659" s="18" t="n"/>
      <c r="H659" s="18">
        <f>IF($A659="","",IF(I659&lt;&gt;"",I659,Paramètres!B11))</f>
        <v/>
      </c>
      <c r="I659" s="18" t="n"/>
    </row>
    <row r="660">
      <c r="A660" s="18">
        <f>IF(ISNUMBER(Dossiers!$D$16),Dossiers!$A$16&amp;" · "&amp;Dossiers!$B$16,"")</f>
        <v/>
      </c>
      <c r="B660" s="18">
        <f>IF($A660="","",Paramètres!G12)</f>
        <v/>
      </c>
      <c r="C660" s="18">
        <f>IF($A660="","",IF(Paramètres!H12="","",Paramètres!H12))</f>
        <v/>
      </c>
      <c r="D660" s="18">
        <f>IF($A660="","",IF(Paramètres!I12="","",Paramètres!I12))</f>
        <v/>
      </c>
      <c r="E660" s="19">
        <f>IF($A660="","",IF(Paramètres!J12&amp;Paramètres!L12&amp;Paramètres!N12="",Dossiers!$D$16,MAX(IF(Paramètres!J12="",0,IF(Paramètres!K12="",NA(),IF(LEFT(TRIM(Paramètres!K12),1)="F",INDEX($F$653:$F$705,MATCH(Paramètres!J12,Paramètres!$G$5:$G$57,0)),INDEX($E$653:$E$705,MATCH(Paramètres!J12,Paramètres!$G$5:$G$57,0)))+IF(RIGHT(TRIM(Paramètres!K12),3)="Fin",1-$H660,IF(LEFT(TRIM(Paramètres!K12),1)="F",1,0)))),IF(Paramètres!L12="",0,IF(Paramètres!M12="",NA(),IF(LEFT(TRIM(Paramètres!M12),1)="F",INDEX($F$653:$F$705,MATCH(Paramètres!L12,Paramètres!$G$5:$G$57,0)),INDEX($E$653:$E$705,MATCH(Paramètres!L12,Paramètres!$G$5:$G$57,0)))+IF(RIGHT(TRIM(Paramètres!M12),3)="Fin",1-$H660,IF(LEFT(TRIM(Paramètres!M12),1)="F",1,0)))),IF(Paramètres!N12="",0,IF(Paramètres!O12="",NA(),IF(LEFT(TRIM(Paramètres!O12),1)="F",INDEX($F$653:$F$705,MATCH(Paramètres!N12,Paramètres!$G$5:$G$57,0)),INDEX($E$653:$E$705,MATCH(Paramètres!N12,Paramètres!$G$5:$G$57,0)))+IF(RIGHT(TRIM(Paramètres!O12),3)="Fin",1-$H660,IF(LEFT(TRIM(Paramètres!O12),1)="F",1,0)))))))</f>
        <v/>
      </c>
      <c r="F660" s="19">
        <f>IF($A660="","",E660+$H660-1)</f>
        <v/>
      </c>
      <c r="G660" s="18" t="n"/>
      <c r="H660" s="18">
        <f>IF($A660="","",IF(I660&lt;&gt;"",I660,Paramètres!B12))</f>
        <v/>
      </c>
      <c r="I660" s="18" t="n"/>
    </row>
    <row r="661">
      <c r="A661" s="18">
        <f>IF(ISNUMBER(Dossiers!$D$16),Dossiers!$A$16&amp;" · "&amp;Dossiers!$B$16,"")</f>
        <v/>
      </c>
      <c r="B661" s="18">
        <f>IF($A661="","",Paramètres!G13)</f>
        <v/>
      </c>
      <c r="C661" s="18">
        <f>IF($A661="","",IF(Paramètres!H13="","",Paramètres!H13))</f>
        <v/>
      </c>
      <c r="D661" s="18">
        <f>IF($A661="","",IF(Paramètres!I13="","",Paramètres!I13))</f>
        <v/>
      </c>
      <c r="E661" s="19">
        <f>IF($A661="","",IF(Paramètres!J13&amp;Paramètres!L13&amp;Paramètres!N13="",Dossiers!$D$16,MAX(IF(Paramètres!J13="",0,IF(Paramètres!K13="",NA(),IF(LEFT(TRIM(Paramètres!K13),1)="F",INDEX($F$653:$F$705,MATCH(Paramètres!J13,Paramètres!$G$5:$G$57,0)),INDEX($E$653:$E$705,MATCH(Paramètres!J13,Paramètres!$G$5:$G$57,0)))+IF(RIGHT(TRIM(Paramètres!K13),3)="Fin",1-$H661,IF(LEFT(TRIM(Paramètres!K13),1)="F",1,0)))),IF(Paramètres!L13="",0,IF(Paramètres!M13="",NA(),IF(LEFT(TRIM(Paramètres!M13),1)="F",INDEX($F$653:$F$705,MATCH(Paramètres!L13,Paramètres!$G$5:$G$57,0)),INDEX($E$653:$E$705,MATCH(Paramètres!L13,Paramètres!$G$5:$G$57,0)))+IF(RIGHT(TRIM(Paramètres!M13),3)="Fin",1-$H661,IF(LEFT(TRIM(Paramètres!M13),1)="F",1,0)))),IF(Paramètres!N13="",0,IF(Paramètres!O13="",NA(),IF(LEFT(TRIM(Paramètres!O13),1)="F",INDEX($F$653:$F$705,MATCH(Paramètres!N13,Paramètres!$G$5:$G$57,0)),INDEX($E$653:$E$705,MATCH(Paramètres!N13,Paramètres!$G$5:$G$57,0)))+IF(RIGHT(TRIM(Paramètres!O13),3)="Fin",1-$H661,IF(LEFT(TRIM(Paramètres!O13),1)="F",1,0)))))))</f>
        <v/>
      </c>
      <c r="F661" s="19">
        <f>IF($A661="","",E661+$H661-1)</f>
        <v/>
      </c>
      <c r="G661" s="18" t="n"/>
      <c r="H661" s="18">
        <f>IF($A661="","",IF(I661&lt;&gt;"",I661,Paramètres!B13))</f>
        <v/>
      </c>
      <c r="I661" s="18" t="n"/>
    </row>
    <row r="662">
      <c r="A662" s="18">
        <f>IF(ISNUMBER(Dossiers!$D$16),Dossiers!$A$16&amp;" · "&amp;Dossiers!$B$16,"")</f>
        <v/>
      </c>
      <c r="B662" s="18">
        <f>IF($A662="","",Paramètres!G14)</f>
        <v/>
      </c>
      <c r="C662" s="18">
        <f>IF($A662="","",IF(Paramètres!H14="","",Paramètres!H14))</f>
        <v/>
      </c>
      <c r="D662" s="18">
        <f>IF($A662="","",IF(Paramètres!I14="","",Paramètres!I14))</f>
        <v/>
      </c>
      <c r="E662" s="19">
        <f>IF($A662="","",IF(Paramètres!J14&amp;Paramètres!L14&amp;Paramètres!N14="",Dossiers!$D$16,MAX(IF(Paramètres!J14="",0,IF(Paramètres!K14="",NA(),IF(LEFT(TRIM(Paramètres!K14),1)="F",INDEX($F$653:$F$705,MATCH(Paramètres!J14,Paramètres!$G$5:$G$57,0)),INDEX($E$653:$E$705,MATCH(Paramètres!J14,Paramètres!$G$5:$G$57,0)))+IF(RIGHT(TRIM(Paramètres!K14),3)="Fin",1-$H662,IF(LEFT(TRIM(Paramètres!K14),1)="F",1,0)))),IF(Paramètres!L14="",0,IF(Paramètres!M14="",NA(),IF(LEFT(TRIM(Paramètres!M14),1)="F",INDEX($F$653:$F$705,MATCH(Paramètres!L14,Paramètres!$G$5:$G$57,0)),INDEX($E$653:$E$705,MATCH(Paramètres!L14,Paramètres!$G$5:$G$57,0)))+IF(RIGHT(TRIM(Paramètres!M14),3)="Fin",1-$H662,IF(LEFT(TRIM(Paramètres!M14),1)="F",1,0)))),IF(Paramètres!N14="",0,IF(Paramètres!O14="",NA(),IF(LEFT(TRIM(Paramètres!O14),1)="F",INDEX($F$653:$F$705,MATCH(Paramètres!N14,Paramètres!$G$5:$G$57,0)),INDEX($E$653:$E$705,MATCH(Paramètres!N14,Paramètres!$G$5:$G$57,0)))+IF(RIGHT(TRIM(Paramètres!O14),3)="Fin",1-$H662,IF(LEFT(TRIM(Paramètres!O14),1)="F",1,0)))))))</f>
        <v/>
      </c>
      <c r="F662" s="19">
        <f>IF($A662="","",E662+$H662-1)</f>
        <v/>
      </c>
      <c r="G662" s="18" t="n"/>
      <c r="H662" s="18">
        <f>IF($A662="","",IF(I662&lt;&gt;"",I662,Paramètres!B14))</f>
        <v/>
      </c>
      <c r="I662" s="18" t="n"/>
    </row>
    <row r="663">
      <c r="A663" s="18">
        <f>IF(ISNUMBER(Dossiers!$D$16),Dossiers!$A$16&amp;" · "&amp;Dossiers!$B$16,"")</f>
        <v/>
      </c>
      <c r="B663" s="18">
        <f>IF($A663="","",Paramètres!G15)</f>
        <v/>
      </c>
      <c r="C663" s="18">
        <f>IF($A663="","",IF(Paramètres!H15="","",Paramètres!H15))</f>
        <v/>
      </c>
      <c r="D663" s="18">
        <f>IF($A663="","",IF(Paramètres!I15="","",Paramètres!I15))</f>
        <v/>
      </c>
      <c r="E663" s="19">
        <f>IF($A663="","",MIN(E664:E679))</f>
        <v/>
      </c>
      <c r="F663" s="19">
        <f>IF($A663="","",MAX(F664:F679))</f>
        <v/>
      </c>
      <c r="G663" s="18" t="n"/>
      <c r="H663" s="18">
        <f>IF($A663="","",F663-E663+1)</f>
        <v/>
      </c>
      <c r="I663" s="18" t="n"/>
    </row>
    <row r="664">
      <c r="A664" s="18">
        <f>IF(ISNUMBER(Dossiers!$D$16),Dossiers!$A$16&amp;" · "&amp;Dossiers!$B$16,"")</f>
        <v/>
      </c>
      <c r="B664" s="18">
        <f>IF($A664="","",Paramètres!G16)</f>
        <v/>
      </c>
      <c r="C664" s="18">
        <f>IF($A664="","",IF(Paramètres!H16="","",Paramètres!H16))</f>
        <v/>
      </c>
      <c r="D664" s="18">
        <f>IF($A664="","",IF(Paramètres!I16="","",Paramètres!I16))</f>
        <v/>
      </c>
      <c r="E664" s="19">
        <f>IF($A664="","",IF(Paramètres!J16&amp;Paramètres!L16&amp;Paramètres!N16="",Dossiers!$D$16,MAX(IF(Paramètres!J16="",0,IF(Paramètres!K16="",NA(),IF(LEFT(TRIM(Paramètres!K16),1)="F",INDEX($F$653:$F$705,MATCH(Paramètres!J16,Paramètres!$G$5:$G$57,0)),INDEX($E$653:$E$705,MATCH(Paramètres!J16,Paramètres!$G$5:$G$57,0)))+IF(RIGHT(TRIM(Paramètres!K16),3)="Fin",1-$H664,IF(LEFT(TRIM(Paramètres!K16),1)="F",1,0)))),IF(Paramètres!L16="",0,IF(Paramètres!M16="",NA(),IF(LEFT(TRIM(Paramètres!M16),1)="F",INDEX($F$653:$F$705,MATCH(Paramètres!L16,Paramètres!$G$5:$G$57,0)),INDEX($E$653:$E$705,MATCH(Paramètres!L16,Paramètres!$G$5:$G$57,0)))+IF(RIGHT(TRIM(Paramètres!M16),3)="Fin",1-$H664,IF(LEFT(TRIM(Paramètres!M16),1)="F",1,0)))),IF(Paramètres!N16="",0,IF(Paramètres!O16="",NA(),IF(LEFT(TRIM(Paramètres!O16),1)="F",INDEX($F$653:$F$705,MATCH(Paramètres!N16,Paramètres!$G$5:$G$57,0)),INDEX($E$653:$E$705,MATCH(Paramètres!N16,Paramètres!$G$5:$G$57,0)))+IF(RIGHT(TRIM(Paramètres!O16),3)="Fin",1-$H664,IF(LEFT(TRIM(Paramètres!O16),1)="F",1,0)))))))</f>
        <v/>
      </c>
      <c r="F664" s="19">
        <f>IF($A664="","",E664+$H664-1)</f>
        <v/>
      </c>
      <c r="G664" s="18" t="n"/>
      <c r="H664" s="18">
        <f>IF($A664="","",IF(I664&lt;&gt;"",I664,Paramètres!B16))</f>
        <v/>
      </c>
      <c r="I664" s="18" t="n"/>
    </row>
    <row r="665">
      <c r="A665" s="18">
        <f>IF(ISNUMBER(Dossiers!$D$16),Dossiers!$A$16&amp;" · "&amp;Dossiers!$B$16,"")</f>
        <v/>
      </c>
      <c r="B665" s="18">
        <f>IF($A665="","",Paramètres!G17)</f>
        <v/>
      </c>
      <c r="C665" s="18">
        <f>IF($A665="","",IF(Paramètres!H17="","",Paramètres!H17))</f>
        <v/>
      </c>
      <c r="D665" s="18">
        <f>IF($A665="","",IF(Paramètres!I17="","",Paramètres!I17))</f>
        <v/>
      </c>
      <c r="E665" s="19">
        <f>IF($A665="","",IF(Paramètres!J17&amp;Paramètres!L17&amp;Paramètres!N17="",Dossiers!$D$16,MAX(IF(Paramètres!J17="",0,IF(Paramètres!K17="",NA(),IF(LEFT(TRIM(Paramètres!K17),1)="F",INDEX($F$653:$F$705,MATCH(Paramètres!J17,Paramètres!$G$5:$G$57,0)),INDEX($E$653:$E$705,MATCH(Paramètres!J17,Paramètres!$G$5:$G$57,0)))+IF(RIGHT(TRIM(Paramètres!K17),3)="Fin",1-$H665,IF(LEFT(TRIM(Paramètres!K17),1)="F",1,0)))),IF(Paramètres!L17="",0,IF(Paramètres!M17="",NA(),IF(LEFT(TRIM(Paramètres!M17),1)="F",INDEX($F$653:$F$705,MATCH(Paramètres!L17,Paramètres!$G$5:$G$57,0)),INDEX($E$653:$E$705,MATCH(Paramètres!L17,Paramètres!$G$5:$G$57,0)))+IF(RIGHT(TRIM(Paramètres!M17),3)="Fin",1-$H665,IF(LEFT(TRIM(Paramètres!M17),1)="F",1,0)))),IF(Paramètres!N17="",0,IF(Paramètres!O17="",NA(),IF(LEFT(TRIM(Paramètres!O17),1)="F",INDEX($F$653:$F$705,MATCH(Paramètres!N17,Paramètres!$G$5:$G$57,0)),INDEX($E$653:$E$705,MATCH(Paramètres!N17,Paramètres!$G$5:$G$57,0)))+IF(RIGHT(TRIM(Paramètres!O17),3)="Fin",1-$H665,IF(LEFT(TRIM(Paramètres!O17),1)="F",1,0)))))))</f>
        <v/>
      </c>
      <c r="F665" s="19">
        <f>IF($A665="","",E665+$H665-1)</f>
        <v/>
      </c>
      <c r="G665" s="18" t="n"/>
      <c r="H665" s="18">
        <f>IF($A665="","",IF(I665&lt;&gt;"",I665,Paramètres!B17))</f>
        <v/>
      </c>
      <c r="I665" s="18" t="n"/>
    </row>
    <row r="666">
      <c r="A666" s="18">
        <f>IF(ISNUMBER(Dossiers!$D$16),Dossiers!$A$16&amp;" · "&amp;Dossiers!$B$16,"")</f>
        <v/>
      </c>
      <c r="B666" s="18">
        <f>IF($A666="","",Paramètres!G18)</f>
        <v/>
      </c>
      <c r="C666" s="18">
        <f>IF($A666="","",IF(Paramètres!H18="","",Paramètres!H18))</f>
        <v/>
      </c>
      <c r="D666" s="18">
        <f>IF($A666="","",IF(Paramètres!I18="","",Paramètres!I18))</f>
        <v/>
      </c>
      <c r="E666" s="19">
        <f>IF($A666="","",IF(Paramètres!J18&amp;Paramètres!L18&amp;Paramètres!N18="",Dossiers!$D$16,MAX(IF(Paramètres!J18="",0,IF(Paramètres!K18="",NA(),IF(LEFT(TRIM(Paramètres!K18),1)="F",INDEX($F$653:$F$705,MATCH(Paramètres!J18,Paramètres!$G$5:$G$57,0)),INDEX($E$653:$E$705,MATCH(Paramètres!J18,Paramètres!$G$5:$G$57,0)))+IF(RIGHT(TRIM(Paramètres!K18),3)="Fin",1-$H666,IF(LEFT(TRIM(Paramètres!K18),1)="F",1,0)))),IF(Paramètres!L18="",0,IF(Paramètres!M18="",NA(),IF(LEFT(TRIM(Paramètres!M18),1)="F",INDEX($F$653:$F$705,MATCH(Paramètres!L18,Paramètres!$G$5:$G$57,0)),INDEX($E$653:$E$705,MATCH(Paramètres!L18,Paramètres!$G$5:$G$57,0)))+IF(RIGHT(TRIM(Paramètres!M18),3)="Fin",1-$H666,IF(LEFT(TRIM(Paramètres!M18),1)="F",1,0)))),IF(Paramètres!N18="",0,IF(Paramètres!O18="",NA(),IF(LEFT(TRIM(Paramètres!O18),1)="F",INDEX($F$653:$F$705,MATCH(Paramètres!N18,Paramètres!$G$5:$G$57,0)),INDEX($E$653:$E$705,MATCH(Paramètres!N18,Paramètres!$G$5:$G$57,0)))+IF(RIGHT(TRIM(Paramètres!O18),3)="Fin",1-$H666,IF(LEFT(TRIM(Paramètres!O18),1)="F",1,0)))))))</f>
        <v/>
      </c>
      <c r="F666" s="19">
        <f>IF($A666="","",E666+$H666-1)</f>
        <v/>
      </c>
      <c r="G666" s="18" t="n"/>
      <c r="H666" s="18">
        <f>IF($A666="","",IF(I666&lt;&gt;"",I666,Paramètres!B18))</f>
        <v/>
      </c>
      <c r="I666" s="18" t="n"/>
    </row>
    <row r="667">
      <c r="A667" s="18">
        <f>IF(ISNUMBER(Dossiers!$D$16),Dossiers!$A$16&amp;" · "&amp;Dossiers!$B$16,"")</f>
        <v/>
      </c>
      <c r="B667" s="18">
        <f>IF($A667="","",Paramètres!G19)</f>
        <v/>
      </c>
      <c r="C667" s="18">
        <f>IF($A667="","",IF(Paramètres!H19="","",Paramètres!H19))</f>
        <v/>
      </c>
      <c r="D667" s="18">
        <f>IF($A667="","",IF(Paramètres!I19="","",Paramètres!I19))</f>
        <v/>
      </c>
      <c r="E667" s="19">
        <f>IF($A667="","",IF(Paramètres!J19&amp;Paramètres!L19&amp;Paramètres!N19="",Dossiers!$D$16,MAX(IF(Paramètres!J19="",0,IF(Paramètres!K19="",NA(),IF(LEFT(TRIM(Paramètres!K19),1)="F",INDEX($F$653:$F$705,MATCH(Paramètres!J19,Paramètres!$G$5:$G$57,0)),INDEX($E$653:$E$705,MATCH(Paramètres!J19,Paramètres!$G$5:$G$57,0)))+IF(RIGHT(TRIM(Paramètres!K19),3)="Fin",1-$H667,IF(LEFT(TRIM(Paramètres!K19),1)="F",1,0)))),IF(Paramètres!L19="",0,IF(Paramètres!M19="",NA(),IF(LEFT(TRIM(Paramètres!M19),1)="F",INDEX($F$653:$F$705,MATCH(Paramètres!L19,Paramètres!$G$5:$G$57,0)),INDEX($E$653:$E$705,MATCH(Paramètres!L19,Paramètres!$G$5:$G$57,0)))+IF(RIGHT(TRIM(Paramètres!M19),3)="Fin",1-$H667,IF(LEFT(TRIM(Paramètres!M19),1)="F",1,0)))),IF(Paramètres!N19="",0,IF(Paramètres!O19="",NA(),IF(LEFT(TRIM(Paramètres!O19),1)="F",INDEX($F$653:$F$705,MATCH(Paramètres!N19,Paramètres!$G$5:$G$57,0)),INDEX($E$653:$E$705,MATCH(Paramètres!N19,Paramètres!$G$5:$G$57,0)))+IF(RIGHT(TRIM(Paramètres!O19),3)="Fin",1-$H667,IF(LEFT(TRIM(Paramètres!O19),1)="F",1,0)))))))</f>
        <v/>
      </c>
      <c r="F667" s="19">
        <f>IF($A667="","",E667+$H667-1)</f>
        <v/>
      </c>
      <c r="G667" s="18" t="n"/>
      <c r="H667" s="18">
        <f>IF($A667="","",IF(I667&lt;&gt;"",I667,Paramètres!B19))</f>
        <v/>
      </c>
      <c r="I667" s="18" t="n"/>
    </row>
    <row r="668">
      <c r="A668" s="18">
        <f>IF(ISNUMBER(Dossiers!$D$16),Dossiers!$A$16&amp;" · "&amp;Dossiers!$B$16,"")</f>
        <v/>
      </c>
      <c r="B668" s="18">
        <f>IF($A668="","",Paramètres!G20)</f>
        <v/>
      </c>
      <c r="C668" s="18">
        <f>IF($A668="","",IF(Paramètres!H20="","",Paramètres!H20))</f>
        <v/>
      </c>
      <c r="D668" s="18">
        <f>IF($A668="","",IF(Paramètres!I20="","",Paramètres!I20))</f>
        <v/>
      </c>
      <c r="E668" s="19">
        <f>IF($A668="","",IF(Paramètres!J20&amp;Paramètres!L20&amp;Paramètres!N20="",Dossiers!$D$16,MAX(IF(Paramètres!J20="",0,IF(Paramètres!K20="",NA(),IF(LEFT(TRIM(Paramètres!K20),1)="F",INDEX($F$653:$F$705,MATCH(Paramètres!J20,Paramètres!$G$5:$G$57,0)),INDEX($E$653:$E$705,MATCH(Paramètres!J20,Paramètres!$G$5:$G$57,0)))+IF(RIGHT(TRIM(Paramètres!K20),3)="Fin",1-$H668,IF(LEFT(TRIM(Paramètres!K20),1)="F",1,0)))),IF(Paramètres!L20="",0,IF(Paramètres!M20="",NA(),IF(LEFT(TRIM(Paramètres!M20),1)="F",INDEX($F$653:$F$705,MATCH(Paramètres!L20,Paramètres!$G$5:$G$57,0)),INDEX($E$653:$E$705,MATCH(Paramètres!L20,Paramètres!$G$5:$G$57,0)))+IF(RIGHT(TRIM(Paramètres!M20),3)="Fin",1-$H668,IF(LEFT(TRIM(Paramètres!M20),1)="F",1,0)))),IF(Paramètres!N20="",0,IF(Paramètres!O20="",NA(),IF(LEFT(TRIM(Paramètres!O20),1)="F",INDEX($F$653:$F$705,MATCH(Paramètres!N20,Paramètres!$G$5:$G$57,0)),INDEX($E$653:$E$705,MATCH(Paramètres!N20,Paramètres!$G$5:$G$57,0)))+IF(RIGHT(TRIM(Paramètres!O20),3)="Fin",1-$H668,IF(LEFT(TRIM(Paramètres!O20),1)="F",1,0)))))))</f>
        <v/>
      </c>
      <c r="F668" s="19">
        <f>IF($A668="","",E668+$H668-1)</f>
        <v/>
      </c>
      <c r="G668" s="18" t="n"/>
      <c r="H668" s="18">
        <f>IF($A668="","",IF(I668&lt;&gt;"",I668,Paramètres!B20))</f>
        <v/>
      </c>
      <c r="I668" s="18" t="n"/>
    </row>
    <row r="669">
      <c r="A669" s="18">
        <f>IF(ISNUMBER(Dossiers!$D$16),Dossiers!$A$16&amp;" · "&amp;Dossiers!$B$16,"")</f>
        <v/>
      </c>
      <c r="B669" s="18">
        <f>IF($A669="","",Paramètres!G21)</f>
        <v/>
      </c>
      <c r="C669" s="18">
        <f>IF($A669="","",IF(Paramètres!H21="","",Paramètres!H21))</f>
        <v/>
      </c>
      <c r="D669" s="18">
        <f>IF($A669="","",IF(Paramètres!I21="","",Paramètres!I21))</f>
        <v/>
      </c>
      <c r="E669" s="19">
        <f>IF($A669="","",IF(Paramètres!J21&amp;Paramètres!L21&amp;Paramètres!N21="",Dossiers!$D$16,MAX(IF(Paramètres!J21="",0,IF(Paramètres!K21="",NA(),IF(LEFT(TRIM(Paramètres!K21),1)="F",INDEX($F$653:$F$705,MATCH(Paramètres!J21,Paramètres!$G$5:$G$57,0)),INDEX($E$653:$E$705,MATCH(Paramètres!J21,Paramètres!$G$5:$G$57,0)))+IF(RIGHT(TRIM(Paramètres!K21),3)="Fin",1-$H669,IF(LEFT(TRIM(Paramètres!K21),1)="F",1,0)))),IF(Paramètres!L21="",0,IF(Paramètres!M21="",NA(),IF(LEFT(TRIM(Paramètres!M21),1)="F",INDEX($F$653:$F$705,MATCH(Paramètres!L21,Paramètres!$G$5:$G$57,0)),INDEX($E$653:$E$705,MATCH(Paramètres!L21,Paramètres!$G$5:$G$57,0)))+IF(RIGHT(TRIM(Paramètres!M21),3)="Fin",1-$H669,IF(LEFT(TRIM(Paramètres!M21),1)="F",1,0)))),IF(Paramètres!N21="",0,IF(Paramètres!O21="",NA(),IF(LEFT(TRIM(Paramètres!O21),1)="F",INDEX($F$653:$F$705,MATCH(Paramètres!N21,Paramètres!$G$5:$G$57,0)),INDEX($E$653:$E$705,MATCH(Paramètres!N21,Paramètres!$G$5:$G$57,0)))+IF(RIGHT(TRIM(Paramètres!O21),3)="Fin",1-$H669,IF(LEFT(TRIM(Paramètres!O21),1)="F",1,0)))))))</f>
        <v/>
      </c>
      <c r="F669" s="19">
        <f>IF($A669="","",E669+$H669-1)</f>
        <v/>
      </c>
      <c r="G669" s="18" t="n"/>
      <c r="H669" s="18">
        <f>IF($A669="","",IF(I669&lt;&gt;"",I669,Paramètres!B21))</f>
        <v/>
      </c>
      <c r="I669" s="18" t="n"/>
    </row>
    <row r="670">
      <c r="A670" s="18">
        <f>IF(ISNUMBER(Dossiers!$D$16),Dossiers!$A$16&amp;" · "&amp;Dossiers!$B$16,"")</f>
        <v/>
      </c>
      <c r="B670" s="18">
        <f>IF($A670="","",Paramètres!G22)</f>
        <v/>
      </c>
      <c r="C670" s="18">
        <f>IF($A670="","",IF(Paramètres!H22="","",Paramètres!H22))</f>
        <v/>
      </c>
      <c r="D670" s="18">
        <f>IF($A670="","",IF(Paramètres!I22="","",Paramètres!I22))</f>
        <v/>
      </c>
      <c r="E670" s="19">
        <f>IF($A670="","",IF(Paramètres!J22&amp;Paramètres!L22&amp;Paramètres!N22="",Dossiers!$D$16,MAX(IF(Paramètres!J22="",0,IF(Paramètres!K22="",NA(),IF(LEFT(TRIM(Paramètres!K22),1)="F",INDEX($F$653:$F$705,MATCH(Paramètres!J22,Paramètres!$G$5:$G$57,0)),INDEX($E$653:$E$705,MATCH(Paramètres!J22,Paramètres!$G$5:$G$57,0)))+IF(RIGHT(TRIM(Paramètres!K22),3)="Fin",1-$H670,IF(LEFT(TRIM(Paramètres!K22),1)="F",1,0)))),IF(Paramètres!L22="",0,IF(Paramètres!M22="",NA(),IF(LEFT(TRIM(Paramètres!M22),1)="F",INDEX($F$653:$F$705,MATCH(Paramètres!L22,Paramètres!$G$5:$G$57,0)),INDEX($E$653:$E$705,MATCH(Paramètres!L22,Paramètres!$G$5:$G$57,0)))+IF(RIGHT(TRIM(Paramètres!M22),3)="Fin",1-$H670,IF(LEFT(TRIM(Paramètres!M22),1)="F",1,0)))),IF(Paramètres!N22="",0,IF(Paramètres!O22="",NA(),IF(LEFT(TRIM(Paramètres!O22),1)="F",INDEX($F$653:$F$705,MATCH(Paramètres!N22,Paramètres!$G$5:$G$57,0)),INDEX($E$653:$E$705,MATCH(Paramètres!N22,Paramètres!$G$5:$G$57,0)))+IF(RIGHT(TRIM(Paramètres!O22),3)="Fin",1-$H670,IF(LEFT(TRIM(Paramètres!O22),1)="F",1,0)))))))</f>
        <v/>
      </c>
      <c r="F670" s="19">
        <f>IF($A670="","",E670+$H670-1)</f>
        <v/>
      </c>
      <c r="G670" s="18" t="n"/>
      <c r="H670" s="18">
        <f>IF($A670="","",IF(I670&lt;&gt;"",I670,Paramètres!B22))</f>
        <v/>
      </c>
      <c r="I670" s="18" t="n"/>
    </row>
    <row r="671">
      <c r="A671" s="18">
        <f>IF(ISNUMBER(Dossiers!$D$16),Dossiers!$A$16&amp;" · "&amp;Dossiers!$B$16,"")</f>
        <v/>
      </c>
      <c r="B671" s="18">
        <f>IF($A671="","",Paramètres!G23)</f>
        <v/>
      </c>
      <c r="C671" s="18">
        <f>IF($A671="","",IF(Paramètres!H23="","",Paramètres!H23))</f>
        <v/>
      </c>
      <c r="D671" s="18">
        <f>IF($A671="","",IF(Paramètres!I23="","",Paramètres!I23))</f>
        <v/>
      </c>
      <c r="E671" s="19">
        <f>IF($A671="","",IF(Paramètres!J23&amp;Paramètres!L23&amp;Paramètres!N23="",Dossiers!$D$16,MAX(IF(Paramètres!J23="",0,IF(Paramètres!K23="",NA(),IF(LEFT(TRIM(Paramètres!K23),1)="F",INDEX($F$653:$F$705,MATCH(Paramètres!J23,Paramètres!$G$5:$G$57,0)),INDEX($E$653:$E$705,MATCH(Paramètres!J23,Paramètres!$G$5:$G$57,0)))+IF(RIGHT(TRIM(Paramètres!K23),3)="Fin",1-$H671,IF(LEFT(TRIM(Paramètres!K23),1)="F",1,0)))),IF(Paramètres!L23="",0,IF(Paramètres!M23="",NA(),IF(LEFT(TRIM(Paramètres!M23),1)="F",INDEX($F$653:$F$705,MATCH(Paramètres!L23,Paramètres!$G$5:$G$57,0)),INDEX($E$653:$E$705,MATCH(Paramètres!L23,Paramètres!$G$5:$G$57,0)))+IF(RIGHT(TRIM(Paramètres!M23),3)="Fin",1-$H671,IF(LEFT(TRIM(Paramètres!M23),1)="F",1,0)))),IF(Paramètres!N23="",0,IF(Paramètres!O23="",NA(),IF(LEFT(TRIM(Paramètres!O23),1)="F",INDEX($F$653:$F$705,MATCH(Paramètres!N23,Paramètres!$G$5:$G$57,0)),INDEX($E$653:$E$705,MATCH(Paramètres!N23,Paramètres!$G$5:$G$57,0)))+IF(RIGHT(TRIM(Paramètres!O23),3)="Fin",1-$H671,IF(LEFT(TRIM(Paramètres!O23),1)="F",1,0)))))))</f>
        <v/>
      </c>
      <c r="F671" s="19">
        <f>IF($A671="","",E671+$H671-1)</f>
        <v/>
      </c>
      <c r="G671" s="18" t="n"/>
      <c r="H671" s="18">
        <f>IF($A671="","",IF(I671&lt;&gt;"",I671,Paramètres!B23))</f>
        <v/>
      </c>
      <c r="I671" s="18" t="n"/>
    </row>
    <row r="672">
      <c r="A672" s="18">
        <f>IF(ISNUMBER(Dossiers!$D$16),Dossiers!$A$16&amp;" · "&amp;Dossiers!$B$16,"")</f>
        <v/>
      </c>
      <c r="B672" s="18">
        <f>IF($A672="","",Paramètres!G24)</f>
        <v/>
      </c>
      <c r="C672" s="18">
        <f>IF($A672="","",IF(Paramètres!H24="","",Paramètres!H24))</f>
        <v/>
      </c>
      <c r="D672" s="18">
        <f>IF($A672="","",IF(Paramètres!I24="","",Paramètres!I24))</f>
        <v/>
      </c>
      <c r="E672" s="19">
        <f>IF($A672="","",IF(Paramètres!J24&amp;Paramètres!L24&amp;Paramètres!N24="",Dossiers!$D$16,MAX(IF(Paramètres!J24="",0,IF(Paramètres!K24="",NA(),IF(LEFT(TRIM(Paramètres!K24),1)="F",INDEX($F$653:$F$705,MATCH(Paramètres!J24,Paramètres!$G$5:$G$57,0)),INDEX($E$653:$E$705,MATCH(Paramètres!J24,Paramètres!$G$5:$G$57,0)))+IF(RIGHT(TRIM(Paramètres!K24),3)="Fin",1-$H672,IF(LEFT(TRIM(Paramètres!K24),1)="F",1,0)))),IF(Paramètres!L24="",0,IF(Paramètres!M24="",NA(),IF(LEFT(TRIM(Paramètres!M24),1)="F",INDEX($F$653:$F$705,MATCH(Paramètres!L24,Paramètres!$G$5:$G$57,0)),INDEX($E$653:$E$705,MATCH(Paramètres!L24,Paramètres!$G$5:$G$57,0)))+IF(RIGHT(TRIM(Paramètres!M24),3)="Fin",1-$H672,IF(LEFT(TRIM(Paramètres!M24),1)="F",1,0)))),IF(Paramètres!N24="",0,IF(Paramètres!O24="",NA(),IF(LEFT(TRIM(Paramètres!O24),1)="F",INDEX($F$653:$F$705,MATCH(Paramètres!N24,Paramètres!$G$5:$G$57,0)),INDEX($E$653:$E$705,MATCH(Paramètres!N24,Paramètres!$G$5:$G$57,0)))+IF(RIGHT(TRIM(Paramètres!O24),3)="Fin",1-$H672,IF(LEFT(TRIM(Paramètres!O24),1)="F",1,0)))))))</f>
        <v/>
      </c>
      <c r="F672" s="19">
        <f>IF($A672="","",E672+$H672-1)</f>
        <v/>
      </c>
      <c r="G672" s="18" t="n"/>
      <c r="H672" s="18">
        <f>IF($A672="","",IF(I672&lt;&gt;"",I672,Paramètres!B24))</f>
        <v/>
      </c>
      <c r="I672" s="18" t="n"/>
    </row>
    <row r="673">
      <c r="A673" s="18">
        <f>IF(ISNUMBER(Dossiers!$D$16),Dossiers!$A$16&amp;" · "&amp;Dossiers!$B$16,"")</f>
        <v/>
      </c>
      <c r="B673" s="18">
        <f>IF($A673="","",Paramètres!G25)</f>
        <v/>
      </c>
      <c r="C673" s="18">
        <f>IF($A673="","",IF(Paramètres!H25="","",Paramètres!H25))</f>
        <v/>
      </c>
      <c r="D673" s="18">
        <f>IF($A673="","",IF(Paramètres!I25="","",Paramètres!I25))</f>
        <v/>
      </c>
      <c r="E673" s="19">
        <f>IF($A673="","",IF(Paramètres!J25&amp;Paramètres!L25&amp;Paramètres!N25="",Dossiers!$D$16,MAX(IF(Paramètres!J25="",0,IF(Paramètres!K25="",NA(),IF(LEFT(TRIM(Paramètres!K25),1)="F",INDEX($F$653:$F$705,MATCH(Paramètres!J25,Paramètres!$G$5:$G$57,0)),INDEX($E$653:$E$705,MATCH(Paramètres!J25,Paramètres!$G$5:$G$57,0)))+IF(RIGHT(TRIM(Paramètres!K25),3)="Fin",1-$H673,IF(LEFT(TRIM(Paramètres!K25),1)="F",1,0)))),IF(Paramètres!L25="",0,IF(Paramètres!M25="",NA(),IF(LEFT(TRIM(Paramètres!M25),1)="F",INDEX($F$653:$F$705,MATCH(Paramètres!L25,Paramètres!$G$5:$G$57,0)),INDEX($E$653:$E$705,MATCH(Paramètres!L25,Paramètres!$G$5:$G$57,0)))+IF(RIGHT(TRIM(Paramètres!M25),3)="Fin",1-$H673,IF(LEFT(TRIM(Paramètres!M25),1)="F",1,0)))),IF(Paramètres!N25="",0,IF(Paramètres!O25="",NA(),IF(LEFT(TRIM(Paramètres!O25),1)="F",INDEX($F$653:$F$705,MATCH(Paramètres!N25,Paramètres!$G$5:$G$57,0)),INDEX($E$653:$E$705,MATCH(Paramètres!N25,Paramètres!$G$5:$G$57,0)))+IF(RIGHT(TRIM(Paramètres!O25),3)="Fin",1-$H673,IF(LEFT(TRIM(Paramètres!O25),1)="F",1,0)))))))</f>
        <v/>
      </c>
      <c r="F673" s="19">
        <f>IF($A673="","",E673+$H673-1)</f>
        <v/>
      </c>
      <c r="G673" s="18" t="n"/>
      <c r="H673" s="18">
        <f>IF($A673="","",IF(I673&lt;&gt;"",I673,Paramètres!B25))</f>
        <v/>
      </c>
      <c r="I673" s="18" t="n"/>
    </row>
    <row r="674">
      <c r="A674" s="18">
        <f>IF(ISNUMBER(Dossiers!$D$16),Dossiers!$A$16&amp;" · "&amp;Dossiers!$B$16,"")</f>
        <v/>
      </c>
      <c r="B674" s="18">
        <f>IF($A674="","",Paramètres!G26)</f>
        <v/>
      </c>
      <c r="C674" s="18">
        <f>IF($A674="","",IF(Paramètres!H26="","",Paramètres!H26))</f>
        <v/>
      </c>
      <c r="D674" s="18">
        <f>IF($A674="","",IF(Paramètres!I26="","",Paramètres!I26))</f>
        <v/>
      </c>
      <c r="E674" s="19">
        <f>IF($A674="","",IF(Paramètres!J26&amp;Paramètres!L26&amp;Paramètres!N26="",Dossiers!$D$16,MAX(IF(Paramètres!J26="",0,IF(Paramètres!K26="",NA(),IF(LEFT(TRIM(Paramètres!K26),1)="F",INDEX($F$653:$F$705,MATCH(Paramètres!J26,Paramètres!$G$5:$G$57,0)),INDEX($E$653:$E$705,MATCH(Paramètres!J26,Paramètres!$G$5:$G$57,0)))+IF(RIGHT(TRIM(Paramètres!K26),3)="Fin",1-$H674,IF(LEFT(TRIM(Paramètres!K26),1)="F",1,0)))),IF(Paramètres!L26="",0,IF(Paramètres!M26="",NA(),IF(LEFT(TRIM(Paramètres!M26),1)="F",INDEX($F$653:$F$705,MATCH(Paramètres!L26,Paramètres!$G$5:$G$57,0)),INDEX($E$653:$E$705,MATCH(Paramètres!L26,Paramètres!$G$5:$G$57,0)))+IF(RIGHT(TRIM(Paramètres!M26),3)="Fin",1-$H674,IF(LEFT(TRIM(Paramètres!M26),1)="F",1,0)))),IF(Paramètres!N26="",0,IF(Paramètres!O26="",NA(),IF(LEFT(TRIM(Paramètres!O26),1)="F",INDEX($F$653:$F$705,MATCH(Paramètres!N26,Paramètres!$G$5:$G$57,0)),INDEX($E$653:$E$705,MATCH(Paramètres!N26,Paramètres!$G$5:$G$57,0)))+IF(RIGHT(TRIM(Paramètres!O26),3)="Fin",1-$H674,IF(LEFT(TRIM(Paramètres!O26),1)="F",1,0)))))))</f>
        <v/>
      </c>
      <c r="F674" s="19">
        <f>IF($A674="","",E674+$H674-1)</f>
        <v/>
      </c>
      <c r="G674" s="18" t="n"/>
      <c r="H674" s="18">
        <f>IF($A674="","",IF(I674&lt;&gt;"",I674,Paramètres!B26))</f>
        <v/>
      </c>
      <c r="I674" s="18" t="n"/>
    </row>
    <row r="675">
      <c r="A675" s="18">
        <f>IF(ISNUMBER(Dossiers!$D$16),Dossiers!$A$16&amp;" · "&amp;Dossiers!$B$16,"")</f>
        <v/>
      </c>
      <c r="B675" s="18">
        <f>IF($A675="","",Paramètres!G27)</f>
        <v/>
      </c>
      <c r="C675" s="18">
        <f>IF($A675="","",IF(Paramètres!H27="","",Paramètres!H27))</f>
        <v/>
      </c>
      <c r="D675" s="18">
        <f>IF($A675="","",IF(Paramètres!I27="","",Paramètres!I27))</f>
        <v/>
      </c>
      <c r="E675" s="19">
        <f>IF($A675="","",IF(Paramètres!J27&amp;Paramètres!L27&amp;Paramètres!N27="",Dossiers!$D$16,MAX(IF(Paramètres!J27="",0,IF(Paramètres!K27="",NA(),IF(LEFT(TRIM(Paramètres!K27),1)="F",INDEX($F$653:$F$705,MATCH(Paramètres!J27,Paramètres!$G$5:$G$57,0)),INDEX($E$653:$E$705,MATCH(Paramètres!J27,Paramètres!$G$5:$G$57,0)))+IF(RIGHT(TRIM(Paramètres!K27),3)="Fin",1-$H675,IF(LEFT(TRIM(Paramètres!K27),1)="F",1,0)))),IF(Paramètres!L27="",0,IF(Paramètres!M27="",NA(),IF(LEFT(TRIM(Paramètres!M27),1)="F",INDEX($F$653:$F$705,MATCH(Paramètres!L27,Paramètres!$G$5:$G$57,0)),INDEX($E$653:$E$705,MATCH(Paramètres!L27,Paramètres!$G$5:$G$57,0)))+IF(RIGHT(TRIM(Paramètres!M27),3)="Fin",1-$H675,IF(LEFT(TRIM(Paramètres!M27),1)="F",1,0)))),IF(Paramètres!N27="",0,IF(Paramètres!O27="",NA(),IF(LEFT(TRIM(Paramètres!O27),1)="F",INDEX($F$653:$F$705,MATCH(Paramètres!N27,Paramètres!$G$5:$G$57,0)),INDEX($E$653:$E$705,MATCH(Paramètres!N27,Paramètres!$G$5:$G$57,0)))+IF(RIGHT(TRIM(Paramètres!O27),3)="Fin",1-$H675,IF(LEFT(TRIM(Paramètres!O27),1)="F",1,0)))))))</f>
        <v/>
      </c>
      <c r="F675" s="19">
        <f>IF($A675="","",E675+$H675-1)</f>
        <v/>
      </c>
      <c r="G675" s="18" t="n"/>
      <c r="H675" s="18">
        <f>IF($A675="","",IF(I675&lt;&gt;"",I675,Paramètres!B27))</f>
        <v/>
      </c>
      <c r="I675" s="18" t="n"/>
    </row>
    <row r="676">
      <c r="A676" s="18">
        <f>IF(ISNUMBER(Dossiers!$D$16),Dossiers!$A$16&amp;" · "&amp;Dossiers!$B$16,"")</f>
        <v/>
      </c>
      <c r="B676" s="18">
        <f>IF($A676="","",Paramètres!G28)</f>
        <v/>
      </c>
      <c r="C676" s="18">
        <f>IF($A676="","",IF(Paramètres!H28="","",Paramètres!H28))</f>
        <v/>
      </c>
      <c r="D676" s="18">
        <f>IF($A676="","",IF(Paramètres!I28="","",Paramètres!I28))</f>
        <v/>
      </c>
      <c r="E676" s="19">
        <f>IF($A676="","",IF(Paramètres!J28&amp;Paramètres!L28&amp;Paramètres!N28="",Dossiers!$D$16,MAX(IF(Paramètres!J28="",0,IF(Paramètres!K28="",NA(),IF(LEFT(TRIM(Paramètres!K28),1)="F",INDEX($F$653:$F$705,MATCH(Paramètres!J28,Paramètres!$G$5:$G$57,0)),INDEX($E$653:$E$705,MATCH(Paramètres!J28,Paramètres!$G$5:$G$57,0)))+IF(RIGHT(TRIM(Paramètres!K28),3)="Fin",1-$H676,IF(LEFT(TRIM(Paramètres!K28),1)="F",1,0)))),IF(Paramètres!L28="",0,IF(Paramètres!M28="",NA(),IF(LEFT(TRIM(Paramètres!M28),1)="F",INDEX($F$653:$F$705,MATCH(Paramètres!L28,Paramètres!$G$5:$G$57,0)),INDEX($E$653:$E$705,MATCH(Paramètres!L28,Paramètres!$G$5:$G$57,0)))+IF(RIGHT(TRIM(Paramètres!M28),3)="Fin",1-$H676,IF(LEFT(TRIM(Paramètres!M28),1)="F",1,0)))),IF(Paramètres!N28="",0,IF(Paramètres!O28="",NA(),IF(LEFT(TRIM(Paramètres!O28),1)="F",INDEX($F$653:$F$705,MATCH(Paramètres!N28,Paramètres!$G$5:$G$57,0)),INDEX($E$653:$E$705,MATCH(Paramètres!N28,Paramètres!$G$5:$G$57,0)))+IF(RIGHT(TRIM(Paramètres!O28),3)="Fin",1-$H676,IF(LEFT(TRIM(Paramètres!O28),1)="F",1,0)))))))</f>
        <v/>
      </c>
      <c r="F676" s="19">
        <f>IF($A676="","",E676+$H676-1)</f>
        <v/>
      </c>
      <c r="G676" s="18" t="n"/>
      <c r="H676" s="18">
        <f>IF($A676="","",IF(I676&lt;&gt;"",I676,Paramètres!B28))</f>
        <v/>
      </c>
      <c r="I676" s="18" t="n"/>
    </row>
    <row r="677">
      <c r="A677" s="18">
        <f>IF(ISNUMBER(Dossiers!$D$16),Dossiers!$A$16&amp;" · "&amp;Dossiers!$B$16,"")</f>
        <v/>
      </c>
      <c r="B677" s="18">
        <f>IF($A677="","",Paramètres!G29)</f>
        <v/>
      </c>
      <c r="C677" s="18">
        <f>IF($A677="","",IF(Paramètres!H29="","",Paramètres!H29))</f>
        <v/>
      </c>
      <c r="D677" s="18">
        <f>IF($A677="","",IF(Paramètres!I29="","",Paramètres!I29))</f>
        <v/>
      </c>
      <c r="E677" s="19">
        <f>IF($A677="","",IF(Paramètres!J29&amp;Paramètres!L29&amp;Paramètres!N29="",Dossiers!$D$16,MAX(IF(Paramètres!J29="",0,IF(Paramètres!K29="",NA(),IF(LEFT(TRIM(Paramètres!K29),1)="F",INDEX($F$653:$F$705,MATCH(Paramètres!J29,Paramètres!$G$5:$G$57,0)),INDEX($E$653:$E$705,MATCH(Paramètres!J29,Paramètres!$G$5:$G$57,0)))+IF(RIGHT(TRIM(Paramètres!K29),3)="Fin",1-$H677,IF(LEFT(TRIM(Paramètres!K29),1)="F",1,0)))),IF(Paramètres!L29="",0,IF(Paramètres!M29="",NA(),IF(LEFT(TRIM(Paramètres!M29),1)="F",INDEX($F$653:$F$705,MATCH(Paramètres!L29,Paramètres!$G$5:$G$57,0)),INDEX($E$653:$E$705,MATCH(Paramètres!L29,Paramètres!$G$5:$G$57,0)))+IF(RIGHT(TRIM(Paramètres!M29),3)="Fin",1-$H677,IF(LEFT(TRIM(Paramètres!M29),1)="F",1,0)))),IF(Paramètres!N29="",0,IF(Paramètres!O29="",NA(),IF(LEFT(TRIM(Paramètres!O29),1)="F",INDEX($F$653:$F$705,MATCH(Paramètres!N29,Paramètres!$G$5:$G$57,0)),INDEX($E$653:$E$705,MATCH(Paramètres!N29,Paramètres!$G$5:$G$57,0)))+IF(RIGHT(TRIM(Paramètres!O29),3)="Fin",1-$H677,IF(LEFT(TRIM(Paramètres!O29),1)="F",1,0)))))))</f>
        <v/>
      </c>
      <c r="F677" s="19">
        <f>IF($A677="","",E677+$H677-1)</f>
        <v/>
      </c>
      <c r="G677" s="18" t="n"/>
      <c r="H677" s="18">
        <f>IF($A677="","",IF(I677&lt;&gt;"",I677,Paramètres!B29))</f>
        <v/>
      </c>
      <c r="I677" s="18" t="n"/>
    </row>
    <row r="678">
      <c r="A678" s="18">
        <f>IF(ISNUMBER(Dossiers!$D$16),Dossiers!$A$16&amp;" · "&amp;Dossiers!$B$16,"")</f>
        <v/>
      </c>
      <c r="B678" s="18">
        <f>IF($A678="","",Paramètres!G30)</f>
        <v/>
      </c>
      <c r="C678" s="18">
        <f>IF($A678="","",IF(Paramètres!H30="","",Paramètres!H30))</f>
        <v/>
      </c>
      <c r="D678" s="18">
        <f>IF($A678="","",IF(Paramètres!I30="","",Paramètres!I30))</f>
        <v/>
      </c>
      <c r="E678" s="19">
        <f>IF($A678="","",IF(Paramètres!J30&amp;Paramètres!L30&amp;Paramètres!N30="",Dossiers!$D$16,MAX(IF(Paramètres!J30="",0,IF(Paramètres!K30="",NA(),IF(LEFT(TRIM(Paramètres!K30),1)="F",INDEX($F$653:$F$705,MATCH(Paramètres!J30,Paramètres!$G$5:$G$57,0)),INDEX($E$653:$E$705,MATCH(Paramètres!J30,Paramètres!$G$5:$G$57,0)))+IF(RIGHT(TRIM(Paramètres!K30),3)="Fin",1-$H678,IF(LEFT(TRIM(Paramètres!K30),1)="F",1,0)))),IF(Paramètres!L30="",0,IF(Paramètres!M30="",NA(),IF(LEFT(TRIM(Paramètres!M30),1)="F",INDEX($F$653:$F$705,MATCH(Paramètres!L30,Paramètres!$G$5:$G$57,0)),INDEX($E$653:$E$705,MATCH(Paramètres!L30,Paramètres!$G$5:$G$57,0)))+IF(RIGHT(TRIM(Paramètres!M30),3)="Fin",1-$H678,IF(LEFT(TRIM(Paramètres!M30),1)="F",1,0)))),IF(Paramètres!N30="",0,IF(Paramètres!O30="",NA(),IF(LEFT(TRIM(Paramètres!O30),1)="F",INDEX($F$653:$F$705,MATCH(Paramètres!N30,Paramètres!$G$5:$G$57,0)),INDEX($E$653:$E$705,MATCH(Paramètres!N30,Paramètres!$G$5:$G$57,0)))+IF(RIGHT(TRIM(Paramètres!O30),3)="Fin",1-$H678,IF(LEFT(TRIM(Paramètres!O30),1)="F",1,0)))))))</f>
        <v/>
      </c>
      <c r="F678" s="19">
        <f>IF($A678="","",E678+$H678-1)</f>
        <v/>
      </c>
      <c r="G678" s="18" t="n"/>
      <c r="H678" s="18">
        <f>IF($A678="","",IF(I678&lt;&gt;"",I678,Paramètres!B30))</f>
        <v/>
      </c>
      <c r="I678" s="18" t="n"/>
    </row>
    <row r="679">
      <c r="A679" s="18">
        <f>IF(ISNUMBER(Dossiers!$D$16),Dossiers!$A$16&amp;" · "&amp;Dossiers!$B$16,"")</f>
        <v/>
      </c>
      <c r="B679" s="18">
        <f>IF($A679="","",Paramètres!G31)</f>
        <v/>
      </c>
      <c r="C679" s="20">
        <f>IF($A679="","",IF(Dossiers!$F$16="","",Dossiers!$F$16))</f>
        <v/>
      </c>
      <c r="D679" s="18">
        <f>IF($A679="","",IF(Paramètres!I31="","",Paramètres!I31))</f>
        <v/>
      </c>
      <c r="E679" s="19">
        <f>IF($A679="","",IF(Paramètres!J31&amp;Paramètres!L31&amp;Paramètres!N31="",Dossiers!$D$16,MAX(IF(Paramètres!J31="",0,IF(Paramètres!K31="",NA(),IF(LEFT(TRIM(Paramètres!K31),1)="F",INDEX($F$653:$F$705,MATCH(Paramètres!J31,Paramètres!$G$5:$G$57,0)),INDEX($E$653:$E$705,MATCH(Paramètres!J31,Paramètres!$G$5:$G$57,0)))+IF(RIGHT(TRIM(Paramètres!K31),3)="Fin",1-$H679,IF(LEFT(TRIM(Paramètres!K31),1)="F",1,0)))),IF(Paramètres!L31="",0,IF(Paramètres!M31="",NA(),IF(LEFT(TRIM(Paramètres!M31),1)="F",INDEX($F$653:$F$705,MATCH(Paramètres!L31,Paramètres!$G$5:$G$57,0)),INDEX($E$653:$E$705,MATCH(Paramètres!L31,Paramètres!$G$5:$G$57,0)))+IF(RIGHT(TRIM(Paramètres!M31),3)="Fin",1-$H679,IF(LEFT(TRIM(Paramètres!M31),1)="F",1,0)))),IF(Paramètres!N31="",0,IF(Paramètres!O31="",NA(),IF(LEFT(TRIM(Paramètres!O31),1)="F",INDEX($F$653:$F$705,MATCH(Paramètres!N31,Paramètres!$G$5:$G$57,0)),INDEX($E$653:$E$705,MATCH(Paramètres!N31,Paramètres!$G$5:$G$57,0)))+IF(RIGHT(TRIM(Paramètres!O31),3)="Fin",1-$H679,IF(LEFT(TRIM(Paramètres!O31),1)="F",1,0)))))))</f>
        <v/>
      </c>
      <c r="F679" s="19">
        <f>IF($A679="","",E679+$H679-1)</f>
        <v/>
      </c>
      <c r="G679" s="18" t="n"/>
      <c r="H679" s="18">
        <f>IF($A679="","",IF(I679&lt;&gt;"",I679,Paramètres!B31))</f>
        <v/>
      </c>
      <c r="I679" s="18" t="n"/>
    </row>
    <row r="680">
      <c r="A680" s="18">
        <f>IF(ISNUMBER(Dossiers!$D$16),Dossiers!$A$16&amp;" · "&amp;Dossiers!$B$16,"")</f>
        <v/>
      </c>
      <c r="B680" s="18">
        <f>IF($A680="","",Paramètres!G32)</f>
        <v/>
      </c>
      <c r="C680" s="18">
        <f>IF($A680="","",IF(Paramètres!H32="","",Paramètres!H32))</f>
        <v/>
      </c>
      <c r="D680" s="18">
        <f>IF($A680="","",IF(Paramètres!I32="","",Paramètres!I32))</f>
        <v/>
      </c>
      <c r="E680" s="19">
        <f>IF($A680="","",MIN(E681:E684))</f>
        <v/>
      </c>
      <c r="F680" s="19">
        <f>IF($A680="","",MAX(F681:F684))</f>
        <v/>
      </c>
      <c r="G680" s="18" t="n"/>
      <c r="H680" s="18">
        <f>IF($A680="","",F680-E680+1)</f>
        <v/>
      </c>
      <c r="I680" s="18" t="n"/>
    </row>
    <row r="681">
      <c r="A681" s="18">
        <f>IF(ISNUMBER(Dossiers!$D$16),Dossiers!$A$16&amp;" · "&amp;Dossiers!$B$16,"")</f>
        <v/>
      </c>
      <c r="B681" s="18">
        <f>IF($A681="","",Paramètres!G33)</f>
        <v/>
      </c>
      <c r="C681" s="18">
        <f>IF($A681="","",IF(Paramètres!H33="","",Paramètres!H33))</f>
        <v/>
      </c>
      <c r="D681" s="18">
        <f>IF($A681="","",IF(Paramètres!I33="","",Paramètres!I33))</f>
        <v/>
      </c>
      <c r="E681" s="19">
        <f>IF($A681="","",IF(Paramètres!J33&amp;Paramètres!L33&amp;Paramètres!N33="",Dossiers!$D$16,MAX(IF(Paramètres!J33="",0,IF(Paramètres!K33="",NA(),IF(LEFT(TRIM(Paramètres!K33),1)="F",INDEX($F$653:$F$705,MATCH(Paramètres!J33,Paramètres!$G$5:$G$57,0)),INDEX($E$653:$E$705,MATCH(Paramètres!J33,Paramètres!$G$5:$G$57,0)))+IF(RIGHT(TRIM(Paramètres!K33),3)="Fin",1-$H681,IF(LEFT(TRIM(Paramètres!K33),1)="F",1,0)))),IF(Paramètres!L33="",0,IF(Paramètres!M33="",NA(),IF(LEFT(TRIM(Paramètres!M33),1)="F",INDEX($F$653:$F$705,MATCH(Paramètres!L33,Paramètres!$G$5:$G$57,0)),INDEX($E$653:$E$705,MATCH(Paramètres!L33,Paramètres!$G$5:$G$57,0)))+IF(RIGHT(TRIM(Paramètres!M33),3)="Fin",1-$H681,IF(LEFT(TRIM(Paramètres!M33),1)="F",1,0)))),IF(Paramètres!N33="",0,IF(Paramètres!O33="",NA(),IF(LEFT(TRIM(Paramètres!O33),1)="F",INDEX($F$653:$F$705,MATCH(Paramètres!N33,Paramètres!$G$5:$G$57,0)),INDEX($E$653:$E$705,MATCH(Paramètres!N33,Paramètres!$G$5:$G$57,0)))+IF(RIGHT(TRIM(Paramètres!O33),3)="Fin",1-$H681,IF(LEFT(TRIM(Paramètres!O33),1)="F",1,0)))))))</f>
        <v/>
      </c>
      <c r="F681" s="19">
        <f>IF($A681="","",E681+$H681-1)</f>
        <v/>
      </c>
      <c r="G681" s="18" t="n"/>
      <c r="H681" s="18">
        <f>IF($A681="","",IF(I681&lt;&gt;"",I681,Paramètres!B33))</f>
        <v/>
      </c>
      <c r="I681" s="18" t="n"/>
    </row>
    <row r="682">
      <c r="A682" s="18">
        <f>IF(ISNUMBER(Dossiers!$D$16),Dossiers!$A$16&amp;" · "&amp;Dossiers!$B$16,"")</f>
        <v/>
      </c>
      <c r="B682" s="18">
        <f>IF($A682="","",Paramètres!G34)</f>
        <v/>
      </c>
      <c r="C682" s="18">
        <f>IF($A682="","",IF(Paramètres!H34="","",Paramètres!H34))</f>
        <v/>
      </c>
      <c r="D682" s="18">
        <f>IF($A682="","",IF(Paramètres!I34="","",Paramètres!I34))</f>
        <v/>
      </c>
      <c r="E682" s="19">
        <f>IF($A682="","",IF(Paramètres!J34&amp;Paramètres!L34&amp;Paramètres!N34="",Dossiers!$D$16,MAX(IF(Paramètres!J34="",0,IF(Paramètres!K34="",NA(),IF(LEFT(TRIM(Paramètres!K34),1)="F",INDEX($F$653:$F$705,MATCH(Paramètres!J34,Paramètres!$G$5:$G$57,0)),INDEX($E$653:$E$705,MATCH(Paramètres!J34,Paramètres!$G$5:$G$57,0)))+IF(RIGHT(TRIM(Paramètres!K34),3)="Fin",1-$H682,IF(LEFT(TRIM(Paramètres!K34),1)="F",1,0)))),IF(Paramètres!L34="",0,IF(Paramètres!M34="",NA(),IF(LEFT(TRIM(Paramètres!M34),1)="F",INDEX($F$653:$F$705,MATCH(Paramètres!L34,Paramètres!$G$5:$G$57,0)),INDEX($E$653:$E$705,MATCH(Paramètres!L34,Paramètres!$G$5:$G$57,0)))+IF(RIGHT(TRIM(Paramètres!M34),3)="Fin",1-$H682,IF(LEFT(TRIM(Paramètres!M34),1)="F",1,0)))),IF(Paramètres!N34="",0,IF(Paramètres!O34="",NA(),IF(LEFT(TRIM(Paramètres!O34),1)="F",INDEX($F$653:$F$705,MATCH(Paramètres!N34,Paramètres!$G$5:$G$57,0)),INDEX($E$653:$E$705,MATCH(Paramètres!N34,Paramètres!$G$5:$G$57,0)))+IF(RIGHT(TRIM(Paramètres!O34),3)="Fin",1-$H682,IF(LEFT(TRIM(Paramètres!O34),1)="F",1,0)))))))</f>
        <v/>
      </c>
      <c r="F682" s="19">
        <f>IF($A682="","",E682+$H682-1)</f>
        <v/>
      </c>
      <c r="G682" s="18" t="n"/>
      <c r="H682" s="18">
        <f>IF($A682="","",IF(I682&lt;&gt;"",I682,Paramètres!B34))</f>
        <v/>
      </c>
      <c r="I682" s="18" t="n"/>
    </row>
    <row r="683">
      <c r="A683" s="18">
        <f>IF(ISNUMBER(Dossiers!$D$16),Dossiers!$A$16&amp;" · "&amp;Dossiers!$B$16,"")</f>
        <v/>
      </c>
      <c r="B683" s="18">
        <f>IF($A683="","",Paramètres!G35)</f>
        <v/>
      </c>
      <c r="C683" s="18">
        <f>IF($A683="","",IF(Paramètres!H35="","",Paramètres!H35))</f>
        <v/>
      </c>
      <c r="D683" s="18">
        <f>IF($A683="","",IF(Paramètres!I35="","",Paramètres!I35))</f>
        <v/>
      </c>
      <c r="E683" s="19">
        <f>IF($A683="","",IF(Paramètres!J35&amp;Paramètres!L35&amp;Paramètres!N35="",Dossiers!$D$16,MAX(IF(Paramètres!J35="",0,IF(Paramètres!K35="",NA(),IF(LEFT(TRIM(Paramètres!K35),1)="F",INDEX($F$653:$F$705,MATCH(Paramètres!J35,Paramètres!$G$5:$G$57,0)),INDEX($E$653:$E$705,MATCH(Paramètres!J35,Paramètres!$G$5:$G$57,0)))+IF(RIGHT(TRIM(Paramètres!K35),3)="Fin",1-$H683,IF(LEFT(TRIM(Paramètres!K35),1)="F",1,0)))),IF(Paramètres!L35="",0,IF(Paramètres!M35="",NA(),IF(LEFT(TRIM(Paramètres!M35),1)="F",INDEX($F$653:$F$705,MATCH(Paramètres!L35,Paramètres!$G$5:$G$57,0)),INDEX($E$653:$E$705,MATCH(Paramètres!L35,Paramètres!$G$5:$G$57,0)))+IF(RIGHT(TRIM(Paramètres!M35),3)="Fin",1-$H683,IF(LEFT(TRIM(Paramètres!M35),1)="F",1,0)))),IF(Paramètres!N35="",0,IF(Paramètres!O35="",NA(),IF(LEFT(TRIM(Paramètres!O35),1)="F",INDEX($F$653:$F$705,MATCH(Paramètres!N35,Paramètres!$G$5:$G$57,0)),INDEX($E$653:$E$705,MATCH(Paramètres!N35,Paramètres!$G$5:$G$57,0)))+IF(RIGHT(TRIM(Paramètres!O35),3)="Fin",1-$H683,IF(LEFT(TRIM(Paramètres!O35),1)="F",1,0)))))))</f>
        <v/>
      </c>
      <c r="F683" s="19">
        <f>IF($A683="","",E683+$H683-1)</f>
        <v/>
      </c>
      <c r="G683" s="18" t="n"/>
      <c r="H683" s="18">
        <f>IF($A683="","",IF(I683&lt;&gt;"",I683,Paramètres!B35))</f>
        <v/>
      </c>
      <c r="I683" s="18" t="n"/>
    </row>
    <row r="684">
      <c r="A684" s="18">
        <f>IF(ISNUMBER(Dossiers!$D$16),Dossiers!$A$16&amp;" · "&amp;Dossiers!$B$16,"")</f>
        <v/>
      </c>
      <c r="B684" s="18">
        <f>IF($A684="","",Paramètres!G36)</f>
        <v/>
      </c>
      <c r="C684" s="18">
        <f>IF($A684="","",IF(Paramètres!H36="","",Paramètres!H36))</f>
        <v/>
      </c>
      <c r="D684" s="18">
        <f>IF($A684="","",IF(Paramètres!I36="","",Paramètres!I36))</f>
        <v/>
      </c>
      <c r="E684" s="19">
        <f>IF($A684="","",IF(Paramètres!J36&amp;Paramètres!L36&amp;Paramètres!N36="",Dossiers!$D$16,MAX(IF(Paramètres!J36="",0,IF(Paramètres!K36="",NA(),IF(LEFT(TRIM(Paramètres!K36),1)="F",INDEX($F$653:$F$705,MATCH(Paramètres!J36,Paramètres!$G$5:$G$57,0)),INDEX($E$653:$E$705,MATCH(Paramètres!J36,Paramètres!$G$5:$G$57,0)))+IF(RIGHT(TRIM(Paramètres!K36),3)="Fin",1-$H684,IF(LEFT(TRIM(Paramètres!K36),1)="F",1,0)))),IF(Paramètres!L36="",0,IF(Paramètres!M36="",NA(),IF(LEFT(TRIM(Paramètres!M36),1)="F",INDEX($F$653:$F$705,MATCH(Paramètres!L36,Paramètres!$G$5:$G$57,0)),INDEX($E$653:$E$705,MATCH(Paramètres!L36,Paramètres!$G$5:$G$57,0)))+IF(RIGHT(TRIM(Paramètres!M36),3)="Fin",1-$H684,IF(LEFT(TRIM(Paramètres!M36),1)="F",1,0)))),IF(Paramètres!N36="",0,IF(Paramètres!O36="",NA(),IF(LEFT(TRIM(Paramètres!O36),1)="F",INDEX($F$653:$F$705,MATCH(Paramètres!N36,Paramètres!$G$5:$G$57,0)),INDEX($E$653:$E$705,MATCH(Paramètres!N36,Paramètres!$G$5:$G$57,0)))+IF(RIGHT(TRIM(Paramètres!O36),3)="Fin",1-$H684,IF(LEFT(TRIM(Paramètres!O36),1)="F",1,0)))))))</f>
        <v/>
      </c>
      <c r="F684" s="19">
        <f>IF($A684="","",E684+$H684-1)</f>
        <v/>
      </c>
      <c r="G684" s="18" t="n"/>
      <c r="H684" s="18">
        <f>IF($A684="","",IF(I684&lt;&gt;"",I684,Paramètres!B36))</f>
        <v/>
      </c>
      <c r="I684" s="18" t="n"/>
    </row>
    <row r="685">
      <c r="A685" s="18">
        <f>IF(ISNUMBER(Dossiers!$D$16),Dossiers!$A$16&amp;" · "&amp;Dossiers!$B$16,"")</f>
        <v/>
      </c>
      <c r="B685" s="18">
        <f>IF($A685="","",Paramètres!G37)</f>
        <v/>
      </c>
      <c r="C685" s="18">
        <f>IF($A685="","",IF(Paramètres!H37="","",Paramètres!H37))</f>
        <v/>
      </c>
      <c r="D685" s="18">
        <f>IF($A685="","",IF(Paramètres!I37="","",Paramètres!I37))</f>
        <v/>
      </c>
      <c r="E685" s="19">
        <f>IF($A685="","",MIN(E686:E703))</f>
        <v/>
      </c>
      <c r="F685" s="19">
        <f>IF($A685="","",MAX(F686:F703))</f>
        <v/>
      </c>
      <c r="G685" s="18" t="n"/>
      <c r="H685" s="18">
        <f>IF($A685="","",F685-E685+1)</f>
        <v/>
      </c>
      <c r="I685" s="18" t="n"/>
    </row>
    <row r="686">
      <c r="A686" s="18">
        <f>IF(ISNUMBER(Dossiers!$D$16),Dossiers!$A$16&amp;" · "&amp;Dossiers!$B$16,"")</f>
        <v/>
      </c>
      <c r="B686" s="18">
        <f>IF($A686="","",Paramètres!G38)</f>
        <v/>
      </c>
      <c r="C686" s="18">
        <f>IF($A686="","",IF(Paramètres!H38="","",Paramètres!H38))</f>
        <v/>
      </c>
      <c r="D686" s="18">
        <f>IF($A686="","",IF(Paramètres!I38="","",Paramètres!I38))</f>
        <v/>
      </c>
      <c r="E686" s="19">
        <f>IF($A686="","",IF(Paramètres!J38&amp;Paramètres!L38&amp;Paramètres!N38="",Dossiers!$D$16,MAX(IF(Paramètres!J38="",0,IF(Paramètres!K38="",NA(),IF(LEFT(TRIM(Paramètres!K38),1)="F",INDEX($F$653:$F$705,MATCH(Paramètres!J38,Paramètres!$G$5:$G$57,0)),INDEX($E$653:$E$705,MATCH(Paramètres!J38,Paramètres!$G$5:$G$57,0)))+IF(RIGHT(TRIM(Paramètres!K38),3)="Fin",1-$H686,IF(LEFT(TRIM(Paramètres!K38),1)="F",1,0)))),IF(Paramètres!L38="",0,IF(Paramètres!M38="",NA(),IF(LEFT(TRIM(Paramètres!M38),1)="F",INDEX($F$653:$F$705,MATCH(Paramètres!L38,Paramètres!$G$5:$G$57,0)),INDEX($E$653:$E$705,MATCH(Paramètres!L38,Paramètres!$G$5:$G$57,0)))+IF(RIGHT(TRIM(Paramètres!M38),3)="Fin",1-$H686,IF(LEFT(TRIM(Paramètres!M38),1)="F",1,0)))),IF(Paramètres!N38="",0,IF(Paramètres!O38="",NA(),IF(LEFT(TRIM(Paramètres!O38),1)="F",INDEX($F$653:$F$705,MATCH(Paramètres!N38,Paramètres!$G$5:$G$57,0)),INDEX($E$653:$E$705,MATCH(Paramètres!N38,Paramètres!$G$5:$G$57,0)))+IF(RIGHT(TRIM(Paramètres!O38),3)="Fin",1-$H686,IF(LEFT(TRIM(Paramètres!O38),1)="F",1,0)))))))</f>
        <v/>
      </c>
      <c r="F686" s="19">
        <f>IF($A686="","",E686+$H686-1)</f>
        <v/>
      </c>
      <c r="G686" s="18" t="n"/>
      <c r="H686" s="18">
        <f>IF($A686="","",IF(I686&lt;&gt;"",I686,Paramètres!B38))</f>
        <v/>
      </c>
      <c r="I686" s="18" t="n"/>
    </row>
    <row r="687">
      <c r="A687" s="18">
        <f>IF(ISNUMBER(Dossiers!$D$16),Dossiers!$A$16&amp;" · "&amp;Dossiers!$B$16,"")</f>
        <v/>
      </c>
      <c r="B687" s="18">
        <f>IF($A687="","",Paramètres!G39)</f>
        <v/>
      </c>
      <c r="C687" s="18">
        <f>IF($A687="","",IF(Paramètres!H39="","",Paramètres!H39))</f>
        <v/>
      </c>
      <c r="D687" s="18">
        <f>IF($A687="","",IF(Paramètres!I39="","",Paramètres!I39))</f>
        <v/>
      </c>
      <c r="E687" s="19">
        <f>IF($A687="","",IF(Paramètres!J39&amp;Paramètres!L39&amp;Paramètres!N39="",Dossiers!$D$16,MAX(IF(Paramètres!J39="",0,IF(Paramètres!K39="",NA(),IF(LEFT(TRIM(Paramètres!K39),1)="F",INDEX($F$653:$F$705,MATCH(Paramètres!J39,Paramètres!$G$5:$G$57,0)),INDEX($E$653:$E$705,MATCH(Paramètres!J39,Paramètres!$G$5:$G$57,0)))+IF(RIGHT(TRIM(Paramètres!K39),3)="Fin",1-$H687,IF(LEFT(TRIM(Paramètres!K39),1)="F",1,0)))),IF(Paramètres!L39="",0,IF(Paramètres!M39="",NA(),IF(LEFT(TRIM(Paramètres!M39),1)="F",INDEX($F$653:$F$705,MATCH(Paramètres!L39,Paramètres!$G$5:$G$57,0)),INDEX($E$653:$E$705,MATCH(Paramètres!L39,Paramètres!$G$5:$G$57,0)))+IF(RIGHT(TRIM(Paramètres!M39),3)="Fin",1-$H687,IF(LEFT(TRIM(Paramètres!M39),1)="F",1,0)))),IF(Paramètres!N39="",0,IF(Paramètres!O39="",NA(),IF(LEFT(TRIM(Paramètres!O39),1)="F",INDEX($F$653:$F$705,MATCH(Paramètres!N39,Paramètres!$G$5:$G$57,0)),INDEX($E$653:$E$705,MATCH(Paramètres!N39,Paramètres!$G$5:$G$57,0)))+IF(RIGHT(TRIM(Paramètres!O39),3)="Fin",1-$H687,IF(LEFT(TRIM(Paramètres!O39),1)="F",1,0)))))))</f>
        <v/>
      </c>
      <c r="F687" s="19">
        <f>IF($A687="","",E687+$H687-1)</f>
        <v/>
      </c>
      <c r="G687" s="18" t="n"/>
      <c r="H687" s="18">
        <f>IF($A687="","",IF(I687&lt;&gt;"",I687,Paramètres!B39))</f>
        <v/>
      </c>
      <c r="I687" s="18" t="n"/>
    </row>
    <row r="688">
      <c r="A688" s="18">
        <f>IF(ISNUMBER(Dossiers!$D$16),Dossiers!$A$16&amp;" · "&amp;Dossiers!$B$16,"")</f>
        <v/>
      </c>
      <c r="B688" s="18">
        <f>IF($A688="","",Paramètres!G40)</f>
        <v/>
      </c>
      <c r="C688" s="18">
        <f>IF($A688="","",IF(Paramètres!H40="","",Paramètres!H40))</f>
        <v/>
      </c>
      <c r="D688" s="18">
        <f>IF($A688="","",IF(Paramètres!I40="","",Paramètres!I40))</f>
        <v/>
      </c>
      <c r="E688" s="19">
        <f>IF($A688="","",IF(Paramètres!J40&amp;Paramètres!L40&amp;Paramètres!N40="",Dossiers!$D$16,MAX(IF(Paramètres!J40="",0,IF(Paramètres!K40="",NA(),IF(LEFT(TRIM(Paramètres!K40),1)="F",INDEX($F$653:$F$705,MATCH(Paramètres!J40,Paramètres!$G$5:$G$57,0)),INDEX($E$653:$E$705,MATCH(Paramètres!J40,Paramètres!$G$5:$G$57,0)))+IF(RIGHT(TRIM(Paramètres!K40),3)="Fin",1-$H688,IF(LEFT(TRIM(Paramètres!K40),1)="F",1,0)))),IF(Paramètres!L40="",0,IF(Paramètres!M40="",NA(),IF(LEFT(TRIM(Paramètres!M40),1)="F",INDEX($F$653:$F$705,MATCH(Paramètres!L40,Paramètres!$G$5:$G$57,0)),INDEX($E$653:$E$705,MATCH(Paramètres!L40,Paramètres!$G$5:$G$57,0)))+IF(RIGHT(TRIM(Paramètres!M40),3)="Fin",1-$H688,IF(LEFT(TRIM(Paramètres!M40),1)="F",1,0)))),IF(Paramètres!N40="",0,IF(Paramètres!O40="",NA(),IF(LEFT(TRIM(Paramètres!O40),1)="F",INDEX($F$653:$F$705,MATCH(Paramètres!N40,Paramètres!$G$5:$G$57,0)),INDEX($E$653:$E$705,MATCH(Paramètres!N40,Paramètres!$G$5:$G$57,0)))+IF(RIGHT(TRIM(Paramètres!O40),3)="Fin",1-$H688,IF(LEFT(TRIM(Paramètres!O40),1)="F",1,0)))))))</f>
        <v/>
      </c>
      <c r="F688" s="19">
        <f>IF($A688="","",E688+$H688-1)</f>
        <v/>
      </c>
      <c r="G688" s="18" t="n"/>
      <c r="H688" s="18">
        <f>IF($A688="","",IF(I688&lt;&gt;"",I688,Paramètres!B40))</f>
        <v/>
      </c>
      <c r="I688" s="18" t="n"/>
    </row>
    <row r="689">
      <c r="A689" s="18">
        <f>IF(ISNUMBER(Dossiers!$D$16),Dossiers!$A$16&amp;" · "&amp;Dossiers!$B$16,"")</f>
        <v/>
      </c>
      <c r="B689" s="18">
        <f>IF($A689="","",Paramètres!G41)</f>
        <v/>
      </c>
      <c r="C689" s="18">
        <f>IF($A689="","",IF(Paramètres!H41="","",Paramètres!H41))</f>
        <v/>
      </c>
      <c r="D689" s="18">
        <f>IF($A689="","",IF(Paramètres!I41="","",Paramètres!I41))</f>
        <v/>
      </c>
      <c r="E689" s="19">
        <f>IF($A689="","",IF(Paramètres!J41&amp;Paramètres!L41&amp;Paramètres!N41="",Dossiers!$D$16,MAX(IF(Paramètres!J41="",0,IF(Paramètres!K41="",NA(),IF(LEFT(TRIM(Paramètres!K41),1)="F",INDEX($F$653:$F$705,MATCH(Paramètres!J41,Paramètres!$G$5:$G$57,0)),INDEX($E$653:$E$705,MATCH(Paramètres!J41,Paramètres!$G$5:$G$57,0)))+IF(RIGHT(TRIM(Paramètres!K41),3)="Fin",1-$H689,IF(LEFT(TRIM(Paramètres!K41),1)="F",1,0)))),IF(Paramètres!L41="",0,IF(Paramètres!M41="",NA(),IF(LEFT(TRIM(Paramètres!M41),1)="F",INDEX($F$653:$F$705,MATCH(Paramètres!L41,Paramètres!$G$5:$G$57,0)),INDEX($E$653:$E$705,MATCH(Paramètres!L41,Paramètres!$G$5:$G$57,0)))+IF(RIGHT(TRIM(Paramètres!M41),3)="Fin",1-$H689,IF(LEFT(TRIM(Paramètres!M41),1)="F",1,0)))),IF(Paramètres!N41="",0,IF(Paramètres!O41="",NA(),IF(LEFT(TRIM(Paramètres!O41),1)="F",INDEX($F$653:$F$705,MATCH(Paramètres!N41,Paramètres!$G$5:$G$57,0)),INDEX($E$653:$E$705,MATCH(Paramètres!N41,Paramètres!$G$5:$G$57,0)))+IF(RIGHT(TRIM(Paramètres!O41),3)="Fin",1-$H689,IF(LEFT(TRIM(Paramètres!O41),1)="F",1,0)))))))</f>
        <v/>
      </c>
      <c r="F689" s="19">
        <f>IF($A689="","",E689+$H689-1)</f>
        <v/>
      </c>
      <c r="G689" s="18" t="n"/>
      <c r="H689" s="18">
        <f>IF($A689="","",IF(I689&lt;&gt;"",I689,Paramètres!B41))</f>
        <v/>
      </c>
      <c r="I689" s="18" t="n"/>
    </row>
    <row r="690">
      <c r="A690" s="18">
        <f>IF(ISNUMBER(Dossiers!$D$16),Dossiers!$A$16&amp;" · "&amp;Dossiers!$B$16,"")</f>
        <v/>
      </c>
      <c r="B690" s="18">
        <f>IF($A690="","",Paramètres!G42)</f>
        <v/>
      </c>
      <c r="C690" s="18">
        <f>IF($A690="","",IF(Paramètres!H42="","",Paramètres!H42))</f>
        <v/>
      </c>
      <c r="D690" s="18">
        <f>IF($A690="","",IF(Paramètres!I42="","",Paramètres!I42))</f>
        <v/>
      </c>
      <c r="E690" s="19">
        <f>IF($A690="","",IF(Paramètres!J42&amp;Paramètres!L42&amp;Paramètres!N42="",Dossiers!$D$16,MAX(IF(Paramètres!J42="",0,IF(Paramètres!K42="",NA(),IF(LEFT(TRIM(Paramètres!K42),1)="F",INDEX($F$653:$F$705,MATCH(Paramètres!J42,Paramètres!$G$5:$G$57,0)),INDEX($E$653:$E$705,MATCH(Paramètres!J42,Paramètres!$G$5:$G$57,0)))+IF(RIGHT(TRIM(Paramètres!K42),3)="Fin",1-$H690,IF(LEFT(TRIM(Paramètres!K42),1)="F",1,0)))),IF(Paramètres!L42="",0,IF(Paramètres!M42="",NA(),IF(LEFT(TRIM(Paramètres!M42),1)="F",INDEX($F$653:$F$705,MATCH(Paramètres!L42,Paramètres!$G$5:$G$57,0)),INDEX($E$653:$E$705,MATCH(Paramètres!L42,Paramètres!$G$5:$G$57,0)))+IF(RIGHT(TRIM(Paramètres!M42),3)="Fin",1-$H690,IF(LEFT(TRIM(Paramètres!M42),1)="F",1,0)))),IF(Paramètres!N42="",0,IF(Paramètres!O42="",NA(),IF(LEFT(TRIM(Paramètres!O42),1)="F",INDEX($F$653:$F$705,MATCH(Paramètres!N42,Paramètres!$G$5:$G$57,0)),INDEX($E$653:$E$705,MATCH(Paramètres!N42,Paramètres!$G$5:$G$57,0)))+IF(RIGHT(TRIM(Paramètres!O42),3)="Fin",1-$H690,IF(LEFT(TRIM(Paramètres!O42),1)="F",1,0)))))))</f>
        <v/>
      </c>
      <c r="F690" s="19">
        <f>IF($A690="","",E690+$H690-1)</f>
        <v/>
      </c>
      <c r="G690" s="18" t="n"/>
      <c r="H690" s="18">
        <f>IF($A690="","",IF(I690&lt;&gt;"",I690,Paramètres!B42))</f>
        <v/>
      </c>
      <c r="I690" s="18" t="n"/>
    </row>
    <row r="691">
      <c r="A691" s="18">
        <f>IF(ISNUMBER(Dossiers!$D$16),Dossiers!$A$16&amp;" · "&amp;Dossiers!$B$16,"")</f>
        <v/>
      </c>
      <c r="B691" s="18">
        <f>IF($A691="","",Paramètres!G43)</f>
        <v/>
      </c>
      <c r="C691" s="18">
        <f>IF($A691="","",IF(Paramètres!H43="","",Paramètres!H43))</f>
        <v/>
      </c>
      <c r="D691" s="18">
        <f>IF($A691="","",IF(Paramètres!I43="","",Paramètres!I43))</f>
        <v/>
      </c>
      <c r="E691" s="19">
        <f>IF($A691="","",IF(Paramètres!J43&amp;Paramètres!L43&amp;Paramètres!N43="",Dossiers!$D$16,MAX(IF(Paramètres!J43="",0,IF(Paramètres!K43="",NA(),IF(LEFT(TRIM(Paramètres!K43),1)="F",INDEX($F$653:$F$705,MATCH(Paramètres!J43,Paramètres!$G$5:$G$57,0)),INDEX($E$653:$E$705,MATCH(Paramètres!J43,Paramètres!$G$5:$G$57,0)))+IF(RIGHT(TRIM(Paramètres!K43),3)="Fin",1-$H691,IF(LEFT(TRIM(Paramètres!K43),1)="F",1,0)))),IF(Paramètres!L43="",0,IF(Paramètres!M43="",NA(),IF(LEFT(TRIM(Paramètres!M43),1)="F",INDEX($F$653:$F$705,MATCH(Paramètres!L43,Paramètres!$G$5:$G$57,0)),INDEX($E$653:$E$705,MATCH(Paramètres!L43,Paramètres!$G$5:$G$57,0)))+IF(RIGHT(TRIM(Paramètres!M43),3)="Fin",1-$H691,IF(LEFT(TRIM(Paramètres!M43),1)="F",1,0)))),IF(Paramètres!N43="",0,IF(Paramètres!O43="",NA(),IF(LEFT(TRIM(Paramètres!O43),1)="F",INDEX($F$653:$F$705,MATCH(Paramètres!N43,Paramètres!$G$5:$G$57,0)),INDEX($E$653:$E$705,MATCH(Paramètres!N43,Paramètres!$G$5:$G$57,0)))+IF(RIGHT(TRIM(Paramètres!O43),3)="Fin",1-$H691,IF(LEFT(TRIM(Paramètres!O43),1)="F",1,0)))))))</f>
        <v/>
      </c>
      <c r="F691" s="19">
        <f>IF($A691="","",E691+$H691-1)</f>
        <v/>
      </c>
      <c r="G691" s="18" t="n"/>
      <c r="H691" s="18">
        <f>IF($A691="","",IF(I691&lt;&gt;"",I691,Paramètres!B43))</f>
        <v/>
      </c>
      <c r="I691" s="18" t="n"/>
    </row>
    <row r="692">
      <c r="A692" s="18">
        <f>IF(ISNUMBER(Dossiers!$D$16),Dossiers!$A$16&amp;" · "&amp;Dossiers!$B$16,"")</f>
        <v/>
      </c>
      <c r="B692" s="18">
        <f>IF($A692="","",Paramètres!G44)</f>
        <v/>
      </c>
      <c r="C692" s="18">
        <f>IF($A692="","",IF(Paramètres!H44="","",Paramètres!H44))</f>
        <v/>
      </c>
      <c r="D692" s="18">
        <f>IF($A692="","",IF(Paramètres!I44="","",Paramètres!I44))</f>
        <v/>
      </c>
      <c r="E692" s="19">
        <f>IF($A692="","",IF(Paramètres!J44&amp;Paramètres!L44&amp;Paramètres!N44="",Dossiers!$D$16,MAX(IF(Paramètres!J44="",0,IF(Paramètres!K44="",NA(),IF(LEFT(TRIM(Paramètres!K44),1)="F",INDEX($F$653:$F$705,MATCH(Paramètres!J44,Paramètres!$G$5:$G$57,0)),INDEX($E$653:$E$705,MATCH(Paramètres!J44,Paramètres!$G$5:$G$57,0)))+IF(RIGHT(TRIM(Paramètres!K44),3)="Fin",1-$H692,IF(LEFT(TRIM(Paramètres!K44),1)="F",1,0)))),IF(Paramètres!L44="",0,IF(Paramètres!M44="",NA(),IF(LEFT(TRIM(Paramètres!M44),1)="F",INDEX($F$653:$F$705,MATCH(Paramètres!L44,Paramètres!$G$5:$G$57,0)),INDEX($E$653:$E$705,MATCH(Paramètres!L44,Paramètres!$G$5:$G$57,0)))+IF(RIGHT(TRIM(Paramètres!M44),3)="Fin",1-$H692,IF(LEFT(TRIM(Paramètres!M44),1)="F",1,0)))),IF(Paramètres!N44="",0,IF(Paramètres!O44="",NA(),IF(LEFT(TRIM(Paramètres!O44),1)="F",INDEX($F$653:$F$705,MATCH(Paramètres!N44,Paramètres!$G$5:$G$57,0)),INDEX($E$653:$E$705,MATCH(Paramètres!N44,Paramètres!$G$5:$G$57,0)))+IF(RIGHT(TRIM(Paramètres!O44),3)="Fin",1-$H692,IF(LEFT(TRIM(Paramètres!O44),1)="F",1,0)))))))</f>
        <v/>
      </c>
      <c r="F692" s="19">
        <f>IF($A692="","",E692+$H692-1)</f>
        <v/>
      </c>
      <c r="G692" s="18" t="n"/>
      <c r="H692" s="18">
        <f>IF($A692="","",IF(I692&lt;&gt;"",I692,Paramètres!B44))</f>
        <v/>
      </c>
      <c r="I692" s="18" t="n"/>
    </row>
    <row r="693">
      <c r="A693" s="18">
        <f>IF(ISNUMBER(Dossiers!$D$16),Dossiers!$A$16&amp;" · "&amp;Dossiers!$B$16,"")</f>
        <v/>
      </c>
      <c r="B693" s="18">
        <f>IF($A693="","",Paramètres!G45)</f>
        <v/>
      </c>
      <c r="C693" s="20">
        <f>IF($A693="","",IF(Dossiers!$G$16="","",Dossiers!$G$16))</f>
        <v/>
      </c>
      <c r="D693" s="18">
        <f>IF($A693="","",IF(Paramètres!I45="","",Paramètres!I45))</f>
        <v/>
      </c>
      <c r="E693" s="19">
        <f>IF($A693="","",IF(Paramètres!J45&amp;Paramètres!L45&amp;Paramètres!N45="",Dossiers!$D$16,MAX(IF(Paramètres!J45="",0,IF(Paramètres!K45="",NA(),IF(LEFT(TRIM(Paramètres!K45),1)="F",INDEX($F$653:$F$705,MATCH(Paramètres!J45,Paramètres!$G$5:$G$57,0)),INDEX($E$653:$E$705,MATCH(Paramètres!J45,Paramètres!$G$5:$G$57,0)))+IF(RIGHT(TRIM(Paramètres!K45),3)="Fin",1-$H693,IF(LEFT(TRIM(Paramètres!K45),1)="F",1,0)))),IF(Paramètres!L45="",0,IF(Paramètres!M45="",NA(),IF(LEFT(TRIM(Paramètres!M45),1)="F",INDEX($F$653:$F$705,MATCH(Paramètres!L45,Paramètres!$G$5:$G$57,0)),INDEX($E$653:$E$705,MATCH(Paramètres!L45,Paramètres!$G$5:$G$57,0)))+IF(RIGHT(TRIM(Paramètres!M45),3)="Fin",1-$H693,IF(LEFT(TRIM(Paramètres!M45),1)="F",1,0)))),IF(Paramètres!N45="",0,IF(Paramètres!O45="",NA(),IF(LEFT(TRIM(Paramètres!O45),1)="F",INDEX($F$653:$F$705,MATCH(Paramètres!N45,Paramètres!$G$5:$G$57,0)),INDEX($E$653:$E$705,MATCH(Paramètres!N45,Paramètres!$G$5:$G$57,0)))+IF(RIGHT(TRIM(Paramètres!O45),3)="Fin",1-$H693,IF(LEFT(TRIM(Paramètres!O45),1)="F",1,0)))))))</f>
        <v/>
      </c>
      <c r="F693" s="19">
        <f>IF($A693="","",E693+$H693-1)</f>
        <v/>
      </c>
      <c r="G693" s="18" t="n"/>
      <c r="H693" s="18">
        <f>IF($A693="","",IF(I693&lt;&gt;"",I693,Paramètres!B45))</f>
        <v/>
      </c>
      <c r="I693" s="18" t="n"/>
    </row>
    <row r="694">
      <c r="A694" s="18">
        <f>IF(ISNUMBER(Dossiers!$D$16),Dossiers!$A$16&amp;" · "&amp;Dossiers!$B$16,"")</f>
        <v/>
      </c>
      <c r="B694" s="18">
        <f>IF($A694="","",Paramètres!G46)</f>
        <v/>
      </c>
      <c r="C694" s="18">
        <f>IF($A694="","",IF(Paramètres!H46="","",Paramètres!H46))</f>
        <v/>
      </c>
      <c r="D694" s="18">
        <f>IF($A694="","",IF(Paramètres!I46="","",Paramètres!I46))</f>
        <v/>
      </c>
      <c r="E694" s="19">
        <f>IF($A694="","",IF(Paramètres!J46&amp;Paramètres!L46&amp;Paramètres!N46="",Dossiers!$D$16,MAX(IF(Paramètres!J46="",0,IF(Paramètres!K46="",NA(),IF(LEFT(TRIM(Paramètres!K46),1)="F",INDEX($F$653:$F$705,MATCH(Paramètres!J46,Paramètres!$G$5:$G$57,0)),INDEX($E$653:$E$705,MATCH(Paramètres!J46,Paramètres!$G$5:$G$57,0)))+IF(RIGHT(TRIM(Paramètres!K46),3)="Fin",1-$H694,IF(LEFT(TRIM(Paramètres!K46),1)="F",1,0)))),IF(Paramètres!L46="",0,IF(Paramètres!M46="",NA(),IF(LEFT(TRIM(Paramètres!M46),1)="F",INDEX($F$653:$F$705,MATCH(Paramètres!L46,Paramètres!$G$5:$G$57,0)),INDEX($E$653:$E$705,MATCH(Paramètres!L46,Paramètres!$G$5:$G$57,0)))+IF(RIGHT(TRIM(Paramètres!M46),3)="Fin",1-$H694,IF(LEFT(TRIM(Paramètres!M46),1)="F",1,0)))),IF(Paramètres!N46="",0,IF(Paramètres!O46="",NA(),IF(LEFT(TRIM(Paramètres!O46),1)="F",INDEX($F$653:$F$705,MATCH(Paramètres!N46,Paramètres!$G$5:$G$57,0)),INDEX($E$653:$E$705,MATCH(Paramètres!N46,Paramètres!$G$5:$G$57,0)))+IF(RIGHT(TRIM(Paramètres!O46),3)="Fin",1-$H694,IF(LEFT(TRIM(Paramètres!O46),1)="F",1,0)))))))</f>
        <v/>
      </c>
      <c r="F694" s="19">
        <f>IF($A694="","",E694+$H694-1)</f>
        <v/>
      </c>
      <c r="G694" s="18" t="n"/>
      <c r="H694" s="18">
        <f>IF($A694="","",IF(I694&lt;&gt;"",I694,Paramètres!B46))</f>
        <v/>
      </c>
      <c r="I694" s="18" t="n"/>
    </row>
    <row r="695">
      <c r="A695" s="18">
        <f>IF(ISNUMBER(Dossiers!$D$16),Dossiers!$A$16&amp;" · "&amp;Dossiers!$B$16,"")</f>
        <v/>
      </c>
      <c r="B695" s="18">
        <f>IF($A695="","",Paramètres!G47)</f>
        <v/>
      </c>
      <c r="C695" s="18">
        <f>IF($A695="","",IF(Paramètres!H47="","",Paramètres!H47))</f>
        <v/>
      </c>
      <c r="D695" s="18">
        <f>IF($A695="","",IF(Paramètres!I47="","",Paramètres!I47))</f>
        <v/>
      </c>
      <c r="E695" s="19">
        <f>IF($A695="","",IF(Paramètres!J47&amp;Paramètres!L47&amp;Paramètres!N47="",Dossiers!$D$16,MAX(IF(Paramètres!J47="",0,IF(Paramètres!K47="",NA(),IF(LEFT(TRIM(Paramètres!K47),1)="F",INDEX($F$653:$F$705,MATCH(Paramètres!J47,Paramètres!$G$5:$G$57,0)),INDEX($E$653:$E$705,MATCH(Paramètres!J47,Paramètres!$G$5:$G$57,0)))+IF(RIGHT(TRIM(Paramètres!K47),3)="Fin",1-$H695,IF(LEFT(TRIM(Paramètres!K47),1)="F",1,0)))),IF(Paramètres!L47="",0,IF(Paramètres!M47="",NA(),IF(LEFT(TRIM(Paramètres!M47),1)="F",INDEX($F$653:$F$705,MATCH(Paramètres!L47,Paramètres!$G$5:$G$57,0)),INDEX($E$653:$E$705,MATCH(Paramètres!L47,Paramètres!$G$5:$G$57,0)))+IF(RIGHT(TRIM(Paramètres!M47),3)="Fin",1-$H695,IF(LEFT(TRIM(Paramètres!M47),1)="F",1,0)))),IF(Paramètres!N47="",0,IF(Paramètres!O47="",NA(),IF(LEFT(TRIM(Paramètres!O47),1)="F",INDEX($F$653:$F$705,MATCH(Paramètres!N47,Paramètres!$G$5:$G$57,0)),INDEX($E$653:$E$705,MATCH(Paramètres!N47,Paramètres!$G$5:$G$57,0)))+IF(RIGHT(TRIM(Paramètres!O47),3)="Fin",1-$H695,IF(LEFT(TRIM(Paramètres!O47),1)="F",1,0)))))))</f>
        <v/>
      </c>
      <c r="F695" s="19">
        <f>IF($A695="","",E695+$H695-1)</f>
        <v/>
      </c>
      <c r="G695" s="18" t="n"/>
      <c r="H695" s="18">
        <f>IF($A695="","",IF(I695&lt;&gt;"",I695,Paramètres!B47))</f>
        <v/>
      </c>
      <c r="I695" s="18" t="n"/>
    </row>
    <row r="696">
      <c r="A696" s="18">
        <f>IF(ISNUMBER(Dossiers!$D$16),Dossiers!$A$16&amp;" · "&amp;Dossiers!$B$16,"")</f>
        <v/>
      </c>
      <c r="B696" s="18">
        <f>IF($A696="","",Paramètres!G48)</f>
        <v/>
      </c>
      <c r="C696" s="18">
        <f>IF($A696="","",IF(Paramètres!H48="","",Paramètres!H48))</f>
        <v/>
      </c>
      <c r="D696" s="18">
        <f>IF($A696="","",IF(Paramètres!I48="","",Paramètres!I48))</f>
        <v/>
      </c>
      <c r="E696" s="19">
        <f>IF($A696="","",IF(Paramètres!J48&amp;Paramètres!L48&amp;Paramètres!N48="",Dossiers!$D$16,MAX(IF(Paramètres!J48="",0,IF(Paramètres!K48="",NA(),IF(LEFT(TRIM(Paramètres!K48),1)="F",INDEX($F$653:$F$705,MATCH(Paramètres!J48,Paramètres!$G$5:$G$57,0)),INDEX($E$653:$E$705,MATCH(Paramètres!J48,Paramètres!$G$5:$G$57,0)))+IF(RIGHT(TRIM(Paramètres!K48),3)="Fin",1-$H696,IF(LEFT(TRIM(Paramètres!K48),1)="F",1,0)))),IF(Paramètres!L48="",0,IF(Paramètres!M48="",NA(),IF(LEFT(TRIM(Paramètres!M48),1)="F",INDEX($F$653:$F$705,MATCH(Paramètres!L48,Paramètres!$G$5:$G$57,0)),INDEX($E$653:$E$705,MATCH(Paramètres!L48,Paramètres!$G$5:$G$57,0)))+IF(RIGHT(TRIM(Paramètres!M48),3)="Fin",1-$H696,IF(LEFT(TRIM(Paramètres!M48),1)="F",1,0)))),IF(Paramètres!N48="",0,IF(Paramètres!O48="",NA(),IF(LEFT(TRIM(Paramètres!O48),1)="F",INDEX($F$653:$F$705,MATCH(Paramètres!N48,Paramètres!$G$5:$G$57,0)),INDEX($E$653:$E$705,MATCH(Paramètres!N48,Paramètres!$G$5:$G$57,0)))+IF(RIGHT(TRIM(Paramètres!O48),3)="Fin",1-$H696,IF(LEFT(TRIM(Paramètres!O48),1)="F",1,0)))))))</f>
        <v/>
      </c>
      <c r="F696" s="19">
        <f>IF($A696="","",E696+$H696-1)</f>
        <v/>
      </c>
      <c r="G696" s="18" t="n"/>
      <c r="H696" s="18">
        <f>IF($A696="","",IF(I696&lt;&gt;"",I696,Paramètres!B48))</f>
        <v/>
      </c>
      <c r="I696" s="18" t="n"/>
    </row>
    <row r="697">
      <c r="A697" s="18">
        <f>IF(ISNUMBER(Dossiers!$D$16),Dossiers!$A$16&amp;" · "&amp;Dossiers!$B$16,"")</f>
        <v/>
      </c>
      <c r="B697" s="18">
        <f>IF($A697="","",Paramètres!G49)</f>
        <v/>
      </c>
      <c r="C697" s="18">
        <f>IF($A697="","",IF(Paramètres!H49="","",Paramètres!H49))</f>
        <v/>
      </c>
      <c r="D697" s="18">
        <f>IF($A697="","",IF(Paramètres!I49="","",Paramètres!I49))</f>
        <v/>
      </c>
      <c r="E697" s="19">
        <f>IF($A697="","",IF(Paramètres!J49&amp;Paramètres!L49&amp;Paramètres!N49="",Dossiers!$D$16,MAX(IF(Paramètres!J49="",0,IF(Paramètres!K49="",NA(),IF(LEFT(TRIM(Paramètres!K49),1)="F",INDEX($F$653:$F$705,MATCH(Paramètres!J49,Paramètres!$G$5:$G$57,0)),INDEX($E$653:$E$705,MATCH(Paramètres!J49,Paramètres!$G$5:$G$57,0)))+IF(RIGHT(TRIM(Paramètres!K49),3)="Fin",1-$H697,IF(LEFT(TRIM(Paramètres!K49),1)="F",1,0)))),IF(Paramètres!L49="",0,IF(Paramètres!M49="",NA(),IF(LEFT(TRIM(Paramètres!M49),1)="F",INDEX($F$653:$F$705,MATCH(Paramètres!L49,Paramètres!$G$5:$G$57,0)),INDEX($E$653:$E$705,MATCH(Paramètres!L49,Paramètres!$G$5:$G$57,0)))+IF(RIGHT(TRIM(Paramètres!M49),3)="Fin",1-$H697,IF(LEFT(TRIM(Paramètres!M49),1)="F",1,0)))),IF(Paramètres!N49="",0,IF(Paramètres!O49="",NA(),IF(LEFT(TRIM(Paramètres!O49),1)="F",INDEX($F$653:$F$705,MATCH(Paramètres!N49,Paramètres!$G$5:$G$57,0)),INDEX($E$653:$E$705,MATCH(Paramètres!N49,Paramètres!$G$5:$G$57,0)))+IF(RIGHT(TRIM(Paramètres!O49),3)="Fin",1-$H697,IF(LEFT(TRIM(Paramètres!O49),1)="F",1,0)))))))</f>
        <v/>
      </c>
      <c r="F697" s="19">
        <f>IF($A697="","",E697+$H697-1)</f>
        <v/>
      </c>
      <c r="G697" s="18" t="n"/>
      <c r="H697" s="18">
        <f>IF($A697="","",IF(I697&lt;&gt;"",I697,Paramètres!B49))</f>
        <v/>
      </c>
      <c r="I697" s="18" t="n"/>
    </row>
    <row r="698">
      <c r="A698" s="18">
        <f>IF(ISNUMBER(Dossiers!$D$16),Dossiers!$A$16&amp;" · "&amp;Dossiers!$B$16,"")</f>
        <v/>
      </c>
      <c r="B698" s="18">
        <f>IF($A698="","",Paramètres!G50)</f>
        <v/>
      </c>
      <c r="C698" s="18">
        <f>IF($A698="","",IF(Paramètres!H50="","",Paramètres!H50))</f>
        <v/>
      </c>
      <c r="D698" s="18">
        <f>IF($A698="","",IF(Paramètres!I50="","",Paramètres!I50))</f>
        <v/>
      </c>
      <c r="E698" s="19">
        <f>IF($A698="","",IF(Paramètres!J50&amp;Paramètres!L50&amp;Paramètres!N50="",Dossiers!$D$16,MAX(IF(Paramètres!J50="",0,IF(Paramètres!K50="",NA(),IF(LEFT(TRIM(Paramètres!K50),1)="F",INDEX($F$653:$F$705,MATCH(Paramètres!J50,Paramètres!$G$5:$G$57,0)),INDEX($E$653:$E$705,MATCH(Paramètres!J50,Paramètres!$G$5:$G$57,0)))+IF(RIGHT(TRIM(Paramètres!K50),3)="Fin",1-$H698,IF(LEFT(TRIM(Paramètres!K50),1)="F",1,0)))),IF(Paramètres!L50="",0,IF(Paramètres!M50="",NA(),IF(LEFT(TRIM(Paramètres!M50),1)="F",INDEX($F$653:$F$705,MATCH(Paramètres!L50,Paramètres!$G$5:$G$57,0)),INDEX($E$653:$E$705,MATCH(Paramètres!L50,Paramètres!$G$5:$G$57,0)))+IF(RIGHT(TRIM(Paramètres!M50),3)="Fin",1-$H698,IF(LEFT(TRIM(Paramètres!M50),1)="F",1,0)))),IF(Paramètres!N50="",0,IF(Paramètres!O50="",NA(),IF(LEFT(TRIM(Paramètres!O50),1)="F",INDEX($F$653:$F$705,MATCH(Paramètres!N50,Paramètres!$G$5:$G$57,0)),INDEX($E$653:$E$705,MATCH(Paramètres!N50,Paramètres!$G$5:$G$57,0)))+IF(RIGHT(TRIM(Paramètres!O50),3)="Fin",1-$H698,IF(LEFT(TRIM(Paramètres!O50),1)="F",1,0)))))))</f>
        <v/>
      </c>
      <c r="F698" s="19">
        <f>IF($A698="","",E698+$H698-1)</f>
        <v/>
      </c>
      <c r="G698" s="18" t="n"/>
      <c r="H698" s="18">
        <f>IF($A698="","",IF(I698&lt;&gt;"",I698,Paramètres!B50))</f>
        <v/>
      </c>
      <c r="I698" s="18" t="n"/>
    </row>
    <row r="699">
      <c r="A699" s="18">
        <f>IF(ISNUMBER(Dossiers!$D$16),Dossiers!$A$16&amp;" · "&amp;Dossiers!$B$16,"")</f>
        <v/>
      </c>
      <c r="B699" s="18">
        <f>IF($A699="","",Paramètres!G51)</f>
        <v/>
      </c>
      <c r="C699" s="18">
        <f>IF($A699="","",IF(Paramètres!H51="","",Paramètres!H51))</f>
        <v/>
      </c>
      <c r="D699" s="18">
        <f>IF($A699="","",IF(Paramètres!I51="","",Paramètres!I51))</f>
        <v/>
      </c>
      <c r="E699" s="19">
        <f>IF($A699="","",IF(Paramètres!J51&amp;Paramètres!L51&amp;Paramètres!N51="",Dossiers!$D$16,MAX(IF(Paramètres!J51="",0,IF(Paramètres!K51="",NA(),IF(LEFT(TRIM(Paramètres!K51),1)="F",INDEX($F$653:$F$705,MATCH(Paramètres!J51,Paramètres!$G$5:$G$57,0)),INDEX($E$653:$E$705,MATCH(Paramètres!J51,Paramètres!$G$5:$G$57,0)))+IF(RIGHT(TRIM(Paramètres!K51),3)="Fin",1-$H699,IF(LEFT(TRIM(Paramètres!K51),1)="F",1,0)))),IF(Paramètres!L51="",0,IF(Paramètres!M51="",NA(),IF(LEFT(TRIM(Paramètres!M51),1)="F",INDEX($F$653:$F$705,MATCH(Paramètres!L51,Paramètres!$G$5:$G$57,0)),INDEX($E$653:$E$705,MATCH(Paramètres!L51,Paramètres!$G$5:$G$57,0)))+IF(RIGHT(TRIM(Paramètres!M51),3)="Fin",1-$H699,IF(LEFT(TRIM(Paramètres!M51),1)="F",1,0)))),IF(Paramètres!N51="",0,IF(Paramètres!O51="",NA(),IF(LEFT(TRIM(Paramètres!O51),1)="F",INDEX($F$653:$F$705,MATCH(Paramètres!N51,Paramètres!$G$5:$G$57,0)),INDEX($E$653:$E$705,MATCH(Paramètres!N51,Paramètres!$G$5:$G$57,0)))+IF(RIGHT(TRIM(Paramètres!O51),3)="Fin",1-$H699,IF(LEFT(TRIM(Paramètres!O51),1)="F",1,0)))))))</f>
        <v/>
      </c>
      <c r="F699" s="19">
        <f>IF($A699="","",E699+$H699-1)</f>
        <v/>
      </c>
      <c r="G699" s="18" t="n"/>
      <c r="H699" s="18">
        <f>IF($A699="","",IF(I699&lt;&gt;"",I699,Paramètres!B51))</f>
        <v/>
      </c>
      <c r="I699" s="18" t="n"/>
    </row>
    <row r="700">
      <c r="A700" s="18">
        <f>IF(ISNUMBER(Dossiers!$D$16),Dossiers!$A$16&amp;" · "&amp;Dossiers!$B$16,"")</f>
        <v/>
      </c>
      <c r="B700" s="18">
        <f>IF($A700="","",Paramètres!G52)</f>
        <v/>
      </c>
      <c r="C700" s="18">
        <f>IF($A700="","",IF(Paramètres!H52="","",Paramètres!H52))</f>
        <v/>
      </c>
      <c r="D700" s="18">
        <f>IF($A700="","",IF(Paramètres!I52="","",Paramètres!I52))</f>
        <v/>
      </c>
      <c r="E700" s="19">
        <f>IF($A700="","",IF(Paramètres!J52&amp;Paramètres!L52&amp;Paramètres!N52="",Dossiers!$D$16,MAX(IF(Paramètres!J52="",0,IF(Paramètres!K52="",NA(),IF(LEFT(TRIM(Paramètres!K52),1)="F",INDEX($F$653:$F$705,MATCH(Paramètres!J52,Paramètres!$G$5:$G$57,0)),INDEX($E$653:$E$705,MATCH(Paramètres!J52,Paramètres!$G$5:$G$57,0)))+IF(RIGHT(TRIM(Paramètres!K52),3)="Fin",1-$H700,IF(LEFT(TRIM(Paramètres!K52),1)="F",1,0)))),IF(Paramètres!L52="",0,IF(Paramètres!M52="",NA(),IF(LEFT(TRIM(Paramètres!M52),1)="F",INDEX($F$653:$F$705,MATCH(Paramètres!L52,Paramètres!$G$5:$G$57,0)),INDEX($E$653:$E$705,MATCH(Paramètres!L52,Paramètres!$G$5:$G$57,0)))+IF(RIGHT(TRIM(Paramètres!M52),3)="Fin",1-$H700,IF(LEFT(TRIM(Paramètres!M52),1)="F",1,0)))),IF(Paramètres!N52="",0,IF(Paramètres!O52="",NA(),IF(LEFT(TRIM(Paramètres!O52),1)="F",INDEX($F$653:$F$705,MATCH(Paramètres!N52,Paramètres!$G$5:$G$57,0)),INDEX($E$653:$E$705,MATCH(Paramètres!N52,Paramètres!$G$5:$G$57,0)))+IF(RIGHT(TRIM(Paramètres!O52),3)="Fin",1-$H700,IF(LEFT(TRIM(Paramètres!O52),1)="F",1,0)))))))</f>
        <v/>
      </c>
      <c r="F700" s="19">
        <f>IF($A700="","",E700+$H700-1)</f>
        <v/>
      </c>
      <c r="G700" s="18" t="n"/>
      <c r="H700" s="18">
        <f>IF($A700="","",IF(I700&lt;&gt;"",I700,Paramètres!B52))</f>
        <v/>
      </c>
      <c r="I700" s="18" t="n"/>
    </row>
    <row r="701">
      <c r="A701" s="18">
        <f>IF(ISNUMBER(Dossiers!$D$16),Dossiers!$A$16&amp;" · "&amp;Dossiers!$B$16,"")</f>
        <v/>
      </c>
      <c r="B701" s="18">
        <f>IF($A701="","",Paramètres!G53)</f>
        <v/>
      </c>
      <c r="C701" s="18">
        <f>IF($A701="","",IF(Paramètres!H53="","",Paramètres!H53))</f>
        <v/>
      </c>
      <c r="D701" s="18">
        <f>IF($A701="","",IF(Paramètres!I53="","",Paramètres!I53))</f>
        <v/>
      </c>
      <c r="E701" s="19">
        <f>IF($A701="","",IF(Paramètres!J53&amp;Paramètres!L53&amp;Paramètres!N53="",Dossiers!$D$16,MAX(IF(Paramètres!J53="",0,IF(Paramètres!K53="",NA(),IF(LEFT(TRIM(Paramètres!K53),1)="F",INDEX($F$653:$F$705,MATCH(Paramètres!J53,Paramètres!$G$5:$G$57,0)),INDEX($E$653:$E$705,MATCH(Paramètres!J53,Paramètres!$G$5:$G$57,0)))+IF(RIGHT(TRIM(Paramètres!K53),3)="Fin",1-$H701,IF(LEFT(TRIM(Paramètres!K53),1)="F",1,0)))),IF(Paramètres!L53="",0,IF(Paramètres!M53="",NA(),IF(LEFT(TRIM(Paramètres!M53),1)="F",INDEX($F$653:$F$705,MATCH(Paramètres!L53,Paramètres!$G$5:$G$57,0)),INDEX($E$653:$E$705,MATCH(Paramètres!L53,Paramètres!$G$5:$G$57,0)))+IF(RIGHT(TRIM(Paramètres!M53),3)="Fin",1-$H701,IF(LEFT(TRIM(Paramètres!M53),1)="F",1,0)))),IF(Paramètres!N53="",0,IF(Paramètres!O53="",NA(),IF(LEFT(TRIM(Paramètres!O53),1)="F",INDEX($F$653:$F$705,MATCH(Paramètres!N53,Paramètres!$G$5:$G$57,0)),INDEX($E$653:$E$705,MATCH(Paramètres!N53,Paramètres!$G$5:$G$57,0)))+IF(RIGHT(TRIM(Paramètres!O53),3)="Fin",1-$H701,IF(LEFT(TRIM(Paramètres!O53),1)="F",1,0)))))))</f>
        <v/>
      </c>
      <c r="F701" s="19">
        <f>IF($A701="","",E701+$H701-1)</f>
        <v/>
      </c>
      <c r="G701" s="18" t="n"/>
      <c r="H701" s="18">
        <f>IF($A701="","",IF(I701&lt;&gt;"",I701,Paramètres!B53))</f>
        <v/>
      </c>
      <c r="I701" s="18" t="n"/>
    </row>
    <row r="702">
      <c r="A702" s="18">
        <f>IF(ISNUMBER(Dossiers!$D$16),Dossiers!$A$16&amp;" · "&amp;Dossiers!$B$16,"")</f>
        <v/>
      </c>
      <c r="B702" s="18">
        <f>IF($A702="","",Paramètres!G54)</f>
        <v/>
      </c>
      <c r="C702" s="18">
        <f>IF($A702="","",IF(Paramètres!H54="","",Paramètres!H54))</f>
        <v/>
      </c>
      <c r="D702" s="18">
        <f>IF($A702="","",IF(Paramètres!I54="","",Paramètres!I54))</f>
        <v/>
      </c>
      <c r="E702" s="19">
        <f>IF($A702="","",IF(Paramètres!J54&amp;Paramètres!L54&amp;Paramètres!N54="",Dossiers!$D$16,MAX(IF(Paramètres!J54="",0,IF(Paramètres!K54="",NA(),IF(LEFT(TRIM(Paramètres!K54),1)="F",INDEX($F$653:$F$705,MATCH(Paramètres!J54,Paramètres!$G$5:$G$57,0)),INDEX($E$653:$E$705,MATCH(Paramètres!J54,Paramètres!$G$5:$G$57,0)))+IF(RIGHT(TRIM(Paramètres!K54),3)="Fin",1-$H702,IF(LEFT(TRIM(Paramètres!K54),1)="F",1,0)))),IF(Paramètres!L54="",0,IF(Paramètres!M54="",NA(),IF(LEFT(TRIM(Paramètres!M54),1)="F",INDEX($F$653:$F$705,MATCH(Paramètres!L54,Paramètres!$G$5:$G$57,0)),INDEX($E$653:$E$705,MATCH(Paramètres!L54,Paramètres!$G$5:$G$57,0)))+IF(RIGHT(TRIM(Paramètres!M54),3)="Fin",1-$H702,IF(LEFT(TRIM(Paramètres!M54),1)="F",1,0)))),IF(Paramètres!N54="",0,IF(Paramètres!O54="",NA(),IF(LEFT(TRIM(Paramètres!O54),1)="F",INDEX($F$653:$F$705,MATCH(Paramètres!N54,Paramètres!$G$5:$G$57,0)),INDEX($E$653:$E$705,MATCH(Paramètres!N54,Paramètres!$G$5:$G$57,0)))+IF(RIGHT(TRIM(Paramètres!O54),3)="Fin",1-$H702,IF(LEFT(TRIM(Paramètres!O54),1)="F",1,0)))))))</f>
        <v/>
      </c>
      <c r="F702" s="19">
        <f>IF($A702="","",E702+$H702-1)</f>
        <v/>
      </c>
      <c r="G702" s="18" t="n"/>
      <c r="H702" s="18">
        <f>IF($A702="","",IF(I702&lt;&gt;"",I702,Paramètres!B54))</f>
        <v/>
      </c>
      <c r="I702" s="18" t="n"/>
    </row>
    <row r="703">
      <c r="A703" s="18">
        <f>IF(ISNUMBER(Dossiers!$D$16),Dossiers!$A$16&amp;" · "&amp;Dossiers!$B$16,"")</f>
        <v/>
      </c>
      <c r="B703" s="18">
        <f>IF($A703="","",Paramètres!G55)</f>
        <v/>
      </c>
      <c r="C703" s="18">
        <f>IF($A703="","",IF(Paramètres!H55="","",Paramètres!H55))</f>
        <v/>
      </c>
      <c r="D703" s="18">
        <f>IF($A703="","",IF(Paramètres!I55="","",Paramètres!I55))</f>
        <v/>
      </c>
      <c r="E703" s="19">
        <f>IF($A703="","",IF(Paramètres!J55&amp;Paramètres!L55&amp;Paramètres!N55="",Dossiers!$D$16,MAX(IF(Paramètres!J55="",0,IF(Paramètres!K55="",NA(),IF(LEFT(TRIM(Paramètres!K55),1)="F",INDEX($F$653:$F$705,MATCH(Paramètres!J55,Paramètres!$G$5:$G$57,0)),INDEX($E$653:$E$705,MATCH(Paramètres!J55,Paramètres!$G$5:$G$57,0)))+IF(RIGHT(TRIM(Paramètres!K55),3)="Fin",1-$H703,IF(LEFT(TRIM(Paramètres!K55),1)="F",1,0)))),IF(Paramètres!L55="",0,IF(Paramètres!M55="",NA(),IF(LEFT(TRIM(Paramètres!M55),1)="F",INDEX($F$653:$F$705,MATCH(Paramètres!L55,Paramètres!$G$5:$G$57,0)),INDEX($E$653:$E$705,MATCH(Paramètres!L55,Paramètres!$G$5:$G$57,0)))+IF(RIGHT(TRIM(Paramètres!M55),3)="Fin",1-$H703,IF(LEFT(TRIM(Paramètres!M55),1)="F",1,0)))),IF(Paramètres!N55="",0,IF(Paramètres!O55="",NA(),IF(LEFT(TRIM(Paramètres!O55),1)="F",INDEX($F$653:$F$705,MATCH(Paramètres!N55,Paramètres!$G$5:$G$57,0)),INDEX($E$653:$E$705,MATCH(Paramètres!N55,Paramètres!$G$5:$G$57,0)))+IF(RIGHT(TRIM(Paramètres!O55),3)="Fin",1-$H703,IF(LEFT(TRIM(Paramètres!O55),1)="F",1,0)))))))</f>
        <v/>
      </c>
      <c r="F703" s="19">
        <f>IF($A703="","",E703+$H703-1)</f>
        <v/>
      </c>
      <c r="G703" s="18" t="n"/>
      <c r="H703" s="18">
        <f>IF($A703="","",IF(I703&lt;&gt;"",I703,Paramètres!B55))</f>
        <v/>
      </c>
      <c r="I703" s="18" t="n"/>
    </row>
    <row r="704">
      <c r="A704" s="18">
        <f>IF(ISNUMBER(Dossiers!$D$16),Dossiers!$A$16&amp;" · "&amp;Dossiers!$B$16,"")</f>
        <v/>
      </c>
      <c r="B704" s="18">
        <f>IF($A704="","",Paramètres!G56)</f>
        <v/>
      </c>
      <c r="C704" s="18">
        <f>IF($A704="","",IF(Paramètres!H56="","",Paramètres!H56))</f>
        <v/>
      </c>
      <c r="D704" s="18">
        <f>IF($A704="","",IF(Paramètres!I56="","",Paramètres!I56))</f>
        <v/>
      </c>
      <c r="E704" s="19">
        <f>IF($A704="","",MIN(E705:E705))</f>
        <v/>
      </c>
      <c r="F704" s="19">
        <f>IF($A704="","",MAX(F705:F705))</f>
        <v/>
      </c>
      <c r="G704" s="18" t="n"/>
      <c r="H704" s="18">
        <f>IF($A704="","",F704-E704+1)</f>
        <v/>
      </c>
      <c r="I704" s="18" t="n"/>
    </row>
    <row r="705">
      <c r="A705" s="18">
        <f>IF(ISNUMBER(Dossiers!$D$16),Dossiers!$A$16&amp;" · "&amp;Dossiers!$B$16,"")</f>
        <v/>
      </c>
      <c r="B705" s="18">
        <f>IF($A705="","",Paramètres!G57)</f>
        <v/>
      </c>
      <c r="C705" s="18">
        <f>IF($A705="","",IF(Paramètres!H57="","",Paramètres!H57))</f>
        <v/>
      </c>
      <c r="D705" s="18">
        <f>IF($A705="","",IF(Paramètres!I57="","",Paramètres!I57))</f>
        <v/>
      </c>
      <c r="E705" s="19">
        <f>IF($A705="","",IF(Paramètres!J57&amp;Paramètres!L57&amp;Paramètres!N57="",Dossiers!$D$16,MAX(IF(Paramètres!J57="",0,IF(Paramètres!K57="",NA(),IF(LEFT(TRIM(Paramètres!K57),1)="F",INDEX($F$653:$F$705,MATCH(Paramètres!J57,Paramètres!$G$5:$G$57,0)),INDEX($E$653:$E$705,MATCH(Paramètres!J57,Paramètres!$G$5:$G$57,0)))+IF(RIGHT(TRIM(Paramètres!K57),3)="Fin",1-$H705,IF(LEFT(TRIM(Paramètres!K57),1)="F",1,0)))),IF(Paramètres!L57="",0,IF(Paramètres!M57="",NA(),IF(LEFT(TRIM(Paramètres!M57),1)="F",INDEX($F$653:$F$705,MATCH(Paramètres!L57,Paramètres!$G$5:$G$57,0)),INDEX($E$653:$E$705,MATCH(Paramètres!L57,Paramètres!$G$5:$G$57,0)))+IF(RIGHT(TRIM(Paramètres!M57),3)="Fin",1-$H705,IF(LEFT(TRIM(Paramètres!M57),1)="F",1,0)))),IF(Paramètres!N57="",0,IF(Paramètres!O57="",NA(),IF(LEFT(TRIM(Paramètres!O57),1)="F",INDEX($F$653:$F$705,MATCH(Paramètres!N57,Paramètres!$G$5:$G$57,0)),INDEX($E$653:$E$705,MATCH(Paramètres!N57,Paramètres!$G$5:$G$57,0)))+IF(RIGHT(TRIM(Paramètres!O57),3)="Fin",1-$H705,IF(LEFT(TRIM(Paramètres!O57),1)="F",1,0)))))))</f>
        <v/>
      </c>
      <c r="F705" s="19">
        <f>IF($A705="","",E705+$H705-1)</f>
        <v/>
      </c>
      <c r="G705" s="18" t="n"/>
      <c r="H705" s="18">
        <f>IF($A705="","",IF(I705&lt;&gt;"",I705,Paramètres!B57))</f>
        <v/>
      </c>
      <c r="I705" s="18" t="n"/>
    </row>
    <row r="706">
      <c r="A706" s="16">
        <f>IF(ISNUMBER(Dossiers!$D$17),Dossiers!$E$17,"")</f>
        <v/>
      </c>
      <c r="B706" s="16">
        <f>IF($A706="","","Identifiant")</f>
        <v/>
      </c>
      <c r="C706" s="16">
        <f>IF($A706="","","Macro Etape")</f>
        <v/>
      </c>
      <c r="D706" s="16">
        <f>IF($A706="","","Etape")</f>
        <v/>
      </c>
      <c r="E706" s="17">
        <f>IF($A706="","","Début le")</f>
        <v/>
      </c>
      <c r="F706" s="17">
        <f>IF($A706="","","Fin prévue le")</f>
        <v/>
      </c>
      <c r="G706" s="16">
        <f>IF($A706="","","Statut")</f>
        <v/>
      </c>
      <c r="H706" s="16">
        <f>IF($A706="","","Durée (jours)")</f>
        <v/>
      </c>
      <c r="I706" s="16">
        <f>IF($A706="","","Durée particulière")</f>
        <v/>
      </c>
      <c r="J706" s="10">
        <f>IF($A706="","",HYPERLINK("#'Tableau de bord'!A1","↑ Tableau de bord"))</f>
        <v/>
      </c>
    </row>
    <row r="707">
      <c r="A707" s="18">
        <f>IF(ISNUMBER(Dossiers!$D$17),Dossiers!$A$17&amp;" · "&amp;Dossiers!$B$17,"")</f>
        <v/>
      </c>
      <c r="B707" s="18">
        <f>IF($A707="","",Paramètres!G5)</f>
        <v/>
      </c>
      <c r="C707" s="18">
        <f>IF($A707="","",IF(Paramètres!H5="","",Paramètres!H5))</f>
        <v/>
      </c>
      <c r="D707" s="18">
        <f>IF($A707="","",IF(Paramètres!I5="","",Paramètres!I5))</f>
        <v/>
      </c>
      <c r="E707" s="19">
        <f>IF($A707="","",MIN(E708:E711))</f>
        <v/>
      </c>
      <c r="F707" s="19">
        <f>IF($A707="","",MAX(F708:F711))</f>
        <v/>
      </c>
      <c r="G707" s="18" t="n"/>
      <c r="H707" s="18">
        <f>IF($A707="","",F707-E707+1)</f>
        <v/>
      </c>
      <c r="I707" s="18" t="n"/>
    </row>
    <row r="708">
      <c r="A708" s="18">
        <f>IF(ISNUMBER(Dossiers!$D$17),Dossiers!$A$17&amp;" · "&amp;Dossiers!$B$17,"")</f>
        <v/>
      </c>
      <c r="B708" s="18">
        <f>IF($A708="","",Paramètres!G6)</f>
        <v/>
      </c>
      <c r="C708" s="18">
        <f>IF($A708="","",IF(Paramètres!H6="","",Paramètres!H6))</f>
        <v/>
      </c>
      <c r="D708" s="18">
        <f>IF($A708="","",IF(Paramètres!I6="","",Paramètres!I6))</f>
        <v/>
      </c>
      <c r="E708" s="19">
        <f>IF($A708="","",IF(Paramètres!J6&amp;Paramètres!L6&amp;Paramètres!N6="",Dossiers!$D$17,MAX(IF(Paramètres!J6="",0,IF(Paramètres!K6="",NA(),IF(LEFT(TRIM(Paramètres!K6),1)="F",INDEX($F$707:$F$759,MATCH(Paramètres!J6,Paramètres!$G$5:$G$57,0)),INDEX($E$707:$E$759,MATCH(Paramètres!J6,Paramètres!$G$5:$G$57,0)))+IF(RIGHT(TRIM(Paramètres!K6),3)="Fin",1-$H708,IF(LEFT(TRIM(Paramètres!K6),1)="F",1,0)))),IF(Paramètres!L6="",0,IF(Paramètres!M6="",NA(),IF(LEFT(TRIM(Paramètres!M6),1)="F",INDEX($F$707:$F$759,MATCH(Paramètres!L6,Paramètres!$G$5:$G$57,0)),INDEX($E$707:$E$759,MATCH(Paramètres!L6,Paramètres!$G$5:$G$57,0)))+IF(RIGHT(TRIM(Paramètres!M6),3)="Fin",1-$H708,IF(LEFT(TRIM(Paramètres!M6),1)="F",1,0)))),IF(Paramètres!N6="",0,IF(Paramètres!O6="",NA(),IF(LEFT(TRIM(Paramètres!O6),1)="F",INDEX($F$707:$F$759,MATCH(Paramètres!N6,Paramètres!$G$5:$G$57,0)),INDEX($E$707:$E$759,MATCH(Paramètres!N6,Paramètres!$G$5:$G$57,0)))+IF(RIGHT(TRIM(Paramètres!O6),3)="Fin",1-$H708,IF(LEFT(TRIM(Paramètres!O6),1)="F",1,0)))))))</f>
        <v/>
      </c>
      <c r="F708" s="19">
        <f>IF($A708="","",E708+$H708-1)</f>
        <v/>
      </c>
      <c r="G708" s="18" t="n"/>
      <c r="H708" s="18">
        <f>IF($A708="","",IF(I708&lt;&gt;"",I708,Paramètres!B6))</f>
        <v/>
      </c>
      <c r="I708" s="18" t="n"/>
    </row>
    <row r="709">
      <c r="A709" s="18">
        <f>IF(ISNUMBER(Dossiers!$D$17),Dossiers!$A$17&amp;" · "&amp;Dossiers!$B$17,"")</f>
        <v/>
      </c>
      <c r="B709" s="18">
        <f>IF($A709="","",Paramètres!G7)</f>
        <v/>
      </c>
      <c r="C709" s="18">
        <f>IF($A709="","",IF(Paramètres!H7="","",Paramètres!H7))</f>
        <v/>
      </c>
      <c r="D709" s="18">
        <f>IF($A709="","",IF(Paramètres!I7="","",Paramètres!I7))</f>
        <v/>
      </c>
      <c r="E709" s="19">
        <f>IF($A709="","",IF(Paramètres!J7&amp;Paramètres!L7&amp;Paramètres!N7="",Dossiers!$D$17,MAX(IF(Paramètres!J7="",0,IF(Paramètres!K7="",NA(),IF(LEFT(TRIM(Paramètres!K7),1)="F",INDEX($F$707:$F$759,MATCH(Paramètres!J7,Paramètres!$G$5:$G$57,0)),INDEX($E$707:$E$759,MATCH(Paramètres!J7,Paramètres!$G$5:$G$57,0)))+IF(RIGHT(TRIM(Paramètres!K7),3)="Fin",1-$H709,IF(LEFT(TRIM(Paramètres!K7),1)="F",1,0)))),IF(Paramètres!L7="",0,IF(Paramètres!M7="",NA(),IF(LEFT(TRIM(Paramètres!M7),1)="F",INDEX($F$707:$F$759,MATCH(Paramètres!L7,Paramètres!$G$5:$G$57,0)),INDEX($E$707:$E$759,MATCH(Paramètres!L7,Paramètres!$G$5:$G$57,0)))+IF(RIGHT(TRIM(Paramètres!M7),3)="Fin",1-$H709,IF(LEFT(TRIM(Paramètres!M7),1)="F",1,0)))),IF(Paramètres!N7="",0,IF(Paramètres!O7="",NA(),IF(LEFT(TRIM(Paramètres!O7),1)="F",INDEX($F$707:$F$759,MATCH(Paramètres!N7,Paramètres!$G$5:$G$57,0)),INDEX($E$707:$E$759,MATCH(Paramètres!N7,Paramètres!$G$5:$G$57,0)))+IF(RIGHT(TRIM(Paramètres!O7),3)="Fin",1-$H709,IF(LEFT(TRIM(Paramètres!O7),1)="F",1,0)))))))</f>
        <v/>
      </c>
      <c r="F709" s="19">
        <f>IF($A709="","",E709+$H709-1)</f>
        <v/>
      </c>
      <c r="G709" s="18" t="n"/>
      <c r="H709" s="18">
        <f>IF($A709="","",IF(I709&lt;&gt;"",I709,Paramètres!B7))</f>
        <v/>
      </c>
      <c r="I709" s="18" t="n"/>
    </row>
    <row r="710">
      <c r="A710" s="18">
        <f>IF(ISNUMBER(Dossiers!$D$17),Dossiers!$A$17&amp;" · "&amp;Dossiers!$B$17,"")</f>
        <v/>
      </c>
      <c r="B710" s="18">
        <f>IF($A710="","",Paramètres!G8)</f>
        <v/>
      </c>
      <c r="C710" s="18">
        <f>IF($A710="","",IF(Paramètres!H8="","",Paramètres!H8))</f>
        <v/>
      </c>
      <c r="D710" s="18">
        <f>IF($A710="","",IF(Paramètres!I8="","",Paramètres!I8))</f>
        <v/>
      </c>
      <c r="E710" s="19">
        <f>IF($A710="","",IF(Paramètres!J8&amp;Paramètres!L8&amp;Paramètres!N8="",Dossiers!$D$17,MAX(IF(Paramètres!J8="",0,IF(Paramètres!K8="",NA(),IF(LEFT(TRIM(Paramètres!K8),1)="F",INDEX($F$707:$F$759,MATCH(Paramètres!J8,Paramètres!$G$5:$G$57,0)),INDEX($E$707:$E$759,MATCH(Paramètres!J8,Paramètres!$G$5:$G$57,0)))+IF(RIGHT(TRIM(Paramètres!K8),3)="Fin",1-$H710,IF(LEFT(TRIM(Paramètres!K8),1)="F",1,0)))),IF(Paramètres!L8="",0,IF(Paramètres!M8="",NA(),IF(LEFT(TRIM(Paramètres!M8),1)="F",INDEX($F$707:$F$759,MATCH(Paramètres!L8,Paramètres!$G$5:$G$57,0)),INDEX($E$707:$E$759,MATCH(Paramètres!L8,Paramètres!$G$5:$G$57,0)))+IF(RIGHT(TRIM(Paramètres!M8),3)="Fin",1-$H710,IF(LEFT(TRIM(Paramètres!M8),1)="F",1,0)))),IF(Paramètres!N8="",0,IF(Paramètres!O8="",NA(),IF(LEFT(TRIM(Paramètres!O8),1)="F",INDEX($F$707:$F$759,MATCH(Paramètres!N8,Paramètres!$G$5:$G$57,0)),INDEX($E$707:$E$759,MATCH(Paramètres!N8,Paramètres!$G$5:$G$57,0)))+IF(RIGHT(TRIM(Paramètres!O8),3)="Fin",1-$H710,IF(LEFT(TRIM(Paramètres!O8),1)="F",1,0)))))))</f>
        <v/>
      </c>
      <c r="F710" s="19">
        <f>IF($A710="","",E710+$H710-1)</f>
        <v/>
      </c>
      <c r="G710" s="18" t="n"/>
      <c r="H710" s="18">
        <f>IF($A710="","",IF(I710&lt;&gt;"",I710,Paramètres!B8))</f>
        <v/>
      </c>
      <c r="I710" s="18" t="n"/>
    </row>
    <row r="711">
      <c r="A711" s="18">
        <f>IF(ISNUMBER(Dossiers!$D$17),Dossiers!$A$17&amp;" · "&amp;Dossiers!$B$17,"")</f>
        <v/>
      </c>
      <c r="B711" s="18">
        <f>IF($A711="","",Paramètres!G9)</f>
        <v/>
      </c>
      <c r="C711" s="18">
        <f>IF($A711="","",IF(Paramètres!H9="","",Paramètres!H9))</f>
        <v/>
      </c>
      <c r="D711" s="18">
        <f>IF($A711="","",IF(Paramètres!I9="","",Paramètres!I9))</f>
        <v/>
      </c>
      <c r="E711" s="19">
        <f>IF($A711="","",IF(Paramètres!J9&amp;Paramètres!L9&amp;Paramètres!N9="",Dossiers!$D$17,MAX(IF(Paramètres!J9="",0,IF(Paramètres!K9="",NA(),IF(LEFT(TRIM(Paramètres!K9),1)="F",INDEX($F$707:$F$759,MATCH(Paramètres!J9,Paramètres!$G$5:$G$57,0)),INDEX($E$707:$E$759,MATCH(Paramètres!J9,Paramètres!$G$5:$G$57,0)))+IF(RIGHT(TRIM(Paramètres!K9),3)="Fin",1-$H711,IF(LEFT(TRIM(Paramètres!K9),1)="F",1,0)))),IF(Paramètres!L9="",0,IF(Paramètres!M9="",NA(),IF(LEFT(TRIM(Paramètres!M9),1)="F",INDEX($F$707:$F$759,MATCH(Paramètres!L9,Paramètres!$G$5:$G$57,0)),INDEX($E$707:$E$759,MATCH(Paramètres!L9,Paramètres!$G$5:$G$57,0)))+IF(RIGHT(TRIM(Paramètres!M9),3)="Fin",1-$H711,IF(LEFT(TRIM(Paramètres!M9),1)="F",1,0)))),IF(Paramètres!N9="",0,IF(Paramètres!O9="",NA(),IF(LEFT(TRIM(Paramètres!O9),1)="F",INDEX($F$707:$F$759,MATCH(Paramètres!N9,Paramètres!$G$5:$G$57,0)),INDEX($E$707:$E$759,MATCH(Paramètres!N9,Paramètres!$G$5:$G$57,0)))+IF(RIGHT(TRIM(Paramètres!O9),3)="Fin",1-$H711,IF(LEFT(TRIM(Paramètres!O9),1)="F",1,0)))))))</f>
        <v/>
      </c>
      <c r="F711" s="19">
        <f>IF($A711="","",E711+$H711-1)</f>
        <v/>
      </c>
      <c r="G711" s="18" t="n"/>
      <c r="H711" s="18">
        <f>IF($A711="","",IF(I711&lt;&gt;"",I711,Paramètres!B9))</f>
        <v/>
      </c>
      <c r="I711" s="18" t="n"/>
    </row>
    <row r="712">
      <c r="A712" s="18">
        <f>IF(ISNUMBER(Dossiers!$D$17),Dossiers!$A$17&amp;" · "&amp;Dossiers!$B$17,"")</f>
        <v/>
      </c>
      <c r="B712" s="18">
        <f>IF($A712="","",Paramètres!G10)</f>
        <v/>
      </c>
      <c r="C712" s="18">
        <f>IF($A712="","",IF(Paramètres!H10="","",Paramètres!H10))</f>
        <v/>
      </c>
      <c r="D712" s="18">
        <f>IF($A712="","",IF(Paramètres!I10="","",Paramètres!I10))</f>
        <v/>
      </c>
      <c r="E712" s="19">
        <f>IF($A712="","",MIN(E713:E716))</f>
        <v/>
      </c>
      <c r="F712" s="19">
        <f>IF($A712="","",MAX(F713:F716))</f>
        <v/>
      </c>
      <c r="G712" s="18" t="n"/>
      <c r="H712" s="18">
        <f>IF($A712="","",F712-E712+1)</f>
        <v/>
      </c>
      <c r="I712" s="18" t="n"/>
    </row>
    <row r="713">
      <c r="A713" s="18">
        <f>IF(ISNUMBER(Dossiers!$D$17),Dossiers!$A$17&amp;" · "&amp;Dossiers!$B$17,"")</f>
        <v/>
      </c>
      <c r="B713" s="18">
        <f>IF($A713="","",Paramètres!G11)</f>
        <v/>
      </c>
      <c r="C713" s="18">
        <f>IF($A713="","",IF(Paramètres!H11="","",Paramètres!H11))</f>
        <v/>
      </c>
      <c r="D713" s="18">
        <f>IF($A713="","",IF(Paramètres!I11="","",Paramètres!I11))</f>
        <v/>
      </c>
      <c r="E713" s="19">
        <f>IF($A713="","",IF(Paramètres!J11&amp;Paramètres!L11&amp;Paramètres!N11="",Dossiers!$D$17,MAX(IF(Paramètres!J11="",0,IF(Paramètres!K11="",NA(),IF(LEFT(TRIM(Paramètres!K11),1)="F",INDEX($F$707:$F$759,MATCH(Paramètres!J11,Paramètres!$G$5:$G$57,0)),INDEX($E$707:$E$759,MATCH(Paramètres!J11,Paramètres!$G$5:$G$57,0)))+IF(RIGHT(TRIM(Paramètres!K11),3)="Fin",1-$H713,IF(LEFT(TRIM(Paramètres!K11),1)="F",1,0)))),IF(Paramètres!L11="",0,IF(Paramètres!M11="",NA(),IF(LEFT(TRIM(Paramètres!M11),1)="F",INDEX($F$707:$F$759,MATCH(Paramètres!L11,Paramètres!$G$5:$G$57,0)),INDEX($E$707:$E$759,MATCH(Paramètres!L11,Paramètres!$G$5:$G$57,0)))+IF(RIGHT(TRIM(Paramètres!M11),3)="Fin",1-$H713,IF(LEFT(TRIM(Paramètres!M11),1)="F",1,0)))),IF(Paramètres!N11="",0,IF(Paramètres!O11="",NA(),IF(LEFT(TRIM(Paramètres!O11),1)="F",INDEX($F$707:$F$759,MATCH(Paramètres!N11,Paramètres!$G$5:$G$57,0)),INDEX($E$707:$E$759,MATCH(Paramètres!N11,Paramètres!$G$5:$G$57,0)))+IF(RIGHT(TRIM(Paramètres!O11),3)="Fin",1-$H713,IF(LEFT(TRIM(Paramètres!O11),1)="F",1,0)))))))</f>
        <v/>
      </c>
      <c r="F713" s="19">
        <f>IF($A713="","",E713+$H713-1)</f>
        <v/>
      </c>
      <c r="G713" s="18" t="n"/>
      <c r="H713" s="18">
        <f>IF($A713="","",IF(I713&lt;&gt;"",I713,Paramètres!B11))</f>
        <v/>
      </c>
      <c r="I713" s="18" t="n"/>
    </row>
    <row r="714">
      <c r="A714" s="18">
        <f>IF(ISNUMBER(Dossiers!$D$17),Dossiers!$A$17&amp;" · "&amp;Dossiers!$B$17,"")</f>
        <v/>
      </c>
      <c r="B714" s="18">
        <f>IF($A714="","",Paramètres!G12)</f>
        <v/>
      </c>
      <c r="C714" s="18">
        <f>IF($A714="","",IF(Paramètres!H12="","",Paramètres!H12))</f>
        <v/>
      </c>
      <c r="D714" s="18">
        <f>IF($A714="","",IF(Paramètres!I12="","",Paramètres!I12))</f>
        <v/>
      </c>
      <c r="E714" s="19">
        <f>IF($A714="","",IF(Paramètres!J12&amp;Paramètres!L12&amp;Paramètres!N12="",Dossiers!$D$17,MAX(IF(Paramètres!J12="",0,IF(Paramètres!K12="",NA(),IF(LEFT(TRIM(Paramètres!K12),1)="F",INDEX($F$707:$F$759,MATCH(Paramètres!J12,Paramètres!$G$5:$G$57,0)),INDEX($E$707:$E$759,MATCH(Paramètres!J12,Paramètres!$G$5:$G$57,0)))+IF(RIGHT(TRIM(Paramètres!K12),3)="Fin",1-$H714,IF(LEFT(TRIM(Paramètres!K12),1)="F",1,0)))),IF(Paramètres!L12="",0,IF(Paramètres!M12="",NA(),IF(LEFT(TRIM(Paramètres!M12),1)="F",INDEX($F$707:$F$759,MATCH(Paramètres!L12,Paramètres!$G$5:$G$57,0)),INDEX($E$707:$E$759,MATCH(Paramètres!L12,Paramètres!$G$5:$G$57,0)))+IF(RIGHT(TRIM(Paramètres!M12),3)="Fin",1-$H714,IF(LEFT(TRIM(Paramètres!M12),1)="F",1,0)))),IF(Paramètres!N12="",0,IF(Paramètres!O12="",NA(),IF(LEFT(TRIM(Paramètres!O12),1)="F",INDEX($F$707:$F$759,MATCH(Paramètres!N12,Paramètres!$G$5:$G$57,0)),INDEX($E$707:$E$759,MATCH(Paramètres!N12,Paramètres!$G$5:$G$57,0)))+IF(RIGHT(TRIM(Paramètres!O12),3)="Fin",1-$H714,IF(LEFT(TRIM(Paramètres!O12),1)="F",1,0)))))))</f>
        <v/>
      </c>
      <c r="F714" s="19">
        <f>IF($A714="","",E714+$H714-1)</f>
        <v/>
      </c>
      <c r="G714" s="18" t="n"/>
      <c r="H714" s="18">
        <f>IF($A714="","",IF(I714&lt;&gt;"",I714,Paramètres!B12))</f>
        <v/>
      </c>
      <c r="I714" s="18" t="n"/>
    </row>
    <row r="715">
      <c r="A715" s="18">
        <f>IF(ISNUMBER(Dossiers!$D$17),Dossiers!$A$17&amp;" · "&amp;Dossiers!$B$17,"")</f>
        <v/>
      </c>
      <c r="B715" s="18">
        <f>IF($A715="","",Paramètres!G13)</f>
        <v/>
      </c>
      <c r="C715" s="18">
        <f>IF($A715="","",IF(Paramètres!H13="","",Paramètres!H13))</f>
        <v/>
      </c>
      <c r="D715" s="18">
        <f>IF($A715="","",IF(Paramètres!I13="","",Paramètres!I13))</f>
        <v/>
      </c>
      <c r="E715" s="19">
        <f>IF($A715="","",IF(Paramètres!J13&amp;Paramètres!L13&amp;Paramètres!N13="",Dossiers!$D$17,MAX(IF(Paramètres!J13="",0,IF(Paramètres!K13="",NA(),IF(LEFT(TRIM(Paramètres!K13),1)="F",INDEX($F$707:$F$759,MATCH(Paramètres!J13,Paramètres!$G$5:$G$57,0)),INDEX($E$707:$E$759,MATCH(Paramètres!J13,Paramètres!$G$5:$G$57,0)))+IF(RIGHT(TRIM(Paramètres!K13),3)="Fin",1-$H715,IF(LEFT(TRIM(Paramètres!K13),1)="F",1,0)))),IF(Paramètres!L13="",0,IF(Paramètres!M13="",NA(),IF(LEFT(TRIM(Paramètres!M13),1)="F",INDEX($F$707:$F$759,MATCH(Paramètres!L13,Paramètres!$G$5:$G$57,0)),INDEX($E$707:$E$759,MATCH(Paramètres!L13,Paramètres!$G$5:$G$57,0)))+IF(RIGHT(TRIM(Paramètres!M13),3)="Fin",1-$H715,IF(LEFT(TRIM(Paramètres!M13),1)="F",1,0)))),IF(Paramètres!N13="",0,IF(Paramètres!O13="",NA(),IF(LEFT(TRIM(Paramètres!O13),1)="F",INDEX($F$707:$F$759,MATCH(Paramètres!N13,Paramètres!$G$5:$G$57,0)),INDEX($E$707:$E$759,MATCH(Paramètres!N13,Paramètres!$G$5:$G$57,0)))+IF(RIGHT(TRIM(Paramètres!O13),3)="Fin",1-$H715,IF(LEFT(TRIM(Paramètres!O13),1)="F",1,0)))))))</f>
        <v/>
      </c>
      <c r="F715" s="19">
        <f>IF($A715="","",E715+$H715-1)</f>
        <v/>
      </c>
      <c r="G715" s="18" t="n"/>
      <c r="H715" s="18">
        <f>IF($A715="","",IF(I715&lt;&gt;"",I715,Paramètres!B13))</f>
        <v/>
      </c>
      <c r="I715" s="18" t="n"/>
    </row>
    <row r="716">
      <c r="A716" s="18">
        <f>IF(ISNUMBER(Dossiers!$D$17),Dossiers!$A$17&amp;" · "&amp;Dossiers!$B$17,"")</f>
        <v/>
      </c>
      <c r="B716" s="18">
        <f>IF($A716="","",Paramètres!G14)</f>
        <v/>
      </c>
      <c r="C716" s="18">
        <f>IF($A716="","",IF(Paramètres!H14="","",Paramètres!H14))</f>
        <v/>
      </c>
      <c r="D716" s="18">
        <f>IF($A716="","",IF(Paramètres!I14="","",Paramètres!I14))</f>
        <v/>
      </c>
      <c r="E716" s="19">
        <f>IF($A716="","",IF(Paramètres!J14&amp;Paramètres!L14&amp;Paramètres!N14="",Dossiers!$D$17,MAX(IF(Paramètres!J14="",0,IF(Paramètres!K14="",NA(),IF(LEFT(TRIM(Paramètres!K14),1)="F",INDEX($F$707:$F$759,MATCH(Paramètres!J14,Paramètres!$G$5:$G$57,0)),INDEX($E$707:$E$759,MATCH(Paramètres!J14,Paramètres!$G$5:$G$57,0)))+IF(RIGHT(TRIM(Paramètres!K14),3)="Fin",1-$H716,IF(LEFT(TRIM(Paramètres!K14),1)="F",1,0)))),IF(Paramètres!L14="",0,IF(Paramètres!M14="",NA(),IF(LEFT(TRIM(Paramètres!M14),1)="F",INDEX($F$707:$F$759,MATCH(Paramètres!L14,Paramètres!$G$5:$G$57,0)),INDEX($E$707:$E$759,MATCH(Paramètres!L14,Paramètres!$G$5:$G$57,0)))+IF(RIGHT(TRIM(Paramètres!M14),3)="Fin",1-$H716,IF(LEFT(TRIM(Paramètres!M14),1)="F",1,0)))),IF(Paramètres!N14="",0,IF(Paramètres!O14="",NA(),IF(LEFT(TRIM(Paramètres!O14),1)="F",INDEX($F$707:$F$759,MATCH(Paramètres!N14,Paramètres!$G$5:$G$57,0)),INDEX($E$707:$E$759,MATCH(Paramètres!N14,Paramètres!$G$5:$G$57,0)))+IF(RIGHT(TRIM(Paramètres!O14),3)="Fin",1-$H716,IF(LEFT(TRIM(Paramètres!O14),1)="F",1,0)))))))</f>
        <v/>
      </c>
      <c r="F716" s="19">
        <f>IF($A716="","",E716+$H716-1)</f>
        <v/>
      </c>
      <c r="G716" s="18" t="n"/>
      <c r="H716" s="18">
        <f>IF($A716="","",IF(I716&lt;&gt;"",I716,Paramètres!B14))</f>
        <v/>
      </c>
      <c r="I716" s="18" t="n"/>
    </row>
    <row r="717">
      <c r="A717" s="18">
        <f>IF(ISNUMBER(Dossiers!$D$17),Dossiers!$A$17&amp;" · "&amp;Dossiers!$B$17,"")</f>
        <v/>
      </c>
      <c r="B717" s="18">
        <f>IF($A717="","",Paramètres!G15)</f>
        <v/>
      </c>
      <c r="C717" s="18">
        <f>IF($A717="","",IF(Paramètres!H15="","",Paramètres!H15))</f>
        <v/>
      </c>
      <c r="D717" s="18">
        <f>IF($A717="","",IF(Paramètres!I15="","",Paramètres!I15))</f>
        <v/>
      </c>
      <c r="E717" s="19">
        <f>IF($A717="","",MIN(E718:E733))</f>
        <v/>
      </c>
      <c r="F717" s="19">
        <f>IF($A717="","",MAX(F718:F733))</f>
        <v/>
      </c>
      <c r="G717" s="18" t="n"/>
      <c r="H717" s="18">
        <f>IF($A717="","",F717-E717+1)</f>
        <v/>
      </c>
      <c r="I717" s="18" t="n"/>
    </row>
    <row r="718">
      <c r="A718" s="18">
        <f>IF(ISNUMBER(Dossiers!$D$17),Dossiers!$A$17&amp;" · "&amp;Dossiers!$B$17,"")</f>
        <v/>
      </c>
      <c r="B718" s="18">
        <f>IF($A718="","",Paramètres!G16)</f>
        <v/>
      </c>
      <c r="C718" s="18">
        <f>IF($A718="","",IF(Paramètres!H16="","",Paramètres!H16))</f>
        <v/>
      </c>
      <c r="D718" s="18">
        <f>IF($A718="","",IF(Paramètres!I16="","",Paramètres!I16))</f>
        <v/>
      </c>
      <c r="E718" s="19">
        <f>IF($A718="","",IF(Paramètres!J16&amp;Paramètres!L16&amp;Paramètres!N16="",Dossiers!$D$17,MAX(IF(Paramètres!J16="",0,IF(Paramètres!K16="",NA(),IF(LEFT(TRIM(Paramètres!K16),1)="F",INDEX($F$707:$F$759,MATCH(Paramètres!J16,Paramètres!$G$5:$G$57,0)),INDEX($E$707:$E$759,MATCH(Paramètres!J16,Paramètres!$G$5:$G$57,0)))+IF(RIGHT(TRIM(Paramètres!K16),3)="Fin",1-$H718,IF(LEFT(TRIM(Paramètres!K16),1)="F",1,0)))),IF(Paramètres!L16="",0,IF(Paramètres!M16="",NA(),IF(LEFT(TRIM(Paramètres!M16),1)="F",INDEX($F$707:$F$759,MATCH(Paramètres!L16,Paramètres!$G$5:$G$57,0)),INDEX($E$707:$E$759,MATCH(Paramètres!L16,Paramètres!$G$5:$G$57,0)))+IF(RIGHT(TRIM(Paramètres!M16),3)="Fin",1-$H718,IF(LEFT(TRIM(Paramètres!M16),1)="F",1,0)))),IF(Paramètres!N16="",0,IF(Paramètres!O16="",NA(),IF(LEFT(TRIM(Paramètres!O16),1)="F",INDEX($F$707:$F$759,MATCH(Paramètres!N16,Paramètres!$G$5:$G$57,0)),INDEX($E$707:$E$759,MATCH(Paramètres!N16,Paramètres!$G$5:$G$57,0)))+IF(RIGHT(TRIM(Paramètres!O16),3)="Fin",1-$H718,IF(LEFT(TRIM(Paramètres!O16),1)="F",1,0)))))))</f>
        <v/>
      </c>
      <c r="F718" s="19">
        <f>IF($A718="","",E718+$H718-1)</f>
        <v/>
      </c>
      <c r="G718" s="18" t="n"/>
      <c r="H718" s="18">
        <f>IF($A718="","",IF(I718&lt;&gt;"",I718,Paramètres!B16))</f>
        <v/>
      </c>
      <c r="I718" s="18" t="n"/>
    </row>
    <row r="719">
      <c r="A719" s="18">
        <f>IF(ISNUMBER(Dossiers!$D$17),Dossiers!$A$17&amp;" · "&amp;Dossiers!$B$17,"")</f>
        <v/>
      </c>
      <c r="B719" s="18">
        <f>IF($A719="","",Paramètres!G17)</f>
        <v/>
      </c>
      <c r="C719" s="18">
        <f>IF($A719="","",IF(Paramètres!H17="","",Paramètres!H17))</f>
        <v/>
      </c>
      <c r="D719" s="18">
        <f>IF($A719="","",IF(Paramètres!I17="","",Paramètres!I17))</f>
        <v/>
      </c>
      <c r="E719" s="19">
        <f>IF($A719="","",IF(Paramètres!J17&amp;Paramètres!L17&amp;Paramètres!N17="",Dossiers!$D$17,MAX(IF(Paramètres!J17="",0,IF(Paramètres!K17="",NA(),IF(LEFT(TRIM(Paramètres!K17),1)="F",INDEX($F$707:$F$759,MATCH(Paramètres!J17,Paramètres!$G$5:$G$57,0)),INDEX($E$707:$E$759,MATCH(Paramètres!J17,Paramètres!$G$5:$G$57,0)))+IF(RIGHT(TRIM(Paramètres!K17),3)="Fin",1-$H719,IF(LEFT(TRIM(Paramètres!K17),1)="F",1,0)))),IF(Paramètres!L17="",0,IF(Paramètres!M17="",NA(),IF(LEFT(TRIM(Paramètres!M17),1)="F",INDEX($F$707:$F$759,MATCH(Paramètres!L17,Paramètres!$G$5:$G$57,0)),INDEX($E$707:$E$759,MATCH(Paramètres!L17,Paramètres!$G$5:$G$57,0)))+IF(RIGHT(TRIM(Paramètres!M17),3)="Fin",1-$H719,IF(LEFT(TRIM(Paramètres!M17),1)="F",1,0)))),IF(Paramètres!N17="",0,IF(Paramètres!O17="",NA(),IF(LEFT(TRIM(Paramètres!O17),1)="F",INDEX($F$707:$F$759,MATCH(Paramètres!N17,Paramètres!$G$5:$G$57,0)),INDEX($E$707:$E$759,MATCH(Paramètres!N17,Paramètres!$G$5:$G$57,0)))+IF(RIGHT(TRIM(Paramètres!O17),3)="Fin",1-$H719,IF(LEFT(TRIM(Paramètres!O17),1)="F",1,0)))))))</f>
        <v/>
      </c>
      <c r="F719" s="19">
        <f>IF($A719="","",E719+$H719-1)</f>
        <v/>
      </c>
      <c r="G719" s="18" t="n"/>
      <c r="H719" s="18">
        <f>IF($A719="","",IF(I719&lt;&gt;"",I719,Paramètres!B17))</f>
        <v/>
      </c>
      <c r="I719" s="18" t="n"/>
    </row>
    <row r="720">
      <c r="A720" s="18">
        <f>IF(ISNUMBER(Dossiers!$D$17),Dossiers!$A$17&amp;" · "&amp;Dossiers!$B$17,"")</f>
        <v/>
      </c>
      <c r="B720" s="18">
        <f>IF($A720="","",Paramètres!G18)</f>
        <v/>
      </c>
      <c r="C720" s="18">
        <f>IF($A720="","",IF(Paramètres!H18="","",Paramètres!H18))</f>
        <v/>
      </c>
      <c r="D720" s="18">
        <f>IF($A720="","",IF(Paramètres!I18="","",Paramètres!I18))</f>
        <v/>
      </c>
      <c r="E720" s="19">
        <f>IF($A720="","",IF(Paramètres!J18&amp;Paramètres!L18&amp;Paramètres!N18="",Dossiers!$D$17,MAX(IF(Paramètres!J18="",0,IF(Paramètres!K18="",NA(),IF(LEFT(TRIM(Paramètres!K18),1)="F",INDEX($F$707:$F$759,MATCH(Paramètres!J18,Paramètres!$G$5:$G$57,0)),INDEX($E$707:$E$759,MATCH(Paramètres!J18,Paramètres!$G$5:$G$57,0)))+IF(RIGHT(TRIM(Paramètres!K18),3)="Fin",1-$H720,IF(LEFT(TRIM(Paramètres!K18),1)="F",1,0)))),IF(Paramètres!L18="",0,IF(Paramètres!M18="",NA(),IF(LEFT(TRIM(Paramètres!M18),1)="F",INDEX($F$707:$F$759,MATCH(Paramètres!L18,Paramètres!$G$5:$G$57,0)),INDEX($E$707:$E$759,MATCH(Paramètres!L18,Paramètres!$G$5:$G$57,0)))+IF(RIGHT(TRIM(Paramètres!M18),3)="Fin",1-$H720,IF(LEFT(TRIM(Paramètres!M18),1)="F",1,0)))),IF(Paramètres!N18="",0,IF(Paramètres!O18="",NA(),IF(LEFT(TRIM(Paramètres!O18),1)="F",INDEX($F$707:$F$759,MATCH(Paramètres!N18,Paramètres!$G$5:$G$57,0)),INDEX($E$707:$E$759,MATCH(Paramètres!N18,Paramètres!$G$5:$G$57,0)))+IF(RIGHT(TRIM(Paramètres!O18),3)="Fin",1-$H720,IF(LEFT(TRIM(Paramètres!O18),1)="F",1,0)))))))</f>
        <v/>
      </c>
      <c r="F720" s="19">
        <f>IF($A720="","",E720+$H720-1)</f>
        <v/>
      </c>
      <c r="G720" s="18" t="n"/>
      <c r="H720" s="18">
        <f>IF($A720="","",IF(I720&lt;&gt;"",I720,Paramètres!B18))</f>
        <v/>
      </c>
      <c r="I720" s="18" t="n"/>
    </row>
    <row r="721">
      <c r="A721" s="18">
        <f>IF(ISNUMBER(Dossiers!$D$17),Dossiers!$A$17&amp;" · "&amp;Dossiers!$B$17,"")</f>
        <v/>
      </c>
      <c r="B721" s="18">
        <f>IF($A721="","",Paramètres!G19)</f>
        <v/>
      </c>
      <c r="C721" s="18">
        <f>IF($A721="","",IF(Paramètres!H19="","",Paramètres!H19))</f>
        <v/>
      </c>
      <c r="D721" s="18">
        <f>IF($A721="","",IF(Paramètres!I19="","",Paramètres!I19))</f>
        <v/>
      </c>
      <c r="E721" s="19">
        <f>IF($A721="","",IF(Paramètres!J19&amp;Paramètres!L19&amp;Paramètres!N19="",Dossiers!$D$17,MAX(IF(Paramètres!J19="",0,IF(Paramètres!K19="",NA(),IF(LEFT(TRIM(Paramètres!K19),1)="F",INDEX($F$707:$F$759,MATCH(Paramètres!J19,Paramètres!$G$5:$G$57,0)),INDEX($E$707:$E$759,MATCH(Paramètres!J19,Paramètres!$G$5:$G$57,0)))+IF(RIGHT(TRIM(Paramètres!K19),3)="Fin",1-$H721,IF(LEFT(TRIM(Paramètres!K19),1)="F",1,0)))),IF(Paramètres!L19="",0,IF(Paramètres!M19="",NA(),IF(LEFT(TRIM(Paramètres!M19),1)="F",INDEX($F$707:$F$759,MATCH(Paramètres!L19,Paramètres!$G$5:$G$57,0)),INDEX($E$707:$E$759,MATCH(Paramètres!L19,Paramètres!$G$5:$G$57,0)))+IF(RIGHT(TRIM(Paramètres!M19),3)="Fin",1-$H721,IF(LEFT(TRIM(Paramètres!M19),1)="F",1,0)))),IF(Paramètres!N19="",0,IF(Paramètres!O19="",NA(),IF(LEFT(TRIM(Paramètres!O19),1)="F",INDEX($F$707:$F$759,MATCH(Paramètres!N19,Paramètres!$G$5:$G$57,0)),INDEX($E$707:$E$759,MATCH(Paramètres!N19,Paramètres!$G$5:$G$57,0)))+IF(RIGHT(TRIM(Paramètres!O19),3)="Fin",1-$H721,IF(LEFT(TRIM(Paramètres!O19),1)="F",1,0)))))))</f>
        <v/>
      </c>
      <c r="F721" s="19">
        <f>IF($A721="","",E721+$H721-1)</f>
        <v/>
      </c>
      <c r="G721" s="18" t="n"/>
      <c r="H721" s="18">
        <f>IF($A721="","",IF(I721&lt;&gt;"",I721,Paramètres!B19))</f>
        <v/>
      </c>
      <c r="I721" s="18" t="n"/>
    </row>
    <row r="722">
      <c r="A722" s="18">
        <f>IF(ISNUMBER(Dossiers!$D$17),Dossiers!$A$17&amp;" · "&amp;Dossiers!$B$17,"")</f>
        <v/>
      </c>
      <c r="B722" s="18">
        <f>IF($A722="","",Paramètres!G20)</f>
        <v/>
      </c>
      <c r="C722" s="18">
        <f>IF($A722="","",IF(Paramètres!H20="","",Paramètres!H20))</f>
        <v/>
      </c>
      <c r="D722" s="18">
        <f>IF($A722="","",IF(Paramètres!I20="","",Paramètres!I20))</f>
        <v/>
      </c>
      <c r="E722" s="19">
        <f>IF($A722="","",IF(Paramètres!J20&amp;Paramètres!L20&amp;Paramètres!N20="",Dossiers!$D$17,MAX(IF(Paramètres!J20="",0,IF(Paramètres!K20="",NA(),IF(LEFT(TRIM(Paramètres!K20),1)="F",INDEX($F$707:$F$759,MATCH(Paramètres!J20,Paramètres!$G$5:$G$57,0)),INDEX($E$707:$E$759,MATCH(Paramètres!J20,Paramètres!$G$5:$G$57,0)))+IF(RIGHT(TRIM(Paramètres!K20),3)="Fin",1-$H722,IF(LEFT(TRIM(Paramètres!K20),1)="F",1,0)))),IF(Paramètres!L20="",0,IF(Paramètres!M20="",NA(),IF(LEFT(TRIM(Paramètres!M20),1)="F",INDEX($F$707:$F$759,MATCH(Paramètres!L20,Paramètres!$G$5:$G$57,0)),INDEX($E$707:$E$759,MATCH(Paramètres!L20,Paramètres!$G$5:$G$57,0)))+IF(RIGHT(TRIM(Paramètres!M20),3)="Fin",1-$H722,IF(LEFT(TRIM(Paramètres!M20),1)="F",1,0)))),IF(Paramètres!N20="",0,IF(Paramètres!O20="",NA(),IF(LEFT(TRIM(Paramètres!O20),1)="F",INDEX($F$707:$F$759,MATCH(Paramètres!N20,Paramètres!$G$5:$G$57,0)),INDEX($E$707:$E$759,MATCH(Paramètres!N20,Paramètres!$G$5:$G$57,0)))+IF(RIGHT(TRIM(Paramètres!O20),3)="Fin",1-$H722,IF(LEFT(TRIM(Paramètres!O20),1)="F",1,0)))))))</f>
        <v/>
      </c>
      <c r="F722" s="19">
        <f>IF($A722="","",E722+$H722-1)</f>
        <v/>
      </c>
      <c r="G722" s="18" t="n"/>
      <c r="H722" s="18">
        <f>IF($A722="","",IF(I722&lt;&gt;"",I722,Paramètres!B20))</f>
        <v/>
      </c>
      <c r="I722" s="18" t="n"/>
    </row>
    <row r="723">
      <c r="A723" s="18">
        <f>IF(ISNUMBER(Dossiers!$D$17),Dossiers!$A$17&amp;" · "&amp;Dossiers!$B$17,"")</f>
        <v/>
      </c>
      <c r="B723" s="18">
        <f>IF($A723="","",Paramètres!G21)</f>
        <v/>
      </c>
      <c r="C723" s="18">
        <f>IF($A723="","",IF(Paramètres!H21="","",Paramètres!H21))</f>
        <v/>
      </c>
      <c r="D723" s="18">
        <f>IF($A723="","",IF(Paramètres!I21="","",Paramètres!I21))</f>
        <v/>
      </c>
      <c r="E723" s="19">
        <f>IF($A723="","",IF(Paramètres!J21&amp;Paramètres!L21&amp;Paramètres!N21="",Dossiers!$D$17,MAX(IF(Paramètres!J21="",0,IF(Paramètres!K21="",NA(),IF(LEFT(TRIM(Paramètres!K21),1)="F",INDEX($F$707:$F$759,MATCH(Paramètres!J21,Paramètres!$G$5:$G$57,0)),INDEX($E$707:$E$759,MATCH(Paramètres!J21,Paramètres!$G$5:$G$57,0)))+IF(RIGHT(TRIM(Paramètres!K21),3)="Fin",1-$H723,IF(LEFT(TRIM(Paramètres!K21),1)="F",1,0)))),IF(Paramètres!L21="",0,IF(Paramètres!M21="",NA(),IF(LEFT(TRIM(Paramètres!M21),1)="F",INDEX($F$707:$F$759,MATCH(Paramètres!L21,Paramètres!$G$5:$G$57,0)),INDEX($E$707:$E$759,MATCH(Paramètres!L21,Paramètres!$G$5:$G$57,0)))+IF(RIGHT(TRIM(Paramètres!M21),3)="Fin",1-$H723,IF(LEFT(TRIM(Paramètres!M21),1)="F",1,0)))),IF(Paramètres!N21="",0,IF(Paramètres!O21="",NA(),IF(LEFT(TRIM(Paramètres!O21),1)="F",INDEX($F$707:$F$759,MATCH(Paramètres!N21,Paramètres!$G$5:$G$57,0)),INDEX($E$707:$E$759,MATCH(Paramètres!N21,Paramètres!$G$5:$G$57,0)))+IF(RIGHT(TRIM(Paramètres!O21),3)="Fin",1-$H723,IF(LEFT(TRIM(Paramètres!O21),1)="F",1,0)))))))</f>
        <v/>
      </c>
      <c r="F723" s="19">
        <f>IF($A723="","",E723+$H723-1)</f>
        <v/>
      </c>
      <c r="G723" s="18" t="n"/>
      <c r="H723" s="18">
        <f>IF($A723="","",IF(I723&lt;&gt;"",I723,Paramètres!B21))</f>
        <v/>
      </c>
      <c r="I723" s="18" t="n"/>
    </row>
    <row r="724">
      <c r="A724" s="18">
        <f>IF(ISNUMBER(Dossiers!$D$17),Dossiers!$A$17&amp;" · "&amp;Dossiers!$B$17,"")</f>
        <v/>
      </c>
      <c r="B724" s="18">
        <f>IF($A724="","",Paramètres!G22)</f>
        <v/>
      </c>
      <c r="C724" s="18">
        <f>IF($A724="","",IF(Paramètres!H22="","",Paramètres!H22))</f>
        <v/>
      </c>
      <c r="D724" s="18">
        <f>IF($A724="","",IF(Paramètres!I22="","",Paramètres!I22))</f>
        <v/>
      </c>
      <c r="E724" s="19">
        <f>IF($A724="","",IF(Paramètres!J22&amp;Paramètres!L22&amp;Paramètres!N22="",Dossiers!$D$17,MAX(IF(Paramètres!J22="",0,IF(Paramètres!K22="",NA(),IF(LEFT(TRIM(Paramètres!K22),1)="F",INDEX($F$707:$F$759,MATCH(Paramètres!J22,Paramètres!$G$5:$G$57,0)),INDEX($E$707:$E$759,MATCH(Paramètres!J22,Paramètres!$G$5:$G$57,0)))+IF(RIGHT(TRIM(Paramètres!K22),3)="Fin",1-$H724,IF(LEFT(TRIM(Paramètres!K22),1)="F",1,0)))),IF(Paramètres!L22="",0,IF(Paramètres!M22="",NA(),IF(LEFT(TRIM(Paramètres!M22),1)="F",INDEX($F$707:$F$759,MATCH(Paramètres!L22,Paramètres!$G$5:$G$57,0)),INDEX($E$707:$E$759,MATCH(Paramètres!L22,Paramètres!$G$5:$G$57,0)))+IF(RIGHT(TRIM(Paramètres!M22),3)="Fin",1-$H724,IF(LEFT(TRIM(Paramètres!M22),1)="F",1,0)))),IF(Paramètres!N22="",0,IF(Paramètres!O22="",NA(),IF(LEFT(TRIM(Paramètres!O22),1)="F",INDEX($F$707:$F$759,MATCH(Paramètres!N22,Paramètres!$G$5:$G$57,0)),INDEX($E$707:$E$759,MATCH(Paramètres!N22,Paramètres!$G$5:$G$57,0)))+IF(RIGHT(TRIM(Paramètres!O22),3)="Fin",1-$H724,IF(LEFT(TRIM(Paramètres!O22),1)="F",1,0)))))))</f>
        <v/>
      </c>
      <c r="F724" s="19">
        <f>IF($A724="","",E724+$H724-1)</f>
        <v/>
      </c>
      <c r="G724" s="18" t="n"/>
      <c r="H724" s="18">
        <f>IF($A724="","",IF(I724&lt;&gt;"",I724,Paramètres!B22))</f>
        <v/>
      </c>
      <c r="I724" s="18" t="n"/>
    </row>
    <row r="725">
      <c r="A725" s="18">
        <f>IF(ISNUMBER(Dossiers!$D$17),Dossiers!$A$17&amp;" · "&amp;Dossiers!$B$17,"")</f>
        <v/>
      </c>
      <c r="B725" s="18">
        <f>IF($A725="","",Paramètres!G23)</f>
        <v/>
      </c>
      <c r="C725" s="18">
        <f>IF($A725="","",IF(Paramètres!H23="","",Paramètres!H23))</f>
        <v/>
      </c>
      <c r="D725" s="18">
        <f>IF($A725="","",IF(Paramètres!I23="","",Paramètres!I23))</f>
        <v/>
      </c>
      <c r="E725" s="19">
        <f>IF($A725="","",IF(Paramètres!J23&amp;Paramètres!L23&amp;Paramètres!N23="",Dossiers!$D$17,MAX(IF(Paramètres!J23="",0,IF(Paramètres!K23="",NA(),IF(LEFT(TRIM(Paramètres!K23),1)="F",INDEX($F$707:$F$759,MATCH(Paramètres!J23,Paramètres!$G$5:$G$57,0)),INDEX($E$707:$E$759,MATCH(Paramètres!J23,Paramètres!$G$5:$G$57,0)))+IF(RIGHT(TRIM(Paramètres!K23),3)="Fin",1-$H725,IF(LEFT(TRIM(Paramètres!K23),1)="F",1,0)))),IF(Paramètres!L23="",0,IF(Paramètres!M23="",NA(),IF(LEFT(TRIM(Paramètres!M23),1)="F",INDEX($F$707:$F$759,MATCH(Paramètres!L23,Paramètres!$G$5:$G$57,0)),INDEX($E$707:$E$759,MATCH(Paramètres!L23,Paramètres!$G$5:$G$57,0)))+IF(RIGHT(TRIM(Paramètres!M23),3)="Fin",1-$H725,IF(LEFT(TRIM(Paramètres!M23),1)="F",1,0)))),IF(Paramètres!N23="",0,IF(Paramètres!O23="",NA(),IF(LEFT(TRIM(Paramètres!O23),1)="F",INDEX($F$707:$F$759,MATCH(Paramètres!N23,Paramètres!$G$5:$G$57,0)),INDEX($E$707:$E$759,MATCH(Paramètres!N23,Paramètres!$G$5:$G$57,0)))+IF(RIGHT(TRIM(Paramètres!O23),3)="Fin",1-$H725,IF(LEFT(TRIM(Paramètres!O23),1)="F",1,0)))))))</f>
        <v/>
      </c>
      <c r="F725" s="19">
        <f>IF($A725="","",E725+$H725-1)</f>
        <v/>
      </c>
      <c r="G725" s="18" t="n"/>
      <c r="H725" s="18">
        <f>IF($A725="","",IF(I725&lt;&gt;"",I725,Paramètres!B23))</f>
        <v/>
      </c>
      <c r="I725" s="18" t="n"/>
    </row>
    <row r="726">
      <c r="A726" s="18">
        <f>IF(ISNUMBER(Dossiers!$D$17),Dossiers!$A$17&amp;" · "&amp;Dossiers!$B$17,"")</f>
        <v/>
      </c>
      <c r="B726" s="18">
        <f>IF($A726="","",Paramètres!G24)</f>
        <v/>
      </c>
      <c r="C726" s="18">
        <f>IF($A726="","",IF(Paramètres!H24="","",Paramètres!H24))</f>
        <v/>
      </c>
      <c r="D726" s="18">
        <f>IF($A726="","",IF(Paramètres!I24="","",Paramètres!I24))</f>
        <v/>
      </c>
      <c r="E726" s="19">
        <f>IF($A726="","",IF(Paramètres!J24&amp;Paramètres!L24&amp;Paramètres!N24="",Dossiers!$D$17,MAX(IF(Paramètres!J24="",0,IF(Paramètres!K24="",NA(),IF(LEFT(TRIM(Paramètres!K24),1)="F",INDEX($F$707:$F$759,MATCH(Paramètres!J24,Paramètres!$G$5:$G$57,0)),INDEX($E$707:$E$759,MATCH(Paramètres!J24,Paramètres!$G$5:$G$57,0)))+IF(RIGHT(TRIM(Paramètres!K24),3)="Fin",1-$H726,IF(LEFT(TRIM(Paramètres!K24),1)="F",1,0)))),IF(Paramètres!L24="",0,IF(Paramètres!M24="",NA(),IF(LEFT(TRIM(Paramètres!M24),1)="F",INDEX($F$707:$F$759,MATCH(Paramètres!L24,Paramètres!$G$5:$G$57,0)),INDEX($E$707:$E$759,MATCH(Paramètres!L24,Paramètres!$G$5:$G$57,0)))+IF(RIGHT(TRIM(Paramètres!M24),3)="Fin",1-$H726,IF(LEFT(TRIM(Paramètres!M24),1)="F",1,0)))),IF(Paramètres!N24="",0,IF(Paramètres!O24="",NA(),IF(LEFT(TRIM(Paramètres!O24),1)="F",INDEX($F$707:$F$759,MATCH(Paramètres!N24,Paramètres!$G$5:$G$57,0)),INDEX($E$707:$E$759,MATCH(Paramètres!N24,Paramètres!$G$5:$G$57,0)))+IF(RIGHT(TRIM(Paramètres!O24),3)="Fin",1-$H726,IF(LEFT(TRIM(Paramètres!O24),1)="F",1,0)))))))</f>
        <v/>
      </c>
      <c r="F726" s="19">
        <f>IF($A726="","",E726+$H726-1)</f>
        <v/>
      </c>
      <c r="G726" s="18" t="n"/>
      <c r="H726" s="18">
        <f>IF($A726="","",IF(I726&lt;&gt;"",I726,Paramètres!B24))</f>
        <v/>
      </c>
      <c r="I726" s="18" t="n"/>
    </row>
    <row r="727">
      <c r="A727" s="18">
        <f>IF(ISNUMBER(Dossiers!$D$17),Dossiers!$A$17&amp;" · "&amp;Dossiers!$B$17,"")</f>
        <v/>
      </c>
      <c r="B727" s="18">
        <f>IF($A727="","",Paramètres!G25)</f>
        <v/>
      </c>
      <c r="C727" s="18">
        <f>IF($A727="","",IF(Paramètres!H25="","",Paramètres!H25))</f>
        <v/>
      </c>
      <c r="D727" s="18">
        <f>IF($A727="","",IF(Paramètres!I25="","",Paramètres!I25))</f>
        <v/>
      </c>
      <c r="E727" s="19">
        <f>IF($A727="","",IF(Paramètres!J25&amp;Paramètres!L25&amp;Paramètres!N25="",Dossiers!$D$17,MAX(IF(Paramètres!J25="",0,IF(Paramètres!K25="",NA(),IF(LEFT(TRIM(Paramètres!K25),1)="F",INDEX($F$707:$F$759,MATCH(Paramètres!J25,Paramètres!$G$5:$G$57,0)),INDEX($E$707:$E$759,MATCH(Paramètres!J25,Paramètres!$G$5:$G$57,0)))+IF(RIGHT(TRIM(Paramètres!K25),3)="Fin",1-$H727,IF(LEFT(TRIM(Paramètres!K25),1)="F",1,0)))),IF(Paramètres!L25="",0,IF(Paramètres!M25="",NA(),IF(LEFT(TRIM(Paramètres!M25),1)="F",INDEX($F$707:$F$759,MATCH(Paramètres!L25,Paramètres!$G$5:$G$57,0)),INDEX($E$707:$E$759,MATCH(Paramètres!L25,Paramètres!$G$5:$G$57,0)))+IF(RIGHT(TRIM(Paramètres!M25),3)="Fin",1-$H727,IF(LEFT(TRIM(Paramètres!M25),1)="F",1,0)))),IF(Paramètres!N25="",0,IF(Paramètres!O25="",NA(),IF(LEFT(TRIM(Paramètres!O25),1)="F",INDEX($F$707:$F$759,MATCH(Paramètres!N25,Paramètres!$G$5:$G$57,0)),INDEX($E$707:$E$759,MATCH(Paramètres!N25,Paramètres!$G$5:$G$57,0)))+IF(RIGHT(TRIM(Paramètres!O25),3)="Fin",1-$H727,IF(LEFT(TRIM(Paramètres!O25),1)="F",1,0)))))))</f>
        <v/>
      </c>
      <c r="F727" s="19">
        <f>IF($A727="","",E727+$H727-1)</f>
        <v/>
      </c>
      <c r="G727" s="18" t="n"/>
      <c r="H727" s="18">
        <f>IF($A727="","",IF(I727&lt;&gt;"",I727,Paramètres!B25))</f>
        <v/>
      </c>
      <c r="I727" s="18" t="n"/>
    </row>
    <row r="728">
      <c r="A728" s="18">
        <f>IF(ISNUMBER(Dossiers!$D$17),Dossiers!$A$17&amp;" · "&amp;Dossiers!$B$17,"")</f>
        <v/>
      </c>
      <c r="B728" s="18">
        <f>IF($A728="","",Paramètres!G26)</f>
        <v/>
      </c>
      <c r="C728" s="18">
        <f>IF($A728="","",IF(Paramètres!H26="","",Paramètres!H26))</f>
        <v/>
      </c>
      <c r="D728" s="18">
        <f>IF($A728="","",IF(Paramètres!I26="","",Paramètres!I26))</f>
        <v/>
      </c>
      <c r="E728" s="19">
        <f>IF($A728="","",IF(Paramètres!J26&amp;Paramètres!L26&amp;Paramètres!N26="",Dossiers!$D$17,MAX(IF(Paramètres!J26="",0,IF(Paramètres!K26="",NA(),IF(LEFT(TRIM(Paramètres!K26),1)="F",INDEX($F$707:$F$759,MATCH(Paramètres!J26,Paramètres!$G$5:$G$57,0)),INDEX($E$707:$E$759,MATCH(Paramètres!J26,Paramètres!$G$5:$G$57,0)))+IF(RIGHT(TRIM(Paramètres!K26),3)="Fin",1-$H728,IF(LEFT(TRIM(Paramètres!K26),1)="F",1,0)))),IF(Paramètres!L26="",0,IF(Paramètres!M26="",NA(),IF(LEFT(TRIM(Paramètres!M26),1)="F",INDEX($F$707:$F$759,MATCH(Paramètres!L26,Paramètres!$G$5:$G$57,0)),INDEX($E$707:$E$759,MATCH(Paramètres!L26,Paramètres!$G$5:$G$57,0)))+IF(RIGHT(TRIM(Paramètres!M26),3)="Fin",1-$H728,IF(LEFT(TRIM(Paramètres!M26),1)="F",1,0)))),IF(Paramètres!N26="",0,IF(Paramètres!O26="",NA(),IF(LEFT(TRIM(Paramètres!O26),1)="F",INDEX($F$707:$F$759,MATCH(Paramètres!N26,Paramètres!$G$5:$G$57,0)),INDEX($E$707:$E$759,MATCH(Paramètres!N26,Paramètres!$G$5:$G$57,0)))+IF(RIGHT(TRIM(Paramètres!O26),3)="Fin",1-$H728,IF(LEFT(TRIM(Paramètres!O26),1)="F",1,0)))))))</f>
        <v/>
      </c>
      <c r="F728" s="19">
        <f>IF($A728="","",E728+$H728-1)</f>
        <v/>
      </c>
      <c r="G728" s="18" t="n"/>
      <c r="H728" s="18">
        <f>IF($A728="","",IF(I728&lt;&gt;"",I728,Paramètres!B26))</f>
        <v/>
      </c>
      <c r="I728" s="18" t="n"/>
    </row>
    <row r="729">
      <c r="A729" s="18">
        <f>IF(ISNUMBER(Dossiers!$D$17),Dossiers!$A$17&amp;" · "&amp;Dossiers!$B$17,"")</f>
        <v/>
      </c>
      <c r="B729" s="18">
        <f>IF($A729="","",Paramètres!G27)</f>
        <v/>
      </c>
      <c r="C729" s="18">
        <f>IF($A729="","",IF(Paramètres!H27="","",Paramètres!H27))</f>
        <v/>
      </c>
      <c r="D729" s="18">
        <f>IF($A729="","",IF(Paramètres!I27="","",Paramètres!I27))</f>
        <v/>
      </c>
      <c r="E729" s="19">
        <f>IF($A729="","",IF(Paramètres!J27&amp;Paramètres!L27&amp;Paramètres!N27="",Dossiers!$D$17,MAX(IF(Paramètres!J27="",0,IF(Paramètres!K27="",NA(),IF(LEFT(TRIM(Paramètres!K27),1)="F",INDEX($F$707:$F$759,MATCH(Paramètres!J27,Paramètres!$G$5:$G$57,0)),INDEX($E$707:$E$759,MATCH(Paramètres!J27,Paramètres!$G$5:$G$57,0)))+IF(RIGHT(TRIM(Paramètres!K27),3)="Fin",1-$H729,IF(LEFT(TRIM(Paramètres!K27),1)="F",1,0)))),IF(Paramètres!L27="",0,IF(Paramètres!M27="",NA(),IF(LEFT(TRIM(Paramètres!M27),1)="F",INDEX($F$707:$F$759,MATCH(Paramètres!L27,Paramètres!$G$5:$G$57,0)),INDEX($E$707:$E$759,MATCH(Paramètres!L27,Paramètres!$G$5:$G$57,0)))+IF(RIGHT(TRIM(Paramètres!M27),3)="Fin",1-$H729,IF(LEFT(TRIM(Paramètres!M27),1)="F",1,0)))),IF(Paramètres!N27="",0,IF(Paramètres!O27="",NA(),IF(LEFT(TRIM(Paramètres!O27),1)="F",INDEX($F$707:$F$759,MATCH(Paramètres!N27,Paramètres!$G$5:$G$57,0)),INDEX($E$707:$E$759,MATCH(Paramètres!N27,Paramètres!$G$5:$G$57,0)))+IF(RIGHT(TRIM(Paramètres!O27),3)="Fin",1-$H729,IF(LEFT(TRIM(Paramètres!O27),1)="F",1,0)))))))</f>
        <v/>
      </c>
      <c r="F729" s="19">
        <f>IF($A729="","",E729+$H729-1)</f>
        <v/>
      </c>
      <c r="G729" s="18" t="n"/>
      <c r="H729" s="18">
        <f>IF($A729="","",IF(I729&lt;&gt;"",I729,Paramètres!B27))</f>
        <v/>
      </c>
      <c r="I729" s="18" t="n"/>
    </row>
    <row r="730">
      <c r="A730" s="18">
        <f>IF(ISNUMBER(Dossiers!$D$17),Dossiers!$A$17&amp;" · "&amp;Dossiers!$B$17,"")</f>
        <v/>
      </c>
      <c r="B730" s="18">
        <f>IF($A730="","",Paramètres!G28)</f>
        <v/>
      </c>
      <c r="C730" s="18">
        <f>IF($A730="","",IF(Paramètres!H28="","",Paramètres!H28))</f>
        <v/>
      </c>
      <c r="D730" s="18">
        <f>IF($A730="","",IF(Paramètres!I28="","",Paramètres!I28))</f>
        <v/>
      </c>
      <c r="E730" s="19">
        <f>IF($A730="","",IF(Paramètres!J28&amp;Paramètres!L28&amp;Paramètres!N28="",Dossiers!$D$17,MAX(IF(Paramètres!J28="",0,IF(Paramètres!K28="",NA(),IF(LEFT(TRIM(Paramètres!K28),1)="F",INDEX($F$707:$F$759,MATCH(Paramètres!J28,Paramètres!$G$5:$G$57,0)),INDEX($E$707:$E$759,MATCH(Paramètres!J28,Paramètres!$G$5:$G$57,0)))+IF(RIGHT(TRIM(Paramètres!K28),3)="Fin",1-$H730,IF(LEFT(TRIM(Paramètres!K28),1)="F",1,0)))),IF(Paramètres!L28="",0,IF(Paramètres!M28="",NA(),IF(LEFT(TRIM(Paramètres!M28),1)="F",INDEX($F$707:$F$759,MATCH(Paramètres!L28,Paramètres!$G$5:$G$57,0)),INDEX($E$707:$E$759,MATCH(Paramètres!L28,Paramètres!$G$5:$G$57,0)))+IF(RIGHT(TRIM(Paramètres!M28),3)="Fin",1-$H730,IF(LEFT(TRIM(Paramètres!M28),1)="F",1,0)))),IF(Paramètres!N28="",0,IF(Paramètres!O28="",NA(),IF(LEFT(TRIM(Paramètres!O28),1)="F",INDEX($F$707:$F$759,MATCH(Paramètres!N28,Paramètres!$G$5:$G$57,0)),INDEX($E$707:$E$759,MATCH(Paramètres!N28,Paramètres!$G$5:$G$57,0)))+IF(RIGHT(TRIM(Paramètres!O28),3)="Fin",1-$H730,IF(LEFT(TRIM(Paramètres!O28),1)="F",1,0)))))))</f>
        <v/>
      </c>
      <c r="F730" s="19">
        <f>IF($A730="","",E730+$H730-1)</f>
        <v/>
      </c>
      <c r="G730" s="18" t="n"/>
      <c r="H730" s="18">
        <f>IF($A730="","",IF(I730&lt;&gt;"",I730,Paramètres!B28))</f>
        <v/>
      </c>
      <c r="I730" s="18" t="n"/>
    </row>
    <row r="731">
      <c r="A731" s="18">
        <f>IF(ISNUMBER(Dossiers!$D$17),Dossiers!$A$17&amp;" · "&amp;Dossiers!$B$17,"")</f>
        <v/>
      </c>
      <c r="B731" s="18">
        <f>IF($A731="","",Paramètres!G29)</f>
        <v/>
      </c>
      <c r="C731" s="18">
        <f>IF($A731="","",IF(Paramètres!H29="","",Paramètres!H29))</f>
        <v/>
      </c>
      <c r="D731" s="18">
        <f>IF($A731="","",IF(Paramètres!I29="","",Paramètres!I29))</f>
        <v/>
      </c>
      <c r="E731" s="19">
        <f>IF($A731="","",IF(Paramètres!J29&amp;Paramètres!L29&amp;Paramètres!N29="",Dossiers!$D$17,MAX(IF(Paramètres!J29="",0,IF(Paramètres!K29="",NA(),IF(LEFT(TRIM(Paramètres!K29),1)="F",INDEX($F$707:$F$759,MATCH(Paramètres!J29,Paramètres!$G$5:$G$57,0)),INDEX($E$707:$E$759,MATCH(Paramètres!J29,Paramètres!$G$5:$G$57,0)))+IF(RIGHT(TRIM(Paramètres!K29),3)="Fin",1-$H731,IF(LEFT(TRIM(Paramètres!K29),1)="F",1,0)))),IF(Paramètres!L29="",0,IF(Paramètres!M29="",NA(),IF(LEFT(TRIM(Paramètres!M29),1)="F",INDEX($F$707:$F$759,MATCH(Paramètres!L29,Paramètres!$G$5:$G$57,0)),INDEX($E$707:$E$759,MATCH(Paramètres!L29,Paramètres!$G$5:$G$57,0)))+IF(RIGHT(TRIM(Paramètres!M29),3)="Fin",1-$H731,IF(LEFT(TRIM(Paramètres!M29),1)="F",1,0)))),IF(Paramètres!N29="",0,IF(Paramètres!O29="",NA(),IF(LEFT(TRIM(Paramètres!O29),1)="F",INDEX($F$707:$F$759,MATCH(Paramètres!N29,Paramètres!$G$5:$G$57,0)),INDEX($E$707:$E$759,MATCH(Paramètres!N29,Paramètres!$G$5:$G$57,0)))+IF(RIGHT(TRIM(Paramètres!O29),3)="Fin",1-$H731,IF(LEFT(TRIM(Paramètres!O29),1)="F",1,0)))))))</f>
        <v/>
      </c>
      <c r="F731" s="19">
        <f>IF($A731="","",E731+$H731-1)</f>
        <v/>
      </c>
      <c r="G731" s="18" t="n"/>
      <c r="H731" s="18">
        <f>IF($A731="","",IF(I731&lt;&gt;"",I731,Paramètres!B29))</f>
        <v/>
      </c>
      <c r="I731" s="18" t="n"/>
    </row>
    <row r="732">
      <c r="A732" s="18">
        <f>IF(ISNUMBER(Dossiers!$D$17),Dossiers!$A$17&amp;" · "&amp;Dossiers!$B$17,"")</f>
        <v/>
      </c>
      <c r="B732" s="18">
        <f>IF($A732="","",Paramètres!G30)</f>
        <v/>
      </c>
      <c r="C732" s="18">
        <f>IF($A732="","",IF(Paramètres!H30="","",Paramètres!H30))</f>
        <v/>
      </c>
      <c r="D732" s="18">
        <f>IF($A732="","",IF(Paramètres!I30="","",Paramètres!I30))</f>
        <v/>
      </c>
      <c r="E732" s="19">
        <f>IF($A732="","",IF(Paramètres!J30&amp;Paramètres!L30&amp;Paramètres!N30="",Dossiers!$D$17,MAX(IF(Paramètres!J30="",0,IF(Paramètres!K30="",NA(),IF(LEFT(TRIM(Paramètres!K30),1)="F",INDEX($F$707:$F$759,MATCH(Paramètres!J30,Paramètres!$G$5:$G$57,0)),INDEX($E$707:$E$759,MATCH(Paramètres!J30,Paramètres!$G$5:$G$57,0)))+IF(RIGHT(TRIM(Paramètres!K30),3)="Fin",1-$H732,IF(LEFT(TRIM(Paramètres!K30),1)="F",1,0)))),IF(Paramètres!L30="",0,IF(Paramètres!M30="",NA(),IF(LEFT(TRIM(Paramètres!M30),1)="F",INDEX($F$707:$F$759,MATCH(Paramètres!L30,Paramètres!$G$5:$G$57,0)),INDEX($E$707:$E$759,MATCH(Paramètres!L30,Paramètres!$G$5:$G$57,0)))+IF(RIGHT(TRIM(Paramètres!M30),3)="Fin",1-$H732,IF(LEFT(TRIM(Paramètres!M30),1)="F",1,0)))),IF(Paramètres!N30="",0,IF(Paramètres!O30="",NA(),IF(LEFT(TRIM(Paramètres!O30),1)="F",INDEX($F$707:$F$759,MATCH(Paramètres!N30,Paramètres!$G$5:$G$57,0)),INDEX($E$707:$E$759,MATCH(Paramètres!N30,Paramètres!$G$5:$G$57,0)))+IF(RIGHT(TRIM(Paramètres!O30),3)="Fin",1-$H732,IF(LEFT(TRIM(Paramètres!O30),1)="F",1,0)))))))</f>
        <v/>
      </c>
      <c r="F732" s="19">
        <f>IF($A732="","",E732+$H732-1)</f>
        <v/>
      </c>
      <c r="G732" s="18" t="n"/>
      <c r="H732" s="18">
        <f>IF($A732="","",IF(I732&lt;&gt;"",I732,Paramètres!B30))</f>
        <v/>
      </c>
      <c r="I732" s="18" t="n"/>
    </row>
    <row r="733">
      <c r="A733" s="18">
        <f>IF(ISNUMBER(Dossiers!$D$17),Dossiers!$A$17&amp;" · "&amp;Dossiers!$B$17,"")</f>
        <v/>
      </c>
      <c r="B733" s="18">
        <f>IF($A733="","",Paramètres!G31)</f>
        <v/>
      </c>
      <c r="C733" s="20">
        <f>IF($A733="","",IF(Dossiers!$F$17="","",Dossiers!$F$17))</f>
        <v/>
      </c>
      <c r="D733" s="18">
        <f>IF($A733="","",IF(Paramètres!I31="","",Paramètres!I31))</f>
        <v/>
      </c>
      <c r="E733" s="19">
        <f>IF($A733="","",IF(Paramètres!J31&amp;Paramètres!L31&amp;Paramètres!N31="",Dossiers!$D$17,MAX(IF(Paramètres!J31="",0,IF(Paramètres!K31="",NA(),IF(LEFT(TRIM(Paramètres!K31),1)="F",INDEX($F$707:$F$759,MATCH(Paramètres!J31,Paramètres!$G$5:$G$57,0)),INDEX($E$707:$E$759,MATCH(Paramètres!J31,Paramètres!$G$5:$G$57,0)))+IF(RIGHT(TRIM(Paramètres!K31),3)="Fin",1-$H733,IF(LEFT(TRIM(Paramètres!K31),1)="F",1,0)))),IF(Paramètres!L31="",0,IF(Paramètres!M31="",NA(),IF(LEFT(TRIM(Paramètres!M31),1)="F",INDEX($F$707:$F$759,MATCH(Paramètres!L31,Paramètres!$G$5:$G$57,0)),INDEX($E$707:$E$759,MATCH(Paramètres!L31,Paramètres!$G$5:$G$57,0)))+IF(RIGHT(TRIM(Paramètres!M31),3)="Fin",1-$H733,IF(LEFT(TRIM(Paramètres!M31),1)="F",1,0)))),IF(Paramètres!N31="",0,IF(Paramètres!O31="",NA(),IF(LEFT(TRIM(Paramètres!O31),1)="F",INDEX($F$707:$F$759,MATCH(Paramètres!N31,Paramètres!$G$5:$G$57,0)),INDEX($E$707:$E$759,MATCH(Paramètres!N31,Paramètres!$G$5:$G$57,0)))+IF(RIGHT(TRIM(Paramètres!O31),3)="Fin",1-$H733,IF(LEFT(TRIM(Paramètres!O31),1)="F",1,0)))))))</f>
        <v/>
      </c>
      <c r="F733" s="19">
        <f>IF($A733="","",E733+$H733-1)</f>
        <v/>
      </c>
      <c r="G733" s="18" t="n"/>
      <c r="H733" s="18">
        <f>IF($A733="","",IF(I733&lt;&gt;"",I733,Paramètres!B31))</f>
        <v/>
      </c>
      <c r="I733" s="18" t="n"/>
    </row>
    <row r="734">
      <c r="A734" s="18">
        <f>IF(ISNUMBER(Dossiers!$D$17),Dossiers!$A$17&amp;" · "&amp;Dossiers!$B$17,"")</f>
        <v/>
      </c>
      <c r="B734" s="18">
        <f>IF($A734="","",Paramètres!G32)</f>
        <v/>
      </c>
      <c r="C734" s="18">
        <f>IF($A734="","",IF(Paramètres!H32="","",Paramètres!H32))</f>
        <v/>
      </c>
      <c r="D734" s="18">
        <f>IF($A734="","",IF(Paramètres!I32="","",Paramètres!I32))</f>
        <v/>
      </c>
      <c r="E734" s="19">
        <f>IF($A734="","",MIN(E735:E738))</f>
        <v/>
      </c>
      <c r="F734" s="19">
        <f>IF($A734="","",MAX(F735:F738))</f>
        <v/>
      </c>
      <c r="G734" s="18" t="n"/>
      <c r="H734" s="18">
        <f>IF($A734="","",F734-E734+1)</f>
        <v/>
      </c>
      <c r="I734" s="18" t="n"/>
    </row>
    <row r="735">
      <c r="A735" s="18">
        <f>IF(ISNUMBER(Dossiers!$D$17),Dossiers!$A$17&amp;" · "&amp;Dossiers!$B$17,"")</f>
        <v/>
      </c>
      <c r="B735" s="18">
        <f>IF($A735="","",Paramètres!G33)</f>
        <v/>
      </c>
      <c r="C735" s="18">
        <f>IF($A735="","",IF(Paramètres!H33="","",Paramètres!H33))</f>
        <v/>
      </c>
      <c r="D735" s="18">
        <f>IF($A735="","",IF(Paramètres!I33="","",Paramètres!I33))</f>
        <v/>
      </c>
      <c r="E735" s="19">
        <f>IF($A735="","",IF(Paramètres!J33&amp;Paramètres!L33&amp;Paramètres!N33="",Dossiers!$D$17,MAX(IF(Paramètres!J33="",0,IF(Paramètres!K33="",NA(),IF(LEFT(TRIM(Paramètres!K33),1)="F",INDEX($F$707:$F$759,MATCH(Paramètres!J33,Paramètres!$G$5:$G$57,0)),INDEX($E$707:$E$759,MATCH(Paramètres!J33,Paramètres!$G$5:$G$57,0)))+IF(RIGHT(TRIM(Paramètres!K33),3)="Fin",1-$H735,IF(LEFT(TRIM(Paramètres!K33),1)="F",1,0)))),IF(Paramètres!L33="",0,IF(Paramètres!M33="",NA(),IF(LEFT(TRIM(Paramètres!M33),1)="F",INDEX($F$707:$F$759,MATCH(Paramètres!L33,Paramètres!$G$5:$G$57,0)),INDEX($E$707:$E$759,MATCH(Paramètres!L33,Paramètres!$G$5:$G$57,0)))+IF(RIGHT(TRIM(Paramètres!M33),3)="Fin",1-$H735,IF(LEFT(TRIM(Paramètres!M33),1)="F",1,0)))),IF(Paramètres!N33="",0,IF(Paramètres!O33="",NA(),IF(LEFT(TRIM(Paramètres!O33),1)="F",INDEX($F$707:$F$759,MATCH(Paramètres!N33,Paramètres!$G$5:$G$57,0)),INDEX($E$707:$E$759,MATCH(Paramètres!N33,Paramètres!$G$5:$G$57,0)))+IF(RIGHT(TRIM(Paramètres!O33),3)="Fin",1-$H735,IF(LEFT(TRIM(Paramètres!O33),1)="F",1,0)))))))</f>
        <v/>
      </c>
      <c r="F735" s="19">
        <f>IF($A735="","",E735+$H735-1)</f>
        <v/>
      </c>
      <c r="G735" s="18" t="n"/>
      <c r="H735" s="18">
        <f>IF($A735="","",IF(I735&lt;&gt;"",I735,Paramètres!B33))</f>
        <v/>
      </c>
      <c r="I735" s="18" t="n"/>
    </row>
    <row r="736">
      <c r="A736" s="18">
        <f>IF(ISNUMBER(Dossiers!$D$17),Dossiers!$A$17&amp;" · "&amp;Dossiers!$B$17,"")</f>
        <v/>
      </c>
      <c r="B736" s="18">
        <f>IF($A736="","",Paramètres!G34)</f>
        <v/>
      </c>
      <c r="C736" s="18">
        <f>IF($A736="","",IF(Paramètres!H34="","",Paramètres!H34))</f>
        <v/>
      </c>
      <c r="D736" s="18">
        <f>IF($A736="","",IF(Paramètres!I34="","",Paramètres!I34))</f>
        <v/>
      </c>
      <c r="E736" s="19">
        <f>IF($A736="","",IF(Paramètres!J34&amp;Paramètres!L34&amp;Paramètres!N34="",Dossiers!$D$17,MAX(IF(Paramètres!J34="",0,IF(Paramètres!K34="",NA(),IF(LEFT(TRIM(Paramètres!K34),1)="F",INDEX($F$707:$F$759,MATCH(Paramètres!J34,Paramètres!$G$5:$G$57,0)),INDEX($E$707:$E$759,MATCH(Paramètres!J34,Paramètres!$G$5:$G$57,0)))+IF(RIGHT(TRIM(Paramètres!K34),3)="Fin",1-$H736,IF(LEFT(TRIM(Paramètres!K34),1)="F",1,0)))),IF(Paramètres!L34="",0,IF(Paramètres!M34="",NA(),IF(LEFT(TRIM(Paramètres!M34),1)="F",INDEX($F$707:$F$759,MATCH(Paramètres!L34,Paramètres!$G$5:$G$57,0)),INDEX($E$707:$E$759,MATCH(Paramètres!L34,Paramètres!$G$5:$G$57,0)))+IF(RIGHT(TRIM(Paramètres!M34),3)="Fin",1-$H736,IF(LEFT(TRIM(Paramètres!M34),1)="F",1,0)))),IF(Paramètres!N34="",0,IF(Paramètres!O34="",NA(),IF(LEFT(TRIM(Paramètres!O34),1)="F",INDEX($F$707:$F$759,MATCH(Paramètres!N34,Paramètres!$G$5:$G$57,0)),INDEX($E$707:$E$759,MATCH(Paramètres!N34,Paramètres!$G$5:$G$57,0)))+IF(RIGHT(TRIM(Paramètres!O34),3)="Fin",1-$H736,IF(LEFT(TRIM(Paramètres!O34),1)="F",1,0)))))))</f>
        <v/>
      </c>
      <c r="F736" s="19">
        <f>IF($A736="","",E736+$H736-1)</f>
        <v/>
      </c>
      <c r="G736" s="18" t="n"/>
      <c r="H736" s="18">
        <f>IF($A736="","",IF(I736&lt;&gt;"",I736,Paramètres!B34))</f>
        <v/>
      </c>
      <c r="I736" s="18" t="n"/>
    </row>
    <row r="737">
      <c r="A737" s="18">
        <f>IF(ISNUMBER(Dossiers!$D$17),Dossiers!$A$17&amp;" · "&amp;Dossiers!$B$17,"")</f>
        <v/>
      </c>
      <c r="B737" s="18">
        <f>IF($A737="","",Paramètres!G35)</f>
        <v/>
      </c>
      <c r="C737" s="18">
        <f>IF($A737="","",IF(Paramètres!H35="","",Paramètres!H35))</f>
        <v/>
      </c>
      <c r="D737" s="18">
        <f>IF($A737="","",IF(Paramètres!I35="","",Paramètres!I35))</f>
        <v/>
      </c>
      <c r="E737" s="19">
        <f>IF($A737="","",IF(Paramètres!J35&amp;Paramètres!L35&amp;Paramètres!N35="",Dossiers!$D$17,MAX(IF(Paramètres!J35="",0,IF(Paramètres!K35="",NA(),IF(LEFT(TRIM(Paramètres!K35),1)="F",INDEX($F$707:$F$759,MATCH(Paramètres!J35,Paramètres!$G$5:$G$57,0)),INDEX($E$707:$E$759,MATCH(Paramètres!J35,Paramètres!$G$5:$G$57,0)))+IF(RIGHT(TRIM(Paramètres!K35),3)="Fin",1-$H737,IF(LEFT(TRIM(Paramètres!K35),1)="F",1,0)))),IF(Paramètres!L35="",0,IF(Paramètres!M35="",NA(),IF(LEFT(TRIM(Paramètres!M35),1)="F",INDEX($F$707:$F$759,MATCH(Paramètres!L35,Paramètres!$G$5:$G$57,0)),INDEX($E$707:$E$759,MATCH(Paramètres!L35,Paramètres!$G$5:$G$57,0)))+IF(RIGHT(TRIM(Paramètres!M35),3)="Fin",1-$H737,IF(LEFT(TRIM(Paramètres!M35),1)="F",1,0)))),IF(Paramètres!N35="",0,IF(Paramètres!O35="",NA(),IF(LEFT(TRIM(Paramètres!O35),1)="F",INDEX($F$707:$F$759,MATCH(Paramètres!N35,Paramètres!$G$5:$G$57,0)),INDEX($E$707:$E$759,MATCH(Paramètres!N35,Paramètres!$G$5:$G$57,0)))+IF(RIGHT(TRIM(Paramètres!O35),3)="Fin",1-$H737,IF(LEFT(TRIM(Paramètres!O35),1)="F",1,0)))))))</f>
        <v/>
      </c>
      <c r="F737" s="19">
        <f>IF($A737="","",E737+$H737-1)</f>
        <v/>
      </c>
      <c r="G737" s="18" t="n"/>
      <c r="H737" s="18">
        <f>IF($A737="","",IF(I737&lt;&gt;"",I737,Paramètres!B35))</f>
        <v/>
      </c>
      <c r="I737" s="18" t="n"/>
    </row>
    <row r="738">
      <c r="A738" s="18">
        <f>IF(ISNUMBER(Dossiers!$D$17),Dossiers!$A$17&amp;" · "&amp;Dossiers!$B$17,"")</f>
        <v/>
      </c>
      <c r="B738" s="18">
        <f>IF($A738="","",Paramètres!G36)</f>
        <v/>
      </c>
      <c r="C738" s="18">
        <f>IF($A738="","",IF(Paramètres!H36="","",Paramètres!H36))</f>
        <v/>
      </c>
      <c r="D738" s="18">
        <f>IF($A738="","",IF(Paramètres!I36="","",Paramètres!I36))</f>
        <v/>
      </c>
      <c r="E738" s="19">
        <f>IF($A738="","",IF(Paramètres!J36&amp;Paramètres!L36&amp;Paramètres!N36="",Dossiers!$D$17,MAX(IF(Paramètres!J36="",0,IF(Paramètres!K36="",NA(),IF(LEFT(TRIM(Paramètres!K36),1)="F",INDEX($F$707:$F$759,MATCH(Paramètres!J36,Paramètres!$G$5:$G$57,0)),INDEX($E$707:$E$759,MATCH(Paramètres!J36,Paramètres!$G$5:$G$57,0)))+IF(RIGHT(TRIM(Paramètres!K36),3)="Fin",1-$H738,IF(LEFT(TRIM(Paramètres!K36),1)="F",1,0)))),IF(Paramètres!L36="",0,IF(Paramètres!M36="",NA(),IF(LEFT(TRIM(Paramètres!M36),1)="F",INDEX($F$707:$F$759,MATCH(Paramètres!L36,Paramètres!$G$5:$G$57,0)),INDEX($E$707:$E$759,MATCH(Paramètres!L36,Paramètres!$G$5:$G$57,0)))+IF(RIGHT(TRIM(Paramètres!M36),3)="Fin",1-$H738,IF(LEFT(TRIM(Paramètres!M36),1)="F",1,0)))),IF(Paramètres!N36="",0,IF(Paramètres!O36="",NA(),IF(LEFT(TRIM(Paramètres!O36),1)="F",INDEX($F$707:$F$759,MATCH(Paramètres!N36,Paramètres!$G$5:$G$57,0)),INDEX($E$707:$E$759,MATCH(Paramètres!N36,Paramètres!$G$5:$G$57,0)))+IF(RIGHT(TRIM(Paramètres!O36),3)="Fin",1-$H738,IF(LEFT(TRIM(Paramètres!O36),1)="F",1,0)))))))</f>
        <v/>
      </c>
      <c r="F738" s="19">
        <f>IF($A738="","",E738+$H738-1)</f>
        <v/>
      </c>
      <c r="G738" s="18" t="n"/>
      <c r="H738" s="18">
        <f>IF($A738="","",IF(I738&lt;&gt;"",I738,Paramètres!B36))</f>
        <v/>
      </c>
      <c r="I738" s="18" t="n"/>
    </row>
    <row r="739">
      <c r="A739" s="18">
        <f>IF(ISNUMBER(Dossiers!$D$17),Dossiers!$A$17&amp;" · "&amp;Dossiers!$B$17,"")</f>
        <v/>
      </c>
      <c r="B739" s="18">
        <f>IF($A739="","",Paramètres!G37)</f>
        <v/>
      </c>
      <c r="C739" s="18">
        <f>IF($A739="","",IF(Paramètres!H37="","",Paramètres!H37))</f>
        <v/>
      </c>
      <c r="D739" s="18">
        <f>IF($A739="","",IF(Paramètres!I37="","",Paramètres!I37))</f>
        <v/>
      </c>
      <c r="E739" s="19">
        <f>IF($A739="","",MIN(E740:E757))</f>
        <v/>
      </c>
      <c r="F739" s="19">
        <f>IF($A739="","",MAX(F740:F757))</f>
        <v/>
      </c>
      <c r="G739" s="18" t="n"/>
      <c r="H739" s="18">
        <f>IF($A739="","",F739-E739+1)</f>
        <v/>
      </c>
      <c r="I739" s="18" t="n"/>
    </row>
    <row r="740">
      <c r="A740" s="18">
        <f>IF(ISNUMBER(Dossiers!$D$17),Dossiers!$A$17&amp;" · "&amp;Dossiers!$B$17,"")</f>
        <v/>
      </c>
      <c r="B740" s="18">
        <f>IF($A740="","",Paramètres!G38)</f>
        <v/>
      </c>
      <c r="C740" s="18">
        <f>IF($A740="","",IF(Paramètres!H38="","",Paramètres!H38))</f>
        <v/>
      </c>
      <c r="D740" s="18">
        <f>IF($A740="","",IF(Paramètres!I38="","",Paramètres!I38))</f>
        <v/>
      </c>
      <c r="E740" s="19">
        <f>IF($A740="","",IF(Paramètres!J38&amp;Paramètres!L38&amp;Paramètres!N38="",Dossiers!$D$17,MAX(IF(Paramètres!J38="",0,IF(Paramètres!K38="",NA(),IF(LEFT(TRIM(Paramètres!K38),1)="F",INDEX($F$707:$F$759,MATCH(Paramètres!J38,Paramètres!$G$5:$G$57,0)),INDEX($E$707:$E$759,MATCH(Paramètres!J38,Paramètres!$G$5:$G$57,0)))+IF(RIGHT(TRIM(Paramètres!K38),3)="Fin",1-$H740,IF(LEFT(TRIM(Paramètres!K38),1)="F",1,0)))),IF(Paramètres!L38="",0,IF(Paramètres!M38="",NA(),IF(LEFT(TRIM(Paramètres!M38),1)="F",INDEX($F$707:$F$759,MATCH(Paramètres!L38,Paramètres!$G$5:$G$57,0)),INDEX($E$707:$E$759,MATCH(Paramètres!L38,Paramètres!$G$5:$G$57,0)))+IF(RIGHT(TRIM(Paramètres!M38),3)="Fin",1-$H740,IF(LEFT(TRIM(Paramètres!M38),1)="F",1,0)))),IF(Paramètres!N38="",0,IF(Paramètres!O38="",NA(),IF(LEFT(TRIM(Paramètres!O38),1)="F",INDEX($F$707:$F$759,MATCH(Paramètres!N38,Paramètres!$G$5:$G$57,0)),INDEX($E$707:$E$759,MATCH(Paramètres!N38,Paramètres!$G$5:$G$57,0)))+IF(RIGHT(TRIM(Paramètres!O38),3)="Fin",1-$H740,IF(LEFT(TRIM(Paramètres!O38),1)="F",1,0)))))))</f>
        <v/>
      </c>
      <c r="F740" s="19">
        <f>IF($A740="","",E740+$H740-1)</f>
        <v/>
      </c>
      <c r="G740" s="18" t="n"/>
      <c r="H740" s="18">
        <f>IF($A740="","",IF(I740&lt;&gt;"",I740,Paramètres!B38))</f>
        <v/>
      </c>
      <c r="I740" s="18" t="n"/>
    </row>
    <row r="741">
      <c r="A741" s="18">
        <f>IF(ISNUMBER(Dossiers!$D$17),Dossiers!$A$17&amp;" · "&amp;Dossiers!$B$17,"")</f>
        <v/>
      </c>
      <c r="B741" s="18">
        <f>IF($A741="","",Paramètres!G39)</f>
        <v/>
      </c>
      <c r="C741" s="18">
        <f>IF($A741="","",IF(Paramètres!H39="","",Paramètres!H39))</f>
        <v/>
      </c>
      <c r="D741" s="18">
        <f>IF($A741="","",IF(Paramètres!I39="","",Paramètres!I39))</f>
        <v/>
      </c>
      <c r="E741" s="19">
        <f>IF($A741="","",IF(Paramètres!J39&amp;Paramètres!L39&amp;Paramètres!N39="",Dossiers!$D$17,MAX(IF(Paramètres!J39="",0,IF(Paramètres!K39="",NA(),IF(LEFT(TRIM(Paramètres!K39),1)="F",INDEX($F$707:$F$759,MATCH(Paramètres!J39,Paramètres!$G$5:$G$57,0)),INDEX($E$707:$E$759,MATCH(Paramètres!J39,Paramètres!$G$5:$G$57,0)))+IF(RIGHT(TRIM(Paramètres!K39),3)="Fin",1-$H741,IF(LEFT(TRIM(Paramètres!K39),1)="F",1,0)))),IF(Paramètres!L39="",0,IF(Paramètres!M39="",NA(),IF(LEFT(TRIM(Paramètres!M39),1)="F",INDEX($F$707:$F$759,MATCH(Paramètres!L39,Paramètres!$G$5:$G$57,0)),INDEX($E$707:$E$759,MATCH(Paramètres!L39,Paramètres!$G$5:$G$57,0)))+IF(RIGHT(TRIM(Paramètres!M39),3)="Fin",1-$H741,IF(LEFT(TRIM(Paramètres!M39),1)="F",1,0)))),IF(Paramètres!N39="",0,IF(Paramètres!O39="",NA(),IF(LEFT(TRIM(Paramètres!O39),1)="F",INDEX($F$707:$F$759,MATCH(Paramètres!N39,Paramètres!$G$5:$G$57,0)),INDEX($E$707:$E$759,MATCH(Paramètres!N39,Paramètres!$G$5:$G$57,0)))+IF(RIGHT(TRIM(Paramètres!O39),3)="Fin",1-$H741,IF(LEFT(TRIM(Paramètres!O39),1)="F",1,0)))))))</f>
        <v/>
      </c>
      <c r="F741" s="19">
        <f>IF($A741="","",E741+$H741-1)</f>
        <v/>
      </c>
      <c r="G741" s="18" t="n"/>
      <c r="H741" s="18">
        <f>IF($A741="","",IF(I741&lt;&gt;"",I741,Paramètres!B39))</f>
        <v/>
      </c>
      <c r="I741" s="18" t="n"/>
    </row>
    <row r="742">
      <c r="A742" s="18">
        <f>IF(ISNUMBER(Dossiers!$D$17),Dossiers!$A$17&amp;" · "&amp;Dossiers!$B$17,"")</f>
        <v/>
      </c>
      <c r="B742" s="18">
        <f>IF($A742="","",Paramètres!G40)</f>
        <v/>
      </c>
      <c r="C742" s="18">
        <f>IF($A742="","",IF(Paramètres!H40="","",Paramètres!H40))</f>
        <v/>
      </c>
      <c r="D742" s="18">
        <f>IF($A742="","",IF(Paramètres!I40="","",Paramètres!I40))</f>
        <v/>
      </c>
      <c r="E742" s="19">
        <f>IF($A742="","",IF(Paramètres!J40&amp;Paramètres!L40&amp;Paramètres!N40="",Dossiers!$D$17,MAX(IF(Paramètres!J40="",0,IF(Paramètres!K40="",NA(),IF(LEFT(TRIM(Paramètres!K40),1)="F",INDEX($F$707:$F$759,MATCH(Paramètres!J40,Paramètres!$G$5:$G$57,0)),INDEX($E$707:$E$759,MATCH(Paramètres!J40,Paramètres!$G$5:$G$57,0)))+IF(RIGHT(TRIM(Paramètres!K40),3)="Fin",1-$H742,IF(LEFT(TRIM(Paramètres!K40),1)="F",1,0)))),IF(Paramètres!L40="",0,IF(Paramètres!M40="",NA(),IF(LEFT(TRIM(Paramètres!M40),1)="F",INDEX($F$707:$F$759,MATCH(Paramètres!L40,Paramètres!$G$5:$G$57,0)),INDEX($E$707:$E$759,MATCH(Paramètres!L40,Paramètres!$G$5:$G$57,0)))+IF(RIGHT(TRIM(Paramètres!M40),3)="Fin",1-$H742,IF(LEFT(TRIM(Paramètres!M40),1)="F",1,0)))),IF(Paramètres!N40="",0,IF(Paramètres!O40="",NA(),IF(LEFT(TRIM(Paramètres!O40),1)="F",INDEX($F$707:$F$759,MATCH(Paramètres!N40,Paramètres!$G$5:$G$57,0)),INDEX($E$707:$E$759,MATCH(Paramètres!N40,Paramètres!$G$5:$G$57,0)))+IF(RIGHT(TRIM(Paramètres!O40),3)="Fin",1-$H742,IF(LEFT(TRIM(Paramètres!O40),1)="F",1,0)))))))</f>
        <v/>
      </c>
      <c r="F742" s="19">
        <f>IF($A742="","",E742+$H742-1)</f>
        <v/>
      </c>
      <c r="G742" s="18" t="n"/>
      <c r="H742" s="18">
        <f>IF($A742="","",IF(I742&lt;&gt;"",I742,Paramètres!B40))</f>
        <v/>
      </c>
      <c r="I742" s="18" t="n"/>
    </row>
    <row r="743">
      <c r="A743" s="18">
        <f>IF(ISNUMBER(Dossiers!$D$17),Dossiers!$A$17&amp;" · "&amp;Dossiers!$B$17,"")</f>
        <v/>
      </c>
      <c r="B743" s="18">
        <f>IF($A743="","",Paramètres!G41)</f>
        <v/>
      </c>
      <c r="C743" s="18">
        <f>IF($A743="","",IF(Paramètres!H41="","",Paramètres!H41))</f>
        <v/>
      </c>
      <c r="D743" s="18">
        <f>IF($A743="","",IF(Paramètres!I41="","",Paramètres!I41))</f>
        <v/>
      </c>
      <c r="E743" s="19">
        <f>IF($A743="","",IF(Paramètres!J41&amp;Paramètres!L41&amp;Paramètres!N41="",Dossiers!$D$17,MAX(IF(Paramètres!J41="",0,IF(Paramètres!K41="",NA(),IF(LEFT(TRIM(Paramètres!K41),1)="F",INDEX($F$707:$F$759,MATCH(Paramètres!J41,Paramètres!$G$5:$G$57,0)),INDEX($E$707:$E$759,MATCH(Paramètres!J41,Paramètres!$G$5:$G$57,0)))+IF(RIGHT(TRIM(Paramètres!K41),3)="Fin",1-$H743,IF(LEFT(TRIM(Paramètres!K41),1)="F",1,0)))),IF(Paramètres!L41="",0,IF(Paramètres!M41="",NA(),IF(LEFT(TRIM(Paramètres!M41),1)="F",INDEX($F$707:$F$759,MATCH(Paramètres!L41,Paramètres!$G$5:$G$57,0)),INDEX($E$707:$E$759,MATCH(Paramètres!L41,Paramètres!$G$5:$G$57,0)))+IF(RIGHT(TRIM(Paramètres!M41),3)="Fin",1-$H743,IF(LEFT(TRIM(Paramètres!M41),1)="F",1,0)))),IF(Paramètres!N41="",0,IF(Paramètres!O41="",NA(),IF(LEFT(TRIM(Paramètres!O41),1)="F",INDEX($F$707:$F$759,MATCH(Paramètres!N41,Paramètres!$G$5:$G$57,0)),INDEX($E$707:$E$759,MATCH(Paramètres!N41,Paramètres!$G$5:$G$57,0)))+IF(RIGHT(TRIM(Paramètres!O41),3)="Fin",1-$H743,IF(LEFT(TRIM(Paramètres!O41),1)="F",1,0)))))))</f>
        <v/>
      </c>
      <c r="F743" s="19">
        <f>IF($A743="","",E743+$H743-1)</f>
        <v/>
      </c>
      <c r="G743" s="18" t="n"/>
      <c r="H743" s="18">
        <f>IF($A743="","",IF(I743&lt;&gt;"",I743,Paramètres!B41))</f>
        <v/>
      </c>
      <c r="I743" s="18" t="n"/>
    </row>
    <row r="744">
      <c r="A744" s="18">
        <f>IF(ISNUMBER(Dossiers!$D$17),Dossiers!$A$17&amp;" · "&amp;Dossiers!$B$17,"")</f>
        <v/>
      </c>
      <c r="B744" s="18">
        <f>IF($A744="","",Paramètres!G42)</f>
        <v/>
      </c>
      <c r="C744" s="18">
        <f>IF($A744="","",IF(Paramètres!H42="","",Paramètres!H42))</f>
        <v/>
      </c>
      <c r="D744" s="18">
        <f>IF($A744="","",IF(Paramètres!I42="","",Paramètres!I42))</f>
        <v/>
      </c>
      <c r="E744" s="19">
        <f>IF($A744="","",IF(Paramètres!J42&amp;Paramètres!L42&amp;Paramètres!N42="",Dossiers!$D$17,MAX(IF(Paramètres!J42="",0,IF(Paramètres!K42="",NA(),IF(LEFT(TRIM(Paramètres!K42),1)="F",INDEX($F$707:$F$759,MATCH(Paramètres!J42,Paramètres!$G$5:$G$57,0)),INDEX($E$707:$E$759,MATCH(Paramètres!J42,Paramètres!$G$5:$G$57,0)))+IF(RIGHT(TRIM(Paramètres!K42),3)="Fin",1-$H744,IF(LEFT(TRIM(Paramètres!K42),1)="F",1,0)))),IF(Paramètres!L42="",0,IF(Paramètres!M42="",NA(),IF(LEFT(TRIM(Paramètres!M42),1)="F",INDEX($F$707:$F$759,MATCH(Paramètres!L42,Paramètres!$G$5:$G$57,0)),INDEX($E$707:$E$759,MATCH(Paramètres!L42,Paramètres!$G$5:$G$57,0)))+IF(RIGHT(TRIM(Paramètres!M42),3)="Fin",1-$H744,IF(LEFT(TRIM(Paramètres!M42),1)="F",1,0)))),IF(Paramètres!N42="",0,IF(Paramètres!O42="",NA(),IF(LEFT(TRIM(Paramètres!O42),1)="F",INDEX($F$707:$F$759,MATCH(Paramètres!N42,Paramètres!$G$5:$G$57,0)),INDEX($E$707:$E$759,MATCH(Paramètres!N42,Paramètres!$G$5:$G$57,0)))+IF(RIGHT(TRIM(Paramètres!O42),3)="Fin",1-$H744,IF(LEFT(TRIM(Paramètres!O42),1)="F",1,0)))))))</f>
        <v/>
      </c>
      <c r="F744" s="19">
        <f>IF($A744="","",E744+$H744-1)</f>
        <v/>
      </c>
      <c r="G744" s="18" t="n"/>
      <c r="H744" s="18">
        <f>IF($A744="","",IF(I744&lt;&gt;"",I744,Paramètres!B42))</f>
        <v/>
      </c>
      <c r="I744" s="18" t="n"/>
    </row>
    <row r="745">
      <c r="A745" s="18">
        <f>IF(ISNUMBER(Dossiers!$D$17),Dossiers!$A$17&amp;" · "&amp;Dossiers!$B$17,"")</f>
        <v/>
      </c>
      <c r="B745" s="18">
        <f>IF($A745="","",Paramètres!G43)</f>
        <v/>
      </c>
      <c r="C745" s="18">
        <f>IF($A745="","",IF(Paramètres!H43="","",Paramètres!H43))</f>
        <v/>
      </c>
      <c r="D745" s="18">
        <f>IF($A745="","",IF(Paramètres!I43="","",Paramètres!I43))</f>
        <v/>
      </c>
      <c r="E745" s="19">
        <f>IF($A745="","",IF(Paramètres!J43&amp;Paramètres!L43&amp;Paramètres!N43="",Dossiers!$D$17,MAX(IF(Paramètres!J43="",0,IF(Paramètres!K43="",NA(),IF(LEFT(TRIM(Paramètres!K43),1)="F",INDEX($F$707:$F$759,MATCH(Paramètres!J43,Paramètres!$G$5:$G$57,0)),INDEX($E$707:$E$759,MATCH(Paramètres!J43,Paramètres!$G$5:$G$57,0)))+IF(RIGHT(TRIM(Paramètres!K43),3)="Fin",1-$H745,IF(LEFT(TRIM(Paramètres!K43),1)="F",1,0)))),IF(Paramètres!L43="",0,IF(Paramètres!M43="",NA(),IF(LEFT(TRIM(Paramètres!M43),1)="F",INDEX($F$707:$F$759,MATCH(Paramètres!L43,Paramètres!$G$5:$G$57,0)),INDEX($E$707:$E$759,MATCH(Paramètres!L43,Paramètres!$G$5:$G$57,0)))+IF(RIGHT(TRIM(Paramètres!M43),3)="Fin",1-$H745,IF(LEFT(TRIM(Paramètres!M43),1)="F",1,0)))),IF(Paramètres!N43="",0,IF(Paramètres!O43="",NA(),IF(LEFT(TRIM(Paramètres!O43),1)="F",INDEX($F$707:$F$759,MATCH(Paramètres!N43,Paramètres!$G$5:$G$57,0)),INDEX($E$707:$E$759,MATCH(Paramètres!N43,Paramètres!$G$5:$G$57,0)))+IF(RIGHT(TRIM(Paramètres!O43),3)="Fin",1-$H745,IF(LEFT(TRIM(Paramètres!O43),1)="F",1,0)))))))</f>
        <v/>
      </c>
      <c r="F745" s="19">
        <f>IF($A745="","",E745+$H745-1)</f>
        <v/>
      </c>
      <c r="G745" s="18" t="n"/>
      <c r="H745" s="18">
        <f>IF($A745="","",IF(I745&lt;&gt;"",I745,Paramètres!B43))</f>
        <v/>
      </c>
      <c r="I745" s="18" t="n"/>
    </row>
    <row r="746">
      <c r="A746" s="18">
        <f>IF(ISNUMBER(Dossiers!$D$17),Dossiers!$A$17&amp;" · "&amp;Dossiers!$B$17,"")</f>
        <v/>
      </c>
      <c r="B746" s="18">
        <f>IF($A746="","",Paramètres!G44)</f>
        <v/>
      </c>
      <c r="C746" s="18">
        <f>IF($A746="","",IF(Paramètres!H44="","",Paramètres!H44))</f>
        <v/>
      </c>
      <c r="D746" s="18">
        <f>IF($A746="","",IF(Paramètres!I44="","",Paramètres!I44))</f>
        <v/>
      </c>
      <c r="E746" s="19">
        <f>IF($A746="","",IF(Paramètres!J44&amp;Paramètres!L44&amp;Paramètres!N44="",Dossiers!$D$17,MAX(IF(Paramètres!J44="",0,IF(Paramètres!K44="",NA(),IF(LEFT(TRIM(Paramètres!K44),1)="F",INDEX($F$707:$F$759,MATCH(Paramètres!J44,Paramètres!$G$5:$G$57,0)),INDEX($E$707:$E$759,MATCH(Paramètres!J44,Paramètres!$G$5:$G$57,0)))+IF(RIGHT(TRIM(Paramètres!K44),3)="Fin",1-$H746,IF(LEFT(TRIM(Paramètres!K44),1)="F",1,0)))),IF(Paramètres!L44="",0,IF(Paramètres!M44="",NA(),IF(LEFT(TRIM(Paramètres!M44),1)="F",INDEX($F$707:$F$759,MATCH(Paramètres!L44,Paramètres!$G$5:$G$57,0)),INDEX($E$707:$E$759,MATCH(Paramètres!L44,Paramètres!$G$5:$G$57,0)))+IF(RIGHT(TRIM(Paramètres!M44),3)="Fin",1-$H746,IF(LEFT(TRIM(Paramètres!M44),1)="F",1,0)))),IF(Paramètres!N44="",0,IF(Paramètres!O44="",NA(),IF(LEFT(TRIM(Paramètres!O44),1)="F",INDEX($F$707:$F$759,MATCH(Paramètres!N44,Paramètres!$G$5:$G$57,0)),INDEX($E$707:$E$759,MATCH(Paramètres!N44,Paramètres!$G$5:$G$57,0)))+IF(RIGHT(TRIM(Paramètres!O44),3)="Fin",1-$H746,IF(LEFT(TRIM(Paramètres!O44),1)="F",1,0)))))))</f>
        <v/>
      </c>
      <c r="F746" s="19">
        <f>IF($A746="","",E746+$H746-1)</f>
        <v/>
      </c>
      <c r="G746" s="18" t="n"/>
      <c r="H746" s="18">
        <f>IF($A746="","",IF(I746&lt;&gt;"",I746,Paramètres!B44))</f>
        <v/>
      </c>
      <c r="I746" s="18" t="n"/>
    </row>
    <row r="747">
      <c r="A747" s="18">
        <f>IF(ISNUMBER(Dossiers!$D$17),Dossiers!$A$17&amp;" · "&amp;Dossiers!$B$17,"")</f>
        <v/>
      </c>
      <c r="B747" s="18">
        <f>IF($A747="","",Paramètres!G45)</f>
        <v/>
      </c>
      <c r="C747" s="20">
        <f>IF($A747="","",IF(Dossiers!$G$17="","",Dossiers!$G$17))</f>
        <v/>
      </c>
      <c r="D747" s="18">
        <f>IF($A747="","",IF(Paramètres!I45="","",Paramètres!I45))</f>
        <v/>
      </c>
      <c r="E747" s="19">
        <f>IF($A747="","",IF(Paramètres!J45&amp;Paramètres!L45&amp;Paramètres!N45="",Dossiers!$D$17,MAX(IF(Paramètres!J45="",0,IF(Paramètres!K45="",NA(),IF(LEFT(TRIM(Paramètres!K45),1)="F",INDEX($F$707:$F$759,MATCH(Paramètres!J45,Paramètres!$G$5:$G$57,0)),INDEX($E$707:$E$759,MATCH(Paramètres!J45,Paramètres!$G$5:$G$57,0)))+IF(RIGHT(TRIM(Paramètres!K45),3)="Fin",1-$H747,IF(LEFT(TRIM(Paramètres!K45),1)="F",1,0)))),IF(Paramètres!L45="",0,IF(Paramètres!M45="",NA(),IF(LEFT(TRIM(Paramètres!M45),1)="F",INDEX($F$707:$F$759,MATCH(Paramètres!L45,Paramètres!$G$5:$G$57,0)),INDEX($E$707:$E$759,MATCH(Paramètres!L45,Paramètres!$G$5:$G$57,0)))+IF(RIGHT(TRIM(Paramètres!M45),3)="Fin",1-$H747,IF(LEFT(TRIM(Paramètres!M45),1)="F",1,0)))),IF(Paramètres!N45="",0,IF(Paramètres!O45="",NA(),IF(LEFT(TRIM(Paramètres!O45),1)="F",INDEX($F$707:$F$759,MATCH(Paramètres!N45,Paramètres!$G$5:$G$57,0)),INDEX($E$707:$E$759,MATCH(Paramètres!N45,Paramètres!$G$5:$G$57,0)))+IF(RIGHT(TRIM(Paramètres!O45),3)="Fin",1-$H747,IF(LEFT(TRIM(Paramètres!O45),1)="F",1,0)))))))</f>
        <v/>
      </c>
      <c r="F747" s="19">
        <f>IF($A747="","",E747+$H747-1)</f>
        <v/>
      </c>
      <c r="G747" s="18" t="n"/>
      <c r="H747" s="18">
        <f>IF($A747="","",IF(I747&lt;&gt;"",I747,Paramètres!B45))</f>
        <v/>
      </c>
      <c r="I747" s="18" t="n"/>
    </row>
    <row r="748">
      <c r="A748" s="18">
        <f>IF(ISNUMBER(Dossiers!$D$17),Dossiers!$A$17&amp;" · "&amp;Dossiers!$B$17,"")</f>
        <v/>
      </c>
      <c r="B748" s="18">
        <f>IF($A748="","",Paramètres!G46)</f>
        <v/>
      </c>
      <c r="C748" s="18">
        <f>IF($A748="","",IF(Paramètres!H46="","",Paramètres!H46))</f>
        <v/>
      </c>
      <c r="D748" s="18">
        <f>IF($A748="","",IF(Paramètres!I46="","",Paramètres!I46))</f>
        <v/>
      </c>
      <c r="E748" s="19">
        <f>IF($A748="","",IF(Paramètres!J46&amp;Paramètres!L46&amp;Paramètres!N46="",Dossiers!$D$17,MAX(IF(Paramètres!J46="",0,IF(Paramètres!K46="",NA(),IF(LEFT(TRIM(Paramètres!K46),1)="F",INDEX($F$707:$F$759,MATCH(Paramètres!J46,Paramètres!$G$5:$G$57,0)),INDEX($E$707:$E$759,MATCH(Paramètres!J46,Paramètres!$G$5:$G$57,0)))+IF(RIGHT(TRIM(Paramètres!K46),3)="Fin",1-$H748,IF(LEFT(TRIM(Paramètres!K46),1)="F",1,0)))),IF(Paramètres!L46="",0,IF(Paramètres!M46="",NA(),IF(LEFT(TRIM(Paramètres!M46),1)="F",INDEX($F$707:$F$759,MATCH(Paramètres!L46,Paramètres!$G$5:$G$57,0)),INDEX($E$707:$E$759,MATCH(Paramètres!L46,Paramètres!$G$5:$G$57,0)))+IF(RIGHT(TRIM(Paramètres!M46),3)="Fin",1-$H748,IF(LEFT(TRIM(Paramètres!M46),1)="F",1,0)))),IF(Paramètres!N46="",0,IF(Paramètres!O46="",NA(),IF(LEFT(TRIM(Paramètres!O46),1)="F",INDEX($F$707:$F$759,MATCH(Paramètres!N46,Paramètres!$G$5:$G$57,0)),INDEX($E$707:$E$759,MATCH(Paramètres!N46,Paramètres!$G$5:$G$57,0)))+IF(RIGHT(TRIM(Paramètres!O46),3)="Fin",1-$H748,IF(LEFT(TRIM(Paramètres!O46),1)="F",1,0)))))))</f>
        <v/>
      </c>
      <c r="F748" s="19">
        <f>IF($A748="","",E748+$H748-1)</f>
        <v/>
      </c>
      <c r="G748" s="18" t="n"/>
      <c r="H748" s="18">
        <f>IF($A748="","",IF(I748&lt;&gt;"",I748,Paramètres!B46))</f>
        <v/>
      </c>
      <c r="I748" s="18" t="n"/>
    </row>
    <row r="749">
      <c r="A749" s="18">
        <f>IF(ISNUMBER(Dossiers!$D$17),Dossiers!$A$17&amp;" · "&amp;Dossiers!$B$17,"")</f>
        <v/>
      </c>
      <c r="B749" s="18">
        <f>IF($A749="","",Paramètres!G47)</f>
        <v/>
      </c>
      <c r="C749" s="18">
        <f>IF($A749="","",IF(Paramètres!H47="","",Paramètres!H47))</f>
        <v/>
      </c>
      <c r="D749" s="18">
        <f>IF($A749="","",IF(Paramètres!I47="","",Paramètres!I47))</f>
        <v/>
      </c>
      <c r="E749" s="19">
        <f>IF($A749="","",IF(Paramètres!J47&amp;Paramètres!L47&amp;Paramètres!N47="",Dossiers!$D$17,MAX(IF(Paramètres!J47="",0,IF(Paramètres!K47="",NA(),IF(LEFT(TRIM(Paramètres!K47),1)="F",INDEX($F$707:$F$759,MATCH(Paramètres!J47,Paramètres!$G$5:$G$57,0)),INDEX($E$707:$E$759,MATCH(Paramètres!J47,Paramètres!$G$5:$G$57,0)))+IF(RIGHT(TRIM(Paramètres!K47),3)="Fin",1-$H749,IF(LEFT(TRIM(Paramètres!K47),1)="F",1,0)))),IF(Paramètres!L47="",0,IF(Paramètres!M47="",NA(),IF(LEFT(TRIM(Paramètres!M47),1)="F",INDEX($F$707:$F$759,MATCH(Paramètres!L47,Paramètres!$G$5:$G$57,0)),INDEX($E$707:$E$759,MATCH(Paramètres!L47,Paramètres!$G$5:$G$57,0)))+IF(RIGHT(TRIM(Paramètres!M47),3)="Fin",1-$H749,IF(LEFT(TRIM(Paramètres!M47),1)="F",1,0)))),IF(Paramètres!N47="",0,IF(Paramètres!O47="",NA(),IF(LEFT(TRIM(Paramètres!O47),1)="F",INDEX($F$707:$F$759,MATCH(Paramètres!N47,Paramètres!$G$5:$G$57,0)),INDEX($E$707:$E$759,MATCH(Paramètres!N47,Paramètres!$G$5:$G$57,0)))+IF(RIGHT(TRIM(Paramètres!O47),3)="Fin",1-$H749,IF(LEFT(TRIM(Paramètres!O47),1)="F",1,0)))))))</f>
        <v/>
      </c>
      <c r="F749" s="19">
        <f>IF($A749="","",E749+$H749-1)</f>
        <v/>
      </c>
      <c r="G749" s="18" t="n"/>
      <c r="H749" s="18">
        <f>IF($A749="","",IF(I749&lt;&gt;"",I749,Paramètres!B47))</f>
        <v/>
      </c>
      <c r="I749" s="18" t="n"/>
    </row>
    <row r="750">
      <c r="A750" s="18">
        <f>IF(ISNUMBER(Dossiers!$D$17),Dossiers!$A$17&amp;" · "&amp;Dossiers!$B$17,"")</f>
        <v/>
      </c>
      <c r="B750" s="18">
        <f>IF($A750="","",Paramètres!G48)</f>
        <v/>
      </c>
      <c r="C750" s="18">
        <f>IF($A750="","",IF(Paramètres!H48="","",Paramètres!H48))</f>
        <v/>
      </c>
      <c r="D750" s="18">
        <f>IF($A750="","",IF(Paramètres!I48="","",Paramètres!I48))</f>
        <v/>
      </c>
      <c r="E750" s="19">
        <f>IF($A750="","",IF(Paramètres!J48&amp;Paramètres!L48&amp;Paramètres!N48="",Dossiers!$D$17,MAX(IF(Paramètres!J48="",0,IF(Paramètres!K48="",NA(),IF(LEFT(TRIM(Paramètres!K48),1)="F",INDEX($F$707:$F$759,MATCH(Paramètres!J48,Paramètres!$G$5:$G$57,0)),INDEX($E$707:$E$759,MATCH(Paramètres!J48,Paramètres!$G$5:$G$57,0)))+IF(RIGHT(TRIM(Paramètres!K48),3)="Fin",1-$H750,IF(LEFT(TRIM(Paramètres!K48),1)="F",1,0)))),IF(Paramètres!L48="",0,IF(Paramètres!M48="",NA(),IF(LEFT(TRIM(Paramètres!M48),1)="F",INDEX($F$707:$F$759,MATCH(Paramètres!L48,Paramètres!$G$5:$G$57,0)),INDEX($E$707:$E$759,MATCH(Paramètres!L48,Paramètres!$G$5:$G$57,0)))+IF(RIGHT(TRIM(Paramètres!M48),3)="Fin",1-$H750,IF(LEFT(TRIM(Paramètres!M48),1)="F",1,0)))),IF(Paramètres!N48="",0,IF(Paramètres!O48="",NA(),IF(LEFT(TRIM(Paramètres!O48),1)="F",INDEX($F$707:$F$759,MATCH(Paramètres!N48,Paramètres!$G$5:$G$57,0)),INDEX($E$707:$E$759,MATCH(Paramètres!N48,Paramètres!$G$5:$G$57,0)))+IF(RIGHT(TRIM(Paramètres!O48),3)="Fin",1-$H750,IF(LEFT(TRIM(Paramètres!O48),1)="F",1,0)))))))</f>
        <v/>
      </c>
      <c r="F750" s="19">
        <f>IF($A750="","",E750+$H750-1)</f>
        <v/>
      </c>
      <c r="G750" s="18" t="n"/>
      <c r="H750" s="18">
        <f>IF($A750="","",IF(I750&lt;&gt;"",I750,Paramètres!B48))</f>
        <v/>
      </c>
      <c r="I750" s="18" t="n"/>
    </row>
    <row r="751">
      <c r="A751" s="18">
        <f>IF(ISNUMBER(Dossiers!$D$17),Dossiers!$A$17&amp;" · "&amp;Dossiers!$B$17,"")</f>
        <v/>
      </c>
      <c r="B751" s="18">
        <f>IF($A751="","",Paramètres!G49)</f>
        <v/>
      </c>
      <c r="C751" s="18">
        <f>IF($A751="","",IF(Paramètres!H49="","",Paramètres!H49))</f>
        <v/>
      </c>
      <c r="D751" s="18">
        <f>IF($A751="","",IF(Paramètres!I49="","",Paramètres!I49))</f>
        <v/>
      </c>
      <c r="E751" s="19">
        <f>IF($A751="","",IF(Paramètres!J49&amp;Paramètres!L49&amp;Paramètres!N49="",Dossiers!$D$17,MAX(IF(Paramètres!J49="",0,IF(Paramètres!K49="",NA(),IF(LEFT(TRIM(Paramètres!K49),1)="F",INDEX($F$707:$F$759,MATCH(Paramètres!J49,Paramètres!$G$5:$G$57,0)),INDEX($E$707:$E$759,MATCH(Paramètres!J49,Paramètres!$G$5:$G$57,0)))+IF(RIGHT(TRIM(Paramètres!K49),3)="Fin",1-$H751,IF(LEFT(TRIM(Paramètres!K49),1)="F",1,0)))),IF(Paramètres!L49="",0,IF(Paramètres!M49="",NA(),IF(LEFT(TRIM(Paramètres!M49),1)="F",INDEX($F$707:$F$759,MATCH(Paramètres!L49,Paramètres!$G$5:$G$57,0)),INDEX($E$707:$E$759,MATCH(Paramètres!L49,Paramètres!$G$5:$G$57,0)))+IF(RIGHT(TRIM(Paramètres!M49),3)="Fin",1-$H751,IF(LEFT(TRIM(Paramètres!M49),1)="F",1,0)))),IF(Paramètres!N49="",0,IF(Paramètres!O49="",NA(),IF(LEFT(TRIM(Paramètres!O49),1)="F",INDEX($F$707:$F$759,MATCH(Paramètres!N49,Paramètres!$G$5:$G$57,0)),INDEX($E$707:$E$759,MATCH(Paramètres!N49,Paramètres!$G$5:$G$57,0)))+IF(RIGHT(TRIM(Paramètres!O49),3)="Fin",1-$H751,IF(LEFT(TRIM(Paramètres!O49),1)="F",1,0)))))))</f>
        <v/>
      </c>
      <c r="F751" s="19">
        <f>IF($A751="","",E751+$H751-1)</f>
        <v/>
      </c>
      <c r="G751" s="18" t="n"/>
      <c r="H751" s="18">
        <f>IF($A751="","",IF(I751&lt;&gt;"",I751,Paramètres!B49))</f>
        <v/>
      </c>
      <c r="I751" s="18" t="n"/>
    </row>
    <row r="752">
      <c r="A752" s="18">
        <f>IF(ISNUMBER(Dossiers!$D$17),Dossiers!$A$17&amp;" · "&amp;Dossiers!$B$17,"")</f>
        <v/>
      </c>
      <c r="B752" s="18">
        <f>IF($A752="","",Paramètres!G50)</f>
        <v/>
      </c>
      <c r="C752" s="18">
        <f>IF($A752="","",IF(Paramètres!H50="","",Paramètres!H50))</f>
        <v/>
      </c>
      <c r="D752" s="18">
        <f>IF($A752="","",IF(Paramètres!I50="","",Paramètres!I50))</f>
        <v/>
      </c>
      <c r="E752" s="19">
        <f>IF($A752="","",IF(Paramètres!J50&amp;Paramètres!L50&amp;Paramètres!N50="",Dossiers!$D$17,MAX(IF(Paramètres!J50="",0,IF(Paramètres!K50="",NA(),IF(LEFT(TRIM(Paramètres!K50),1)="F",INDEX($F$707:$F$759,MATCH(Paramètres!J50,Paramètres!$G$5:$G$57,0)),INDEX($E$707:$E$759,MATCH(Paramètres!J50,Paramètres!$G$5:$G$57,0)))+IF(RIGHT(TRIM(Paramètres!K50),3)="Fin",1-$H752,IF(LEFT(TRIM(Paramètres!K50),1)="F",1,0)))),IF(Paramètres!L50="",0,IF(Paramètres!M50="",NA(),IF(LEFT(TRIM(Paramètres!M50),1)="F",INDEX($F$707:$F$759,MATCH(Paramètres!L50,Paramètres!$G$5:$G$57,0)),INDEX($E$707:$E$759,MATCH(Paramètres!L50,Paramètres!$G$5:$G$57,0)))+IF(RIGHT(TRIM(Paramètres!M50),3)="Fin",1-$H752,IF(LEFT(TRIM(Paramètres!M50),1)="F",1,0)))),IF(Paramètres!N50="",0,IF(Paramètres!O50="",NA(),IF(LEFT(TRIM(Paramètres!O50),1)="F",INDEX($F$707:$F$759,MATCH(Paramètres!N50,Paramètres!$G$5:$G$57,0)),INDEX($E$707:$E$759,MATCH(Paramètres!N50,Paramètres!$G$5:$G$57,0)))+IF(RIGHT(TRIM(Paramètres!O50),3)="Fin",1-$H752,IF(LEFT(TRIM(Paramètres!O50),1)="F",1,0)))))))</f>
        <v/>
      </c>
      <c r="F752" s="19">
        <f>IF($A752="","",E752+$H752-1)</f>
        <v/>
      </c>
      <c r="G752" s="18" t="n"/>
      <c r="H752" s="18">
        <f>IF($A752="","",IF(I752&lt;&gt;"",I752,Paramètres!B50))</f>
        <v/>
      </c>
      <c r="I752" s="18" t="n"/>
    </row>
    <row r="753">
      <c r="A753" s="18">
        <f>IF(ISNUMBER(Dossiers!$D$17),Dossiers!$A$17&amp;" · "&amp;Dossiers!$B$17,"")</f>
        <v/>
      </c>
      <c r="B753" s="18">
        <f>IF($A753="","",Paramètres!G51)</f>
        <v/>
      </c>
      <c r="C753" s="18">
        <f>IF($A753="","",IF(Paramètres!H51="","",Paramètres!H51))</f>
        <v/>
      </c>
      <c r="D753" s="18">
        <f>IF($A753="","",IF(Paramètres!I51="","",Paramètres!I51))</f>
        <v/>
      </c>
      <c r="E753" s="19">
        <f>IF($A753="","",IF(Paramètres!J51&amp;Paramètres!L51&amp;Paramètres!N51="",Dossiers!$D$17,MAX(IF(Paramètres!J51="",0,IF(Paramètres!K51="",NA(),IF(LEFT(TRIM(Paramètres!K51),1)="F",INDEX($F$707:$F$759,MATCH(Paramètres!J51,Paramètres!$G$5:$G$57,0)),INDEX($E$707:$E$759,MATCH(Paramètres!J51,Paramètres!$G$5:$G$57,0)))+IF(RIGHT(TRIM(Paramètres!K51),3)="Fin",1-$H753,IF(LEFT(TRIM(Paramètres!K51),1)="F",1,0)))),IF(Paramètres!L51="",0,IF(Paramètres!M51="",NA(),IF(LEFT(TRIM(Paramètres!M51),1)="F",INDEX($F$707:$F$759,MATCH(Paramètres!L51,Paramètres!$G$5:$G$57,0)),INDEX($E$707:$E$759,MATCH(Paramètres!L51,Paramètres!$G$5:$G$57,0)))+IF(RIGHT(TRIM(Paramètres!M51),3)="Fin",1-$H753,IF(LEFT(TRIM(Paramètres!M51),1)="F",1,0)))),IF(Paramètres!N51="",0,IF(Paramètres!O51="",NA(),IF(LEFT(TRIM(Paramètres!O51),1)="F",INDEX($F$707:$F$759,MATCH(Paramètres!N51,Paramètres!$G$5:$G$57,0)),INDEX($E$707:$E$759,MATCH(Paramètres!N51,Paramètres!$G$5:$G$57,0)))+IF(RIGHT(TRIM(Paramètres!O51),3)="Fin",1-$H753,IF(LEFT(TRIM(Paramètres!O51),1)="F",1,0)))))))</f>
        <v/>
      </c>
      <c r="F753" s="19">
        <f>IF($A753="","",E753+$H753-1)</f>
        <v/>
      </c>
      <c r="G753" s="18" t="n"/>
      <c r="H753" s="18">
        <f>IF($A753="","",IF(I753&lt;&gt;"",I753,Paramètres!B51))</f>
        <v/>
      </c>
      <c r="I753" s="18" t="n"/>
    </row>
    <row r="754">
      <c r="A754" s="18">
        <f>IF(ISNUMBER(Dossiers!$D$17),Dossiers!$A$17&amp;" · "&amp;Dossiers!$B$17,"")</f>
        <v/>
      </c>
      <c r="B754" s="18">
        <f>IF($A754="","",Paramètres!G52)</f>
        <v/>
      </c>
      <c r="C754" s="18">
        <f>IF($A754="","",IF(Paramètres!H52="","",Paramètres!H52))</f>
        <v/>
      </c>
      <c r="D754" s="18">
        <f>IF($A754="","",IF(Paramètres!I52="","",Paramètres!I52))</f>
        <v/>
      </c>
      <c r="E754" s="19">
        <f>IF($A754="","",IF(Paramètres!J52&amp;Paramètres!L52&amp;Paramètres!N52="",Dossiers!$D$17,MAX(IF(Paramètres!J52="",0,IF(Paramètres!K52="",NA(),IF(LEFT(TRIM(Paramètres!K52),1)="F",INDEX($F$707:$F$759,MATCH(Paramètres!J52,Paramètres!$G$5:$G$57,0)),INDEX($E$707:$E$759,MATCH(Paramètres!J52,Paramètres!$G$5:$G$57,0)))+IF(RIGHT(TRIM(Paramètres!K52),3)="Fin",1-$H754,IF(LEFT(TRIM(Paramètres!K52),1)="F",1,0)))),IF(Paramètres!L52="",0,IF(Paramètres!M52="",NA(),IF(LEFT(TRIM(Paramètres!M52),1)="F",INDEX($F$707:$F$759,MATCH(Paramètres!L52,Paramètres!$G$5:$G$57,0)),INDEX($E$707:$E$759,MATCH(Paramètres!L52,Paramètres!$G$5:$G$57,0)))+IF(RIGHT(TRIM(Paramètres!M52),3)="Fin",1-$H754,IF(LEFT(TRIM(Paramètres!M52),1)="F",1,0)))),IF(Paramètres!N52="",0,IF(Paramètres!O52="",NA(),IF(LEFT(TRIM(Paramètres!O52),1)="F",INDEX($F$707:$F$759,MATCH(Paramètres!N52,Paramètres!$G$5:$G$57,0)),INDEX($E$707:$E$759,MATCH(Paramètres!N52,Paramètres!$G$5:$G$57,0)))+IF(RIGHT(TRIM(Paramètres!O52),3)="Fin",1-$H754,IF(LEFT(TRIM(Paramètres!O52),1)="F",1,0)))))))</f>
        <v/>
      </c>
      <c r="F754" s="19">
        <f>IF($A754="","",E754+$H754-1)</f>
        <v/>
      </c>
      <c r="G754" s="18" t="n"/>
      <c r="H754" s="18">
        <f>IF($A754="","",IF(I754&lt;&gt;"",I754,Paramètres!B52))</f>
        <v/>
      </c>
      <c r="I754" s="18" t="n"/>
    </row>
    <row r="755">
      <c r="A755" s="18">
        <f>IF(ISNUMBER(Dossiers!$D$17),Dossiers!$A$17&amp;" · "&amp;Dossiers!$B$17,"")</f>
        <v/>
      </c>
      <c r="B755" s="18">
        <f>IF($A755="","",Paramètres!G53)</f>
        <v/>
      </c>
      <c r="C755" s="18">
        <f>IF($A755="","",IF(Paramètres!H53="","",Paramètres!H53))</f>
        <v/>
      </c>
      <c r="D755" s="18">
        <f>IF($A755="","",IF(Paramètres!I53="","",Paramètres!I53))</f>
        <v/>
      </c>
      <c r="E755" s="19">
        <f>IF($A755="","",IF(Paramètres!J53&amp;Paramètres!L53&amp;Paramètres!N53="",Dossiers!$D$17,MAX(IF(Paramètres!J53="",0,IF(Paramètres!K53="",NA(),IF(LEFT(TRIM(Paramètres!K53),1)="F",INDEX($F$707:$F$759,MATCH(Paramètres!J53,Paramètres!$G$5:$G$57,0)),INDEX($E$707:$E$759,MATCH(Paramètres!J53,Paramètres!$G$5:$G$57,0)))+IF(RIGHT(TRIM(Paramètres!K53),3)="Fin",1-$H755,IF(LEFT(TRIM(Paramètres!K53),1)="F",1,0)))),IF(Paramètres!L53="",0,IF(Paramètres!M53="",NA(),IF(LEFT(TRIM(Paramètres!M53),1)="F",INDEX($F$707:$F$759,MATCH(Paramètres!L53,Paramètres!$G$5:$G$57,0)),INDEX($E$707:$E$759,MATCH(Paramètres!L53,Paramètres!$G$5:$G$57,0)))+IF(RIGHT(TRIM(Paramètres!M53),3)="Fin",1-$H755,IF(LEFT(TRIM(Paramètres!M53),1)="F",1,0)))),IF(Paramètres!N53="",0,IF(Paramètres!O53="",NA(),IF(LEFT(TRIM(Paramètres!O53),1)="F",INDEX($F$707:$F$759,MATCH(Paramètres!N53,Paramètres!$G$5:$G$57,0)),INDEX($E$707:$E$759,MATCH(Paramètres!N53,Paramètres!$G$5:$G$57,0)))+IF(RIGHT(TRIM(Paramètres!O53),3)="Fin",1-$H755,IF(LEFT(TRIM(Paramètres!O53),1)="F",1,0)))))))</f>
        <v/>
      </c>
      <c r="F755" s="19">
        <f>IF($A755="","",E755+$H755-1)</f>
        <v/>
      </c>
      <c r="G755" s="18" t="n"/>
      <c r="H755" s="18">
        <f>IF($A755="","",IF(I755&lt;&gt;"",I755,Paramètres!B53))</f>
        <v/>
      </c>
      <c r="I755" s="18" t="n"/>
    </row>
    <row r="756">
      <c r="A756" s="18">
        <f>IF(ISNUMBER(Dossiers!$D$17),Dossiers!$A$17&amp;" · "&amp;Dossiers!$B$17,"")</f>
        <v/>
      </c>
      <c r="B756" s="18">
        <f>IF($A756="","",Paramètres!G54)</f>
        <v/>
      </c>
      <c r="C756" s="18">
        <f>IF($A756="","",IF(Paramètres!H54="","",Paramètres!H54))</f>
        <v/>
      </c>
      <c r="D756" s="18">
        <f>IF($A756="","",IF(Paramètres!I54="","",Paramètres!I54))</f>
        <v/>
      </c>
      <c r="E756" s="19">
        <f>IF($A756="","",IF(Paramètres!J54&amp;Paramètres!L54&amp;Paramètres!N54="",Dossiers!$D$17,MAX(IF(Paramètres!J54="",0,IF(Paramètres!K54="",NA(),IF(LEFT(TRIM(Paramètres!K54),1)="F",INDEX($F$707:$F$759,MATCH(Paramètres!J54,Paramètres!$G$5:$G$57,0)),INDEX($E$707:$E$759,MATCH(Paramètres!J54,Paramètres!$G$5:$G$57,0)))+IF(RIGHT(TRIM(Paramètres!K54),3)="Fin",1-$H756,IF(LEFT(TRIM(Paramètres!K54),1)="F",1,0)))),IF(Paramètres!L54="",0,IF(Paramètres!M54="",NA(),IF(LEFT(TRIM(Paramètres!M54),1)="F",INDEX($F$707:$F$759,MATCH(Paramètres!L54,Paramètres!$G$5:$G$57,0)),INDEX($E$707:$E$759,MATCH(Paramètres!L54,Paramètres!$G$5:$G$57,0)))+IF(RIGHT(TRIM(Paramètres!M54),3)="Fin",1-$H756,IF(LEFT(TRIM(Paramètres!M54),1)="F",1,0)))),IF(Paramètres!N54="",0,IF(Paramètres!O54="",NA(),IF(LEFT(TRIM(Paramètres!O54),1)="F",INDEX($F$707:$F$759,MATCH(Paramètres!N54,Paramètres!$G$5:$G$57,0)),INDEX($E$707:$E$759,MATCH(Paramètres!N54,Paramètres!$G$5:$G$57,0)))+IF(RIGHT(TRIM(Paramètres!O54),3)="Fin",1-$H756,IF(LEFT(TRIM(Paramètres!O54),1)="F",1,0)))))))</f>
        <v/>
      </c>
      <c r="F756" s="19">
        <f>IF($A756="","",E756+$H756-1)</f>
        <v/>
      </c>
      <c r="G756" s="18" t="n"/>
      <c r="H756" s="18">
        <f>IF($A756="","",IF(I756&lt;&gt;"",I756,Paramètres!B54))</f>
        <v/>
      </c>
      <c r="I756" s="18" t="n"/>
    </row>
    <row r="757">
      <c r="A757" s="18">
        <f>IF(ISNUMBER(Dossiers!$D$17),Dossiers!$A$17&amp;" · "&amp;Dossiers!$B$17,"")</f>
        <v/>
      </c>
      <c r="B757" s="18">
        <f>IF($A757="","",Paramètres!G55)</f>
        <v/>
      </c>
      <c r="C757" s="18">
        <f>IF($A757="","",IF(Paramètres!H55="","",Paramètres!H55))</f>
        <v/>
      </c>
      <c r="D757" s="18">
        <f>IF($A757="","",IF(Paramètres!I55="","",Paramètres!I55))</f>
        <v/>
      </c>
      <c r="E757" s="19">
        <f>IF($A757="","",IF(Paramètres!J55&amp;Paramètres!L55&amp;Paramètres!N55="",Dossiers!$D$17,MAX(IF(Paramètres!J55="",0,IF(Paramètres!K55="",NA(),IF(LEFT(TRIM(Paramètres!K55),1)="F",INDEX($F$707:$F$759,MATCH(Paramètres!J55,Paramètres!$G$5:$G$57,0)),INDEX($E$707:$E$759,MATCH(Paramètres!J55,Paramètres!$G$5:$G$57,0)))+IF(RIGHT(TRIM(Paramètres!K55),3)="Fin",1-$H757,IF(LEFT(TRIM(Paramètres!K55),1)="F",1,0)))),IF(Paramètres!L55="",0,IF(Paramètres!M55="",NA(),IF(LEFT(TRIM(Paramètres!M55),1)="F",INDEX($F$707:$F$759,MATCH(Paramètres!L55,Paramètres!$G$5:$G$57,0)),INDEX($E$707:$E$759,MATCH(Paramètres!L55,Paramètres!$G$5:$G$57,0)))+IF(RIGHT(TRIM(Paramètres!M55),3)="Fin",1-$H757,IF(LEFT(TRIM(Paramètres!M55),1)="F",1,0)))),IF(Paramètres!N55="",0,IF(Paramètres!O55="",NA(),IF(LEFT(TRIM(Paramètres!O55),1)="F",INDEX($F$707:$F$759,MATCH(Paramètres!N55,Paramètres!$G$5:$G$57,0)),INDEX($E$707:$E$759,MATCH(Paramètres!N55,Paramètres!$G$5:$G$57,0)))+IF(RIGHT(TRIM(Paramètres!O55),3)="Fin",1-$H757,IF(LEFT(TRIM(Paramètres!O55),1)="F",1,0)))))))</f>
        <v/>
      </c>
      <c r="F757" s="19">
        <f>IF($A757="","",E757+$H757-1)</f>
        <v/>
      </c>
      <c r="G757" s="18" t="n"/>
      <c r="H757" s="18">
        <f>IF($A757="","",IF(I757&lt;&gt;"",I757,Paramètres!B55))</f>
        <v/>
      </c>
      <c r="I757" s="18" t="n"/>
    </row>
    <row r="758">
      <c r="A758" s="18">
        <f>IF(ISNUMBER(Dossiers!$D$17),Dossiers!$A$17&amp;" · "&amp;Dossiers!$B$17,"")</f>
        <v/>
      </c>
      <c r="B758" s="18">
        <f>IF($A758="","",Paramètres!G56)</f>
        <v/>
      </c>
      <c r="C758" s="18">
        <f>IF($A758="","",IF(Paramètres!H56="","",Paramètres!H56))</f>
        <v/>
      </c>
      <c r="D758" s="18">
        <f>IF($A758="","",IF(Paramètres!I56="","",Paramètres!I56))</f>
        <v/>
      </c>
      <c r="E758" s="19">
        <f>IF($A758="","",MIN(E759:E759))</f>
        <v/>
      </c>
      <c r="F758" s="19">
        <f>IF($A758="","",MAX(F759:F759))</f>
        <v/>
      </c>
      <c r="G758" s="18" t="n"/>
      <c r="H758" s="18">
        <f>IF($A758="","",F758-E758+1)</f>
        <v/>
      </c>
      <c r="I758" s="18" t="n"/>
    </row>
    <row r="759">
      <c r="A759" s="18">
        <f>IF(ISNUMBER(Dossiers!$D$17),Dossiers!$A$17&amp;" · "&amp;Dossiers!$B$17,"")</f>
        <v/>
      </c>
      <c r="B759" s="18">
        <f>IF($A759="","",Paramètres!G57)</f>
        <v/>
      </c>
      <c r="C759" s="18">
        <f>IF($A759="","",IF(Paramètres!H57="","",Paramètres!H57))</f>
        <v/>
      </c>
      <c r="D759" s="18">
        <f>IF($A759="","",IF(Paramètres!I57="","",Paramètres!I57))</f>
        <v/>
      </c>
      <c r="E759" s="19">
        <f>IF($A759="","",IF(Paramètres!J57&amp;Paramètres!L57&amp;Paramètres!N57="",Dossiers!$D$17,MAX(IF(Paramètres!J57="",0,IF(Paramètres!K57="",NA(),IF(LEFT(TRIM(Paramètres!K57),1)="F",INDEX($F$707:$F$759,MATCH(Paramètres!J57,Paramètres!$G$5:$G$57,0)),INDEX($E$707:$E$759,MATCH(Paramètres!J57,Paramètres!$G$5:$G$57,0)))+IF(RIGHT(TRIM(Paramètres!K57),3)="Fin",1-$H759,IF(LEFT(TRIM(Paramètres!K57),1)="F",1,0)))),IF(Paramètres!L57="",0,IF(Paramètres!M57="",NA(),IF(LEFT(TRIM(Paramètres!M57),1)="F",INDEX($F$707:$F$759,MATCH(Paramètres!L57,Paramètres!$G$5:$G$57,0)),INDEX($E$707:$E$759,MATCH(Paramètres!L57,Paramètres!$G$5:$G$57,0)))+IF(RIGHT(TRIM(Paramètres!M57),3)="Fin",1-$H759,IF(LEFT(TRIM(Paramètres!M57),1)="F",1,0)))),IF(Paramètres!N57="",0,IF(Paramètres!O57="",NA(),IF(LEFT(TRIM(Paramètres!O57),1)="F",INDEX($F$707:$F$759,MATCH(Paramètres!N57,Paramètres!$G$5:$G$57,0)),INDEX($E$707:$E$759,MATCH(Paramètres!N57,Paramètres!$G$5:$G$57,0)))+IF(RIGHT(TRIM(Paramètres!O57),3)="Fin",1-$H759,IF(LEFT(TRIM(Paramètres!O57),1)="F",1,0)))))))</f>
        <v/>
      </c>
      <c r="F759" s="19">
        <f>IF($A759="","",E759+$H759-1)</f>
        <v/>
      </c>
      <c r="G759" s="18" t="n"/>
      <c r="H759" s="18">
        <f>IF($A759="","",IF(I759&lt;&gt;"",I759,Paramètres!B57))</f>
        <v/>
      </c>
      <c r="I759" s="18" t="n"/>
    </row>
    <row r="760">
      <c r="A760" s="16">
        <f>IF(ISNUMBER(Dossiers!$D$18),Dossiers!$E$18,"")</f>
        <v/>
      </c>
      <c r="B760" s="16">
        <f>IF($A760="","","Identifiant")</f>
        <v/>
      </c>
      <c r="C760" s="16">
        <f>IF($A760="","","Macro Etape")</f>
        <v/>
      </c>
      <c r="D760" s="16">
        <f>IF($A760="","","Etape")</f>
        <v/>
      </c>
      <c r="E760" s="17">
        <f>IF($A760="","","Début le")</f>
        <v/>
      </c>
      <c r="F760" s="17">
        <f>IF($A760="","","Fin prévue le")</f>
        <v/>
      </c>
      <c r="G760" s="16">
        <f>IF($A760="","","Statut")</f>
        <v/>
      </c>
      <c r="H760" s="16">
        <f>IF($A760="","","Durée (jours)")</f>
        <v/>
      </c>
      <c r="I760" s="16">
        <f>IF($A760="","","Durée particulière")</f>
        <v/>
      </c>
      <c r="J760" s="10">
        <f>IF($A760="","",HYPERLINK("#'Tableau de bord'!A1","↑ Tableau de bord"))</f>
        <v/>
      </c>
    </row>
    <row r="761">
      <c r="A761" s="18">
        <f>IF(ISNUMBER(Dossiers!$D$18),Dossiers!$A$18&amp;" · "&amp;Dossiers!$B$18,"")</f>
        <v/>
      </c>
      <c r="B761" s="18">
        <f>IF($A761="","",Paramètres!G5)</f>
        <v/>
      </c>
      <c r="C761" s="18">
        <f>IF($A761="","",IF(Paramètres!H5="","",Paramètres!H5))</f>
        <v/>
      </c>
      <c r="D761" s="18">
        <f>IF($A761="","",IF(Paramètres!I5="","",Paramètres!I5))</f>
        <v/>
      </c>
      <c r="E761" s="19">
        <f>IF($A761="","",MIN(E762:E765))</f>
        <v/>
      </c>
      <c r="F761" s="19">
        <f>IF($A761="","",MAX(F762:F765))</f>
        <v/>
      </c>
      <c r="G761" s="18" t="n"/>
      <c r="H761" s="18">
        <f>IF($A761="","",F761-E761+1)</f>
        <v/>
      </c>
      <c r="I761" s="18" t="n"/>
    </row>
    <row r="762">
      <c r="A762" s="18">
        <f>IF(ISNUMBER(Dossiers!$D$18),Dossiers!$A$18&amp;" · "&amp;Dossiers!$B$18,"")</f>
        <v/>
      </c>
      <c r="B762" s="18">
        <f>IF($A762="","",Paramètres!G6)</f>
        <v/>
      </c>
      <c r="C762" s="18">
        <f>IF($A762="","",IF(Paramètres!H6="","",Paramètres!H6))</f>
        <v/>
      </c>
      <c r="D762" s="18">
        <f>IF($A762="","",IF(Paramètres!I6="","",Paramètres!I6))</f>
        <v/>
      </c>
      <c r="E762" s="19">
        <f>IF($A762="","",IF(Paramètres!J6&amp;Paramètres!L6&amp;Paramètres!N6="",Dossiers!$D$18,MAX(IF(Paramètres!J6="",0,IF(Paramètres!K6="",NA(),IF(LEFT(TRIM(Paramètres!K6),1)="F",INDEX($F$761:$F$813,MATCH(Paramètres!J6,Paramètres!$G$5:$G$57,0)),INDEX($E$761:$E$813,MATCH(Paramètres!J6,Paramètres!$G$5:$G$57,0)))+IF(RIGHT(TRIM(Paramètres!K6),3)="Fin",1-$H762,IF(LEFT(TRIM(Paramètres!K6),1)="F",1,0)))),IF(Paramètres!L6="",0,IF(Paramètres!M6="",NA(),IF(LEFT(TRIM(Paramètres!M6),1)="F",INDEX($F$761:$F$813,MATCH(Paramètres!L6,Paramètres!$G$5:$G$57,0)),INDEX($E$761:$E$813,MATCH(Paramètres!L6,Paramètres!$G$5:$G$57,0)))+IF(RIGHT(TRIM(Paramètres!M6),3)="Fin",1-$H762,IF(LEFT(TRIM(Paramètres!M6),1)="F",1,0)))),IF(Paramètres!N6="",0,IF(Paramètres!O6="",NA(),IF(LEFT(TRIM(Paramètres!O6),1)="F",INDEX($F$761:$F$813,MATCH(Paramètres!N6,Paramètres!$G$5:$G$57,0)),INDEX($E$761:$E$813,MATCH(Paramètres!N6,Paramètres!$G$5:$G$57,0)))+IF(RIGHT(TRIM(Paramètres!O6),3)="Fin",1-$H762,IF(LEFT(TRIM(Paramètres!O6),1)="F",1,0)))))))</f>
        <v/>
      </c>
      <c r="F762" s="19">
        <f>IF($A762="","",E762+$H762-1)</f>
        <v/>
      </c>
      <c r="G762" s="18" t="n"/>
      <c r="H762" s="18">
        <f>IF($A762="","",IF(I762&lt;&gt;"",I762,Paramètres!B6))</f>
        <v/>
      </c>
      <c r="I762" s="18" t="n"/>
    </row>
    <row r="763">
      <c r="A763" s="18">
        <f>IF(ISNUMBER(Dossiers!$D$18),Dossiers!$A$18&amp;" · "&amp;Dossiers!$B$18,"")</f>
        <v/>
      </c>
      <c r="B763" s="18">
        <f>IF($A763="","",Paramètres!G7)</f>
        <v/>
      </c>
      <c r="C763" s="18">
        <f>IF($A763="","",IF(Paramètres!H7="","",Paramètres!H7))</f>
        <v/>
      </c>
      <c r="D763" s="18">
        <f>IF($A763="","",IF(Paramètres!I7="","",Paramètres!I7))</f>
        <v/>
      </c>
      <c r="E763" s="19">
        <f>IF($A763="","",IF(Paramètres!J7&amp;Paramètres!L7&amp;Paramètres!N7="",Dossiers!$D$18,MAX(IF(Paramètres!J7="",0,IF(Paramètres!K7="",NA(),IF(LEFT(TRIM(Paramètres!K7),1)="F",INDEX($F$761:$F$813,MATCH(Paramètres!J7,Paramètres!$G$5:$G$57,0)),INDEX($E$761:$E$813,MATCH(Paramètres!J7,Paramètres!$G$5:$G$57,0)))+IF(RIGHT(TRIM(Paramètres!K7),3)="Fin",1-$H763,IF(LEFT(TRIM(Paramètres!K7),1)="F",1,0)))),IF(Paramètres!L7="",0,IF(Paramètres!M7="",NA(),IF(LEFT(TRIM(Paramètres!M7),1)="F",INDEX($F$761:$F$813,MATCH(Paramètres!L7,Paramètres!$G$5:$G$57,0)),INDEX($E$761:$E$813,MATCH(Paramètres!L7,Paramètres!$G$5:$G$57,0)))+IF(RIGHT(TRIM(Paramètres!M7),3)="Fin",1-$H763,IF(LEFT(TRIM(Paramètres!M7),1)="F",1,0)))),IF(Paramètres!N7="",0,IF(Paramètres!O7="",NA(),IF(LEFT(TRIM(Paramètres!O7),1)="F",INDEX($F$761:$F$813,MATCH(Paramètres!N7,Paramètres!$G$5:$G$57,0)),INDEX($E$761:$E$813,MATCH(Paramètres!N7,Paramètres!$G$5:$G$57,0)))+IF(RIGHT(TRIM(Paramètres!O7),3)="Fin",1-$H763,IF(LEFT(TRIM(Paramètres!O7),1)="F",1,0)))))))</f>
        <v/>
      </c>
      <c r="F763" s="19">
        <f>IF($A763="","",E763+$H763-1)</f>
        <v/>
      </c>
      <c r="G763" s="18" t="n"/>
      <c r="H763" s="18">
        <f>IF($A763="","",IF(I763&lt;&gt;"",I763,Paramètres!B7))</f>
        <v/>
      </c>
      <c r="I763" s="18" t="n"/>
    </row>
    <row r="764">
      <c r="A764" s="18">
        <f>IF(ISNUMBER(Dossiers!$D$18),Dossiers!$A$18&amp;" · "&amp;Dossiers!$B$18,"")</f>
        <v/>
      </c>
      <c r="B764" s="18">
        <f>IF($A764="","",Paramètres!G8)</f>
        <v/>
      </c>
      <c r="C764" s="18">
        <f>IF($A764="","",IF(Paramètres!H8="","",Paramètres!H8))</f>
        <v/>
      </c>
      <c r="D764" s="18">
        <f>IF($A764="","",IF(Paramètres!I8="","",Paramètres!I8))</f>
        <v/>
      </c>
      <c r="E764" s="19">
        <f>IF($A764="","",IF(Paramètres!J8&amp;Paramètres!L8&amp;Paramètres!N8="",Dossiers!$D$18,MAX(IF(Paramètres!J8="",0,IF(Paramètres!K8="",NA(),IF(LEFT(TRIM(Paramètres!K8),1)="F",INDEX($F$761:$F$813,MATCH(Paramètres!J8,Paramètres!$G$5:$G$57,0)),INDEX($E$761:$E$813,MATCH(Paramètres!J8,Paramètres!$G$5:$G$57,0)))+IF(RIGHT(TRIM(Paramètres!K8),3)="Fin",1-$H764,IF(LEFT(TRIM(Paramètres!K8),1)="F",1,0)))),IF(Paramètres!L8="",0,IF(Paramètres!M8="",NA(),IF(LEFT(TRIM(Paramètres!M8),1)="F",INDEX($F$761:$F$813,MATCH(Paramètres!L8,Paramètres!$G$5:$G$57,0)),INDEX($E$761:$E$813,MATCH(Paramètres!L8,Paramètres!$G$5:$G$57,0)))+IF(RIGHT(TRIM(Paramètres!M8),3)="Fin",1-$H764,IF(LEFT(TRIM(Paramètres!M8),1)="F",1,0)))),IF(Paramètres!N8="",0,IF(Paramètres!O8="",NA(),IF(LEFT(TRIM(Paramètres!O8),1)="F",INDEX($F$761:$F$813,MATCH(Paramètres!N8,Paramètres!$G$5:$G$57,0)),INDEX($E$761:$E$813,MATCH(Paramètres!N8,Paramètres!$G$5:$G$57,0)))+IF(RIGHT(TRIM(Paramètres!O8),3)="Fin",1-$H764,IF(LEFT(TRIM(Paramètres!O8),1)="F",1,0)))))))</f>
        <v/>
      </c>
      <c r="F764" s="19">
        <f>IF($A764="","",E764+$H764-1)</f>
        <v/>
      </c>
      <c r="G764" s="18" t="n"/>
      <c r="H764" s="18">
        <f>IF($A764="","",IF(I764&lt;&gt;"",I764,Paramètres!B8))</f>
        <v/>
      </c>
      <c r="I764" s="18" t="n"/>
    </row>
    <row r="765">
      <c r="A765" s="18">
        <f>IF(ISNUMBER(Dossiers!$D$18),Dossiers!$A$18&amp;" · "&amp;Dossiers!$B$18,"")</f>
        <v/>
      </c>
      <c r="B765" s="18">
        <f>IF($A765="","",Paramètres!G9)</f>
        <v/>
      </c>
      <c r="C765" s="18">
        <f>IF($A765="","",IF(Paramètres!H9="","",Paramètres!H9))</f>
        <v/>
      </c>
      <c r="D765" s="18">
        <f>IF($A765="","",IF(Paramètres!I9="","",Paramètres!I9))</f>
        <v/>
      </c>
      <c r="E765" s="19">
        <f>IF($A765="","",IF(Paramètres!J9&amp;Paramètres!L9&amp;Paramètres!N9="",Dossiers!$D$18,MAX(IF(Paramètres!J9="",0,IF(Paramètres!K9="",NA(),IF(LEFT(TRIM(Paramètres!K9),1)="F",INDEX($F$761:$F$813,MATCH(Paramètres!J9,Paramètres!$G$5:$G$57,0)),INDEX($E$761:$E$813,MATCH(Paramètres!J9,Paramètres!$G$5:$G$57,0)))+IF(RIGHT(TRIM(Paramètres!K9),3)="Fin",1-$H765,IF(LEFT(TRIM(Paramètres!K9),1)="F",1,0)))),IF(Paramètres!L9="",0,IF(Paramètres!M9="",NA(),IF(LEFT(TRIM(Paramètres!M9),1)="F",INDEX($F$761:$F$813,MATCH(Paramètres!L9,Paramètres!$G$5:$G$57,0)),INDEX($E$761:$E$813,MATCH(Paramètres!L9,Paramètres!$G$5:$G$57,0)))+IF(RIGHT(TRIM(Paramètres!M9),3)="Fin",1-$H765,IF(LEFT(TRIM(Paramètres!M9),1)="F",1,0)))),IF(Paramètres!N9="",0,IF(Paramètres!O9="",NA(),IF(LEFT(TRIM(Paramètres!O9),1)="F",INDEX($F$761:$F$813,MATCH(Paramètres!N9,Paramètres!$G$5:$G$57,0)),INDEX($E$761:$E$813,MATCH(Paramètres!N9,Paramètres!$G$5:$G$57,0)))+IF(RIGHT(TRIM(Paramètres!O9),3)="Fin",1-$H765,IF(LEFT(TRIM(Paramètres!O9),1)="F",1,0)))))))</f>
        <v/>
      </c>
      <c r="F765" s="19">
        <f>IF($A765="","",E765+$H765-1)</f>
        <v/>
      </c>
      <c r="G765" s="18" t="n"/>
      <c r="H765" s="18">
        <f>IF($A765="","",IF(I765&lt;&gt;"",I765,Paramètres!B9))</f>
        <v/>
      </c>
      <c r="I765" s="18" t="n"/>
    </row>
    <row r="766">
      <c r="A766" s="18">
        <f>IF(ISNUMBER(Dossiers!$D$18),Dossiers!$A$18&amp;" · "&amp;Dossiers!$B$18,"")</f>
        <v/>
      </c>
      <c r="B766" s="18">
        <f>IF($A766="","",Paramètres!G10)</f>
        <v/>
      </c>
      <c r="C766" s="18">
        <f>IF($A766="","",IF(Paramètres!H10="","",Paramètres!H10))</f>
        <v/>
      </c>
      <c r="D766" s="18">
        <f>IF($A766="","",IF(Paramètres!I10="","",Paramètres!I10))</f>
        <v/>
      </c>
      <c r="E766" s="19">
        <f>IF($A766="","",MIN(E767:E770))</f>
        <v/>
      </c>
      <c r="F766" s="19">
        <f>IF($A766="","",MAX(F767:F770))</f>
        <v/>
      </c>
      <c r="G766" s="18" t="n"/>
      <c r="H766" s="18">
        <f>IF($A766="","",F766-E766+1)</f>
        <v/>
      </c>
      <c r="I766" s="18" t="n"/>
    </row>
    <row r="767">
      <c r="A767" s="18">
        <f>IF(ISNUMBER(Dossiers!$D$18),Dossiers!$A$18&amp;" · "&amp;Dossiers!$B$18,"")</f>
        <v/>
      </c>
      <c r="B767" s="18">
        <f>IF($A767="","",Paramètres!G11)</f>
        <v/>
      </c>
      <c r="C767" s="18">
        <f>IF($A767="","",IF(Paramètres!H11="","",Paramètres!H11))</f>
        <v/>
      </c>
      <c r="D767" s="18">
        <f>IF($A767="","",IF(Paramètres!I11="","",Paramètres!I11))</f>
        <v/>
      </c>
      <c r="E767" s="19">
        <f>IF($A767="","",IF(Paramètres!J11&amp;Paramètres!L11&amp;Paramètres!N11="",Dossiers!$D$18,MAX(IF(Paramètres!J11="",0,IF(Paramètres!K11="",NA(),IF(LEFT(TRIM(Paramètres!K11),1)="F",INDEX($F$761:$F$813,MATCH(Paramètres!J11,Paramètres!$G$5:$G$57,0)),INDEX($E$761:$E$813,MATCH(Paramètres!J11,Paramètres!$G$5:$G$57,0)))+IF(RIGHT(TRIM(Paramètres!K11),3)="Fin",1-$H767,IF(LEFT(TRIM(Paramètres!K11),1)="F",1,0)))),IF(Paramètres!L11="",0,IF(Paramètres!M11="",NA(),IF(LEFT(TRIM(Paramètres!M11),1)="F",INDEX($F$761:$F$813,MATCH(Paramètres!L11,Paramètres!$G$5:$G$57,0)),INDEX($E$761:$E$813,MATCH(Paramètres!L11,Paramètres!$G$5:$G$57,0)))+IF(RIGHT(TRIM(Paramètres!M11),3)="Fin",1-$H767,IF(LEFT(TRIM(Paramètres!M11),1)="F",1,0)))),IF(Paramètres!N11="",0,IF(Paramètres!O11="",NA(),IF(LEFT(TRIM(Paramètres!O11),1)="F",INDEX($F$761:$F$813,MATCH(Paramètres!N11,Paramètres!$G$5:$G$57,0)),INDEX($E$761:$E$813,MATCH(Paramètres!N11,Paramètres!$G$5:$G$57,0)))+IF(RIGHT(TRIM(Paramètres!O11),3)="Fin",1-$H767,IF(LEFT(TRIM(Paramètres!O11),1)="F",1,0)))))))</f>
        <v/>
      </c>
      <c r="F767" s="19">
        <f>IF($A767="","",E767+$H767-1)</f>
        <v/>
      </c>
      <c r="G767" s="18" t="n"/>
      <c r="H767" s="18">
        <f>IF($A767="","",IF(I767&lt;&gt;"",I767,Paramètres!B11))</f>
        <v/>
      </c>
      <c r="I767" s="18" t="n"/>
    </row>
    <row r="768">
      <c r="A768" s="18">
        <f>IF(ISNUMBER(Dossiers!$D$18),Dossiers!$A$18&amp;" · "&amp;Dossiers!$B$18,"")</f>
        <v/>
      </c>
      <c r="B768" s="18">
        <f>IF($A768="","",Paramètres!G12)</f>
        <v/>
      </c>
      <c r="C768" s="18">
        <f>IF($A768="","",IF(Paramètres!H12="","",Paramètres!H12))</f>
        <v/>
      </c>
      <c r="D768" s="18">
        <f>IF($A768="","",IF(Paramètres!I12="","",Paramètres!I12))</f>
        <v/>
      </c>
      <c r="E768" s="19">
        <f>IF($A768="","",IF(Paramètres!J12&amp;Paramètres!L12&amp;Paramètres!N12="",Dossiers!$D$18,MAX(IF(Paramètres!J12="",0,IF(Paramètres!K12="",NA(),IF(LEFT(TRIM(Paramètres!K12),1)="F",INDEX($F$761:$F$813,MATCH(Paramètres!J12,Paramètres!$G$5:$G$57,0)),INDEX($E$761:$E$813,MATCH(Paramètres!J12,Paramètres!$G$5:$G$57,0)))+IF(RIGHT(TRIM(Paramètres!K12),3)="Fin",1-$H768,IF(LEFT(TRIM(Paramètres!K12),1)="F",1,0)))),IF(Paramètres!L12="",0,IF(Paramètres!M12="",NA(),IF(LEFT(TRIM(Paramètres!M12),1)="F",INDEX($F$761:$F$813,MATCH(Paramètres!L12,Paramètres!$G$5:$G$57,0)),INDEX($E$761:$E$813,MATCH(Paramètres!L12,Paramètres!$G$5:$G$57,0)))+IF(RIGHT(TRIM(Paramètres!M12),3)="Fin",1-$H768,IF(LEFT(TRIM(Paramètres!M12),1)="F",1,0)))),IF(Paramètres!N12="",0,IF(Paramètres!O12="",NA(),IF(LEFT(TRIM(Paramètres!O12),1)="F",INDEX($F$761:$F$813,MATCH(Paramètres!N12,Paramètres!$G$5:$G$57,0)),INDEX($E$761:$E$813,MATCH(Paramètres!N12,Paramètres!$G$5:$G$57,0)))+IF(RIGHT(TRIM(Paramètres!O12),3)="Fin",1-$H768,IF(LEFT(TRIM(Paramètres!O12),1)="F",1,0)))))))</f>
        <v/>
      </c>
      <c r="F768" s="19">
        <f>IF($A768="","",E768+$H768-1)</f>
        <v/>
      </c>
      <c r="G768" s="18" t="n"/>
      <c r="H768" s="18">
        <f>IF($A768="","",IF(I768&lt;&gt;"",I768,Paramètres!B12))</f>
        <v/>
      </c>
      <c r="I768" s="18" t="n"/>
    </row>
    <row r="769">
      <c r="A769" s="18">
        <f>IF(ISNUMBER(Dossiers!$D$18),Dossiers!$A$18&amp;" · "&amp;Dossiers!$B$18,"")</f>
        <v/>
      </c>
      <c r="B769" s="18">
        <f>IF($A769="","",Paramètres!G13)</f>
        <v/>
      </c>
      <c r="C769" s="18">
        <f>IF($A769="","",IF(Paramètres!H13="","",Paramètres!H13))</f>
        <v/>
      </c>
      <c r="D769" s="18">
        <f>IF($A769="","",IF(Paramètres!I13="","",Paramètres!I13))</f>
        <v/>
      </c>
      <c r="E769" s="19">
        <f>IF($A769="","",IF(Paramètres!J13&amp;Paramètres!L13&amp;Paramètres!N13="",Dossiers!$D$18,MAX(IF(Paramètres!J13="",0,IF(Paramètres!K13="",NA(),IF(LEFT(TRIM(Paramètres!K13),1)="F",INDEX($F$761:$F$813,MATCH(Paramètres!J13,Paramètres!$G$5:$G$57,0)),INDEX($E$761:$E$813,MATCH(Paramètres!J13,Paramètres!$G$5:$G$57,0)))+IF(RIGHT(TRIM(Paramètres!K13),3)="Fin",1-$H769,IF(LEFT(TRIM(Paramètres!K13),1)="F",1,0)))),IF(Paramètres!L13="",0,IF(Paramètres!M13="",NA(),IF(LEFT(TRIM(Paramètres!M13),1)="F",INDEX($F$761:$F$813,MATCH(Paramètres!L13,Paramètres!$G$5:$G$57,0)),INDEX($E$761:$E$813,MATCH(Paramètres!L13,Paramètres!$G$5:$G$57,0)))+IF(RIGHT(TRIM(Paramètres!M13),3)="Fin",1-$H769,IF(LEFT(TRIM(Paramètres!M13),1)="F",1,0)))),IF(Paramètres!N13="",0,IF(Paramètres!O13="",NA(),IF(LEFT(TRIM(Paramètres!O13),1)="F",INDEX($F$761:$F$813,MATCH(Paramètres!N13,Paramètres!$G$5:$G$57,0)),INDEX($E$761:$E$813,MATCH(Paramètres!N13,Paramètres!$G$5:$G$57,0)))+IF(RIGHT(TRIM(Paramètres!O13),3)="Fin",1-$H769,IF(LEFT(TRIM(Paramètres!O13),1)="F",1,0)))))))</f>
        <v/>
      </c>
      <c r="F769" s="19">
        <f>IF($A769="","",E769+$H769-1)</f>
        <v/>
      </c>
      <c r="G769" s="18" t="n"/>
      <c r="H769" s="18">
        <f>IF($A769="","",IF(I769&lt;&gt;"",I769,Paramètres!B13))</f>
        <v/>
      </c>
      <c r="I769" s="18" t="n"/>
    </row>
    <row r="770">
      <c r="A770" s="18">
        <f>IF(ISNUMBER(Dossiers!$D$18),Dossiers!$A$18&amp;" · "&amp;Dossiers!$B$18,"")</f>
        <v/>
      </c>
      <c r="B770" s="18">
        <f>IF($A770="","",Paramètres!G14)</f>
        <v/>
      </c>
      <c r="C770" s="18">
        <f>IF($A770="","",IF(Paramètres!H14="","",Paramètres!H14))</f>
        <v/>
      </c>
      <c r="D770" s="18">
        <f>IF($A770="","",IF(Paramètres!I14="","",Paramètres!I14))</f>
        <v/>
      </c>
      <c r="E770" s="19">
        <f>IF($A770="","",IF(Paramètres!J14&amp;Paramètres!L14&amp;Paramètres!N14="",Dossiers!$D$18,MAX(IF(Paramètres!J14="",0,IF(Paramètres!K14="",NA(),IF(LEFT(TRIM(Paramètres!K14),1)="F",INDEX($F$761:$F$813,MATCH(Paramètres!J14,Paramètres!$G$5:$G$57,0)),INDEX($E$761:$E$813,MATCH(Paramètres!J14,Paramètres!$G$5:$G$57,0)))+IF(RIGHT(TRIM(Paramètres!K14),3)="Fin",1-$H770,IF(LEFT(TRIM(Paramètres!K14),1)="F",1,0)))),IF(Paramètres!L14="",0,IF(Paramètres!M14="",NA(),IF(LEFT(TRIM(Paramètres!M14),1)="F",INDEX($F$761:$F$813,MATCH(Paramètres!L14,Paramètres!$G$5:$G$57,0)),INDEX($E$761:$E$813,MATCH(Paramètres!L14,Paramètres!$G$5:$G$57,0)))+IF(RIGHT(TRIM(Paramètres!M14),3)="Fin",1-$H770,IF(LEFT(TRIM(Paramètres!M14),1)="F",1,0)))),IF(Paramètres!N14="",0,IF(Paramètres!O14="",NA(),IF(LEFT(TRIM(Paramètres!O14),1)="F",INDEX($F$761:$F$813,MATCH(Paramètres!N14,Paramètres!$G$5:$G$57,0)),INDEX($E$761:$E$813,MATCH(Paramètres!N14,Paramètres!$G$5:$G$57,0)))+IF(RIGHT(TRIM(Paramètres!O14),3)="Fin",1-$H770,IF(LEFT(TRIM(Paramètres!O14),1)="F",1,0)))))))</f>
        <v/>
      </c>
      <c r="F770" s="19">
        <f>IF($A770="","",E770+$H770-1)</f>
        <v/>
      </c>
      <c r="G770" s="18" t="n"/>
      <c r="H770" s="18">
        <f>IF($A770="","",IF(I770&lt;&gt;"",I770,Paramètres!B14))</f>
        <v/>
      </c>
      <c r="I770" s="18" t="n"/>
    </row>
    <row r="771">
      <c r="A771" s="18">
        <f>IF(ISNUMBER(Dossiers!$D$18),Dossiers!$A$18&amp;" · "&amp;Dossiers!$B$18,"")</f>
        <v/>
      </c>
      <c r="B771" s="18">
        <f>IF($A771="","",Paramètres!G15)</f>
        <v/>
      </c>
      <c r="C771" s="18">
        <f>IF($A771="","",IF(Paramètres!H15="","",Paramètres!H15))</f>
        <v/>
      </c>
      <c r="D771" s="18">
        <f>IF($A771="","",IF(Paramètres!I15="","",Paramètres!I15))</f>
        <v/>
      </c>
      <c r="E771" s="19">
        <f>IF($A771="","",MIN(E772:E787))</f>
        <v/>
      </c>
      <c r="F771" s="19">
        <f>IF($A771="","",MAX(F772:F787))</f>
        <v/>
      </c>
      <c r="G771" s="18" t="n"/>
      <c r="H771" s="18">
        <f>IF($A771="","",F771-E771+1)</f>
        <v/>
      </c>
      <c r="I771" s="18" t="n"/>
    </row>
    <row r="772">
      <c r="A772" s="18">
        <f>IF(ISNUMBER(Dossiers!$D$18),Dossiers!$A$18&amp;" · "&amp;Dossiers!$B$18,"")</f>
        <v/>
      </c>
      <c r="B772" s="18">
        <f>IF($A772="","",Paramètres!G16)</f>
        <v/>
      </c>
      <c r="C772" s="18">
        <f>IF($A772="","",IF(Paramètres!H16="","",Paramètres!H16))</f>
        <v/>
      </c>
      <c r="D772" s="18">
        <f>IF($A772="","",IF(Paramètres!I16="","",Paramètres!I16))</f>
        <v/>
      </c>
      <c r="E772" s="19">
        <f>IF($A772="","",IF(Paramètres!J16&amp;Paramètres!L16&amp;Paramètres!N16="",Dossiers!$D$18,MAX(IF(Paramètres!J16="",0,IF(Paramètres!K16="",NA(),IF(LEFT(TRIM(Paramètres!K16),1)="F",INDEX($F$761:$F$813,MATCH(Paramètres!J16,Paramètres!$G$5:$G$57,0)),INDEX($E$761:$E$813,MATCH(Paramètres!J16,Paramètres!$G$5:$G$57,0)))+IF(RIGHT(TRIM(Paramètres!K16),3)="Fin",1-$H772,IF(LEFT(TRIM(Paramètres!K16),1)="F",1,0)))),IF(Paramètres!L16="",0,IF(Paramètres!M16="",NA(),IF(LEFT(TRIM(Paramètres!M16),1)="F",INDEX($F$761:$F$813,MATCH(Paramètres!L16,Paramètres!$G$5:$G$57,0)),INDEX($E$761:$E$813,MATCH(Paramètres!L16,Paramètres!$G$5:$G$57,0)))+IF(RIGHT(TRIM(Paramètres!M16),3)="Fin",1-$H772,IF(LEFT(TRIM(Paramètres!M16),1)="F",1,0)))),IF(Paramètres!N16="",0,IF(Paramètres!O16="",NA(),IF(LEFT(TRIM(Paramètres!O16),1)="F",INDEX($F$761:$F$813,MATCH(Paramètres!N16,Paramètres!$G$5:$G$57,0)),INDEX($E$761:$E$813,MATCH(Paramètres!N16,Paramètres!$G$5:$G$57,0)))+IF(RIGHT(TRIM(Paramètres!O16),3)="Fin",1-$H772,IF(LEFT(TRIM(Paramètres!O16),1)="F",1,0)))))))</f>
        <v/>
      </c>
      <c r="F772" s="19">
        <f>IF($A772="","",E772+$H772-1)</f>
        <v/>
      </c>
      <c r="G772" s="18" t="n"/>
      <c r="H772" s="18">
        <f>IF($A772="","",IF(I772&lt;&gt;"",I772,Paramètres!B16))</f>
        <v/>
      </c>
      <c r="I772" s="18" t="n"/>
    </row>
    <row r="773">
      <c r="A773" s="18">
        <f>IF(ISNUMBER(Dossiers!$D$18),Dossiers!$A$18&amp;" · "&amp;Dossiers!$B$18,"")</f>
        <v/>
      </c>
      <c r="B773" s="18">
        <f>IF($A773="","",Paramètres!G17)</f>
        <v/>
      </c>
      <c r="C773" s="18">
        <f>IF($A773="","",IF(Paramètres!H17="","",Paramètres!H17))</f>
        <v/>
      </c>
      <c r="D773" s="18">
        <f>IF($A773="","",IF(Paramètres!I17="","",Paramètres!I17))</f>
        <v/>
      </c>
      <c r="E773" s="19">
        <f>IF($A773="","",IF(Paramètres!J17&amp;Paramètres!L17&amp;Paramètres!N17="",Dossiers!$D$18,MAX(IF(Paramètres!J17="",0,IF(Paramètres!K17="",NA(),IF(LEFT(TRIM(Paramètres!K17),1)="F",INDEX($F$761:$F$813,MATCH(Paramètres!J17,Paramètres!$G$5:$G$57,0)),INDEX($E$761:$E$813,MATCH(Paramètres!J17,Paramètres!$G$5:$G$57,0)))+IF(RIGHT(TRIM(Paramètres!K17),3)="Fin",1-$H773,IF(LEFT(TRIM(Paramètres!K17),1)="F",1,0)))),IF(Paramètres!L17="",0,IF(Paramètres!M17="",NA(),IF(LEFT(TRIM(Paramètres!M17),1)="F",INDEX($F$761:$F$813,MATCH(Paramètres!L17,Paramètres!$G$5:$G$57,0)),INDEX($E$761:$E$813,MATCH(Paramètres!L17,Paramètres!$G$5:$G$57,0)))+IF(RIGHT(TRIM(Paramètres!M17),3)="Fin",1-$H773,IF(LEFT(TRIM(Paramètres!M17),1)="F",1,0)))),IF(Paramètres!N17="",0,IF(Paramètres!O17="",NA(),IF(LEFT(TRIM(Paramètres!O17),1)="F",INDEX($F$761:$F$813,MATCH(Paramètres!N17,Paramètres!$G$5:$G$57,0)),INDEX($E$761:$E$813,MATCH(Paramètres!N17,Paramètres!$G$5:$G$57,0)))+IF(RIGHT(TRIM(Paramètres!O17),3)="Fin",1-$H773,IF(LEFT(TRIM(Paramètres!O17),1)="F",1,0)))))))</f>
        <v/>
      </c>
      <c r="F773" s="19">
        <f>IF($A773="","",E773+$H773-1)</f>
        <v/>
      </c>
      <c r="G773" s="18" t="n"/>
      <c r="H773" s="18">
        <f>IF($A773="","",IF(I773&lt;&gt;"",I773,Paramètres!B17))</f>
        <v/>
      </c>
      <c r="I773" s="18" t="n"/>
    </row>
    <row r="774">
      <c r="A774" s="18">
        <f>IF(ISNUMBER(Dossiers!$D$18),Dossiers!$A$18&amp;" · "&amp;Dossiers!$B$18,"")</f>
        <v/>
      </c>
      <c r="B774" s="18">
        <f>IF($A774="","",Paramètres!G18)</f>
        <v/>
      </c>
      <c r="C774" s="18">
        <f>IF($A774="","",IF(Paramètres!H18="","",Paramètres!H18))</f>
        <v/>
      </c>
      <c r="D774" s="18">
        <f>IF($A774="","",IF(Paramètres!I18="","",Paramètres!I18))</f>
        <v/>
      </c>
      <c r="E774" s="19">
        <f>IF($A774="","",IF(Paramètres!J18&amp;Paramètres!L18&amp;Paramètres!N18="",Dossiers!$D$18,MAX(IF(Paramètres!J18="",0,IF(Paramètres!K18="",NA(),IF(LEFT(TRIM(Paramètres!K18),1)="F",INDEX($F$761:$F$813,MATCH(Paramètres!J18,Paramètres!$G$5:$G$57,0)),INDEX($E$761:$E$813,MATCH(Paramètres!J18,Paramètres!$G$5:$G$57,0)))+IF(RIGHT(TRIM(Paramètres!K18),3)="Fin",1-$H774,IF(LEFT(TRIM(Paramètres!K18),1)="F",1,0)))),IF(Paramètres!L18="",0,IF(Paramètres!M18="",NA(),IF(LEFT(TRIM(Paramètres!M18),1)="F",INDEX($F$761:$F$813,MATCH(Paramètres!L18,Paramètres!$G$5:$G$57,0)),INDEX($E$761:$E$813,MATCH(Paramètres!L18,Paramètres!$G$5:$G$57,0)))+IF(RIGHT(TRIM(Paramètres!M18),3)="Fin",1-$H774,IF(LEFT(TRIM(Paramètres!M18),1)="F",1,0)))),IF(Paramètres!N18="",0,IF(Paramètres!O18="",NA(),IF(LEFT(TRIM(Paramètres!O18),1)="F",INDEX($F$761:$F$813,MATCH(Paramètres!N18,Paramètres!$G$5:$G$57,0)),INDEX($E$761:$E$813,MATCH(Paramètres!N18,Paramètres!$G$5:$G$57,0)))+IF(RIGHT(TRIM(Paramètres!O18),3)="Fin",1-$H774,IF(LEFT(TRIM(Paramètres!O18),1)="F",1,0)))))))</f>
        <v/>
      </c>
      <c r="F774" s="19">
        <f>IF($A774="","",E774+$H774-1)</f>
        <v/>
      </c>
      <c r="G774" s="18" t="n"/>
      <c r="H774" s="18">
        <f>IF($A774="","",IF(I774&lt;&gt;"",I774,Paramètres!B18))</f>
        <v/>
      </c>
      <c r="I774" s="18" t="n"/>
    </row>
    <row r="775">
      <c r="A775" s="18">
        <f>IF(ISNUMBER(Dossiers!$D$18),Dossiers!$A$18&amp;" · "&amp;Dossiers!$B$18,"")</f>
        <v/>
      </c>
      <c r="B775" s="18">
        <f>IF($A775="","",Paramètres!G19)</f>
        <v/>
      </c>
      <c r="C775" s="18">
        <f>IF($A775="","",IF(Paramètres!H19="","",Paramètres!H19))</f>
        <v/>
      </c>
      <c r="D775" s="18">
        <f>IF($A775="","",IF(Paramètres!I19="","",Paramètres!I19))</f>
        <v/>
      </c>
      <c r="E775" s="19">
        <f>IF($A775="","",IF(Paramètres!J19&amp;Paramètres!L19&amp;Paramètres!N19="",Dossiers!$D$18,MAX(IF(Paramètres!J19="",0,IF(Paramètres!K19="",NA(),IF(LEFT(TRIM(Paramètres!K19),1)="F",INDEX($F$761:$F$813,MATCH(Paramètres!J19,Paramètres!$G$5:$G$57,0)),INDEX($E$761:$E$813,MATCH(Paramètres!J19,Paramètres!$G$5:$G$57,0)))+IF(RIGHT(TRIM(Paramètres!K19),3)="Fin",1-$H775,IF(LEFT(TRIM(Paramètres!K19),1)="F",1,0)))),IF(Paramètres!L19="",0,IF(Paramètres!M19="",NA(),IF(LEFT(TRIM(Paramètres!M19),1)="F",INDEX($F$761:$F$813,MATCH(Paramètres!L19,Paramètres!$G$5:$G$57,0)),INDEX($E$761:$E$813,MATCH(Paramètres!L19,Paramètres!$G$5:$G$57,0)))+IF(RIGHT(TRIM(Paramètres!M19),3)="Fin",1-$H775,IF(LEFT(TRIM(Paramètres!M19),1)="F",1,0)))),IF(Paramètres!N19="",0,IF(Paramètres!O19="",NA(),IF(LEFT(TRIM(Paramètres!O19),1)="F",INDEX($F$761:$F$813,MATCH(Paramètres!N19,Paramètres!$G$5:$G$57,0)),INDEX($E$761:$E$813,MATCH(Paramètres!N19,Paramètres!$G$5:$G$57,0)))+IF(RIGHT(TRIM(Paramètres!O19),3)="Fin",1-$H775,IF(LEFT(TRIM(Paramètres!O19),1)="F",1,0)))))))</f>
        <v/>
      </c>
      <c r="F775" s="19">
        <f>IF($A775="","",E775+$H775-1)</f>
        <v/>
      </c>
      <c r="G775" s="18" t="n"/>
      <c r="H775" s="18">
        <f>IF($A775="","",IF(I775&lt;&gt;"",I775,Paramètres!B19))</f>
        <v/>
      </c>
      <c r="I775" s="18" t="n"/>
    </row>
    <row r="776">
      <c r="A776" s="18">
        <f>IF(ISNUMBER(Dossiers!$D$18),Dossiers!$A$18&amp;" · "&amp;Dossiers!$B$18,"")</f>
        <v/>
      </c>
      <c r="B776" s="18">
        <f>IF($A776="","",Paramètres!G20)</f>
        <v/>
      </c>
      <c r="C776" s="18">
        <f>IF($A776="","",IF(Paramètres!H20="","",Paramètres!H20))</f>
        <v/>
      </c>
      <c r="D776" s="18">
        <f>IF($A776="","",IF(Paramètres!I20="","",Paramètres!I20))</f>
        <v/>
      </c>
      <c r="E776" s="19">
        <f>IF($A776="","",IF(Paramètres!J20&amp;Paramètres!L20&amp;Paramètres!N20="",Dossiers!$D$18,MAX(IF(Paramètres!J20="",0,IF(Paramètres!K20="",NA(),IF(LEFT(TRIM(Paramètres!K20),1)="F",INDEX($F$761:$F$813,MATCH(Paramètres!J20,Paramètres!$G$5:$G$57,0)),INDEX($E$761:$E$813,MATCH(Paramètres!J20,Paramètres!$G$5:$G$57,0)))+IF(RIGHT(TRIM(Paramètres!K20),3)="Fin",1-$H776,IF(LEFT(TRIM(Paramètres!K20),1)="F",1,0)))),IF(Paramètres!L20="",0,IF(Paramètres!M20="",NA(),IF(LEFT(TRIM(Paramètres!M20),1)="F",INDEX($F$761:$F$813,MATCH(Paramètres!L20,Paramètres!$G$5:$G$57,0)),INDEX($E$761:$E$813,MATCH(Paramètres!L20,Paramètres!$G$5:$G$57,0)))+IF(RIGHT(TRIM(Paramètres!M20),3)="Fin",1-$H776,IF(LEFT(TRIM(Paramètres!M20),1)="F",1,0)))),IF(Paramètres!N20="",0,IF(Paramètres!O20="",NA(),IF(LEFT(TRIM(Paramètres!O20),1)="F",INDEX($F$761:$F$813,MATCH(Paramètres!N20,Paramètres!$G$5:$G$57,0)),INDEX($E$761:$E$813,MATCH(Paramètres!N20,Paramètres!$G$5:$G$57,0)))+IF(RIGHT(TRIM(Paramètres!O20),3)="Fin",1-$H776,IF(LEFT(TRIM(Paramètres!O20),1)="F",1,0)))))))</f>
        <v/>
      </c>
      <c r="F776" s="19">
        <f>IF($A776="","",E776+$H776-1)</f>
        <v/>
      </c>
      <c r="G776" s="18" t="n"/>
      <c r="H776" s="18">
        <f>IF($A776="","",IF(I776&lt;&gt;"",I776,Paramètres!B20))</f>
        <v/>
      </c>
      <c r="I776" s="18" t="n"/>
    </row>
    <row r="777">
      <c r="A777" s="18">
        <f>IF(ISNUMBER(Dossiers!$D$18),Dossiers!$A$18&amp;" · "&amp;Dossiers!$B$18,"")</f>
        <v/>
      </c>
      <c r="B777" s="18">
        <f>IF($A777="","",Paramètres!G21)</f>
        <v/>
      </c>
      <c r="C777" s="18">
        <f>IF($A777="","",IF(Paramètres!H21="","",Paramètres!H21))</f>
        <v/>
      </c>
      <c r="D777" s="18">
        <f>IF($A777="","",IF(Paramètres!I21="","",Paramètres!I21))</f>
        <v/>
      </c>
      <c r="E777" s="19">
        <f>IF($A777="","",IF(Paramètres!J21&amp;Paramètres!L21&amp;Paramètres!N21="",Dossiers!$D$18,MAX(IF(Paramètres!J21="",0,IF(Paramètres!K21="",NA(),IF(LEFT(TRIM(Paramètres!K21),1)="F",INDEX($F$761:$F$813,MATCH(Paramètres!J21,Paramètres!$G$5:$G$57,0)),INDEX($E$761:$E$813,MATCH(Paramètres!J21,Paramètres!$G$5:$G$57,0)))+IF(RIGHT(TRIM(Paramètres!K21),3)="Fin",1-$H777,IF(LEFT(TRIM(Paramètres!K21),1)="F",1,0)))),IF(Paramètres!L21="",0,IF(Paramètres!M21="",NA(),IF(LEFT(TRIM(Paramètres!M21),1)="F",INDEX($F$761:$F$813,MATCH(Paramètres!L21,Paramètres!$G$5:$G$57,0)),INDEX($E$761:$E$813,MATCH(Paramètres!L21,Paramètres!$G$5:$G$57,0)))+IF(RIGHT(TRIM(Paramètres!M21),3)="Fin",1-$H777,IF(LEFT(TRIM(Paramètres!M21),1)="F",1,0)))),IF(Paramètres!N21="",0,IF(Paramètres!O21="",NA(),IF(LEFT(TRIM(Paramètres!O21),1)="F",INDEX($F$761:$F$813,MATCH(Paramètres!N21,Paramètres!$G$5:$G$57,0)),INDEX($E$761:$E$813,MATCH(Paramètres!N21,Paramètres!$G$5:$G$57,0)))+IF(RIGHT(TRIM(Paramètres!O21),3)="Fin",1-$H777,IF(LEFT(TRIM(Paramètres!O21),1)="F",1,0)))))))</f>
        <v/>
      </c>
      <c r="F777" s="19">
        <f>IF($A777="","",E777+$H777-1)</f>
        <v/>
      </c>
      <c r="G777" s="18" t="n"/>
      <c r="H777" s="18">
        <f>IF($A777="","",IF(I777&lt;&gt;"",I777,Paramètres!B21))</f>
        <v/>
      </c>
      <c r="I777" s="18" t="n"/>
    </row>
    <row r="778">
      <c r="A778" s="18">
        <f>IF(ISNUMBER(Dossiers!$D$18),Dossiers!$A$18&amp;" · "&amp;Dossiers!$B$18,"")</f>
        <v/>
      </c>
      <c r="B778" s="18">
        <f>IF($A778="","",Paramètres!G22)</f>
        <v/>
      </c>
      <c r="C778" s="18">
        <f>IF($A778="","",IF(Paramètres!H22="","",Paramètres!H22))</f>
        <v/>
      </c>
      <c r="D778" s="18">
        <f>IF($A778="","",IF(Paramètres!I22="","",Paramètres!I22))</f>
        <v/>
      </c>
      <c r="E778" s="19">
        <f>IF($A778="","",IF(Paramètres!J22&amp;Paramètres!L22&amp;Paramètres!N22="",Dossiers!$D$18,MAX(IF(Paramètres!J22="",0,IF(Paramètres!K22="",NA(),IF(LEFT(TRIM(Paramètres!K22),1)="F",INDEX($F$761:$F$813,MATCH(Paramètres!J22,Paramètres!$G$5:$G$57,0)),INDEX($E$761:$E$813,MATCH(Paramètres!J22,Paramètres!$G$5:$G$57,0)))+IF(RIGHT(TRIM(Paramètres!K22),3)="Fin",1-$H778,IF(LEFT(TRIM(Paramètres!K22),1)="F",1,0)))),IF(Paramètres!L22="",0,IF(Paramètres!M22="",NA(),IF(LEFT(TRIM(Paramètres!M22),1)="F",INDEX($F$761:$F$813,MATCH(Paramètres!L22,Paramètres!$G$5:$G$57,0)),INDEX($E$761:$E$813,MATCH(Paramètres!L22,Paramètres!$G$5:$G$57,0)))+IF(RIGHT(TRIM(Paramètres!M22),3)="Fin",1-$H778,IF(LEFT(TRIM(Paramètres!M22),1)="F",1,0)))),IF(Paramètres!N22="",0,IF(Paramètres!O22="",NA(),IF(LEFT(TRIM(Paramètres!O22),1)="F",INDEX($F$761:$F$813,MATCH(Paramètres!N22,Paramètres!$G$5:$G$57,0)),INDEX($E$761:$E$813,MATCH(Paramètres!N22,Paramètres!$G$5:$G$57,0)))+IF(RIGHT(TRIM(Paramètres!O22),3)="Fin",1-$H778,IF(LEFT(TRIM(Paramètres!O22),1)="F",1,0)))))))</f>
        <v/>
      </c>
      <c r="F778" s="19">
        <f>IF($A778="","",E778+$H778-1)</f>
        <v/>
      </c>
      <c r="G778" s="18" t="n"/>
      <c r="H778" s="18">
        <f>IF($A778="","",IF(I778&lt;&gt;"",I778,Paramètres!B22))</f>
        <v/>
      </c>
      <c r="I778" s="18" t="n"/>
    </row>
    <row r="779">
      <c r="A779" s="18">
        <f>IF(ISNUMBER(Dossiers!$D$18),Dossiers!$A$18&amp;" · "&amp;Dossiers!$B$18,"")</f>
        <v/>
      </c>
      <c r="B779" s="18">
        <f>IF($A779="","",Paramètres!G23)</f>
        <v/>
      </c>
      <c r="C779" s="18">
        <f>IF($A779="","",IF(Paramètres!H23="","",Paramètres!H23))</f>
        <v/>
      </c>
      <c r="D779" s="18">
        <f>IF($A779="","",IF(Paramètres!I23="","",Paramètres!I23))</f>
        <v/>
      </c>
      <c r="E779" s="19">
        <f>IF($A779="","",IF(Paramètres!J23&amp;Paramètres!L23&amp;Paramètres!N23="",Dossiers!$D$18,MAX(IF(Paramètres!J23="",0,IF(Paramètres!K23="",NA(),IF(LEFT(TRIM(Paramètres!K23),1)="F",INDEX($F$761:$F$813,MATCH(Paramètres!J23,Paramètres!$G$5:$G$57,0)),INDEX($E$761:$E$813,MATCH(Paramètres!J23,Paramètres!$G$5:$G$57,0)))+IF(RIGHT(TRIM(Paramètres!K23),3)="Fin",1-$H779,IF(LEFT(TRIM(Paramètres!K23),1)="F",1,0)))),IF(Paramètres!L23="",0,IF(Paramètres!M23="",NA(),IF(LEFT(TRIM(Paramètres!M23),1)="F",INDEX($F$761:$F$813,MATCH(Paramètres!L23,Paramètres!$G$5:$G$57,0)),INDEX($E$761:$E$813,MATCH(Paramètres!L23,Paramètres!$G$5:$G$57,0)))+IF(RIGHT(TRIM(Paramètres!M23),3)="Fin",1-$H779,IF(LEFT(TRIM(Paramètres!M23),1)="F",1,0)))),IF(Paramètres!N23="",0,IF(Paramètres!O23="",NA(),IF(LEFT(TRIM(Paramètres!O23),1)="F",INDEX($F$761:$F$813,MATCH(Paramètres!N23,Paramètres!$G$5:$G$57,0)),INDEX($E$761:$E$813,MATCH(Paramètres!N23,Paramètres!$G$5:$G$57,0)))+IF(RIGHT(TRIM(Paramètres!O23),3)="Fin",1-$H779,IF(LEFT(TRIM(Paramètres!O23),1)="F",1,0)))))))</f>
        <v/>
      </c>
      <c r="F779" s="19">
        <f>IF($A779="","",E779+$H779-1)</f>
        <v/>
      </c>
      <c r="G779" s="18" t="n"/>
      <c r="H779" s="18">
        <f>IF($A779="","",IF(I779&lt;&gt;"",I779,Paramètres!B23))</f>
        <v/>
      </c>
      <c r="I779" s="18" t="n"/>
    </row>
    <row r="780">
      <c r="A780" s="18">
        <f>IF(ISNUMBER(Dossiers!$D$18),Dossiers!$A$18&amp;" · "&amp;Dossiers!$B$18,"")</f>
        <v/>
      </c>
      <c r="B780" s="18">
        <f>IF($A780="","",Paramètres!G24)</f>
        <v/>
      </c>
      <c r="C780" s="18">
        <f>IF($A780="","",IF(Paramètres!H24="","",Paramètres!H24))</f>
        <v/>
      </c>
      <c r="D780" s="18">
        <f>IF($A780="","",IF(Paramètres!I24="","",Paramètres!I24))</f>
        <v/>
      </c>
      <c r="E780" s="19">
        <f>IF($A780="","",IF(Paramètres!J24&amp;Paramètres!L24&amp;Paramètres!N24="",Dossiers!$D$18,MAX(IF(Paramètres!J24="",0,IF(Paramètres!K24="",NA(),IF(LEFT(TRIM(Paramètres!K24),1)="F",INDEX($F$761:$F$813,MATCH(Paramètres!J24,Paramètres!$G$5:$G$57,0)),INDEX($E$761:$E$813,MATCH(Paramètres!J24,Paramètres!$G$5:$G$57,0)))+IF(RIGHT(TRIM(Paramètres!K24),3)="Fin",1-$H780,IF(LEFT(TRIM(Paramètres!K24),1)="F",1,0)))),IF(Paramètres!L24="",0,IF(Paramètres!M24="",NA(),IF(LEFT(TRIM(Paramètres!M24),1)="F",INDEX($F$761:$F$813,MATCH(Paramètres!L24,Paramètres!$G$5:$G$57,0)),INDEX($E$761:$E$813,MATCH(Paramètres!L24,Paramètres!$G$5:$G$57,0)))+IF(RIGHT(TRIM(Paramètres!M24),3)="Fin",1-$H780,IF(LEFT(TRIM(Paramètres!M24),1)="F",1,0)))),IF(Paramètres!N24="",0,IF(Paramètres!O24="",NA(),IF(LEFT(TRIM(Paramètres!O24),1)="F",INDEX($F$761:$F$813,MATCH(Paramètres!N24,Paramètres!$G$5:$G$57,0)),INDEX($E$761:$E$813,MATCH(Paramètres!N24,Paramètres!$G$5:$G$57,0)))+IF(RIGHT(TRIM(Paramètres!O24),3)="Fin",1-$H780,IF(LEFT(TRIM(Paramètres!O24),1)="F",1,0)))))))</f>
        <v/>
      </c>
      <c r="F780" s="19">
        <f>IF($A780="","",E780+$H780-1)</f>
        <v/>
      </c>
      <c r="G780" s="18" t="n"/>
      <c r="H780" s="18">
        <f>IF($A780="","",IF(I780&lt;&gt;"",I780,Paramètres!B24))</f>
        <v/>
      </c>
      <c r="I780" s="18" t="n"/>
    </row>
    <row r="781">
      <c r="A781" s="18">
        <f>IF(ISNUMBER(Dossiers!$D$18),Dossiers!$A$18&amp;" · "&amp;Dossiers!$B$18,"")</f>
        <v/>
      </c>
      <c r="B781" s="18">
        <f>IF($A781="","",Paramètres!G25)</f>
        <v/>
      </c>
      <c r="C781" s="18">
        <f>IF($A781="","",IF(Paramètres!H25="","",Paramètres!H25))</f>
        <v/>
      </c>
      <c r="D781" s="18">
        <f>IF($A781="","",IF(Paramètres!I25="","",Paramètres!I25))</f>
        <v/>
      </c>
      <c r="E781" s="19">
        <f>IF($A781="","",IF(Paramètres!J25&amp;Paramètres!L25&amp;Paramètres!N25="",Dossiers!$D$18,MAX(IF(Paramètres!J25="",0,IF(Paramètres!K25="",NA(),IF(LEFT(TRIM(Paramètres!K25),1)="F",INDEX($F$761:$F$813,MATCH(Paramètres!J25,Paramètres!$G$5:$G$57,0)),INDEX($E$761:$E$813,MATCH(Paramètres!J25,Paramètres!$G$5:$G$57,0)))+IF(RIGHT(TRIM(Paramètres!K25),3)="Fin",1-$H781,IF(LEFT(TRIM(Paramètres!K25),1)="F",1,0)))),IF(Paramètres!L25="",0,IF(Paramètres!M25="",NA(),IF(LEFT(TRIM(Paramètres!M25),1)="F",INDEX($F$761:$F$813,MATCH(Paramètres!L25,Paramètres!$G$5:$G$57,0)),INDEX($E$761:$E$813,MATCH(Paramètres!L25,Paramètres!$G$5:$G$57,0)))+IF(RIGHT(TRIM(Paramètres!M25),3)="Fin",1-$H781,IF(LEFT(TRIM(Paramètres!M25),1)="F",1,0)))),IF(Paramètres!N25="",0,IF(Paramètres!O25="",NA(),IF(LEFT(TRIM(Paramètres!O25),1)="F",INDEX($F$761:$F$813,MATCH(Paramètres!N25,Paramètres!$G$5:$G$57,0)),INDEX($E$761:$E$813,MATCH(Paramètres!N25,Paramètres!$G$5:$G$57,0)))+IF(RIGHT(TRIM(Paramètres!O25),3)="Fin",1-$H781,IF(LEFT(TRIM(Paramètres!O25),1)="F",1,0)))))))</f>
        <v/>
      </c>
      <c r="F781" s="19">
        <f>IF($A781="","",E781+$H781-1)</f>
        <v/>
      </c>
      <c r="G781" s="18" t="n"/>
      <c r="H781" s="18">
        <f>IF($A781="","",IF(I781&lt;&gt;"",I781,Paramètres!B25))</f>
        <v/>
      </c>
      <c r="I781" s="18" t="n"/>
    </row>
    <row r="782">
      <c r="A782" s="18">
        <f>IF(ISNUMBER(Dossiers!$D$18),Dossiers!$A$18&amp;" · "&amp;Dossiers!$B$18,"")</f>
        <v/>
      </c>
      <c r="B782" s="18">
        <f>IF($A782="","",Paramètres!G26)</f>
        <v/>
      </c>
      <c r="C782" s="18">
        <f>IF($A782="","",IF(Paramètres!H26="","",Paramètres!H26))</f>
        <v/>
      </c>
      <c r="D782" s="18">
        <f>IF($A782="","",IF(Paramètres!I26="","",Paramètres!I26))</f>
        <v/>
      </c>
      <c r="E782" s="19">
        <f>IF($A782="","",IF(Paramètres!J26&amp;Paramètres!L26&amp;Paramètres!N26="",Dossiers!$D$18,MAX(IF(Paramètres!J26="",0,IF(Paramètres!K26="",NA(),IF(LEFT(TRIM(Paramètres!K26),1)="F",INDEX($F$761:$F$813,MATCH(Paramètres!J26,Paramètres!$G$5:$G$57,0)),INDEX($E$761:$E$813,MATCH(Paramètres!J26,Paramètres!$G$5:$G$57,0)))+IF(RIGHT(TRIM(Paramètres!K26),3)="Fin",1-$H782,IF(LEFT(TRIM(Paramètres!K26),1)="F",1,0)))),IF(Paramètres!L26="",0,IF(Paramètres!M26="",NA(),IF(LEFT(TRIM(Paramètres!M26),1)="F",INDEX($F$761:$F$813,MATCH(Paramètres!L26,Paramètres!$G$5:$G$57,0)),INDEX($E$761:$E$813,MATCH(Paramètres!L26,Paramètres!$G$5:$G$57,0)))+IF(RIGHT(TRIM(Paramètres!M26),3)="Fin",1-$H782,IF(LEFT(TRIM(Paramètres!M26),1)="F",1,0)))),IF(Paramètres!N26="",0,IF(Paramètres!O26="",NA(),IF(LEFT(TRIM(Paramètres!O26),1)="F",INDEX($F$761:$F$813,MATCH(Paramètres!N26,Paramètres!$G$5:$G$57,0)),INDEX($E$761:$E$813,MATCH(Paramètres!N26,Paramètres!$G$5:$G$57,0)))+IF(RIGHT(TRIM(Paramètres!O26),3)="Fin",1-$H782,IF(LEFT(TRIM(Paramètres!O26),1)="F",1,0)))))))</f>
        <v/>
      </c>
      <c r="F782" s="19">
        <f>IF($A782="","",E782+$H782-1)</f>
        <v/>
      </c>
      <c r="G782" s="18" t="n"/>
      <c r="H782" s="18">
        <f>IF($A782="","",IF(I782&lt;&gt;"",I782,Paramètres!B26))</f>
        <v/>
      </c>
      <c r="I782" s="18" t="n"/>
    </row>
    <row r="783">
      <c r="A783" s="18">
        <f>IF(ISNUMBER(Dossiers!$D$18),Dossiers!$A$18&amp;" · "&amp;Dossiers!$B$18,"")</f>
        <v/>
      </c>
      <c r="B783" s="18">
        <f>IF($A783="","",Paramètres!G27)</f>
        <v/>
      </c>
      <c r="C783" s="18">
        <f>IF($A783="","",IF(Paramètres!H27="","",Paramètres!H27))</f>
        <v/>
      </c>
      <c r="D783" s="18">
        <f>IF($A783="","",IF(Paramètres!I27="","",Paramètres!I27))</f>
        <v/>
      </c>
      <c r="E783" s="19">
        <f>IF($A783="","",IF(Paramètres!J27&amp;Paramètres!L27&amp;Paramètres!N27="",Dossiers!$D$18,MAX(IF(Paramètres!J27="",0,IF(Paramètres!K27="",NA(),IF(LEFT(TRIM(Paramètres!K27),1)="F",INDEX($F$761:$F$813,MATCH(Paramètres!J27,Paramètres!$G$5:$G$57,0)),INDEX($E$761:$E$813,MATCH(Paramètres!J27,Paramètres!$G$5:$G$57,0)))+IF(RIGHT(TRIM(Paramètres!K27),3)="Fin",1-$H783,IF(LEFT(TRIM(Paramètres!K27),1)="F",1,0)))),IF(Paramètres!L27="",0,IF(Paramètres!M27="",NA(),IF(LEFT(TRIM(Paramètres!M27),1)="F",INDEX($F$761:$F$813,MATCH(Paramètres!L27,Paramètres!$G$5:$G$57,0)),INDEX($E$761:$E$813,MATCH(Paramètres!L27,Paramètres!$G$5:$G$57,0)))+IF(RIGHT(TRIM(Paramètres!M27),3)="Fin",1-$H783,IF(LEFT(TRIM(Paramètres!M27),1)="F",1,0)))),IF(Paramètres!N27="",0,IF(Paramètres!O27="",NA(),IF(LEFT(TRIM(Paramètres!O27),1)="F",INDEX($F$761:$F$813,MATCH(Paramètres!N27,Paramètres!$G$5:$G$57,0)),INDEX($E$761:$E$813,MATCH(Paramètres!N27,Paramètres!$G$5:$G$57,0)))+IF(RIGHT(TRIM(Paramètres!O27),3)="Fin",1-$H783,IF(LEFT(TRIM(Paramètres!O27),1)="F",1,0)))))))</f>
        <v/>
      </c>
      <c r="F783" s="19">
        <f>IF($A783="","",E783+$H783-1)</f>
        <v/>
      </c>
      <c r="G783" s="18" t="n"/>
      <c r="H783" s="18">
        <f>IF($A783="","",IF(I783&lt;&gt;"",I783,Paramètres!B27))</f>
        <v/>
      </c>
      <c r="I783" s="18" t="n"/>
    </row>
    <row r="784">
      <c r="A784" s="18">
        <f>IF(ISNUMBER(Dossiers!$D$18),Dossiers!$A$18&amp;" · "&amp;Dossiers!$B$18,"")</f>
        <v/>
      </c>
      <c r="B784" s="18">
        <f>IF($A784="","",Paramètres!G28)</f>
        <v/>
      </c>
      <c r="C784" s="18">
        <f>IF($A784="","",IF(Paramètres!H28="","",Paramètres!H28))</f>
        <v/>
      </c>
      <c r="D784" s="18">
        <f>IF($A784="","",IF(Paramètres!I28="","",Paramètres!I28))</f>
        <v/>
      </c>
      <c r="E784" s="19">
        <f>IF($A784="","",IF(Paramètres!J28&amp;Paramètres!L28&amp;Paramètres!N28="",Dossiers!$D$18,MAX(IF(Paramètres!J28="",0,IF(Paramètres!K28="",NA(),IF(LEFT(TRIM(Paramètres!K28),1)="F",INDEX($F$761:$F$813,MATCH(Paramètres!J28,Paramètres!$G$5:$G$57,0)),INDEX($E$761:$E$813,MATCH(Paramètres!J28,Paramètres!$G$5:$G$57,0)))+IF(RIGHT(TRIM(Paramètres!K28),3)="Fin",1-$H784,IF(LEFT(TRIM(Paramètres!K28),1)="F",1,0)))),IF(Paramètres!L28="",0,IF(Paramètres!M28="",NA(),IF(LEFT(TRIM(Paramètres!M28),1)="F",INDEX($F$761:$F$813,MATCH(Paramètres!L28,Paramètres!$G$5:$G$57,0)),INDEX($E$761:$E$813,MATCH(Paramètres!L28,Paramètres!$G$5:$G$57,0)))+IF(RIGHT(TRIM(Paramètres!M28),3)="Fin",1-$H784,IF(LEFT(TRIM(Paramètres!M28),1)="F",1,0)))),IF(Paramètres!N28="",0,IF(Paramètres!O28="",NA(),IF(LEFT(TRIM(Paramètres!O28),1)="F",INDEX($F$761:$F$813,MATCH(Paramètres!N28,Paramètres!$G$5:$G$57,0)),INDEX($E$761:$E$813,MATCH(Paramètres!N28,Paramètres!$G$5:$G$57,0)))+IF(RIGHT(TRIM(Paramètres!O28),3)="Fin",1-$H784,IF(LEFT(TRIM(Paramètres!O28),1)="F",1,0)))))))</f>
        <v/>
      </c>
      <c r="F784" s="19">
        <f>IF($A784="","",E784+$H784-1)</f>
        <v/>
      </c>
      <c r="G784" s="18" t="n"/>
      <c r="H784" s="18">
        <f>IF($A784="","",IF(I784&lt;&gt;"",I784,Paramètres!B28))</f>
        <v/>
      </c>
      <c r="I784" s="18" t="n"/>
    </row>
    <row r="785">
      <c r="A785" s="18">
        <f>IF(ISNUMBER(Dossiers!$D$18),Dossiers!$A$18&amp;" · "&amp;Dossiers!$B$18,"")</f>
        <v/>
      </c>
      <c r="B785" s="18">
        <f>IF($A785="","",Paramètres!G29)</f>
        <v/>
      </c>
      <c r="C785" s="18">
        <f>IF($A785="","",IF(Paramètres!H29="","",Paramètres!H29))</f>
        <v/>
      </c>
      <c r="D785" s="18">
        <f>IF($A785="","",IF(Paramètres!I29="","",Paramètres!I29))</f>
        <v/>
      </c>
      <c r="E785" s="19">
        <f>IF($A785="","",IF(Paramètres!J29&amp;Paramètres!L29&amp;Paramètres!N29="",Dossiers!$D$18,MAX(IF(Paramètres!J29="",0,IF(Paramètres!K29="",NA(),IF(LEFT(TRIM(Paramètres!K29),1)="F",INDEX($F$761:$F$813,MATCH(Paramètres!J29,Paramètres!$G$5:$G$57,0)),INDEX($E$761:$E$813,MATCH(Paramètres!J29,Paramètres!$G$5:$G$57,0)))+IF(RIGHT(TRIM(Paramètres!K29),3)="Fin",1-$H785,IF(LEFT(TRIM(Paramètres!K29),1)="F",1,0)))),IF(Paramètres!L29="",0,IF(Paramètres!M29="",NA(),IF(LEFT(TRIM(Paramètres!M29),1)="F",INDEX($F$761:$F$813,MATCH(Paramètres!L29,Paramètres!$G$5:$G$57,0)),INDEX($E$761:$E$813,MATCH(Paramètres!L29,Paramètres!$G$5:$G$57,0)))+IF(RIGHT(TRIM(Paramètres!M29),3)="Fin",1-$H785,IF(LEFT(TRIM(Paramètres!M29),1)="F",1,0)))),IF(Paramètres!N29="",0,IF(Paramètres!O29="",NA(),IF(LEFT(TRIM(Paramètres!O29),1)="F",INDEX($F$761:$F$813,MATCH(Paramètres!N29,Paramètres!$G$5:$G$57,0)),INDEX($E$761:$E$813,MATCH(Paramètres!N29,Paramètres!$G$5:$G$57,0)))+IF(RIGHT(TRIM(Paramètres!O29),3)="Fin",1-$H785,IF(LEFT(TRIM(Paramètres!O29),1)="F",1,0)))))))</f>
        <v/>
      </c>
      <c r="F785" s="19">
        <f>IF($A785="","",E785+$H785-1)</f>
        <v/>
      </c>
      <c r="G785" s="18" t="n"/>
      <c r="H785" s="18">
        <f>IF($A785="","",IF(I785&lt;&gt;"",I785,Paramètres!B29))</f>
        <v/>
      </c>
      <c r="I785" s="18" t="n"/>
    </row>
    <row r="786">
      <c r="A786" s="18">
        <f>IF(ISNUMBER(Dossiers!$D$18),Dossiers!$A$18&amp;" · "&amp;Dossiers!$B$18,"")</f>
        <v/>
      </c>
      <c r="B786" s="18">
        <f>IF($A786="","",Paramètres!G30)</f>
        <v/>
      </c>
      <c r="C786" s="18">
        <f>IF($A786="","",IF(Paramètres!H30="","",Paramètres!H30))</f>
        <v/>
      </c>
      <c r="D786" s="18">
        <f>IF($A786="","",IF(Paramètres!I30="","",Paramètres!I30))</f>
        <v/>
      </c>
      <c r="E786" s="19">
        <f>IF($A786="","",IF(Paramètres!J30&amp;Paramètres!L30&amp;Paramètres!N30="",Dossiers!$D$18,MAX(IF(Paramètres!J30="",0,IF(Paramètres!K30="",NA(),IF(LEFT(TRIM(Paramètres!K30),1)="F",INDEX($F$761:$F$813,MATCH(Paramètres!J30,Paramètres!$G$5:$G$57,0)),INDEX($E$761:$E$813,MATCH(Paramètres!J30,Paramètres!$G$5:$G$57,0)))+IF(RIGHT(TRIM(Paramètres!K30),3)="Fin",1-$H786,IF(LEFT(TRIM(Paramètres!K30),1)="F",1,0)))),IF(Paramètres!L30="",0,IF(Paramètres!M30="",NA(),IF(LEFT(TRIM(Paramètres!M30),1)="F",INDEX($F$761:$F$813,MATCH(Paramètres!L30,Paramètres!$G$5:$G$57,0)),INDEX($E$761:$E$813,MATCH(Paramètres!L30,Paramètres!$G$5:$G$57,0)))+IF(RIGHT(TRIM(Paramètres!M30),3)="Fin",1-$H786,IF(LEFT(TRIM(Paramètres!M30),1)="F",1,0)))),IF(Paramètres!N30="",0,IF(Paramètres!O30="",NA(),IF(LEFT(TRIM(Paramètres!O30),1)="F",INDEX($F$761:$F$813,MATCH(Paramètres!N30,Paramètres!$G$5:$G$57,0)),INDEX($E$761:$E$813,MATCH(Paramètres!N30,Paramètres!$G$5:$G$57,0)))+IF(RIGHT(TRIM(Paramètres!O30),3)="Fin",1-$H786,IF(LEFT(TRIM(Paramètres!O30),1)="F",1,0)))))))</f>
        <v/>
      </c>
      <c r="F786" s="19">
        <f>IF($A786="","",E786+$H786-1)</f>
        <v/>
      </c>
      <c r="G786" s="18" t="n"/>
      <c r="H786" s="18">
        <f>IF($A786="","",IF(I786&lt;&gt;"",I786,Paramètres!B30))</f>
        <v/>
      </c>
      <c r="I786" s="18" t="n"/>
    </row>
    <row r="787">
      <c r="A787" s="18">
        <f>IF(ISNUMBER(Dossiers!$D$18),Dossiers!$A$18&amp;" · "&amp;Dossiers!$B$18,"")</f>
        <v/>
      </c>
      <c r="B787" s="18">
        <f>IF($A787="","",Paramètres!G31)</f>
        <v/>
      </c>
      <c r="C787" s="20">
        <f>IF($A787="","",IF(Dossiers!$F$18="","",Dossiers!$F$18))</f>
        <v/>
      </c>
      <c r="D787" s="18">
        <f>IF($A787="","",IF(Paramètres!I31="","",Paramètres!I31))</f>
        <v/>
      </c>
      <c r="E787" s="19">
        <f>IF($A787="","",IF(Paramètres!J31&amp;Paramètres!L31&amp;Paramètres!N31="",Dossiers!$D$18,MAX(IF(Paramètres!J31="",0,IF(Paramètres!K31="",NA(),IF(LEFT(TRIM(Paramètres!K31),1)="F",INDEX($F$761:$F$813,MATCH(Paramètres!J31,Paramètres!$G$5:$G$57,0)),INDEX($E$761:$E$813,MATCH(Paramètres!J31,Paramètres!$G$5:$G$57,0)))+IF(RIGHT(TRIM(Paramètres!K31),3)="Fin",1-$H787,IF(LEFT(TRIM(Paramètres!K31),1)="F",1,0)))),IF(Paramètres!L31="",0,IF(Paramètres!M31="",NA(),IF(LEFT(TRIM(Paramètres!M31),1)="F",INDEX($F$761:$F$813,MATCH(Paramètres!L31,Paramètres!$G$5:$G$57,0)),INDEX($E$761:$E$813,MATCH(Paramètres!L31,Paramètres!$G$5:$G$57,0)))+IF(RIGHT(TRIM(Paramètres!M31),3)="Fin",1-$H787,IF(LEFT(TRIM(Paramètres!M31),1)="F",1,0)))),IF(Paramètres!N31="",0,IF(Paramètres!O31="",NA(),IF(LEFT(TRIM(Paramètres!O31),1)="F",INDEX($F$761:$F$813,MATCH(Paramètres!N31,Paramètres!$G$5:$G$57,0)),INDEX($E$761:$E$813,MATCH(Paramètres!N31,Paramètres!$G$5:$G$57,0)))+IF(RIGHT(TRIM(Paramètres!O31),3)="Fin",1-$H787,IF(LEFT(TRIM(Paramètres!O31),1)="F",1,0)))))))</f>
        <v/>
      </c>
      <c r="F787" s="19">
        <f>IF($A787="","",E787+$H787-1)</f>
        <v/>
      </c>
      <c r="G787" s="18" t="n"/>
      <c r="H787" s="18">
        <f>IF($A787="","",IF(I787&lt;&gt;"",I787,Paramètres!B31))</f>
        <v/>
      </c>
      <c r="I787" s="18" t="n"/>
    </row>
    <row r="788">
      <c r="A788" s="18">
        <f>IF(ISNUMBER(Dossiers!$D$18),Dossiers!$A$18&amp;" · "&amp;Dossiers!$B$18,"")</f>
        <v/>
      </c>
      <c r="B788" s="18">
        <f>IF($A788="","",Paramètres!G32)</f>
        <v/>
      </c>
      <c r="C788" s="18">
        <f>IF($A788="","",IF(Paramètres!H32="","",Paramètres!H32))</f>
        <v/>
      </c>
      <c r="D788" s="18">
        <f>IF($A788="","",IF(Paramètres!I32="","",Paramètres!I32))</f>
        <v/>
      </c>
      <c r="E788" s="19">
        <f>IF($A788="","",MIN(E789:E792))</f>
        <v/>
      </c>
      <c r="F788" s="19">
        <f>IF($A788="","",MAX(F789:F792))</f>
        <v/>
      </c>
      <c r="G788" s="18" t="n"/>
      <c r="H788" s="18">
        <f>IF($A788="","",F788-E788+1)</f>
        <v/>
      </c>
      <c r="I788" s="18" t="n"/>
    </row>
    <row r="789">
      <c r="A789" s="18">
        <f>IF(ISNUMBER(Dossiers!$D$18),Dossiers!$A$18&amp;" · "&amp;Dossiers!$B$18,"")</f>
        <v/>
      </c>
      <c r="B789" s="18">
        <f>IF($A789="","",Paramètres!G33)</f>
        <v/>
      </c>
      <c r="C789" s="18">
        <f>IF($A789="","",IF(Paramètres!H33="","",Paramètres!H33))</f>
        <v/>
      </c>
      <c r="D789" s="18">
        <f>IF($A789="","",IF(Paramètres!I33="","",Paramètres!I33))</f>
        <v/>
      </c>
      <c r="E789" s="19">
        <f>IF($A789="","",IF(Paramètres!J33&amp;Paramètres!L33&amp;Paramètres!N33="",Dossiers!$D$18,MAX(IF(Paramètres!J33="",0,IF(Paramètres!K33="",NA(),IF(LEFT(TRIM(Paramètres!K33),1)="F",INDEX($F$761:$F$813,MATCH(Paramètres!J33,Paramètres!$G$5:$G$57,0)),INDEX($E$761:$E$813,MATCH(Paramètres!J33,Paramètres!$G$5:$G$57,0)))+IF(RIGHT(TRIM(Paramètres!K33),3)="Fin",1-$H789,IF(LEFT(TRIM(Paramètres!K33),1)="F",1,0)))),IF(Paramètres!L33="",0,IF(Paramètres!M33="",NA(),IF(LEFT(TRIM(Paramètres!M33),1)="F",INDEX($F$761:$F$813,MATCH(Paramètres!L33,Paramètres!$G$5:$G$57,0)),INDEX($E$761:$E$813,MATCH(Paramètres!L33,Paramètres!$G$5:$G$57,0)))+IF(RIGHT(TRIM(Paramètres!M33),3)="Fin",1-$H789,IF(LEFT(TRIM(Paramètres!M33),1)="F",1,0)))),IF(Paramètres!N33="",0,IF(Paramètres!O33="",NA(),IF(LEFT(TRIM(Paramètres!O33),1)="F",INDEX($F$761:$F$813,MATCH(Paramètres!N33,Paramètres!$G$5:$G$57,0)),INDEX($E$761:$E$813,MATCH(Paramètres!N33,Paramètres!$G$5:$G$57,0)))+IF(RIGHT(TRIM(Paramètres!O33),3)="Fin",1-$H789,IF(LEFT(TRIM(Paramètres!O33),1)="F",1,0)))))))</f>
        <v/>
      </c>
      <c r="F789" s="19">
        <f>IF($A789="","",E789+$H789-1)</f>
        <v/>
      </c>
      <c r="G789" s="18" t="n"/>
      <c r="H789" s="18">
        <f>IF($A789="","",IF(I789&lt;&gt;"",I789,Paramètres!B33))</f>
        <v/>
      </c>
      <c r="I789" s="18" t="n"/>
    </row>
    <row r="790">
      <c r="A790" s="18">
        <f>IF(ISNUMBER(Dossiers!$D$18),Dossiers!$A$18&amp;" · "&amp;Dossiers!$B$18,"")</f>
        <v/>
      </c>
      <c r="B790" s="18">
        <f>IF($A790="","",Paramètres!G34)</f>
        <v/>
      </c>
      <c r="C790" s="18">
        <f>IF($A790="","",IF(Paramètres!H34="","",Paramètres!H34))</f>
        <v/>
      </c>
      <c r="D790" s="18">
        <f>IF($A790="","",IF(Paramètres!I34="","",Paramètres!I34))</f>
        <v/>
      </c>
      <c r="E790" s="19">
        <f>IF($A790="","",IF(Paramètres!J34&amp;Paramètres!L34&amp;Paramètres!N34="",Dossiers!$D$18,MAX(IF(Paramètres!J34="",0,IF(Paramètres!K34="",NA(),IF(LEFT(TRIM(Paramètres!K34),1)="F",INDEX($F$761:$F$813,MATCH(Paramètres!J34,Paramètres!$G$5:$G$57,0)),INDEX($E$761:$E$813,MATCH(Paramètres!J34,Paramètres!$G$5:$G$57,0)))+IF(RIGHT(TRIM(Paramètres!K34),3)="Fin",1-$H790,IF(LEFT(TRIM(Paramètres!K34),1)="F",1,0)))),IF(Paramètres!L34="",0,IF(Paramètres!M34="",NA(),IF(LEFT(TRIM(Paramètres!M34),1)="F",INDEX($F$761:$F$813,MATCH(Paramètres!L34,Paramètres!$G$5:$G$57,0)),INDEX($E$761:$E$813,MATCH(Paramètres!L34,Paramètres!$G$5:$G$57,0)))+IF(RIGHT(TRIM(Paramètres!M34),3)="Fin",1-$H790,IF(LEFT(TRIM(Paramètres!M34),1)="F",1,0)))),IF(Paramètres!N34="",0,IF(Paramètres!O34="",NA(),IF(LEFT(TRIM(Paramètres!O34),1)="F",INDEX($F$761:$F$813,MATCH(Paramètres!N34,Paramètres!$G$5:$G$57,0)),INDEX($E$761:$E$813,MATCH(Paramètres!N34,Paramètres!$G$5:$G$57,0)))+IF(RIGHT(TRIM(Paramètres!O34),3)="Fin",1-$H790,IF(LEFT(TRIM(Paramètres!O34),1)="F",1,0)))))))</f>
        <v/>
      </c>
      <c r="F790" s="19">
        <f>IF($A790="","",E790+$H790-1)</f>
        <v/>
      </c>
      <c r="G790" s="18" t="n"/>
      <c r="H790" s="18">
        <f>IF($A790="","",IF(I790&lt;&gt;"",I790,Paramètres!B34))</f>
        <v/>
      </c>
      <c r="I790" s="18" t="n"/>
    </row>
    <row r="791">
      <c r="A791" s="18">
        <f>IF(ISNUMBER(Dossiers!$D$18),Dossiers!$A$18&amp;" · "&amp;Dossiers!$B$18,"")</f>
        <v/>
      </c>
      <c r="B791" s="18">
        <f>IF($A791="","",Paramètres!G35)</f>
        <v/>
      </c>
      <c r="C791" s="18">
        <f>IF($A791="","",IF(Paramètres!H35="","",Paramètres!H35))</f>
        <v/>
      </c>
      <c r="D791" s="18">
        <f>IF($A791="","",IF(Paramètres!I35="","",Paramètres!I35))</f>
        <v/>
      </c>
      <c r="E791" s="19">
        <f>IF($A791="","",IF(Paramètres!J35&amp;Paramètres!L35&amp;Paramètres!N35="",Dossiers!$D$18,MAX(IF(Paramètres!J35="",0,IF(Paramètres!K35="",NA(),IF(LEFT(TRIM(Paramètres!K35),1)="F",INDEX($F$761:$F$813,MATCH(Paramètres!J35,Paramètres!$G$5:$G$57,0)),INDEX($E$761:$E$813,MATCH(Paramètres!J35,Paramètres!$G$5:$G$57,0)))+IF(RIGHT(TRIM(Paramètres!K35),3)="Fin",1-$H791,IF(LEFT(TRIM(Paramètres!K35),1)="F",1,0)))),IF(Paramètres!L35="",0,IF(Paramètres!M35="",NA(),IF(LEFT(TRIM(Paramètres!M35),1)="F",INDEX($F$761:$F$813,MATCH(Paramètres!L35,Paramètres!$G$5:$G$57,0)),INDEX($E$761:$E$813,MATCH(Paramètres!L35,Paramètres!$G$5:$G$57,0)))+IF(RIGHT(TRIM(Paramètres!M35),3)="Fin",1-$H791,IF(LEFT(TRIM(Paramètres!M35),1)="F",1,0)))),IF(Paramètres!N35="",0,IF(Paramètres!O35="",NA(),IF(LEFT(TRIM(Paramètres!O35),1)="F",INDEX($F$761:$F$813,MATCH(Paramètres!N35,Paramètres!$G$5:$G$57,0)),INDEX($E$761:$E$813,MATCH(Paramètres!N35,Paramètres!$G$5:$G$57,0)))+IF(RIGHT(TRIM(Paramètres!O35),3)="Fin",1-$H791,IF(LEFT(TRIM(Paramètres!O35),1)="F",1,0)))))))</f>
        <v/>
      </c>
      <c r="F791" s="19">
        <f>IF($A791="","",E791+$H791-1)</f>
        <v/>
      </c>
      <c r="G791" s="18" t="n"/>
      <c r="H791" s="18">
        <f>IF($A791="","",IF(I791&lt;&gt;"",I791,Paramètres!B35))</f>
        <v/>
      </c>
      <c r="I791" s="18" t="n"/>
    </row>
    <row r="792">
      <c r="A792" s="18">
        <f>IF(ISNUMBER(Dossiers!$D$18),Dossiers!$A$18&amp;" · "&amp;Dossiers!$B$18,"")</f>
        <v/>
      </c>
      <c r="B792" s="18">
        <f>IF($A792="","",Paramètres!G36)</f>
        <v/>
      </c>
      <c r="C792" s="18">
        <f>IF($A792="","",IF(Paramètres!H36="","",Paramètres!H36))</f>
        <v/>
      </c>
      <c r="D792" s="18">
        <f>IF($A792="","",IF(Paramètres!I36="","",Paramètres!I36))</f>
        <v/>
      </c>
      <c r="E792" s="19">
        <f>IF($A792="","",IF(Paramètres!J36&amp;Paramètres!L36&amp;Paramètres!N36="",Dossiers!$D$18,MAX(IF(Paramètres!J36="",0,IF(Paramètres!K36="",NA(),IF(LEFT(TRIM(Paramètres!K36),1)="F",INDEX($F$761:$F$813,MATCH(Paramètres!J36,Paramètres!$G$5:$G$57,0)),INDEX($E$761:$E$813,MATCH(Paramètres!J36,Paramètres!$G$5:$G$57,0)))+IF(RIGHT(TRIM(Paramètres!K36),3)="Fin",1-$H792,IF(LEFT(TRIM(Paramètres!K36),1)="F",1,0)))),IF(Paramètres!L36="",0,IF(Paramètres!M36="",NA(),IF(LEFT(TRIM(Paramètres!M36),1)="F",INDEX($F$761:$F$813,MATCH(Paramètres!L36,Paramètres!$G$5:$G$57,0)),INDEX($E$761:$E$813,MATCH(Paramètres!L36,Paramètres!$G$5:$G$57,0)))+IF(RIGHT(TRIM(Paramètres!M36),3)="Fin",1-$H792,IF(LEFT(TRIM(Paramètres!M36),1)="F",1,0)))),IF(Paramètres!N36="",0,IF(Paramètres!O36="",NA(),IF(LEFT(TRIM(Paramètres!O36),1)="F",INDEX($F$761:$F$813,MATCH(Paramètres!N36,Paramètres!$G$5:$G$57,0)),INDEX($E$761:$E$813,MATCH(Paramètres!N36,Paramètres!$G$5:$G$57,0)))+IF(RIGHT(TRIM(Paramètres!O36),3)="Fin",1-$H792,IF(LEFT(TRIM(Paramètres!O36),1)="F",1,0)))))))</f>
        <v/>
      </c>
      <c r="F792" s="19">
        <f>IF($A792="","",E792+$H792-1)</f>
        <v/>
      </c>
      <c r="G792" s="18" t="n"/>
      <c r="H792" s="18">
        <f>IF($A792="","",IF(I792&lt;&gt;"",I792,Paramètres!B36))</f>
        <v/>
      </c>
      <c r="I792" s="18" t="n"/>
    </row>
    <row r="793">
      <c r="A793" s="18">
        <f>IF(ISNUMBER(Dossiers!$D$18),Dossiers!$A$18&amp;" · "&amp;Dossiers!$B$18,"")</f>
        <v/>
      </c>
      <c r="B793" s="18">
        <f>IF($A793="","",Paramètres!G37)</f>
        <v/>
      </c>
      <c r="C793" s="18">
        <f>IF($A793="","",IF(Paramètres!H37="","",Paramètres!H37))</f>
        <v/>
      </c>
      <c r="D793" s="18">
        <f>IF($A793="","",IF(Paramètres!I37="","",Paramètres!I37))</f>
        <v/>
      </c>
      <c r="E793" s="19">
        <f>IF($A793="","",MIN(E794:E811))</f>
        <v/>
      </c>
      <c r="F793" s="19">
        <f>IF($A793="","",MAX(F794:F811))</f>
        <v/>
      </c>
      <c r="G793" s="18" t="n"/>
      <c r="H793" s="18">
        <f>IF($A793="","",F793-E793+1)</f>
        <v/>
      </c>
      <c r="I793" s="18" t="n"/>
    </row>
    <row r="794">
      <c r="A794" s="18">
        <f>IF(ISNUMBER(Dossiers!$D$18),Dossiers!$A$18&amp;" · "&amp;Dossiers!$B$18,"")</f>
        <v/>
      </c>
      <c r="B794" s="18">
        <f>IF($A794="","",Paramètres!G38)</f>
        <v/>
      </c>
      <c r="C794" s="18">
        <f>IF($A794="","",IF(Paramètres!H38="","",Paramètres!H38))</f>
        <v/>
      </c>
      <c r="D794" s="18">
        <f>IF($A794="","",IF(Paramètres!I38="","",Paramètres!I38))</f>
        <v/>
      </c>
      <c r="E794" s="19">
        <f>IF($A794="","",IF(Paramètres!J38&amp;Paramètres!L38&amp;Paramètres!N38="",Dossiers!$D$18,MAX(IF(Paramètres!J38="",0,IF(Paramètres!K38="",NA(),IF(LEFT(TRIM(Paramètres!K38),1)="F",INDEX($F$761:$F$813,MATCH(Paramètres!J38,Paramètres!$G$5:$G$57,0)),INDEX($E$761:$E$813,MATCH(Paramètres!J38,Paramètres!$G$5:$G$57,0)))+IF(RIGHT(TRIM(Paramètres!K38),3)="Fin",1-$H794,IF(LEFT(TRIM(Paramètres!K38),1)="F",1,0)))),IF(Paramètres!L38="",0,IF(Paramètres!M38="",NA(),IF(LEFT(TRIM(Paramètres!M38),1)="F",INDEX($F$761:$F$813,MATCH(Paramètres!L38,Paramètres!$G$5:$G$57,0)),INDEX($E$761:$E$813,MATCH(Paramètres!L38,Paramètres!$G$5:$G$57,0)))+IF(RIGHT(TRIM(Paramètres!M38),3)="Fin",1-$H794,IF(LEFT(TRIM(Paramètres!M38),1)="F",1,0)))),IF(Paramètres!N38="",0,IF(Paramètres!O38="",NA(),IF(LEFT(TRIM(Paramètres!O38),1)="F",INDEX($F$761:$F$813,MATCH(Paramètres!N38,Paramètres!$G$5:$G$57,0)),INDEX($E$761:$E$813,MATCH(Paramètres!N38,Paramètres!$G$5:$G$57,0)))+IF(RIGHT(TRIM(Paramètres!O38),3)="Fin",1-$H794,IF(LEFT(TRIM(Paramètres!O38),1)="F",1,0)))))))</f>
        <v/>
      </c>
      <c r="F794" s="19">
        <f>IF($A794="","",E794+$H794-1)</f>
        <v/>
      </c>
      <c r="G794" s="18" t="n"/>
      <c r="H794" s="18">
        <f>IF($A794="","",IF(I794&lt;&gt;"",I794,Paramètres!B38))</f>
        <v/>
      </c>
      <c r="I794" s="18" t="n"/>
    </row>
    <row r="795">
      <c r="A795" s="18">
        <f>IF(ISNUMBER(Dossiers!$D$18),Dossiers!$A$18&amp;" · "&amp;Dossiers!$B$18,"")</f>
        <v/>
      </c>
      <c r="B795" s="18">
        <f>IF($A795="","",Paramètres!G39)</f>
        <v/>
      </c>
      <c r="C795" s="18">
        <f>IF($A795="","",IF(Paramètres!H39="","",Paramètres!H39))</f>
        <v/>
      </c>
      <c r="D795" s="18">
        <f>IF($A795="","",IF(Paramètres!I39="","",Paramètres!I39))</f>
        <v/>
      </c>
      <c r="E795" s="19">
        <f>IF($A795="","",IF(Paramètres!J39&amp;Paramètres!L39&amp;Paramètres!N39="",Dossiers!$D$18,MAX(IF(Paramètres!J39="",0,IF(Paramètres!K39="",NA(),IF(LEFT(TRIM(Paramètres!K39),1)="F",INDEX($F$761:$F$813,MATCH(Paramètres!J39,Paramètres!$G$5:$G$57,0)),INDEX($E$761:$E$813,MATCH(Paramètres!J39,Paramètres!$G$5:$G$57,0)))+IF(RIGHT(TRIM(Paramètres!K39),3)="Fin",1-$H795,IF(LEFT(TRIM(Paramètres!K39),1)="F",1,0)))),IF(Paramètres!L39="",0,IF(Paramètres!M39="",NA(),IF(LEFT(TRIM(Paramètres!M39),1)="F",INDEX($F$761:$F$813,MATCH(Paramètres!L39,Paramètres!$G$5:$G$57,0)),INDEX($E$761:$E$813,MATCH(Paramètres!L39,Paramètres!$G$5:$G$57,0)))+IF(RIGHT(TRIM(Paramètres!M39),3)="Fin",1-$H795,IF(LEFT(TRIM(Paramètres!M39),1)="F",1,0)))),IF(Paramètres!N39="",0,IF(Paramètres!O39="",NA(),IF(LEFT(TRIM(Paramètres!O39),1)="F",INDEX($F$761:$F$813,MATCH(Paramètres!N39,Paramètres!$G$5:$G$57,0)),INDEX($E$761:$E$813,MATCH(Paramètres!N39,Paramètres!$G$5:$G$57,0)))+IF(RIGHT(TRIM(Paramètres!O39),3)="Fin",1-$H795,IF(LEFT(TRIM(Paramètres!O39),1)="F",1,0)))))))</f>
        <v/>
      </c>
      <c r="F795" s="19">
        <f>IF($A795="","",E795+$H795-1)</f>
        <v/>
      </c>
      <c r="G795" s="18" t="n"/>
      <c r="H795" s="18">
        <f>IF($A795="","",IF(I795&lt;&gt;"",I795,Paramètres!B39))</f>
        <v/>
      </c>
      <c r="I795" s="18" t="n"/>
    </row>
    <row r="796">
      <c r="A796" s="18">
        <f>IF(ISNUMBER(Dossiers!$D$18),Dossiers!$A$18&amp;" · "&amp;Dossiers!$B$18,"")</f>
        <v/>
      </c>
      <c r="B796" s="18">
        <f>IF($A796="","",Paramètres!G40)</f>
        <v/>
      </c>
      <c r="C796" s="18">
        <f>IF($A796="","",IF(Paramètres!H40="","",Paramètres!H40))</f>
        <v/>
      </c>
      <c r="D796" s="18">
        <f>IF($A796="","",IF(Paramètres!I40="","",Paramètres!I40))</f>
        <v/>
      </c>
      <c r="E796" s="19">
        <f>IF($A796="","",IF(Paramètres!J40&amp;Paramètres!L40&amp;Paramètres!N40="",Dossiers!$D$18,MAX(IF(Paramètres!J40="",0,IF(Paramètres!K40="",NA(),IF(LEFT(TRIM(Paramètres!K40),1)="F",INDEX($F$761:$F$813,MATCH(Paramètres!J40,Paramètres!$G$5:$G$57,0)),INDEX($E$761:$E$813,MATCH(Paramètres!J40,Paramètres!$G$5:$G$57,0)))+IF(RIGHT(TRIM(Paramètres!K40),3)="Fin",1-$H796,IF(LEFT(TRIM(Paramètres!K40),1)="F",1,0)))),IF(Paramètres!L40="",0,IF(Paramètres!M40="",NA(),IF(LEFT(TRIM(Paramètres!M40),1)="F",INDEX($F$761:$F$813,MATCH(Paramètres!L40,Paramètres!$G$5:$G$57,0)),INDEX($E$761:$E$813,MATCH(Paramètres!L40,Paramètres!$G$5:$G$57,0)))+IF(RIGHT(TRIM(Paramètres!M40),3)="Fin",1-$H796,IF(LEFT(TRIM(Paramètres!M40),1)="F",1,0)))),IF(Paramètres!N40="",0,IF(Paramètres!O40="",NA(),IF(LEFT(TRIM(Paramètres!O40),1)="F",INDEX($F$761:$F$813,MATCH(Paramètres!N40,Paramètres!$G$5:$G$57,0)),INDEX($E$761:$E$813,MATCH(Paramètres!N40,Paramètres!$G$5:$G$57,0)))+IF(RIGHT(TRIM(Paramètres!O40),3)="Fin",1-$H796,IF(LEFT(TRIM(Paramètres!O40),1)="F",1,0)))))))</f>
        <v/>
      </c>
      <c r="F796" s="19">
        <f>IF($A796="","",E796+$H796-1)</f>
        <v/>
      </c>
      <c r="G796" s="18" t="n"/>
      <c r="H796" s="18">
        <f>IF($A796="","",IF(I796&lt;&gt;"",I796,Paramètres!B40))</f>
        <v/>
      </c>
      <c r="I796" s="18" t="n"/>
    </row>
    <row r="797">
      <c r="A797" s="18">
        <f>IF(ISNUMBER(Dossiers!$D$18),Dossiers!$A$18&amp;" · "&amp;Dossiers!$B$18,"")</f>
        <v/>
      </c>
      <c r="B797" s="18">
        <f>IF($A797="","",Paramètres!G41)</f>
        <v/>
      </c>
      <c r="C797" s="18">
        <f>IF($A797="","",IF(Paramètres!H41="","",Paramètres!H41))</f>
        <v/>
      </c>
      <c r="D797" s="18">
        <f>IF($A797="","",IF(Paramètres!I41="","",Paramètres!I41))</f>
        <v/>
      </c>
      <c r="E797" s="19">
        <f>IF($A797="","",IF(Paramètres!J41&amp;Paramètres!L41&amp;Paramètres!N41="",Dossiers!$D$18,MAX(IF(Paramètres!J41="",0,IF(Paramètres!K41="",NA(),IF(LEFT(TRIM(Paramètres!K41),1)="F",INDEX($F$761:$F$813,MATCH(Paramètres!J41,Paramètres!$G$5:$G$57,0)),INDEX($E$761:$E$813,MATCH(Paramètres!J41,Paramètres!$G$5:$G$57,0)))+IF(RIGHT(TRIM(Paramètres!K41),3)="Fin",1-$H797,IF(LEFT(TRIM(Paramètres!K41),1)="F",1,0)))),IF(Paramètres!L41="",0,IF(Paramètres!M41="",NA(),IF(LEFT(TRIM(Paramètres!M41),1)="F",INDEX($F$761:$F$813,MATCH(Paramètres!L41,Paramètres!$G$5:$G$57,0)),INDEX($E$761:$E$813,MATCH(Paramètres!L41,Paramètres!$G$5:$G$57,0)))+IF(RIGHT(TRIM(Paramètres!M41),3)="Fin",1-$H797,IF(LEFT(TRIM(Paramètres!M41),1)="F",1,0)))),IF(Paramètres!N41="",0,IF(Paramètres!O41="",NA(),IF(LEFT(TRIM(Paramètres!O41),1)="F",INDEX($F$761:$F$813,MATCH(Paramètres!N41,Paramètres!$G$5:$G$57,0)),INDEX($E$761:$E$813,MATCH(Paramètres!N41,Paramètres!$G$5:$G$57,0)))+IF(RIGHT(TRIM(Paramètres!O41),3)="Fin",1-$H797,IF(LEFT(TRIM(Paramètres!O41),1)="F",1,0)))))))</f>
        <v/>
      </c>
      <c r="F797" s="19">
        <f>IF($A797="","",E797+$H797-1)</f>
        <v/>
      </c>
      <c r="G797" s="18" t="n"/>
      <c r="H797" s="18">
        <f>IF($A797="","",IF(I797&lt;&gt;"",I797,Paramètres!B41))</f>
        <v/>
      </c>
      <c r="I797" s="18" t="n"/>
    </row>
    <row r="798">
      <c r="A798" s="18">
        <f>IF(ISNUMBER(Dossiers!$D$18),Dossiers!$A$18&amp;" · "&amp;Dossiers!$B$18,"")</f>
        <v/>
      </c>
      <c r="B798" s="18">
        <f>IF($A798="","",Paramètres!G42)</f>
        <v/>
      </c>
      <c r="C798" s="18">
        <f>IF($A798="","",IF(Paramètres!H42="","",Paramètres!H42))</f>
        <v/>
      </c>
      <c r="D798" s="18">
        <f>IF($A798="","",IF(Paramètres!I42="","",Paramètres!I42))</f>
        <v/>
      </c>
      <c r="E798" s="19">
        <f>IF($A798="","",IF(Paramètres!J42&amp;Paramètres!L42&amp;Paramètres!N42="",Dossiers!$D$18,MAX(IF(Paramètres!J42="",0,IF(Paramètres!K42="",NA(),IF(LEFT(TRIM(Paramètres!K42),1)="F",INDEX($F$761:$F$813,MATCH(Paramètres!J42,Paramètres!$G$5:$G$57,0)),INDEX($E$761:$E$813,MATCH(Paramètres!J42,Paramètres!$G$5:$G$57,0)))+IF(RIGHT(TRIM(Paramètres!K42),3)="Fin",1-$H798,IF(LEFT(TRIM(Paramètres!K42),1)="F",1,0)))),IF(Paramètres!L42="",0,IF(Paramètres!M42="",NA(),IF(LEFT(TRIM(Paramètres!M42),1)="F",INDEX($F$761:$F$813,MATCH(Paramètres!L42,Paramètres!$G$5:$G$57,0)),INDEX($E$761:$E$813,MATCH(Paramètres!L42,Paramètres!$G$5:$G$57,0)))+IF(RIGHT(TRIM(Paramètres!M42),3)="Fin",1-$H798,IF(LEFT(TRIM(Paramètres!M42),1)="F",1,0)))),IF(Paramètres!N42="",0,IF(Paramètres!O42="",NA(),IF(LEFT(TRIM(Paramètres!O42),1)="F",INDEX($F$761:$F$813,MATCH(Paramètres!N42,Paramètres!$G$5:$G$57,0)),INDEX($E$761:$E$813,MATCH(Paramètres!N42,Paramètres!$G$5:$G$57,0)))+IF(RIGHT(TRIM(Paramètres!O42),3)="Fin",1-$H798,IF(LEFT(TRIM(Paramètres!O42),1)="F",1,0)))))))</f>
        <v/>
      </c>
      <c r="F798" s="19">
        <f>IF($A798="","",E798+$H798-1)</f>
        <v/>
      </c>
      <c r="G798" s="18" t="n"/>
      <c r="H798" s="18">
        <f>IF($A798="","",IF(I798&lt;&gt;"",I798,Paramètres!B42))</f>
        <v/>
      </c>
      <c r="I798" s="18" t="n"/>
    </row>
    <row r="799">
      <c r="A799" s="18">
        <f>IF(ISNUMBER(Dossiers!$D$18),Dossiers!$A$18&amp;" · "&amp;Dossiers!$B$18,"")</f>
        <v/>
      </c>
      <c r="B799" s="18">
        <f>IF($A799="","",Paramètres!G43)</f>
        <v/>
      </c>
      <c r="C799" s="18">
        <f>IF($A799="","",IF(Paramètres!H43="","",Paramètres!H43))</f>
        <v/>
      </c>
      <c r="D799" s="18">
        <f>IF($A799="","",IF(Paramètres!I43="","",Paramètres!I43))</f>
        <v/>
      </c>
      <c r="E799" s="19">
        <f>IF($A799="","",IF(Paramètres!J43&amp;Paramètres!L43&amp;Paramètres!N43="",Dossiers!$D$18,MAX(IF(Paramètres!J43="",0,IF(Paramètres!K43="",NA(),IF(LEFT(TRIM(Paramètres!K43),1)="F",INDEX($F$761:$F$813,MATCH(Paramètres!J43,Paramètres!$G$5:$G$57,0)),INDEX($E$761:$E$813,MATCH(Paramètres!J43,Paramètres!$G$5:$G$57,0)))+IF(RIGHT(TRIM(Paramètres!K43),3)="Fin",1-$H799,IF(LEFT(TRIM(Paramètres!K43),1)="F",1,0)))),IF(Paramètres!L43="",0,IF(Paramètres!M43="",NA(),IF(LEFT(TRIM(Paramètres!M43),1)="F",INDEX($F$761:$F$813,MATCH(Paramètres!L43,Paramètres!$G$5:$G$57,0)),INDEX($E$761:$E$813,MATCH(Paramètres!L43,Paramètres!$G$5:$G$57,0)))+IF(RIGHT(TRIM(Paramètres!M43),3)="Fin",1-$H799,IF(LEFT(TRIM(Paramètres!M43),1)="F",1,0)))),IF(Paramètres!N43="",0,IF(Paramètres!O43="",NA(),IF(LEFT(TRIM(Paramètres!O43),1)="F",INDEX($F$761:$F$813,MATCH(Paramètres!N43,Paramètres!$G$5:$G$57,0)),INDEX($E$761:$E$813,MATCH(Paramètres!N43,Paramètres!$G$5:$G$57,0)))+IF(RIGHT(TRIM(Paramètres!O43),3)="Fin",1-$H799,IF(LEFT(TRIM(Paramètres!O43),1)="F",1,0)))))))</f>
        <v/>
      </c>
      <c r="F799" s="19">
        <f>IF($A799="","",E799+$H799-1)</f>
        <v/>
      </c>
      <c r="G799" s="18" t="n"/>
      <c r="H799" s="18">
        <f>IF($A799="","",IF(I799&lt;&gt;"",I799,Paramètres!B43))</f>
        <v/>
      </c>
      <c r="I799" s="18" t="n"/>
    </row>
    <row r="800">
      <c r="A800" s="18">
        <f>IF(ISNUMBER(Dossiers!$D$18),Dossiers!$A$18&amp;" · "&amp;Dossiers!$B$18,"")</f>
        <v/>
      </c>
      <c r="B800" s="18">
        <f>IF($A800="","",Paramètres!G44)</f>
        <v/>
      </c>
      <c r="C800" s="18">
        <f>IF($A800="","",IF(Paramètres!H44="","",Paramètres!H44))</f>
        <v/>
      </c>
      <c r="D800" s="18">
        <f>IF($A800="","",IF(Paramètres!I44="","",Paramètres!I44))</f>
        <v/>
      </c>
      <c r="E800" s="19">
        <f>IF($A800="","",IF(Paramètres!J44&amp;Paramètres!L44&amp;Paramètres!N44="",Dossiers!$D$18,MAX(IF(Paramètres!J44="",0,IF(Paramètres!K44="",NA(),IF(LEFT(TRIM(Paramètres!K44),1)="F",INDEX($F$761:$F$813,MATCH(Paramètres!J44,Paramètres!$G$5:$G$57,0)),INDEX($E$761:$E$813,MATCH(Paramètres!J44,Paramètres!$G$5:$G$57,0)))+IF(RIGHT(TRIM(Paramètres!K44),3)="Fin",1-$H800,IF(LEFT(TRIM(Paramètres!K44),1)="F",1,0)))),IF(Paramètres!L44="",0,IF(Paramètres!M44="",NA(),IF(LEFT(TRIM(Paramètres!M44),1)="F",INDEX($F$761:$F$813,MATCH(Paramètres!L44,Paramètres!$G$5:$G$57,0)),INDEX($E$761:$E$813,MATCH(Paramètres!L44,Paramètres!$G$5:$G$57,0)))+IF(RIGHT(TRIM(Paramètres!M44),3)="Fin",1-$H800,IF(LEFT(TRIM(Paramètres!M44),1)="F",1,0)))),IF(Paramètres!N44="",0,IF(Paramètres!O44="",NA(),IF(LEFT(TRIM(Paramètres!O44),1)="F",INDEX($F$761:$F$813,MATCH(Paramètres!N44,Paramètres!$G$5:$G$57,0)),INDEX($E$761:$E$813,MATCH(Paramètres!N44,Paramètres!$G$5:$G$57,0)))+IF(RIGHT(TRIM(Paramètres!O44),3)="Fin",1-$H800,IF(LEFT(TRIM(Paramètres!O44),1)="F",1,0)))))))</f>
        <v/>
      </c>
      <c r="F800" s="19">
        <f>IF($A800="","",E800+$H800-1)</f>
        <v/>
      </c>
      <c r="G800" s="18" t="n"/>
      <c r="H800" s="18">
        <f>IF($A800="","",IF(I800&lt;&gt;"",I800,Paramètres!B44))</f>
        <v/>
      </c>
      <c r="I800" s="18" t="n"/>
    </row>
    <row r="801">
      <c r="A801" s="18">
        <f>IF(ISNUMBER(Dossiers!$D$18),Dossiers!$A$18&amp;" · "&amp;Dossiers!$B$18,"")</f>
        <v/>
      </c>
      <c r="B801" s="18">
        <f>IF($A801="","",Paramètres!G45)</f>
        <v/>
      </c>
      <c r="C801" s="20">
        <f>IF($A801="","",IF(Dossiers!$G$18="","",Dossiers!$G$18))</f>
        <v/>
      </c>
      <c r="D801" s="18">
        <f>IF($A801="","",IF(Paramètres!I45="","",Paramètres!I45))</f>
        <v/>
      </c>
      <c r="E801" s="19">
        <f>IF($A801="","",IF(Paramètres!J45&amp;Paramètres!L45&amp;Paramètres!N45="",Dossiers!$D$18,MAX(IF(Paramètres!J45="",0,IF(Paramètres!K45="",NA(),IF(LEFT(TRIM(Paramètres!K45),1)="F",INDEX($F$761:$F$813,MATCH(Paramètres!J45,Paramètres!$G$5:$G$57,0)),INDEX($E$761:$E$813,MATCH(Paramètres!J45,Paramètres!$G$5:$G$57,0)))+IF(RIGHT(TRIM(Paramètres!K45),3)="Fin",1-$H801,IF(LEFT(TRIM(Paramètres!K45),1)="F",1,0)))),IF(Paramètres!L45="",0,IF(Paramètres!M45="",NA(),IF(LEFT(TRIM(Paramètres!M45),1)="F",INDEX($F$761:$F$813,MATCH(Paramètres!L45,Paramètres!$G$5:$G$57,0)),INDEX($E$761:$E$813,MATCH(Paramètres!L45,Paramètres!$G$5:$G$57,0)))+IF(RIGHT(TRIM(Paramètres!M45),3)="Fin",1-$H801,IF(LEFT(TRIM(Paramètres!M45),1)="F",1,0)))),IF(Paramètres!N45="",0,IF(Paramètres!O45="",NA(),IF(LEFT(TRIM(Paramètres!O45),1)="F",INDEX($F$761:$F$813,MATCH(Paramètres!N45,Paramètres!$G$5:$G$57,0)),INDEX($E$761:$E$813,MATCH(Paramètres!N45,Paramètres!$G$5:$G$57,0)))+IF(RIGHT(TRIM(Paramètres!O45),3)="Fin",1-$H801,IF(LEFT(TRIM(Paramètres!O45),1)="F",1,0)))))))</f>
        <v/>
      </c>
      <c r="F801" s="19">
        <f>IF($A801="","",E801+$H801-1)</f>
        <v/>
      </c>
      <c r="G801" s="18" t="n"/>
      <c r="H801" s="18">
        <f>IF($A801="","",IF(I801&lt;&gt;"",I801,Paramètres!B45))</f>
        <v/>
      </c>
      <c r="I801" s="18" t="n"/>
    </row>
    <row r="802">
      <c r="A802" s="18">
        <f>IF(ISNUMBER(Dossiers!$D$18),Dossiers!$A$18&amp;" · "&amp;Dossiers!$B$18,"")</f>
        <v/>
      </c>
      <c r="B802" s="18">
        <f>IF($A802="","",Paramètres!G46)</f>
        <v/>
      </c>
      <c r="C802" s="18">
        <f>IF($A802="","",IF(Paramètres!H46="","",Paramètres!H46))</f>
        <v/>
      </c>
      <c r="D802" s="18">
        <f>IF($A802="","",IF(Paramètres!I46="","",Paramètres!I46))</f>
        <v/>
      </c>
      <c r="E802" s="19">
        <f>IF($A802="","",IF(Paramètres!J46&amp;Paramètres!L46&amp;Paramètres!N46="",Dossiers!$D$18,MAX(IF(Paramètres!J46="",0,IF(Paramètres!K46="",NA(),IF(LEFT(TRIM(Paramètres!K46),1)="F",INDEX($F$761:$F$813,MATCH(Paramètres!J46,Paramètres!$G$5:$G$57,0)),INDEX($E$761:$E$813,MATCH(Paramètres!J46,Paramètres!$G$5:$G$57,0)))+IF(RIGHT(TRIM(Paramètres!K46),3)="Fin",1-$H802,IF(LEFT(TRIM(Paramètres!K46),1)="F",1,0)))),IF(Paramètres!L46="",0,IF(Paramètres!M46="",NA(),IF(LEFT(TRIM(Paramètres!M46),1)="F",INDEX($F$761:$F$813,MATCH(Paramètres!L46,Paramètres!$G$5:$G$57,0)),INDEX($E$761:$E$813,MATCH(Paramètres!L46,Paramètres!$G$5:$G$57,0)))+IF(RIGHT(TRIM(Paramètres!M46),3)="Fin",1-$H802,IF(LEFT(TRIM(Paramètres!M46),1)="F",1,0)))),IF(Paramètres!N46="",0,IF(Paramètres!O46="",NA(),IF(LEFT(TRIM(Paramètres!O46),1)="F",INDEX($F$761:$F$813,MATCH(Paramètres!N46,Paramètres!$G$5:$G$57,0)),INDEX($E$761:$E$813,MATCH(Paramètres!N46,Paramètres!$G$5:$G$57,0)))+IF(RIGHT(TRIM(Paramètres!O46),3)="Fin",1-$H802,IF(LEFT(TRIM(Paramètres!O46),1)="F",1,0)))))))</f>
        <v/>
      </c>
      <c r="F802" s="19">
        <f>IF($A802="","",E802+$H802-1)</f>
        <v/>
      </c>
      <c r="G802" s="18" t="n"/>
      <c r="H802" s="18">
        <f>IF($A802="","",IF(I802&lt;&gt;"",I802,Paramètres!B46))</f>
        <v/>
      </c>
      <c r="I802" s="18" t="n"/>
    </row>
    <row r="803">
      <c r="A803" s="18">
        <f>IF(ISNUMBER(Dossiers!$D$18),Dossiers!$A$18&amp;" · "&amp;Dossiers!$B$18,"")</f>
        <v/>
      </c>
      <c r="B803" s="18">
        <f>IF($A803="","",Paramètres!G47)</f>
        <v/>
      </c>
      <c r="C803" s="18">
        <f>IF($A803="","",IF(Paramètres!H47="","",Paramètres!H47))</f>
        <v/>
      </c>
      <c r="D803" s="18">
        <f>IF($A803="","",IF(Paramètres!I47="","",Paramètres!I47))</f>
        <v/>
      </c>
      <c r="E803" s="19">
        <f>IF($A803="","",IF(Paramètres!J47&amp;Paramètres!L47&amp;Paramètres!N47="",Dossiers!$D$18,MAX(IF(Paramètres!J47="",0,IF(Paramètres!K47="",NA(),IF(LEFT(TRIM(Paramètres!K47),1)="F",INDEX($F$761:$F$813,MATCH(Paramètres!J47,Paramètres!$G$5:$G$57,0)),INDEX($E$761:$E$813,MATCH(Paramètres!J47,Paramètres!$G$5:$G$57,0)))+IF(RIGHT(TRIM(Paramètres!K47),3)="Fin",1-$H803,IF(LEFT(TRIM(Paramètres!K47),1)="F",1,0)))),IF(Paramètres!L47="",0,IF(Paramètres!M47="",NA(),IF(LEFT(TRIM(Paramètres!M47),1)="F",INDEX($F$761:$F$813,MATCH(Paramètres!L47,Paramètres!$G$5:$G$57,0)),INDEX($E$761:$E$813,MATCH(Paramètres!L47,Paramètres!$G$5:$G$57,0)))+IF(RIGHT(TRIM(Paramètres!M47),3)="Fin",1-$H803,IF(LEFT(TRIM(Paramètres!M47),1)="F",1,0)))),IF(Paramètres!N47="",0,IF(Paramètres!O47="",NA(),IF(LEFT(TRIM(Paramètres!O47),1)="F",INDEX($F$761:$F$813,MATCH(Paramètres!N47,Paramètres!$G$5:$G$57,0)),INDEX($E$761:$E$813,MATCH(Paramètres!N47,Paramètres!$G$5:$G$57,0)))+IF(RIGHT(TRIM(Paramètres!O47),3)="Fin",1-$H803,IF(LEFT(TRIM(Paramètres!O47),1)="F",1,0)))))))</f>
        <v/>
      </c>
      <c r="F803" s="19">
        <f>IF($A803="","",E803+$H803-1)</f>
        <v/>
      </c>
      <c r="G803" s="18" t="n"/>
      <c r="H803" s="18">
        <f>IF($A803="","",IF(I803&lt;&gt;"",I803,Paramètres!B47))</f>
        <v/>
      </c>
      <c r="I803" s="18" t="n"/>
    </row>
    <row r="804">
      <c r="A804" s="18">
        <f>IF(ISNUMBER(Dossiers!$D$18),Dossiers!$A$18&amp;" · "&amp;Dossiers!$B$18,"")</f>
        <v/>
      </c>
      <c r="B804" s="18">
        <f>IF($A804="","",Paramètres!G48)</f>
        <v/>
      </c>
      <c r="C804" s="18">
        <f>IF($A804="","",IF(Paramètres!H48="","",Paramètres!H48))</f>
        <v/>
      </c>
      <c r="D804" s="18">
        <f>IF($A804="","",IF(Paramètres!I48="","",Paramètres!I48))</f>
        <v/>
      </c>
      <c r="E804" s="19">
        <f>IF($A804="","",IF(Paramètres!J48&amp;Paramètres!L48&amp;Paramètres!N48="",Dossiers!$D$18,MAX(IF(Paramètres!J48="",0,IF(Paramètres!K48="",NA(),IF(LEFT(TRIM(Paramètres!K48),1)="F",INDEX($F$761:$F$813,MATCH(Paramètres!J48,Paramètres!$G$5:$G$57,0)),INDEX($E$761:$E$813,MATCH(Paramètres!J48,Paramètres!$G$5:$G$57,0)))+IF(RIGHT(TRIM(Paramètres!K48),3)="Fin",1-$H804,IF(LEFT(TRIM(Paramètres!K48),1)="F",1,0)))),IF(Paramètres!L48="",0,IF(Paramètres!M48="",NA(),IF(LEFT(TRIM(Paramètres!M48),1)="F",INDEX($F$761:$F$813,MATCH(Paramètres!L48,Paramètres!$G$5:$G$57,0)),INDEX($E$761:$E$813,MATCH(Paramètres!L48,Paramètres!$G$5:$G$57,0)))+IF(RIGHT(TRIM(Paramètres!M48),3)="Fin",1-$H804,IF(LEFT(TRIM(Paramètres!M48),1)="F",1,0)))),IF(Paramètres!N48="",0,IF(Paramètres!O48="",NA(),IF(LEFT(TRIM(Paramètres!O48),1)="F",INDEX($F$761:$F$813,MATCH(Paramètres!N48,Paramètres!$G$5:$G$57,0)),INDEX($E$761:$E$813,MATCH(Paramètres!N48,Paramètres!$G$5:$G$57,0)))+IF(RIGHT(TRIM(Paramètres!O48),3)="Fin",1-$H804,IF(LEFT(TRIM(Paramètres!O48),1)="F",1,0)))))))</f>
        <v/>
      </c>
      <c r="F804" s="19">
        <f>IF($A804="","",E804+$H804-1)</f>
        <v/>
      </c>
      <c r="G804" s="18" t="n"/>
      <c r="H804" s="18">
        <f>IF($A804="","",IF(I804&lt;&gt;"",I804,Paramètres!B48))</f>
        <v/>
      </c>
      <c r="I804" s="18" t="n"/>
    </row>
    <row r="805">
      <c r="A805" s="18">
        <f>IF(ISNUMBER(Dossiers!$D$18),Dossiers!$A$18&amp;" · "&amp;Dossiers!$B$18,"")</f>
        <v/>
      </c>
      <c r="B805" s="18">
        <f>IF($A805="","",Paramètres!G49)</f>
        <v/>
      </c>
      <c r="C805" s="18">
        <f>IF($A805="","",IF(Paramètres!H49="","",Paramètres!H49))</f>
        <v/>
      </c>
      <c r="D805" s="18">
        <f>IF($A805="","",IF(Paramètres!I49="","",Paramètres!I49))</f>
        <v/>
      </c>
      <c r="E805" s="19">
        <f>IF($A805="","",IF(Paramètres!J49&amp;Paramètres!L49&amp;Paramètres!N49="",Dossiers!$D$18,MAX(IF(Paramètres!J49="",0,IF(Paramètres!K49="",NA(),IF(LEFT(TRIM(Paramètres!K49),1)="F",INDEX($F$761:$F$813,MATCH(Paramètres!J49,Paramètres!$G$5:$G$57,0)),INDEX($E$761:$E$813,MATCH(Paramètres!J49,Paramètres!$G$5:$G$57,0)))+IF(RIGHT(TRIM(Paramètres!K49),3)="Fin",1-$H805,IF(LEFT(TRIM(Paramètres!K49),1)="F",1,0)))),IF(Paramètres!L49="",0,IF(Paramètres!M49="",NA(),IF(LEFT(TRIM(Paramètres!M49),1)="F",INDEX($F$761:$F$813,MATCH(Paramètres!L49,Paramètres!$G$5:$G$57,0)),INDEX($E$761:$E$813,MATCH(Paramètres!L49,Paramètres!$G$5:$G$57,0)))+IF(RIGHT(TRIM(Paramètres!M49),3)="Fin",1-$H805,IF(LEFT(TRIM(Paramètres!M49),1)="F",1,0)))),IF(Paramètres!N49="",0,IF(Paramètres!O49="",NA(),IF(LEFT(TRIM(Paramètres!O49),1)="F",INDEX($F$761:$F$813,MATCH(Paramètres!N49,Paramètres!$G$5:$G$57,0)),INDEX($E$761:$E$813,MATCH(Paramètres!N49,Paramètres!$G$5:$G$57,0)))+IF(RIGHT(TRIM(Paramètres!O49),3)="Fin",1-$H805,IF(LEFT(TRIM(Paramètres!O49),1)="F",1,0)))))))</f>
        <v/>
      </c>
      <c r="F805" s="19">
        <f>IF($A805="","",E805+$H805-1)</f>
        <v/>
      </c>
      <c r="G805" s="18" t="n"/>
      <c r="H805" s="18">
        <f>IF($A805="","",IF(I805&lt;&gt;"",I805,Paramètres!B49))</f>
        <v/>
      </c>
      <c r="I805" s="18" t="n"/>
    </row>
    <row r="806">
      <c r="A806" s="18">
        <f>IF(ISNUMBER(Dossiers!$D$18),Dossiers!$A$18&amp;" · "&amp;Dossiers!$B$18,"")</f>
        <v/>
      </c>
      <c r="B806" s="18">
        <f>IF($A806="","",Paramètres!G50)</f>
        <v/>
      </c>
      <c r="C806" s="18">
        <f>IF($A806="","",IF(Paramètres!H50="","",Paramètres!H50))</f>
        <v/>
      </c>
      <c r="D806" s="18">
        <f>IF($A806="","",IF(Paramètres!I50="","",Paramètres!I50))</f>
        <v/>
      </c>
      <c r="E806" s="19">
        <f>IF($A806="","",IF(Paramètres!J50&amp;Paramètres!L50&amp;Paramètres!N50="",Dossiers!$D$18,MAX(IF(Paramètres!J50="",0,IF(Paramètres!K50="",NA(),IF(LEFT(TRIM(Paramètres!K50),1)="F",INDEX($F$761:$F$813,MATCH(Paramètres!J50,Paramètres!$G$5:$G$57,0)),INDEX($E$761:$E$813,MATCH(Paramètres!J50,Paramètres!$G$5:$G$57,0)))+IF(RIGHT(TRIM(Paramètres!K50),3)="Fin",1-$H806,IF(LEFT(TRIM(Paramètres!K50),1)="F",1,0)))),IF(Paramètres!L50="",0,IF(Paramètres!M50="",NA(),IF(LEFT(TRIM(Paramètres!M50),1)="F",INDEX($F$761:$F$813,MATCH(Paramètres!L50,Paramètres!$G$5:$G$57,0)),INDEX($E$761:$E$813,MATCH(Paramètres!L50,Paramètres!$G$5:$G$57,0)))+IF(RIGHT(TRIM(Paramètres!M50),3)="Fin",1-$H806,IF(LEFT(TRIM(Paramètres!M50),1)="F",1,0)))),IF(Paramètres!N50="",0,IF(Paramètres!O50="",NA(),IF(LEFT(TRIM(Paramètres!O50),1)="F",INDEX($F$761:$F$813,MATCH(Paramètres!N50,Paramètres!$G$5:$G$57,0)),INDEX($E$761:$E$813,MATCH(Paramètres!N50,Paramètres!$G$5:$G$57,0)))+IF(RIGHT(TRIM(Paramètres!O50),3)="Fin",1-$H806,IF(LEFT(TRIM(Paramètres!O50),1)="F",1,0)))))))</f>
        <v/>
      </c>
      <c r="F806" s="19">
        <f>IF($A806="","",E806+$H806-1)</f>
        <v/>
      </c>
      <c r="G806" s="18" t="n"/>
      <c r="H806" s="18">
        <f>IF($A806="","",IF(I806&lt;&gt;"",I806,Paramètres!B50))</f>
        <v/>
      </c>
      <c r="I806" s="18" t="n"/>
    </row>
    <row r="807">
      <c r="A807" s="18">
        <f>IF(ISNUMBER(Dossiers!$D$18),Dossiers!$A$18&amp;" · "&amp;Dossiers!$B$18,"")</f>
        <v/>
      </c>
      <c r="B807" s="18">
        <f>IF($A807="","",Paramètres!G51)</f>
        <v/>
      </c>
      <c r="C807" s="18">
        <f>IF($A807="","",IF(Paramètres!H51="","",Paramètres!H51))</f>
        <v/>
      </c>
      <c r="D807" s="18">
        <f>IF($A807="","",IF(Paramètres!I51="","",Paramètres!I51))</f>
        <v/>
      </c>
      <c r="E807" s="19">
        <f>IF($A807="","",IF(Paramètres!J51&amp;Paramètres!L51&amp;Paramètres!N51="",Dossiers!$D$18,MAX(IF(Paramètres!J51="",0,IF(Paramètres!K51="",NA(),IF(LEFT(TRIM(Paramètres!K51),1)="F",INDEX($F$761:$F$813,MATCH(Paramètres!J51,Paramètres!$G$5:$G$57,0)),INDEX($E$761:$E$813,MATCH(Paramètres!J51,Paramètres!$G$5:$G$57,0)))+IF(RIGHT(TRIM(Paramètres!K51),3)="Fin",1-$H807,IF(LEFT(TRIM(Paramètres!K51),1)="F",1,0)))),IF(Paramètres!L51="",0,IF(Paramètres!M51="",NA(),IF(LEFT(TRIM(Paramètres!M51),1)="F",INDEX($F$761:$F$813,MATCH(Paramètres!L51,Paramètres!$G$5:$G$57,0)),INDEX($E$761:$E$813,MATCH(Paramètres!L51,Paramètres!$G$5:$G$57,0)))+IF(RIGHT(TRIM(Paramètres!M51),3)="Fin",1-$H807,IF(LEFT(TRIM(Paramètres!M51),1)="F",1,0)))),IF(Paramètres!N51="",0,IF(Paramètres!O51="",NA(),IF(LEFT(TRIM(Paramètres!O51),1)="F",INDEX($F$761:$F$813,MATCH(Paramètres!N51,Paramètres!$G$5:$G$57,0)),INDEX($E$761:$E$813,MATCH(Paramètres!N51,Paramètres!$G$5:$G$57,0)))+IF(RIGHT(TRIM(Paramètres!O51),3)="Fin",1-$H807,IF(LEFT(TRIM(Paramètres!O51),1)="F",1,0)))))))</f>
        <v/>
      </c>
      <c r="F807" s="19">
        <f>IF($A807="","",E807+$H807-1)</f>
        <v/>
      </c>
      <c r="G807" s="18" t="n"/>
      <c r="H807" s="18">
        <f>IF($A807="","",IF(I807&lt;&gt;"",I807,Paramètres!B51))</f>
        <v/>
      </c>
      <c r="I807" s="18" t="n"/>
    </row>
    <row r="808">
      <c r="A808" s="18">
        <f>IF(ISNUMBER(Dossiers!$D$18),Dossiers!$A$18&amp;" · "&amp;Dossiers!$B$18,"")</f>
        <v/>
      </c>
      <c r="B808" s="18">
        <f>IF($A808="","",Paramètres!G52)</f>
        <v/>
      </c>
      <c r="C808" s="18">
        <f>IF($A808="","",IF(Paramètres!H52="","",Paramètres!H52))</f>
        <v/>
      </c>
      <c r="D808" s="18">
        <f>IF($A808="","",IF(Paramètres!I52="","",Paramètres!I52))</f>
        <v/>
      </c>
      <c r="E808" s="19">
        <f>IF($A808="","",IF(Paramètres!J52&amp;Paramètres!L52&amp;Paramètres!N52="",Dossiers!$D$18,MAX(IF(Paramètres!J52="",0,IF(Paramètres!K52="",NA(),IF(LEFT(TRIM(Paramètres!K52),1)="F",INDEX($F$761:$F$813,MATCH(Paramètres!J52,Paramètres!$G$5:$G$57,0)),INDEX($E$761:$E$813,MATCH(Paramètres!J52,Paramètres!$G$5:$G$57,0)))+IF(RIGHT(TRIM(Paramètres!K52),3)="Fin",1-$H808,IF(LEFT(TRIM(Paramètres!K52),1)="F",1,0)))),IF(Paramètres!L52="",0,IF(Paramètres!M52="",NA(),IF(LEFT(TRIM(Paramètres!M52),1)="F",INDEX($F$761:$F$813,MATCH(Paramètres!L52,Paramètres!$G$5:$G$57,0)),INDEX($E$761:$E$813,MATCH(Paramètres!L52,Paramètres!$G$5:$G$57,0)))+IF(RIGHT(TRIM(Paramètres!M52),3)="Fin",1-$H808,IF(LEFT(TRIM(Paramètres!M52),1)="F",1,0)))),IF(Paramètres!N52="",0,IF(Paramètres!O52="",NA(),IF(LEFT(TRIM(Paramètres!O52),1)="F",INDEX($F$761:$F$813,MATCH(Paramètres!N52,Paramètres!$G$5:$G$57,0)),INDEX($E$761:$E$813,MATCH(Paramètres!N52,Paramètres!$G$5:$G$57,0)))+IF(RIGHT(TRIM(Paramètres!O52),3)="Fin",1-$H808,IF(LEFT(TRIM(Paramètres!O52),1)="F",1,0)))))))</f>
        <v/>
      </c>
      <c r="F808" s="19">
        <f>IF($A808="","",E808+$H808-1)</f>
        <v/>
      </c>
      <c r="G808" s="18" t="n"/>
      <c r="H808" s="18">
        <f>IF($A808="","",IF(I808&lt;&gt;"",I808,Paramètres!B52))</f>
        <v/>
      </c>
      <c r="I808" s="18" t="n"/>
    </row>
    <row r="809">
      <c r="A809" s="18">
        <f>IF(ISNUMBER(Dossiers!$D$18),Dossiers!$A$18&amp;" · "&amp;Dossiers!$B$18,"")</f>
        <v/>
      </c>
      <c r="B809" s="18">
        <f>IF($A809="","",Paramètres!G53)</f>
        <v/>
      </c>
      <c r="C809" s="18">
        <f>IF($A809="","",IF(Paramètres!H53="","",Paramètres!H53))</f>
        <v/>
      </c>
      <c r="D809" s="18">
        <f>IF($A809="","",IF(Paramètres!I53="","",Paramètres!I53))</f>
        <v/>
      </c>
      <c r="E809" s="19">
        <f>IF($A809="","",IF(Paramètres!J53&amp;Paramètres!L53&amp;Paramètres!N53="",Dossiers!$D$18,MAX(IF(Paramètres!J53="",0,IF(Paramètres!K53="",NA(),IF(LEFT(TRIM(Paramètres!K53),1)="F",INDEX($F$761:$F$813,MATCH(Paramètres!J53,Paramètres!$G$5:$G$57,0)),INDEX($E$761:$E$813,MATCH(Paramètres!J53,Paramètres!$G$5:$G$57,0)))+IF(RIGHT(TRIM(Paramètres!K53),3)="Fin",1-$H809,IF(LEFT(TRIM(Paramètres!K53),1)="F",1,0)))),IF(Paramètres!L53="",0,IF(Paramètres!M53="",NA(),IF(LEFT(TRIM(Paramètres!M53),1)="F",INDEX($F$761:$F$813,MATCH(Paramètres!L53,Paramètres!$G$5:$G$57,0)),INDEX($E$761:$E$813,MATCH(Paramètres!L53,Paramètres!$G$5:$G$57,0)))+IF(RIGHT(TRIM(Paramètres!M53),3)="Fin",1-$H809,IF(LEFT(TRIM(Paramètres!M53),1)="F",1,0)))),IF(Paramètres!N53="",0,IF(Paramètres!O53="",NA(),IF(LEFT(TRIM(Paramètres!O53),1)="F",INDEX($F$761:$F$813,MATCH(Paramètres!N53,Paramètres!$G$5:$G$57,0)),INDEX($E$761:$E$813,MATCH(Paramètres!N53,Paramètres!$G$5:$G$57,0)))+IF(RIGHT(TRIM(Paramètres!O53),3)="Fin",1-$H809,IF(LEFT(TRIM(Paramètres!O53),1)="F",1,0)))))))</f>
        <v/>
      </c>
      <c r="F809" s="19">
        <f>IF($A809="","",E809+$H809-1)</f>
        <v/>
      </c>
      <c r="G809" s="18" t="n"/>
      <c r="H809" s="18">
        <f>IF($A809="","",IF(I809&lt;&gt;"",I809,Paramètres!B53))</f>
        <v/>
      </c>
      <c r="I809" s="18" t="n"/>
    </row>
    <row r="810">
      <c r="A810" s="18">
        <f>IF(ISNUMBER(Dossiers!$D$18),Dossiers!$A$18&amp;" · "&amp;Dossiers!$B$18,"")</f>
        <v/>
      </c>
      <c r="B810" s="18">
        <f>IF($A810="","",Paramètres!G54)</f>
        <v/>
      </c>
      <c r="C810" s="18">
        <f>IF($A810="","",IF(Paramètres!H54="","",Paramètres!H54))</f>
        <v/>
      </c>
      <c r="D810" s="18">
        <f>IF($A810="","",IF(Paramètres!I54="","",Paramètres!I54))</f>
        <v/>
      </c>
      <c r="E810" s="19">
        <f>IF($A810="","",IF(Paramètres!J54&amp;Paramètres!L54&amp;Paramètres!N54="",Dossiers!$D$18,MAX(IF(Paramètres!J54="",0,IF(Paramètres!K54="",NA(),IF(LEFT(TRIM(Paramètres!K54),1)="F",INDEX($F$761:$F$813,MATCH(Paramètres!J54,Paramètres!$G$5:$G$57,0)),INDEX($E$761:$E$813,MATCH(Paramètres!J54,Paramètres!$G$5:$G$57,0)))+IF(RIGHT(TRIM(Paramètres!K54),3)="Fin",1-$H810,IF(LEFT(TRIM(Paramètres!K54),1)="F",1,0)))),IF(Paramètres!L54="",0,IF(Paramètres!M54="",NA(),IF(LEFT(TRIM(Paramètres!M54),1)="F",INDEX($F$761:$F$813,MATCH(Paramètres!L54,Paramètres!$G$5:$G$57,0)),INDEX($E$761:$E$813,MATCH(Paramètres!L54,Paramètres!$G$5:$G$57,0)))+IF(RIGHT(TRIM(Paramètres!M54),3)="Fin",1-$H810,IF(LEFT(TRIM(Paramètres!M54),1)="F",1,0)))),IF(Paramètres!N54="",0,IF(Paramètres!O54="",NA(),IF(LEFT(TRIM(Paramètres!O54),1)="F",INDEX($F$761:$F$813,MATCH(Paramètres!N54,Paramètres!$G$5:$G$57,0)),INDEX($E$761:$E$813,MATCH(Paramètres!N54,Paramètres!$G$5:$G$57,0)))+IF(RIGHT(TRIM(Paramètres!O54),3)="Fin",1-$H810,IF(LEFT(TRIM(Paramètres!O54),1)="F",1,0)))))))</f>
        <v/>
      </c>
      <c r="F810" s="19">
        <f>IF($A810="","",E810+$H810-1)</f>
        <v/>
      </c>
      <c r="G810" s="18" t="n"/>
      <c r="H810" s="18">
        <f>IF($A810="","",IF(I810&lt;&gt;"",I810,Paramètres!B54))</f>
        <v/>
      </c>
      <c r="I810" s="18" t="n"/>
    </row>
    <row r="811">
      <c r="A811" s="18">
        <f>IF(ISNUMBER(Dossiers!$D$18),Dossiers!$A$18&amp;" · "&amp;Dossiers!$B$18,"")</f>
        <v/>
      </c>
      <c r="B811" s="18">
        <f>IF($A811="","",Paramètres!G55)</f>
        <v/>
      </c>
      <c r="C811" s="18">
        <f>IF($A811="","",IF(Paramètres!H55="","",Paramètres!H55))</f>
        <v/>
      </c>
      <c r="D811" s="18">
        <f>IF($A811="","",IF(Paramètres!I55="","",Paramètres!I55))</f>
        <v/>
      </c>
      <c r="E811" s="19">
        <f>IF($A811="","",IF(Paramètres!J55&amp;Paramètres!L55&amp;Paramètres!N55="",Dossiers!$D$18,MAX(IF(Paramètres!J55="",0,IF(Paramètres!K55="",NA(),IF(LEFT(TRIM(Paramètres!K55),1)="F",INDEX($F$761:$F$813,MATCH(Paramètres!J55,Paramètres!$G$5:$G$57,0)),INDEX($E$761:$E$813,MATCH(Paramètres!J55,Paramètres!$G$5:$G$57,0)))+IF(RIGHT(TRIM(Paramètres!K55),3)="Fin",1-$H811,IF(LEFT(TRIM(Paramètres!K55),1)="F",1,0)))),IF(Paramètres!L55="",0,IF(Paramètres!M55="",NA(),IF(LEFT(TRIM(Paramètres!M55),1)="F",INDEX($F$761:$F$813,MATCH(Paramètres!L55,Paramètres!$G$5:$G$57,0)),INDEX($E$761:$E$813,MATCH(Paramètres!L55,Paramètres!$G$5:$G$57,0)))+IF(RIGHT(TRIM(Paramètres!M55),3)="Fin",1-$H811,IF(LEFT(TRIM(Paramètres!M55),1)="F",1,0)))),IF(Paramètres!N55="",0,IF(Paramètres!O55="",NA(),IF(LEFT(TRIM(Paramètres!O55),1)="F",INDEX($F$761:$F$813,MATCH(Paramètres!N55,Paramètres!$G$5:$G$57,0)),INDEX($E$761:$E$813,MATCH(Paramètres!N55,Paramètres!$G$5:$G$57,0)))+IF(RIGHT(TRIM(Paramètres!O55),3)="Fin",1-$H811,IF(LEFT(TRIM(Paramètres!O55),1)="F",1,0)))))))</f>
        <v/>
      </c>
      <c r="F811" s="19">
        <f>IF($A811="","",E811+$H811-1)</f>
        <v/>
      </c>
      <c r="G811" s="18" t="n"/>
      <c r="H811" s="18">
        <f>IF($A811="","",IF(I811&lt;&gt;"",I811,Paramètres!B55))</f>
        <v/>
      </c>
      <c r="I811" s="18" t="n"/>
    </row>
    <row r="812">
      <c r="A812" s="18">
        <f>IF(ISNUMBER(Dossiers!$D$18),Dossiers!$A$18&amp;" · "&amp;Dossiers!$B$18,"")</f>
        <v/>
      </c>
      <c r="B812" s="18">
        <f>IF($A812="","",Paramètres!G56)</f>
        <v/>
      </c>
      <c r="C812" s="18">
        <f>IF($A812="","",IF(Paramètres!H56="","",Paramètres!H56))</f>
        <v/>
      </c>
      <c r="D812" s="18">
        <f>IF($A812="","",IF(Paramètres!I56="","",Paramètres!I56))</f>
        <v/>
      </c>
      <c r="E812" s="19">
        <f>IF($A812="","",MIN(E813:E813))</f>
        <v/>
      </c>
      <c r="F812" s="19">
        <f>IF($A812="","",MAX(F813:F813))</f>
        <v/>
      </c>
      <c r="G812" s="18" t="n"/>
      <c r="H812" s="18">
        <f>IF($A812="","",F812-E812+1)</f>
        <v/>
      </c>
      <c r="I812" s="18" t="n"/>
    </row>
    <row r="813">
      <c r="A813" s="18">
        <f>IF(ISNUMBER(Dossiers!$D$18),Dossiers!$A$18&amp;" · "&amp;Dossiers!$B$18,"")</f>
        <v/>
      </c>
      <c r="B813" s="18">
        <f>IF($A813="","",Paramètres!G57)</f>
        <v/>
      </c>
      <c r="C813" s="18">
        <f>IF($A813="","",IF(Paramètres!H57="","",Paramètres!H57))</f>
        <v/>
      </c>
      <c r="D813" s="18">
        <f>IF($A813="","",IF(Paramètres!I57="","",Paramètres!I57))</f>
        <v/>
      </c>
      <c r="E813" s="19">
        <f>IF($A813="","",IF(Paramètres!J57&amp;Paramètres!L57&amp;Paramètres!N57="",Dossiers!$D$18,MAX(IF(Paramètres!J57="",0,IF(Paramètres!K57="",NA(),IF(LEFT(TRIM(Paramètres!K57),1)="F",INDEX($F$761:$F$813,MATCH(Paramètres!J57,Paramètres!$G$5:$G$57,0)),INDEX($E$761:$E$813,MATCH(Paramètres!J57,Paramètres!$G$5:$G$57,0)))+IF(RIGHT(TRIM(Paramètres!K57),3)="Fin",1-$H813,IF(LEFT(TRIM(Paramètres!K57),1)="F",1,0)))),IF(Paramètres!L57="",0,IF(Paramètres!M57="",NA(),IF(LEFT(TRIM(Paramètres!M57),1)="F",INDEX($F$761:$F$813,MATCH(Paramètres!L57,Paramètres!$G$5:$G$57,0)),INDEX($E$761:$E$813,MATCH(Paramètres!L57,Paramètres!$G$5:$G$57,0)))+IF(RIGHT(TRIM(Paramètres!M57),3)="Fin",1-$H813,IF(LEFT(TRIM(Paramètres!M57),1)="F",1,0)))),IF(Paramètres!N57="",0,IF(Paramètres!O57="",NA(),IF(LEFT(TRIM(Paramètres!O57),1)="F",INDEX($F$761:$F$813,MATCH(Paramètres!N57,Paramètres!$G$5:$G$57,0)),INDEX($E$761:$E$813,MATCH(Paramètres!N57,Paramètres!$G$5:$G$57,0)))+IF(RIGHT(TRIM(Paramètres!O57),3)="Fin",1-$H813,IF(LEFT(TRIM(Paramètres!O57),1)="F",1,0)))))))</f>
        <v/>
      </c>
      <c r="F813" s="19">
        <f>IF($A813="","",E813+$H813-1)</f>
        <v/>
      </c>
      <c r="G813" s="18" t="n"/>
      <c r="H813" s="18">
        <f>IF($A813="","",IF(I813&lt;&gt;"",I813,Paramètres!B57))</f>
        <v/>
      </c>
      <c r="I813" s="18" t="n"/>
    </row>
    <row r="814">
      <c r="A814" s="16">
        <f>IF(ISNUMBER(Dossiers!$D$19),Dossiers!$E$19,"")</f>
        <v/>
      </c>
      <c r="B814" s="16">
        <f>IF($A814="","","Identifiant")</f>
        <v/>
      </c>
      <c r="C814" s="16">
        <f>IF($A814="","","Macro Etape")</f>
        <v/>
      </c>
      <c r="D814" s="16">
        <f>IF($A814="","","Etape")</f>
        <v/>
      </c>
      <c r="E814" s="17">
        <f>IF($A814="","","Début le")</f>
        <v/>
      </c>
      <c r="F814" s="17">
        <f>IF($A814="","","Fin prévue le")</f>
        <v/>
      </c>
      <c r="G814" s="16">
        <f>IF($A814="","","Statut")</f>
        <v/>
      </c>
      <c r="H814" s="16">
        <f>IF($A814="","","Durée (jours)")</f>
        <v/>
      </c>
      <c r="I814" s="16">
        <f>IF($A814="","","Durée particulière")</f>
        <v/>
      </c>
      <c r="J814" s="10">
        <f>IF($A814="","",HYPERLINK("#'Tableau de bord'!A1","↑ Tableau de bord"))</f>
        <v/>
      </c>
    </row>
    <row r="815">
      <c r="A815" s="18">
        <f>IF(ISNUMBER(Dossiers!$D$19),Dossiers!$A$19&amp;" · "&amp;Dossiers!$B$19,"")</f>
        <v/>
      </c>
      <c r="B815" s="18">
        <f>IF($A815="","",Paramètres!G5)</f>
        <v/>
      </c>
      <c r="C815" s="18">
        <f>IF($A815="","",IF(Paramètres!H5="","",Paramètres!H5))</f>
        <v/>
      </c>
      <c r="D815" s="18">
        <f>IF($A815="","",IF(Paramètres!I5="","",Paramètres!I5))</f>
        <v/>
      </c>
      <c r="E815" s="19">
        <f>IF($A815="","",MIN(E816:E819))</f>
        <v/>
      </c>
      <c r="F815" s="19">
        <f>IF($A815="","",MAX(F816:F819))</f>
        <v/>
      </c>
      <c r="G815" s="18" t="n"/>
      <c r="H815" s="18">
        <f>IF($A815="","",F815-E815+1)</f>
        <v/>
      </c>
      <c r="I815" s="18" t="n"/>
    </row>
    <row r="816">
      <c r="A816" s="18">
        <f>IF(ISNUMBER(Dossiers!$D$19),Dossiers!$A$19&amp;" · "&amp;Dossiers!$B$19,"")</f>
        <v/>
      </c>
      <c r="B816" s="18">
        <f>IF($A816="","",Paramètres!G6)</f>
        <v/>
      </c>
      <c r="C816" s="18">
        <f>IF($A816="","",IF(Paramètres!H6="","",Paramètres!H6))</f>
        <v/>
      </c>
      <c r="D816" s="18">
        <f>IF($A816="","",IF(Paramètres!I6="","",Paramètres!I6))</f>
        <v/>
      </c>
      <c r="E816" s="19">
        <f>IF($A816="","",IF(Paramètres!J6&amp;Paramètres!L6&amp;Paramètres!N6="",Dossiers!$D$19,MAX(IF(Paramètres!J6="",0,IF(Paramètres!K6="",NA(),IF(LEFT(TRIM(Paramètres!K6),1)="F",INDEX($F$815:$F$867,MATCH(Paramètres!J6,Paramètres!$G$5:$G$57,0)),INDEX($E$815:$E$867,MATCH(Paramètres!J6,Paramètres!$G$5:$G$57,0)))+IF(RIGHT(TRIM(Paramètres!K6),3)="Fin",1-$H816,IF(LEFT(TRIM(Paramètres!K6),1)="F",1,0)))),IF(Paramètres!L6="",0,IF(Paramètres!M6="",NA(),IF(LEFT(TRIM(Paramètres!M6),1)="F",INDEX($F$815:$F$867,MATCH(Paramètres!L6,Paramètres!$G$5:$G$57,0)),INDEX($E$815:$E$867,MATCH(Paramètres!L6,Paramètres!$G$5:$G$57,0)))+IF(RIGHT(TRIM(Paramètres!M6),3)="Fin",1-$H816,IF(LEFT(TRIM(Paramètres!M6),1)="F",1,0)))),IF(Paramètres!N6="",0,IF(Paramètres!O6="",NA(),IF(LEFT(TRIM(Paramètres!O6),1)="F",INDEX($F$815:$F$867,MATCH(Paramètres!N6,Paramètres!$G$5:$G$57,0)),INDEX($E$815:$E$867,MATCH(Paramètres!N6,Paramètres!$G$5:$G$57,0)))+IF(RIGHT(TRIM(Paramètres!O6),3)="Fin",1-$H816,IF(LEFT(TRIM(Paramètres!O6),1)="F",1,0)))))))</f>
        <v/>
      </c>
      <c r="F816" s="19">
        <f>IF($A816="","",E816+$H816-1)</f>
        <v/>
      </c>
      <c r="G816" s="18" t="n"/>
      <c r="H816" s="18">
        <f>IF($A816="","",IF(I816&lt;&gt;"",I816,Paramètres!B6))</f>
        <v/>
      </c>
      <c r="I816" s="18" t="n"/>
    </row>
    <row r="817">
      <c r="A817" s="18">
        <f>IF(ISNUMBER(Dossiers!$D$19),Dossiers!$A$19&amp;" · "&amp;Dossiers!$B$19,"")</f>
        <v/>
      </c>
      <c r="B817" s="18">
        <f>IF($A817="","",Paramètres!G7)</f>
        <v/>
      </c>
      <c r="C817" s="18">
        <f>IF($A817="","",IF(Paramètres!H7="","",Paramètres!H7))</f>
        <v/>
      </c>
      <c r="D817" s="18">
        <f>IF($A817="","",IF(Paramètres!I7="","",Paramètres!I7))</f>
        <v/>
      </c>
      <c r="E817" s="19">
        <f>IF($A817="","",IF(Paramètres!J7&amp;Paramètres!L7&amp;Paramètres!N7="",Dossiers!$D$19,MAX(IF(Paramètres!J7="",0,IF(Paramètres!K7="",NA(),IF(LEFT(TRIM(Paramètres!K7),1)="F",INDEX($F$815:$F$867,MATCH(Paramètres!J7,Paramètres!$G$5:$G$57,0)),INDEX($E$815:$E$867,MATCH(Paramètres!J7,Paramètres!$G$5:$G$57,0)))+IF(RIGHT(TRIM(Paramètres!K7),3)="Fin",1-$H817,IF(LEFT(TRIM(Paramètres!K7),1)="F",1,0)))),IF(Paramètres!L7="",0,IF(Paramètres!M7="",NA(),IF(LEFT(TRIM(Paramètres!M7),1)="F",INDEX($F$815:$F$867,MATCH(Paramètres!L7,Paramètres!$G$5:$G$57,0)),INDEX($E$815:$E$867,MATCH(Paramètres!L7,Paramètres!$G$5:$G$57,0)))+IF(RIGHT(TRIM(Paramètres!M7),3)="Fin",1-$H817,IF(LEFT(TRIM(Paramètres!M7),1)="F",1,0)))),IF(Paramètres!N7="",0,IF(Paramètres!O7="",NA(),IF(LEFT(TRIM(Paramètres!O7),1)="F",INDEX($F$815:$F$867,MATCH(Paramètres!N7,Paramètres!$G$5:$G$57,0)),INDEX($E$815:$E$867,MATCH(Paramètres!N7,Paramètres!$G$5:$G$57,0)))+IF(RIGHT(TRIM(Paramètres!O7),3)="Fin",1-$H817,IF(LEFT(TRIM(Paramètres!O7),1)="F",1,0)))))))</f>
        <v/>
      </c>
      <c r="F817" s="19">
        <f>IF($A817="","",E817+$H817-1)</f>
        <v/>
      </c>
      <c r="G817" s="18" t="n"/>
      <c r="H817" s="18">
        <f>IF($A817="","",IF(I817&lt;&gt;"",I817,Paramètres!B7))</f>
        <v/>
      </c>
      <c r="I817" s="18" t="n"/>
    </row>
    <row r="818">
      <c r="A818" s="18">
        <f>IF(ISNUMBER(Dossiers!$D$19),Dossiers!$A$19&amp;" · "&amp;Dossiers!$B$19,"")</f>
        <v/>
      </c>
      <c r="B818" s="18">
        <f>IF($A818="","",Paramètres!G8)</f>
        <v/>
      </c>
      <c r="C818" s="18">
        <f>IF($A818="","",IF(Paramètres!H8="","",Paramètres!H8))</f>
        <v/>
      </c>
      <c r="D818" s="18">
        <f>IF($A818="","",IF(Paramètres!I8="","",Paramètres!I8))</f>
        <v/>
      </c>
      <c r="E818" s="19">
        <f>IF($A818="","",IF(Paramètres!J8&amp;Paramètres!L8&amp;Paramètres!N8="",Dossiers!$D$19,MAX(IF(Paramètres!J8="",0,IF(Paramètres!K8="",NA(),IF(LEFT(TRIM(Paramètres!K8),1)="F",INDEX($F$815:$F$867,MATCH(Paramètres!J8,Paramètres!$G$5:$G$57,0)),INDEX($E$815:$E$867,MATCH(Paramètres!J8,Paramètres!$G$5:$G$57,0)))+IF(RIGHT(TRIM(Paramètres!K8),3)="Fin",1-$H818,IF(LEFT(TRIM(Paramètres!K8),1)="F",1,0)))),IF(Paramètres!L8="",0,IF(Paramètres!M8="",NA(),IF(LEFT(TRIM(Paramètres!M8),1)="F",INDEX($F$815:$F$867,MATCH(Paramètres!L8,Paramètres!$G$5:$G$57,0)),INDEX($E$815:$E$867,MATCH(Paramètres!L8,Paramètres!$G$5:$G$57,0)))+IF(RIGHT(TRIM(Paramètres!M8),3)="Fin",1-$H818,IF(LEFT(TRIM(Paramètres!M8),1)="F",1,0)))),IF(Paramètres!N8="",0,IF(Paramètres!O8="",NA(),IF(LEFT(TRIM(Paramètres!O8),1)="F",INDEX($F$815:$F$867,MATCH(Paramètres!N8,Paramètres!$G$5:$G$57,0)),INDEX($E$815:$E$867,MATCH(Paramètres!N8,Paramètres!$G$5:$G$57,0)))+IF(RIGHT(TRIM(Paramètres!O8),3)="Fin",1-$H818,IF(LEFT(TRIM(Paramètres!O8),1)="F",1,0)))))))</f>
        <v/>
      </c>
      <c r="F818" s="19">
        <f>IF($A818="","",E818+$H818-1)</f>
        <v/>
      </c>
      <c r="G818" s="18" t="n"/>
      <c r="H818" s="18">
        <f>IF($A818="","",IF(I818&lt;&gt;"",I818,Paramètres!B8))</f>
        <v/>
      </c>
      <c r="I818" s="18" t="n"/>
    </row>
    <row r="819">
      <c r="A819" s="18">
        <f>IF(ISNUMBER(Dossiers!$D$19),Dossiers!$A$19&amp;" · "&amp;Dossiers!$B$19,"")</f>
        <v/>
      </c>
      <c r="B819" s="18">
        <f>IF($A819="","",Paramètres!G9)</f>
        <v/>
      </c>
      <c r="C819" s="18">
        <f>IF($A819="","",IF(Paramètres!H9="","",Paramètres!H9))</f>
        <v/>
      </c>
      <c r="D819" s="18">
        <f>IF($A819="","",IF(Paramètres!I9="","",Paramètres!I9))</f>
        <v/>
      </c>
      <c r="E819" s="19">
        <f>IF($A819="","",IF(Paramètres!J9&amp;Paramètres!L9&amp;Paramètres!N9="",Dossiers!$D$19,MAX(IF(Paramètres!J9="",0,IF(Paramètres!K9="",NA(),IF(LEFT(TRIM(Paramètres!K9),1)="F",INDEX($F$815:$F$867,MATCH(Paramètres!J9,Paramètres!$G$5:$G$57,0)),INDEX($E$815:$E$867,MATCH(Paramètres!J9,Paramètres!$G$5:$G$57,0)))+IF(RIGHT(TRIM(Paramètres!K9),3)="Fin",1-$H819,IF(LEFT(TRIM(Paramètres!K9),1)="F",1,0)))),IF(Paramètres!L9="",0,IF(Paramètres!M9="",NA(),IF(LEFT(TRIM(Paramètres!M9),1)="F",INDEX($F$815:$F$867,MATCH(Paramètres!L9,Paramètres!$G$5:$G$57,0)),INDEX($E$815:$E$867,MATCH(Paramètres!L9,Paramètres!$G$5:$G$57,0)))+IF(RIGHT(TRIM(Paramètres!M9),3)="Fin",1-$H819,IF(LEFT(TRIM(Paramètres!M9),1)="F",1,0)))),IF(Paramètres!N9="",0,IF(Paramètres!O9="",NA(),IF(LEFT(TRIM(Paramètres!O9),1)="F",INDEX($F$815:$F$867,MATCH(Paramètres!N9,Paramètres!$G$5:$G$57,0)),INDEX($E$815:$E$867,MATCH(Paramètres!N9,Paramètres!$G$5:$G$57,0)))+IF(RIGHT(TRIM(Paramètres!O9),3)="Fin",1-$H819,IF(LEFT(TRIM(Paramètres!O9),1)="F",1,0)))))))</f>
        <v/>
      </c>
      <c r="F819" s="19">
        <f>IF($A819="","",E819+$H819-1)</f>
        <v/>
      </c>
      <c r="G819" s="18" t="n"/>
      <c r="H819" s="18">
        <f>IF($A819="","",IF(I819&lt;&gt;"",I819,Paramètres!B9))</f>
        <v/>
      </c>
      <c r="I819" s="18" t="n"/>
    </row>
    <row r="820">
      <c r="A820" s="18">
        <f>IF(ISNUMBER(Dossiers!$D$19),Dossiers!$A$19&amp;" · "&amp;Dossiers!$B$19,"")</f>
        <v/>
      </c>
      <c r="B820" s="18">
        <f>IF($A820="","",Paramètres!G10)</f>
        <v/>
      </c>
      <c r="C820" s="18">
        <f>IF($A820="","",IF(Paramètres!H10="","",Paramètres!H10))</f>
        <v/>
      </c>
      <c r="D820" s="18">
        <f>IF($A820="","",IF(Paramètres!I10="","",Paramètres!I10))</f>
        <v/>
      </c>
      <c r="E820" s="19">
        <f>IF($A820="","",MIN(E821:E824))</f>
        <v/>
      </c>
      <c r="F820" s="19">
        <f>IF($A820="","",MAX(F821:F824))</f>
        <v/>
      </c>
      <c r="G820" s="18" t="n"/>
      <c r="H820" s="18">
        <f>IF($A820="","",F820-E820+1)</f>
        <v/>
      </c>
      <c r="I820" s="18" t="n"/>
    </row>
    <row r="821">
      <c r="A821" s="18">
        <f>IF(ISNUMBER(Dossiers!$D$19),Dossiers!$A$19&amp;" · "&amp;Dossiers!$B$19,"")</f>
        <v/>
      </c>
      <c r="B821" s="18">
        <f>IF($A821="","",Paramètres!G11)</f>
        <v/>
      </c>
      <c r="C821" s="18">
        <f>IF($A821="","",IF(Paramètres!H11="","",Paramètres!H11))</f>
        <v/>
      </c>
      <c r="D821" s="18">
        <f>IF($A821="","",IF(Paramètres!I11="","",Paramètres!I11))</f>
        <v/>
      </c>
      <c r="E821" s="19">
        <f>IF($A821="","",IF(Paramètres!J11&amp;Paramètres!L11&amp;Paramètres!N11="",Dossiers!$D$19,MAX(IF(Paramètres!J11="",0,IF(Paramètres!K11="",NA(),IF(LEFT(TRIM(Paramètres!K11),1)="F",INDEX($F$815:$F$867,MATCH(Paramètres!J11,Paramètres!$G$5:$G$57,0)),INDEX($E$815:$E$867,MATCH(Paramètres!J11,Paramètres!$G$5:$G$57,0)))+IF(RIGHT(TRIM(Paramètres!K11),3)="Fin",1-$H821,IF(LEFT(TRIM(Paramètres!K11),1)="F",1,0)))),IF(Paramètres!L11="",0,IF(Paramètres!M11="",NA(),IF(LEFT(TRIM(Paramètres!M11),1)="F",INDEX($F$815:$F$867,MATCH(Paramètres!L11,Paramètres!$G$5:$G$57,0)),INDEX($E$815:$E$867,MATCH(Paramètres!L11,Paramètres!$G$5:$G$57,0)))+IF(RIGHT(TRIM(Paramètres!M11),3)="Fin",1-$H821,IF(LEFT(TRIM(Paramètres!M11),1)="F",1,0)))),IF(Paramètres!N11="",0,IF(Paramètres!O11="",NA(),IF(LEFT(TRIM(Paramètres!O11),1)="F",INDEX($F$815:$F$867,MATCH(Paramètres!N11,Paramètres!$G$5:$G$57,0)),INDEX($E$815:$E$867,MATCH(Paramètres!N11,Paramètres!$G$5:$G$57,0)))+IF(RIGHT(TRIM(Paramètres!O11),3)="Fin",1-$H821,IF(LEFT(TRIM(Paramètres!O11),1)="F",1,0)))))))</f>
        <v/>
      </c>
      <c r="F821" s="19">
        <f>IF($A821="","",E821+$H821-1)</f>
        <v/>
      </c>
      <c r="G821" s="18" t="n"/>
      <c r="H821" s="18">
        <f>IF($A821="","",IF(I821&lt;&gt;"",I821,Paramètres!B11))</f>
        <v/>
      </c>
      <c r="I821" s="18" t="n"/>
    </row>
    <row r="822">
      <c r="A822" s="18">
        <f>IF(ISNUMBER(Dossiers!$D$19),Dossiers!$A$19&amp;" · "&amp;Dossiers!$B$19,"")</f>
        <v/>
      </c>
      <c r="B822" s="18">
        <f>IF($A822="","",Paramètres!G12)</f>
        <v/>
      </c>
      <c r="C822" s="18">
        <f>IF($A822="","",IF(Paramètres!H12="","",Paramètres!H12))</f>
        <v/>
      </c>
      <c r="D822" s="18">
        <f>IF($A822="","",IF(Paramètres!I12="","",Paramètres!I12))</f>
        <v/>
      </c>
      <c r="E822" s="19">
        <f>IF($A822="","",IF(Paramètres!J12&amp;Paramètres!L12&amp;Paramètres!N12="",Dossiers!$D$19,MAX(IF(Paramètres!J12="",0,IF(Paramètres!K12="",NA(),IF(LEFT(TRIM(Paramètres!K12),1)="F",INDEX($F$815:$F$867,MATCH(Paramètres!J12,Paramètres!$G$5:$G$57,0)),INDEX($E$815:$E$867,MATCH(Paramètres!J12,Paramètres!$G$5:$G$57,0)))+IF(RIGHT(TRIM(Paramètres!K12),3)="Fin",1-$H822,IF(LEFT(TRIM(Paramètres!K12),1)="F",1,0)))),IF(Paramètres!L12="",0,IF(Paramètres!M12="",NA(),IF(LEFT(TRIM(Paramètres!M12),1)="F",INDEX($F$815:$F$867,MATCH(Paramètres!L12,Paramètres!$G$5:$G$57,0)),INDEX($E$815:$E$867,MATCH(Paramètres!L12,Paramètres!$G$5:$G$57,0)))+IF(RIGHT(TRIM(Paramètres!M12),3)="Fin",1-$H822,IF(LEFT(TRIM(Paramètres!M12),1)="F",1,0)))),IF(Paramètres!N12="",0,IF(Paramètres!O12="",NA(),IF(LEFT(TRIM(Paramètres!O12),1)="F",INDEX($F$815:$F$867,MATCH(Paramètres!N12,Paramètres!$G$5:$G$57,0)),INDEX($E$815:$E$867,MATCH(Paramètres!N12,Paramètres!$G$5:$G$57,0)))+IF(RIGHT(TRIM(Paramètres!O12),3)="Fin",1-$H822,IF(LEFT(TRIM(Paramètres!O12),1)="F",1,0)))))))</f>
        <v/>
      </c>
      <c r="F822" s="19">
        <f>IF($A822="","",E822+$H822-1)</f>
        <v/>
      </c>
      <c r="G822" s="18" t="n"/>
      <c r="H822" s="18">
        <f>IF($A822="","",IF(I822&lt;&gt;"",I822,Paramètres!B12))</f>
        <v/>
      </c>
      <c r="I822" s="18" t="n"/>
    </row>
    <row r="823">
      <c r="A823" s="18">
        <f>IF(ISNUMBER(Dossiers!$D$19),Dossiers!$A$19&amp;" · "&amp;Dossiers!$B$19,"")</f>
        <v/>
      </c>
      <c r="B823" s="18">
        <f>IF($A823="","",Paramètres!G13)</f>
        <v/>
      </c>
      <c r="C823" s="18">
        <f>IF($A823="","",IF(Paramètres!H13="","",Paramètres!H13))</f>
        <v/>
      </c>
      <c r="D823" s="18">
        <f>IF($A823="","",IF(Paramètres!I13="","",Paramètres!I13))</f>
        <v/>
      </c>
      <c r="E823" s="19">
        <f>IF($A823="","",IF(Paramètres!J13&amp;Paramètres!L13&amp;Paramètres!N13="",Dossiers!$D$19,MAX(IF(Paramètres!J13="",0,IF(Paramètres!K13="",NA(),IF(LEFT(TRIM(Paramètres!K13),1)="F",INDEX($F$815:$F$867,MATCH(Paramètres!J13,Paramètres!$G$5:$G$57,0)),INDEX($E$815:$E$867,MATCH(Paramètres!J13,Paramètres!$G$5:$G$57,0)))+IF(RIGHT(TRIM(Paramètres!K13),3)="Fin",1-$H823,IF(LEFT(TRIM(Paramètres!K13),1)="F",1,0)))),IF(Paramètres!L13="",0,IF(Paramètres!M13="",NA(),IF(LEFT(TRIM(Paramètres!M13),1)="F",INDEX($F$815:$F$867,MATCH(Paramètres!L13,Paramètres!$G$5:$G$57,0)),INDEX($E$815:$E$867,MATCH(Paramètres!L13,Paramètres!$G$5:$G$57,0)))+IF(RIGHT(TRIM(Paramètres!M13),3)="Fin",1-$H823,IF(LEFT(TRIM(Paramètres!M13),1)="F",1,0)))),IF(Paramètres!N13="",0,IF(Paramètres!O13="",NA(),IF(LEFT(TRIM(Paramètres!O13),1)="F",INDEX($F$815:$F$867,MATCH(Paramètres!N13,Paramètres!$G$5:$G$57,0)),INDEX($E$815:$E$867,MATCH(Paramètres!N13,Paramètres!$G$5:$G$57,0)))+IF(RIGHT(TRIM(Paramètres!O13),3)="Fin",1-$H823,IF(LEFT(TRIM(Paramètres!O13),1)="F",1,0)))))))</f>
        <v/>
      </c>
      <c r="F823" s="19">
        <f>IF($A823="","",E823+$H823-1)</f>
        <v/>
      </c>
      <c r="G823" s="18" t="n"/>
      <c r="H823" s="18">
        <f>IF($A823="","",IF(I823&lt;&gt;"",I823,Paramètres!B13))</f>
        <v/>
      </c>
      <c r="I823" s="18" t="n"/>
    </row>
    <row r="824">
      <c r="A824" s="18">
        <f>IF(ISNUMBER(Dossiers!$D$19),Dossiers!$A$19&amp;" · "&amp;Dossiers!$B$19,"")</f>
        <v/>
      </c>
      <c r="B824" s="18">
        <f>IF($A824="","",Paramètres!G14)</f>
        <v/>
      </c>
      <c r="C824" s="18">
        <f>IF($A824="","",IF(Paramètres!H14="","",Paramètres!H14))</f>
        <v/>
      </c>
      <c r="D824" s="18">
        <f>IF($A824="","",IF(Paramètres!I14="","",Paramètres!I14))</f>
        <v/>
      </c>
      <c r="E824" s="19">
        <f>IF($A824="","",IF(Paramètres!J14&amp;Paramètres!L14&amp;Paramètres!N14="",Dossiers!$D$19,MAX(IF(Paramètres!J14="",0,IF(Paramètres!K14="",NA(),IF(LEFT(TRIM(Paramètres!K14),1)="F",INDEX($F$815:$F$867,MATCH(Paramètres!J14,Paramètres!$G$5:$G$57,0)),INDEX($E$815:$E$867,MATCH(Paramètres!J14,Paramètres!$G$5:$G$57,0)))+IF(RIGHT(TRIM(Paramètres!K14),3)="Fin",1-$H824,IF(LEFT(TRIM(Paramètres!K14),1)="F",1,0)))),IF(Paramètres!L14="",0,IF(Paramètres!M14="",NA(),IF(LEFT(TRIM(Paramètres!M14),1)="F",INDEX($F$815:$F$867,MATCH(Paramètres!L14,Paramètres!$G$5:$G$57,0)),INDEX($E$815:$E$867,MATCH(Paramètres!L14,Paramètres!$G$5:$G$57,0)))+IF(RIGHT(TRIM(Paramètres!M14),3)="Fin",1-$H824,IF(LEFT(TRIM(Paramètres!M14),1)="F",1,0)))),IF(Paramètres!N14="",0,IF(Paramètres!O14="",NA(),IF(LEFT(TRIM(Paramètres!O14),1)="F",INDEX($F$815:$F$867,MATCH(Paramètres!N14,Paramètres!$G$5:$G$57,0)),INDEX($E$815:$E$867,MATCH(Paramètres!N14,Paramètres!$G$5:$G$57,0)))+IF(RIGHT(TRIM(Paramètres!O14),3)="Fin",1-$H824,IF(LEFT(TRIM(Paramètres!O14),1)="F",1,0)))))))</f>
        <v/>
      </c>
      <c r="F824" s="19">
        <f>IF($A824="","",E824+$H824-1)</f>
        <v/>
      </c>
      <c r="G824" s="18" t="n"/>
      <c r="H824" s="18">
        <f>IF($A824="","",IF(I824&lt;&gt;"",I824,Paramètres!B14))</f>
        <v/>
      </c>
      <c r="I824" s="18" t="n"/>
    </row>
    <row r="825">
      <c r="A825" s="18">
        <f>IF(ISNUMBER(Dossiers!$D$19),Dossiers!$A$19&amp;" · "&amp;Dossiers!$B$19,"")</f>
        <v/>
      </c>
      <c r="B825" s="18">
        <f>IF($A825="","",Paramètres!G15)</f>
        <v/>
      </c>
      <c r="C825" s="18">
        <f>IF($A825="","",IF(Paramètres!H15="","",Paramètres!H15))</f>
        <v/>
      </c>
      <c r="D825" s="18">
        <f>IF($A825="","",IF(Paramètres!I15="","",Paramètres!I15))</f>
        <v/>
      </c>
      <c r="E825" s="19">
        <f>IF($A825="","",MIN(E826:E841))</f>
        <v/>
      </c>
      <c r="F825" s="19">
        <f>IF($A825="","",MAX(F826:F841))</f>
        <v/>
      </c>
      <c r="G825" s="18" t="n"/>
      <c r="H825" s="18">
        <f>IF($A825="","",F825-E825+1)</f>
        <v/>
      </c>
      <c r="I825" s="18" t="n"/>
    </row>
    <row r="826">
      <c r="A826" s="18">
        <f>IF(ISNUMBER(Dossiers!$D$19),Dossiers!$A$19&amp;" · "&amp;Dossiers!$B$19,"")</f>
        <v/>
      </c>
      <c r="B826" s="18">
        <f>IF($A826="","",Paramètres!G16)</f>
        <v/>
      </c>
      <c r="C826" s="18">
        <f>IF($A826="","",IF(Paramètres!H16="","",Paramètres!H16))</f>
        <v/>
      </c>
      <c r="D826" s="18">
        <f>IF($A826="","",IF(Paramètres!I16="","",Paramètres!I16))</f>
        <v/>
      </c>
      <c r="E826" s="19">
        <f>IF($A826="","",IF(Paramètres!J16&amp;Paramètres!L16&amp;Paramètres!N16="",Dossiers!$D$19,MAX(IF(Paramètres!J16="",0,IF(Paramètres!K16="",NA(),IF(LEFT(TRIM(Paramètres!K16),1)="F",INDEX($F$815:$F$867,MATCH(Paramètres!J16,Paramètres!$G$5:$G$57,0)),INDEX($E$815:$E$867,MATCH(Paramètres!J16,Paramètres!$G$5:$G$57,0)))+IF(RIGHT(TRIM(Paramètres!K16),3)="Fin",1-$H826,IF(LEFT(TRIM(Paramètres!K16),1)="F",1,0)))),IF(Paramètres!L16="",0,IF(Paramètres!M16="",NA(),IF(LEFT(TRIM(Paramètres!M16),1)="F",INDEX($F$815:$F$867,MATCH(Paramètres!L16,Paramètres!$G$5:$G$57,0)),INDEX($E$815:$E$867,MATCH(Paramètres!L16,Paramètres!$G$5:$G$57,0)))+IF(RIGHT(TRIM(Paramètres!M16),3)="Fin",1-$H826,IF(LEFT(TRIM(Paramètres!M16),1)="F",1,0)))),IF(Paramètres!N16="",0,IF(Paramètres!O16="",NA(),IF(LEFT(TRIM(Paramètres!O16),1)="F",INDEX($F$815:$F$867,MATCH(Paramètres!N16,Paramètres!$G$5:$G$57,0)),INDEX($E$815:$E$867,MATCH(Paramètres!N16,Paramètres!$G$5:$G$57,0)))+IF(RIGHT(TRIM(Paramètres!O16),3)="Fin",1-$H826,IF(LEFT(TRIM(Paramètres!O16),1)="F",1,0)))))))</f>
        <v/>
      </c>
      <c r="F826" s="19">
        <f>IF($A826="","",E826+$H826-1)</f>
        <v/>
      </c>
      <c r="G826" s="18" t="n"/>
      <c r="H826" s="18">
        <f>IF($A826="","",IF(I826&lt;&gt;"",I826,Paramètres!B16))</f>
        <v/>
      </c>
      <c r="I826" s="18" t="n"/>
    </row>
    <row r="827">
      <c r="A827" s="18">
        <f>IF(ISNUMBER(Dossiers!$D$19),Dossiers!$A$19&amp;" · "&amp;Dossiers!$B$19,"")</f>
        <v/>
      </c>
      <c r="B827" s="18">
        <f>IF($A827="","",Paramètres!G17)</f>
        <v/>
      </c>
      <c r="C827" s="18">
        <f>IF($A827="","",IF(Paramètres!H17="","",Paramètres!H17))</f>
        <v/>
      </c>
      <c r="D827" s="18">
        <f>IF($A827="","",IF(Paramètres!I17="","",Paramètres!I17))</f>
        <v/>
      </c>
      <c r="E827" s="19">
        <f>IF($A827="","",IF(Paramètres!J17&amp;Paramètres!L17&amp;Paramètres!N17="",Dossiers!$D$19,MAX(IF(Paramètres!J17="",0,IF(Paramètres!K17="",NA(),IF(LEFT(TRIM(Paramètres!K17),1)="F",INDEX($F$815:$F$867,MATCH(Paramètres!J17,Paramètres!$G$5:$G$57,0)),INDEX($E$815:$E$867,MATCH(Paramètres!J17,Paramètres!$G$5:$G$57,0)))+IF(RIGHT(TRIM(Paramètres!K17),3)="Fin",1-$H827,IF(LEFT(TRIM(Paramètres!K17),1)="F",1,0)))),IF(Paramètres!L17="",0,IF(Paramètres!M17="",NA(),IF(LEFT(TRIM(Paramètres!M17),1)="F",INDEX($F$815:$F$867,MATCH(Paramètres!L17,Paramètres!$G$5:$G$57,0)),INDEX($E$815:$E$867,MATCH(Paramètres!L17,Paramètres!$G$5:$G$57,0)))+IF(RIGHT(TRIM(Paramètres!M17),3)="Fin",1-$H827,IF(LEFT(TRIM(Paramètres!M17),1)="F",1,0)))),IF(Paramètres!N17="",0,IF(Paramètres!O17="",NA(),IF(LEFT(TRIM(Paramètres!O17),1)="F",INDEX($F$815:$F$867,MATCH(Paramètres!N17,Paramètres!$G$5:$G$57,0)),INDEX($E$815:$E$867,MATCH(Paramètres!N17,Paramètres!$G$5:$G$57,0)))+IF(RIGHT(TRIM(Paramètres!O17),3)="Fin",1-$H827,IF(LEFT(TRIM(Paramètres!O17),1)="F",1,0)))))))</f>
        <v/>
      </c>
      <c r="F827" s="19">
        <f>IF($A827="","",E827+$H827-1)</f>
        <v/>
      </c>
      <c r="G827" s="18" t="n"/>
      <c r="H827" s="18">
        <f>IF($A827="","",IF(I827&lt;&gt;"",I827,Paramètres!B17))</f>
        <v/>
      </c>
      <c r="I827" s="18" t="n"/>
    </row>
    <row r="828">
      <c r="A828" s="18">
        <f>IF(ISNUMBER(Dossiers!$D$19),Dossiers!$A$19&amp;" · "&amp;Dossiers!$B$19,"")</f>
        <v/>
      </c>
      <c r="B828" s="18">
        <f>IF($A828="","",Paramètres!G18)</f>
        <v/>
      </c>
      <c r="C828" s="18">
        <f>IF($A828="","",IF(Paramètres!H18="","",Paramètres!H18))</f>
        <v/>
      </c>
      <c r="D828" s="18">
        <f>IF($A828="","",IF(Paramètres!I18="","",Paramètres!I18))</f>
        <v/>
      </c>
      <c r="E828" s="19">
        <f>IF($A828="","",IF(Paramètres!J18&amp;Paramètres!L18&amp;Paramètres!N18="",Dossiers!$D$19,MAX(IF(Paramètres!J18="",0,IF(Paramètres!K18="",NA(),IF(LEFT(TRIM(Paramètres!K18),1)="F",INDEX($F$815:$F$867,MATCH(Paramètres!J18,Paramètres!$G$5:$G$57,0)),INDEX($E$815:$E$867,MATCH(Paramètres!J18,Paramètres!$G$5:$G$57,0)))+IF(RIGHT(TRIM(Paramètres!K18),3)="Fin",1-$H828,IF(LEFT(TRIM(Paramètres!K18),1)="F",1,0)))),IF(Paramètres!L18="",0,IF(Paramètres!M18="",NA(),IF(LEFT(TRIM(Paramètres!M18),1)="F",INDEX($F$815:$F$867,MATCH(Paramètres!L18,Paramètres!$G$5:$G$57,0)),INDEX($E$815:$E$867,MATCH(Paramètres!L18,Paramètres!$G$5:$G$57,0)))+IF(RIGHT(TRIM(Paramètres!M18),3)="Fin",1-$H828,IF(LEFT(TRIM(Paramètres!M18),1)="F",1,0)))),IF(Paramètres!N18="",0,IF(Paramètres!O18="",NA(),IF(LEFT(TRIM(Paramètres!O18),1)="F",INDEX($F$815:$F$867,MATCH(Paramètres!N18,Paramètres!$G$5:$G$57,0)),INDEX($E$815:$E$867,MATCH(Paramètres!N18,Paramètres!$G$5:$G$57,0)))+IF(RIGHT(TRIM(Paramètres!O18),3)="Fin",1-$H828,IF(LEFT(TRIM(Paramètres!O18),1)="F",1,0)))))))</f>
        <v/>
      </c>
      <c r="F828" s="19">
        <f>IF($A828="","",E828+$H828-1)</f>
        <v/>
      </c>
      <c r="G828" s="18" t="n"/>
      <c r="H828" s="18">
        <f>IF($A828="","",IF(I828&lt;&gt;"",I828,Paramètres!B18))</f>
        <v/>
      </c>
      <c r="I828" s="18" t="n"/>
    </row>
    <row r="829">
      <c r="A829" s="18">
        <f>IF(ISNUMBER(Dossiers!$D$19),Dossiers!$A$19&amp;" · "&amp;Dossiers!$B$19,"")</f>
        <v/>
      </c>
      <c r="B829" s="18">
        <f>IF($A829="","",Paramètres!G19)</f>
        <v/>
      </c>
      <c r="C829" s="18">
        <f>IF($A829="","",IF(Paramètres!H19="","",Paramètres!H19))</f>
        <v/>
      </c>
      <c r="D829" s="18">
        <f>IF($A829="","",IF(Paramètres!I19="","",Paramètres!I19))</f>
        <v/>
      </c>
      <c r="E829" s="19">
        <f>IF($A829="","",IF(Paramètres!J19&amp;Paramètres!L19&amp;Paramètres!N19="",Dossiers!$D$19,MAX(IF(Paramètres!J19="",0,IF(Paramètres!K19="",NA(),IF(LEFT(TRIM(Paramètres!K19),1)="F",INDEX($F$815:$F$867,MATCH(Paramètres!J19,Paramètres!$G$5:$G$57,0)),INDEX($E$815:$E$867,MATCH(Paramètres!J19,Paramètres!$G$5:$G$57,0)))+IF(RIGHT(TRIM(Paramètres!K19),3)="Fin",1-$H829,IF(LEFT(TRIM(Paramètres!K19),1)="F",1,0)))),IF(Paramètres!L19="",0,IF(Paramètres!M19="",NA(),IF(LEFT(TRIM(Paramètres!M19),1)="F",INDEX($F$815:$F$867,MATCH(Paramètres!L19,Paramètres!$G$5:$G$57,0)),INDEX($E$815:$E$867,MATCH(Paramètres!L19,Paramètres!$G$5:$G$57,0)))+IF(RIGHT(TRIM(Paramètres!M19),3)="Fin",1-$H829,IF(LEFT(TRIM(Paramètres!M19),1)="F",1,0)))),IF(Paramètres!N19="",0,IF(Paramètres!O19="",NA(),IF(LEFT(TRIM(Paramètres!O19),1)="F",INDEX($F$815:$F$867,MATCH(Paramètres!N19,Paramètres!$G$5:$G$57,0)),INDEX($E$815:$E$867,MATCH(Paramètres!N19,Paramètres!$G$5:$G$57,0)))+IF(RIGHT(TRIM(Paramètres!O19),3)="Fin",1-$H829,IF(LEFT(TRIM(Paramètres!O19),1)="F",1,0)))))))</f>
        <v/>
      </c>
      <c r="F829" s="19">
        <f>IF($A829="","",E829+$H829-1)</f>
        <v/>
      </c>
      <c r="G829" s="18" t="n"/>
      <c r="H829" s="18">
        <f>IF($A829="","",IF(I829&lt;&gt;"",I829,Paramètres!B19))</f>
        <v/>
      </c>
      <c r="I829" s="18" t="n"/>
    </row>
    <row r="830">
      <c r="A830" s="18">
        <f>IF(ISNUMBER(Dossiers!$D$19),Dossiers!$A$19&amp;" · "&amp;Dossiers!$B$19,"")</f>
        <v/>
      </c>
      <c r="B830" s="18">
        <f>IF($A830="","",Paramètres!G20)</f>
        <v/>
      </c>
      <c r="C830" s="18">
        <f>IF($A830="","",IF(Paramètres!H20="","",Paramètres!H20))</f>
        <v/>
      </c>
      <c r="D830" s="18">
        <f>IF($A830="","",IF(Paramètres!I20="","",Paramètres!I20))</f>
        <v/>
      </c>
      <c r="E830" s="19">
        <f>IF($A830="","",IF(Paramètres!J20&amp;Paramètres!L20&amp;Paramètres!N20="",Dossiers!$D$19,MAX(IF(Paramètres!J20="",0,IF(Paramètres!K20="",NA(),IF(LEFT(TRIM(Paramètres!K20),1)="F",INDEX($F$815:$F$867,MATCH(Paramètres!J20,Paramètres!$G$5:$G$57,0)),INDEX($E$815:$E$867,MATCH(Paramètres!J20,Paramètres!$G$5:$G$57,0)))+IF(RIGHT(TRIM(Paramètres!K20),3)="Fin",1-$H830,IF(LEFT(TRIM(Paramètres!K20),1)="F",1,0)))),IF(Paramètres!L20="",0,IF(Paramètres!M20="",NA(),IF(LEFT(TRIM(Paramètres!M20),1)="F",INDEX($F$815:$F$867,MATCH(Paramètres!L20,Paramètres!$G$5:$G$57,0)),INDEX($E$815:$E$867,MATCH(Paramètres!L20,Paramètres!$G$5:$G$57,0)))+IF(RIGHT(TRIM(Paramètres!M20),3)="Fin",1-$H830,IF(LEFT(TRIM(Paramètres!M20),1)="F",1,0)))),IF(Paramètres!N20="",0,IF(Paramètres!O20="",NA(),IF(LEFT(TRIM(Paramètres!O20),1)="F",INDEX($F$815:$F$867,MATCH(Paramètres!N20,Paramètres!$G$5:$G$57,0)),INDEX($E$815:$E$867,MATCH(Paramètres!N20,Paramètres!$G$5:$G$57,0)))+IF(RIGHT(TRIM(Paramètres!O20),3)="Fin",1-$H830,IF(LEFT(TRIM(Paramètres!O20),1)="F",1,0)))))))</f>
        <v/>
      </c>
      <c r="F830" s="19">
        <f>IF($A830="","",E830+$H830-1)</f>
        <v/>
      </c>
      <c r="G830" s="18" t="n"/>
      <c r="H830" s="18">
        <f>IF($A830="","",IF(I830&lt;&gt;"",I830,Paramètres!B20))</f>
        <v/>
      </c>
      <c r="I830" s="18" t="n"/>
    </row>
    <row r="831">
      <c r="A831" s="18">
        <f>IF(ISNUMBER(Dossiers!$D$19),Dossiers!$A$19&amp;" · "&amp;Dossiers!$B$19,"")</f>
        <v/>
      </c>
      <c r="B831" s="18">
        <f>IF($A831="","",Paramètres!G21)</f>
        <v/>
      </c>
      <c r="C831" s="18">
        <f>IF($A831="","",IF(Paramètres!H21="","",Paramètres!H21))</f>
        <v/>
      </c>
      <c r="D831" s="18">
        <f>IF($A831="","",IF(Paramètres!I21="","",Paramètres!I21))</f>
        <v/>
      </c>
      <c r="E831" s="19">
        <f>IF($A831="","",IF(Paramètres!J21&amp;Paramètres!L21&amp;Paramètres!N21="",Dossiers!$D$19,MAX(IF(Paramètres!J21="",0,IF(Paramètres!K21="",NA(),IF(LEFT(TRIM(Paramètres!K21),1)="F",INDEX($F$815:$F$867,MATCH(Paramètres!J21,Paramètres!$G$5:$G$57,0)),INDEX($E$815:$E$867,MATCH(Paramètres!J21,Paramètres!$G$5:$G$57,0)))+IF(RIGHT(TRIM(Paramètres!K21),3)="Fin",1-$H831,IF(LEFT(TRIM(Paramètres!K21),1)="F",1,0)))),IF(Paramètres!L21="",0,IF(Paramètres!M21="",NA(),IF(LEFT(TRIM(Paramètres!M21),1)="F",INDEX($F$815:$F$867,MATCH(Paramètres!L21,Paramètres!$G$5:$G$57,0)),INDEX($E$815:$E$867,MATCH(Paramètres!L21,Paramètres!$G$5:$G$57,0)))+IF(RIGHT(TRIM(Paramètres!M21),3)="Fin",1-$H831,IF(LEFT(TRIM(Paramètres!M21),1)="F",1,0)))),IF(Paramètres!N21="",0,IF(Paramètres!O21="",NA(),IF(LEFT(TRIM(Paramètres!O21),1)="F",INDEX($F$815:$F$867,MATCH(Paramètres!N21,Paramètres!$G$5:$G$57,0)),INDEX($E$815:$E$867,MATCH(Paramètres!N21,Paramètres!$G$5:$G$57,0)))+IF(RIGHT(TRIM(Paramètres!O21),3)="Fin",1-$H831,IF(LEFT(TRIM(Paramètres!O21),1)="F",1,0)))))))</f>
        <v/>
      </c>
      <c r="F831" s="19">
        <f>IF($A831="","",E831+$H831-1)</f>
        <v/>
      </c>
      <c r="G831" s="18" t="n"/>
      <c r="H831" s="18">
        <f>IF($A831="","",IF(I831&lt;&gt;"",I831,Paramètres!B21))</f>
        <v/>
      </c>
      <c r="I831" s="18" t="n"/>
    </row>
    <row r="832">
      <c r="A832" s="18">
        <f>IF(ISNUMBER(Dossiers!$D$19),Dossiers!$A$19&amp;" · "&amp;Dossiers!$B$19,"")</f>
        <v/>
      </c>
      <c r="B832" s="18">
        <f>IF($A832="","",Paramètres!G22)</f>
        <v/>
      </c>
      <c r="C832" s="18">
        <f>IF($A832="","",IF(Paramètres!H22="","",Paramètres!H22))</f>
        <v/>
      </c>
      <c r="D832" s="18">
        <f>IF($A832="","",IF(Paramètres!I22="","",Paramètres!I22))</f>
        <v/>
      </c>
      <c r="E832" s="19">
        <f>IF($A832="","",IF(Paramètres!J22&amp;Paramètres!L22&amp;Paramètres!N22="",Dossiers!$D$19,MAX(IF(Paramètres!J22="",0,IF(Paramètres!K22="",NA(),IF(LEFT(TRIM(Paramètres!K22),1)="F",INDEX($F$815:$F$867,MATCH(Paramètres!J22,Paramètres!$G$5:$G$57,0)),INDEX($E$815:$E$867,MATCH(Paramètres!J22,Paramètres!$G$5:$G$57,0)))+IF(RIGHT(TRIM(Paramètres!K22),3)="Fin",1-$H832,IF(LEFT(TRIM(Paramètres!K22),1)="F",1,0)))),IF(Paramètres!L22="",0,IF(Paramètres!M22="",NA(),IF(LEFT(TRIM(Paramètres!M22),1)="F",INDEX($F$815:$F$867,MATCH(Paramètres!L22,Paramètres!$G$5:$G$57,0)),INDEX($E$815:$E$867,MATCH(Paramètres!L22,Paramètres!$G$5:$G$57,0)))+IF(RIGHT(TRIM(Paramètres!M22),3)="Fin",1-$H832,IF(LEFT(TRIM(Paramètres!M22),1)="F",1,0)))),IF(Paramètres!N22="",0,IF(Paramètres!O22="",NA(),IF(LEFT(TRIM(Paramètres!O22),1)="F",INDEX($F$815:$F$867,MATCH(Paramètres!N22,Paramètres!$G$5:$G$57,0)),INDEX($E$815:$E$867,MATCH(Paramètres!N22,Paramètres!$G$5:$G$57,0)))+IF(RIGHT(TRIM(Paramètres!O22),3)="Fin",1-$H832,IF(LEFT(TRIM(Paramètres!O22),1)="F",1,0)))))))</f>
        <v/>
      </c>
      <c r="F832" s="19">
        <f>IF($A832="","",E832+$H832-1)</f>
        <v/>
      </c>
      <c r="G832" s="18" t="n"/>
      <c r="H832" s="18">
        <f>IF($A832="","",IF(I832&lt;&gt;"",I832,Paramètres!B22))</f>
        <v/>
      </c>
      <c r="I832" s="18" t="n"/>
    </row>
    <row r="833">
      <c r="A833" s="18">
        <f>IF(ISNUMBER(Dossiers!$D$19),Dossiers!$A$19&amp;" · "&amp;Dossiers!$B$19,"")</f>
        <v/>
      </c>
      <c r="B833" s="18">
        <f>IF($A833="","",Paramètres!G23)</f>
        <v/>
      </c>
      <c r="C833" s="18">
        <f>IF($A833="","",IF(Paramètres!H23="","",Paramètres!H23))</f>
        <v/>
      </c>
      <c r="D833" s="18">
        <f>IF($A833="","",IF(Paramètres!I23="","",Paramètres!I23))</f>
        <v/>
      </c>
      <c r="E833" s="19">
        <f>IF($A833="","",IF(Paramètres!J23&amp;Paramètres!L23&amp;Paramètres!N23="",Dossiers!$D$19,MAX(IF(Paramètres!J23="",0,IF(Paramètres!K23="",NA(),IF(LEFT(TRIM(Paramètres!K23),1)="F",INDEX($F$815:$F$867,MATCH(Paramètres!J23,Paramètres!$G$5:$G$57,0)),INDEX($E$815:$E$867,MATCH(Paramètres!J23,Paramètres!$G$5:$G$57,0)))+IF(RIGHT(TRIM(Paramètres!K23),3)="Fin",1-$H833,IF(LEFT(TRIM(Paramètres!K23),1)="F",1,0)))),IF(Paramètres!L23="",0,IF(Paramètres!M23="",NA(),IF(LEFT(TRIM(Paramètres!M23),1)="F",INDEX($F$815:$F$867,MATCH(Paramètres!L23,Paramètres!$G$5:$G$57,0)),INDEX($E$815:$E$867,MATCH(Paramètres!L23,Paramètres!$G$5:$G$57,0)))+IF(RIGHT(TRIM(Paramètres!M23),3)="Fin",1-$H833,IF(LEFT(TRIM(Paramètres!M23),1)="F",1,0)))),IF(Paramètres!N23="",0,IF(Paramètres!O23="",NA(),IF(LEFT(TRIM(Paramètres!O23),1)="F",INDEX($F$815:$F$867,MATCH(Paramètres!N23,Paramètres!$G$5:$G$57,0)),INDEX($E$815:$E$867,MATCH(Paramètres!N23,Paramètres!$G$5:$G$57,0)))+IF(RIGHT(TRIM(Paramètres!O23),3)="Fin",1-$H833,IF(LEFT(TRIM(Paramètres!O23),1)="F",1,0)))))))</f>
        <v/>
      </c>
      <c r="F833" s="19">
        <f>IF($A833="","",E833+$H833-1)</f>
        <v/>
      </c>
      <c r="G833" s="18" t="n"/>
      <c r="H833" s="18">
        <f>IF($A833="","",IF(I833&lt;&gt;"",I833,Paramètres!B23))</f>
        <v/>
      </c>
      <c r="I833" s="18" t="n"/>
    </row>
    <row r="834">
      <c r="A834" s="18">
        <f>IF(ISNUMBER(Dossiers!$D$19),Dossiers!$A$19&amp;" · "&amp;Dossiers!$B$19,"")</f>
        <v/>
      </c>
      <c r="B834" s="18">
        <f>IF($A834="","",Paramètres!G24)</f>
        <v/>
      </c>
      <c r="C834" s="18">
        <f>IF($A834="","",IF(Paramètres!H24="","",Paramètres!H24))</f>
        <v/>
      </c>
      <c r="D834" s="18">
        <f>IF($A834="","",IF(Paramètres!I24="","",Paramètres!I24))</f>
        <v/>
      </c>
      <c r="E834" s="19">
        <f>IF($A834="","",IF(Paramètres!J24&amp;Paramètres!L24&amp;Paramètres!N24="",Dossiers!$D$19,MAX(IF(Paramètres!J24="",0,IF(Paramètres!K24="",NA(),IF(LEFT(TRIM(Paramètres!K24),1)="F",INDEX($F$815:$F$867,MATCH(Paramètres!J24,Paramètres!$G$5:$G$57,0)),INDEX($E$815:$E$867,MATCH(Paramètres!J24,Paramètres!$G$5:$G$57,0)))+IF(RIGHT(TRIM(Paramètres!K24),3)="Fin",1-$H834,IF(LEFT(TRIM(Paramètres!K24),1)="F",1,0)))),IF(Paramètres!L24="",0,IF(Paramètres!M24="",NA(),IF(LEFT(TRIM(Paramètres!M24),1)="F",INDEX($F$815:$F$867,MATCH(Paramètres!L24,Paramètres!$G$5:$G$57,0)),INDEX($E$815:$E$867,MATCH(Paramètres!L24,Paramètres!$G$5:$G$57,0)))+IF(RIGHT(TRIM(Paramètres!M24),3)="Fin",1-$H834,IF(LEFT(TRIM(Paramètres!M24),1)="F",1,0)))),IF(Paramètres!N24="",0,IF(Paramètres!O24="",NA(),IF(LEFT(TRIM(Paramètres!O24),1)="F",INDEX($F$815:$F$867,MATCH(Paramètres!N24,Paramètres!$G$5:$G$57,0)),INDEX($E$815:$E$867,MATCH(Paramètres!N24,Paramètres!$G$5:$G$57,0)))+IF(RIGHT(TRIM(Paramètres!O24),3)="Fin",1-$H834,IF(LEFT(TRIM(Paramètres!O24),1)="F",1,0)))))))</f>
        <v/>
      </c>
      <c r="F834" s="19">
        <f>IF($A834="","",E834+$H834-1)</f>
        <v/>
      </c>
      <c r="G834" s="18" t="n"/>
      <c r="H834" s="18">
        <f>IF($A834="","",IF(I834&lt;&gt;"",I834,Paramètres!B24))</f>
        <v/>
      </c>
      <c r="I834" s="18" t="n"/>
    </row>
    <row r="835">
      <c r="A835" s="18">
        <f>IF(ISNUMBER(Dossiers!$D$19),Dossiers!$A$19&amp;" · "&amp;Dossiers!$B$19,"")</f>
        <v/>
      </c>
      <c r="B835" s="18">
        <f>IF($A835="","",Paramètres!G25)</f>
        <v/>
      </c>
      <c r="C835" s="18">
        <f>IF($A835="","",IF(Paramètres!H25="","",Paramètres!H25))</f>
        <v/>
      </c>
      <c r="D835" s="18">
        <f>IF($A835="","",IF(Paramètres!I25="","",Paramètres!I25))</f>
        <v/>
      </c>
      <c r="E835" s="19">
        <f>IF($A835="","",IF(Paramètres!J25&amp;Paramètres!L25&amp;Paramètres!N25="",Dossiers!$D$19,MAX(IF(Paramètres!J25="",0,IF(Paramètres!K25="",NA(),IF(LEFT(TRIM(Paramètres!K25),1)="F",INDEX($F$815:$F$867,MATCH(Paramètres!J25,Paramètres!$G$5:$G$57,0)),INDEX($E$815:$E$867,MATCH(Paramètres!J25,Paramètres!$G$5:$G$57,0)))+IF(RIGHT(TRIM(Paramètres!K25),3)="Fin",1-$H835,IF(LEFT(TRIM(Paramètres!K25),1)="F",1,0)))),IF(Paramètres!L25="",0,IF(Paramètres!M25="",NA(),IF(LEFT(TRIM(Paramètres!M25),1)="F",INDEX($F$815:$F$867,MATCH(Paramètres!L25,Paramètres!$G$5:$G$57,0)),INDEX($E$815:$E$867,MATCH(Paramètres!L25,Paramètres!$G$5:$G$57,0)))+IF(RIGHT(TRIM(Paramètres!M25),3)="Fin",1-$H835,IF(LEFT(TRIM(Paramètres!M25),1)="F",1,0)))),IF(Paramètres!N25="",0,IF(Paramètres!O25="",NA(),IF(LEFT(TRIM(Paramètres!O25),1)="F",INDEX($F$815:$F$867,MATCH(Paramètres!N25,Paramètres!$G$5:$G$57,0)),INDEX($E$815:$E$867,MATCH(Paramètres!N25,Paramètres!$G$5:$G$57,0)))+IF(RIGHT(TRIM(Paramètres!O25),3)="Fin",1-$H835,IF(LEFT(TRIM(Paramètres!O25),1)="F",1,0)))))))</f>
        <v/>
      </c>
      <c r="F835" s="19">
        <f>IF($A835="","",E835+$H835-1)</f>
        <v/>
      </c>
      <c r="G835" s="18" t="n"/>
      <c r="H835" s="18">
        <f>IF($A835="","",IF(I835&lt;&gt;"",I835,Paramètres!B25))</f>
        <v/>
      </c>
      <c r="I835" s="18" t="n"/>
    </row>
    <row r="836">
      <c r="A836" s="18">
        <f>IF(ISNUMBER(Dossiers!$D$19),Dossiers!$A$19&amp;" · "&amp;Dossiers!$B$19,"")</f>
        <v/>
      </c>
      <c r="B836" s="18">
        <f>IF($A836="","",Paramètres!G26)</f>
        <v/>
      </c>
      <c r="C836" s="18">
        <f>IF($A836="","",IF(Paramètres!H26="","",Paramètres!H26))</f>
        <v/>
      </c>
      <c r="D836" s="18">
        <f>IF($A836="","",IF(Paramètres!I26="","",Paramètres!I26))</f>
        <v/>
      </c>
      <c r="E836" s="19">
        <f>IF($A836="","",IF(Paramètres!J26&amp;Paramètres!L26&amp;Paramètres!N26="",Dossiers!$D$19,MAX(IF(Paramètres!J26="",0,IF(Paramètres!K26="",NA(),IF(LEFT(TRIM(Paramètres!K26),1)="F",INDEX($F$815:$F$867,MATCH(Paramètres!J26,Paramètres!$G$5:$G$57,0)),INDEX($E$815:$E$867,MATCH(Paramètres!J26,Paramètres!$G$5:$G$57,0)))+IF(RIGHT(TRIM(Paramètres!K26),3)="Fin",1-$H836,IF(LEFT(TRIM(Paramètres!K26),1)="F",1,0)))),IF(Paramètres!L26="",0,IF(Paramètres!M26="",NA(),IF(LEFT(TRIM(Paramètres!M26),1)="F",INDEX($F$815:$F$867,MATCH(Paramètres!L26,Paramètres!$G$5:$G$57,0)),INDEX($E$815:$E$867,MATCH(Paramètres!L26,Paramètres!$G$5:$G$57,0)))+IF(RIGHT(TRIM(Paramètres!M26),3)="Fin",1-$H836,IF(LEFT(TRIM(Paramètres!M26),1)="F",1,0)))),IF(Paramètres!N26="",0,IF(Paramètres!O26="",NA(),IF(LEFT(TRIM(Paramètres!O26),1)="F",INDEX($F$815:$F$867,MATCH(Paramètres!N26,Paramètres!$G$5:$G$57,0)),INDEX($E$815:$E$867,MATCH(Paramètres!N26,Paramètres!$G$5:$G$57,0)))+IF(RIGHT(TRIM(Paramètres!O26),3)="Fin",1-$H836,IF(LEFT(TRIM(Paramètres!O26),1)="F",1,0)))))))</f>
        <v/>
      </c>
      <c r="F836" s="19">
        <f>IF($A836="","",E836+$H836-1)</f>
        <v/>
      </c>
      <c r="G836" s="18" t="n"/>
      <c r="H836" s="18">
        <f>IF($A836="","",IF(I836&lt;&gt;"",I836,Paramètres!B26))</f>
        <v/>
      </c>
      <c r="I836" s="18" t="n"/>
    </row>
    <row r="837">
      <c r="A837" s="18">
        <f>IF(ISNUMBER(Dossiers!$D$19),Dossiers!$A$19&amp;" · "&amp;Dossiers!$B$19,"")</f>
        <v/>
      </c>
      <c r="B837" s="18">
        <f>IF($A837="","",Paramètres!G27)</f>
        <v/>
      </c>
      <c r="C837" s="18">
        <f>IF($A837="","",IF(Paramètres!H27="","",Paramètres!H27))</f>
        <v/>
      </c>
      <c r="D837" s="18">
        <f>IF($A837="","",IF(Paramètres!I27="","",Paramètres!I27))</f>
        <v/>
      </c>
      <c r="E837" s="19">
        <f>IF($A837="","",IF(Paramètres!J27&amp;Paramètres!L27&amp;Paramètres!N27="",Dossiers!$D$19,MAX(IF(Paramètres!J27="",0,IF(Paramètres!K27="",NA(),IF(LEFT(TRIM(Paramètres!K27),1)="F",INDEX($F$815:$F$867,MATCH(Paramètres!J27,Paramètres!$G$5:$G$57,0)),INDEX($E$815:$E$867,MATCH(Paramètres!J27,Paramètres!$G$5:$G$57,0)))+IF(RIGHT(TRIM(Paramètres!K27),3)="Fin",1-$H837,IF(LEFT(TRIM(Paramètres!K27),1)="F",1,0)))),IF(Paramètres!L27="",0,IF(Paramètres!M27="",NA(),IF(LEFT(TRIM(Paramètres!M27),1)="F",INDEX($F$815:$F$867,MATCH(Paramètres!L27,Paramètres!$G$5:$G$57,0)),INDEX($E$815:$E$867,MATCH(Paramètres!L27,Paramètres!$G$5:$G$57,0)))+IF(RIGHT(TRIM(Paramètres!M27),3)="Fin",1-$H837,IF(LEFT(TRIM(Paramètres!M27),1)="F",1,0)))),IF(Paramètres!N27="",0,IF(Paramètres!O27="",NA(),IF(LEFT(TRIM(Paramètres!O27),1)="F",INDEX($F$815:$F$867,MATCH(Paramètres!N27,Paramètres!$G$5:$G$57,0)),INDEX($E$815:$E$867,MATCH(Paramètres!N27,Paramètres!$G$5:$G$57,0)))+IF(RIGHT(TRIM(Paramètres!O27),3)="Fin",1-$H837,IF(LEFT(TRIM(Paramètres!O27),1)="F",1,0)))))))</f>
        <v/>
      </c>
      <c r="F837" s="19">
        <f>IF($A837="","",E837+$H837-1)</f>
        <v/>
      </c>
      <c r="G837" s="18" t="n"/>
      <c r="H837" s="18">
        <f>IF($A837="","",IF(I837&lt;&gt;"",I837,Paramètres!B27))</f>
        <v/>
      </c>
      <c r="I837" s="18" t="n"/>
    </row>
    <row r="838">
      <c r="A838" s="18">
        <f>IF(ISNUMBER(Dossiers!$D$19),Dossiers!$A$19&amp;" · "&amp;Dossiers!$B$19,"")</f>
        <v/>
      </c>
      <c r="B838" s="18">
        <f>IF($A838="","",Paramètres!G28)</f>
        <v/>
      </c>
      <c r="C838" s="18">
        <f>IF($A838="","",IF(Paramètres!H28="","",Paramètres!H28))</f>
        <v/>
      </c>
      <c r="D838" s="18">
        <f>IF($A838="","",IF(Paramètres!I28="","",Paramètres!I28))</f>
        <v/>
      </c>
      <c r="E838" s="19">
        <f>IF($A838="","",IF(Paramètres!J28&amp;Paramètres!L28&amp;Paramètres!N28="",Dossiers!$D$19,MAX(IF(Paramètres!J28="",0,IF(Paramètres!K28="",NA(),IF(LEFT(TRIM(Paramètres!K28),1)="F",INDEX($F$815:$F$867,MATCH(Paramètres!J28,Paramètres!$G$5:$G$57,0)),INDEX($E$815:$E$867,MATCH(Paramètres!J28,Paramètres!$G$5:$G$57,0)))+IF(RIGHT(TRIM(Paramètres!K28),3)="Fin",1-$H838,IF(LEFT(TRIM(Paramètres!K28),1)="F",1,0)))),IF(Paramètres!L28="",0,IF(Paramètres!M28="",NA(),IF(LEFT(TRIM(Paramètres!M28),1)="F",INDEX($F$815:$F$867,MATCH(Paramètres!L28,Paramètres!$G$5:$G$57,0)),INDEX($E$815:$E$867,MATCH(Paramètres!L28,Paramètres!$G$5:$G$57,0)))+IF(RIGHT(TRIM(Paramètres!M28),3)="Fin",1-$H838,IF(LEFT(TRIM(Paramètres!M28),1)="F",1,0)))),IF(Paramètres!N28="",0,IF(Paramètres!O28="",NA(),IF(LEFT(TRIM(Paramètres!O28),1)="F",INDEX($F$815:$F$867,MATCH(Paramètres!N28,Paramètres!$G$5:$G$57,0)),INDEX($E$815:$E$867,MATCH(Paramètres!N28,Paramètres!$G$5:$G$57,0)))+IF(RIGHT(TRIM(Paramètres!O28),3)="Fin",1-$H838,IF(LEFT(TRIM(Paramètres!O28),1)="F",1,0)))))))</f>
        <v/>
      </c>
      <c r="F838" s="19">
        <f>IF($A838="","",E838+$H838-1)</f>
        <v/>
      </c>
      <c r="G838" s="18" t="n"/>
      <c r="H838" s="18">
        <f>IF($A838="","",IF(I838&lt;&gt;"",I838,Paramètres!B28))</f>
        <v/>
      </c>
      <c r="I838" s="18" t="n"/>
    </row>
    <row r="839">
      <c r="A839" s="18">
        <f>IF(ISNUMBER(Dossiers!$D$19),Dossiers!$A$19&amp;" · "&amp;Dossiers!$B$19,"")</f>
        <v/>
      </c>
      <c r="B839" s="18">
        <f>IF($A839="","",Paramètres!G29)</f>
        <v/>
      </c>
      <c r="C839" s="18">
        <f>IF($A839="","",IF(Paramètres!H29="","",Paramètres!H29))</f>
        <v/>
      </c>
      <c r="D839" s="18">
        <f>IF($A839="","",IF(Paramètres!I29="","",Paramètres!I29))</f>
        <v/>
      </c>
      <c r="E839" s="19">
        <f>IF($A839="","",IF(Paramètres!J29&amp;Paramètres!L29&amp;Paramètres!N29="",Dossiers!$D$19,MAX(IF(Paramètres!J29="",0,IF(Paramètres!K29="",NA(),IF(LEFT(TRIM(Paramètres!K29),1)="F",INDEX($F$815:$F$867,MATCH(Paramètres!J29,Paramètres!$G$5:$G$57,0)),INDEX($E$815:$E$867,MATCH(Paramètres!J29,Paramètres!$G$5:$G$57,0)))+IF(RIGHT(TRIM(Paramètres!K29),3)="Fin",1-$H839,IF(LEFT(TRIM(Paramètres!K29),1)="F",1,0)))),IF(Paramètres!L29="",0,IF(Paramètres!M29="",NA(),IF(LEFT(TRIM(Paramètres!M29),1)="F",INDEX($F$815:$F$867,MATCH(Paramètres!L29,Paramètres!$G$5:$G$57,0)),INDEX($E$815:$E$867,MATCH(Paramètres!L29,Paramètres!$G$5:$G$57,0)))+IF(RIGHT(TRIM(Paramètres!M29),3)="Fin",1-$H839,IF(LEFT(TRIM(Paramètres!M29),1)="F",1,0)))),IF(Paramètres!N29="",0,IF(Paramètres!O29="",NA(),IF(LEFT(TRIM(Paramètres!O29),1)="F",INDEX($F$815:$F$867,MATCH(Paramètres!N29,Paramètres!$G$5:$G$57,0)),INDEX($E$815:$E$867,MATCH(Paramètres!N29,Paramètres!$G$5:$G$57,0)))+IF(RIGHT(TRIM(Paramètres!O29),3)="Fin",1-$H839,IF(LEFT(TRIM(Paramètres!O29),1)="F",1,0)))))))</f>
        <v/>
      </c>
      <c r="F839" s="19">
        <f>IF($A839="","",E839+$H839-1)</f>
        <v/>
      </c>
      <c r="G839" s="18" t="n"/>
      <c r="H839" s="18">
        <f>IF($A839="","",IF(I839&lt;&gt;"",I839,Paramètres!B29))</f>
        <v/>
      </c>
      <c r="I839" s="18" t="n"/>
    </row>
    <row r="840">
      <c r="A840" s="18">
        <f>IF(ISNUMBER(Dossiers!$D$19),Dossiers!$A$19&amp;" · "&amp;Dossiers!$B$19,"")</f>
        <v/>
      </c>
      <c r="B840" s="18">
        <f>IF($A840="","",Paramètres!G30)</f>
        <v/>
      </c>
      <c r="C840" s="18">
        <f>IF($A840="","",IF(Paramètres!H30="","",Paramètres!H30))</f>
        <v/>
      </c>
      <c r="D840" s="18">
        <f>IF($A840="","",IF(Paramètres!I30="","",Paramètres!I30))</f>
        <v/>
      </c>
      <c r="E840" s="19">
        <f>IF($A840="","",IF(Paramètres!J30&amp;Paramètres!L30&amp;Paramètres!N30="",Dossiers!$D$19,MAX(IF(Paramètres!J30="",0,IF(Paramètres!K30="",NA(),IF(LEFT(TRIM(Paramètres!K30),1)="F",INDEX($F$815:$F$867,MATCH(Paramètres!J30,Paramètres!$G$5:$G$57,0)),INDEX($E$815:$E$867,MATCH(Paramètres!J30,Paramètres!$G$5:$G$57,0)))+IF(RIGHT(TRIM(Paramètres!K30),3)="Fin",1-$H840,IF(LEFT(TRIM(Paramètres!K30),1)="F",1,0)))),IF(Paramètres!L30="",0,IF(Paramètres!M30="",NA(),IF(LEFT(TRIM(Paramètres!M30),1)="F",INDEX($F$815:$F$867,MATCH(Paramètres!L30,Paramètres!$G$5:$G$57,0)),INDEX($E$815:$E$867,MATCH(Paramètres!L30,Paramètres!$G$5:$G$57,0)))+IF(RIGHT(TRIM(Paramètres!M30),3)="Fin",1-$H840,IF(LEFT(TRIM(Paramètres!M30),1)="F",1,0)))),IF(Paramètres!N30="",0,IF(Paramètres!O30="",NA(),IF(LEFT(TRIM(Paramètres!O30),1)="F",INDEX($F$815:$F$867,MATCH(Paramètres!N30,Paramètres!$G$5:$G$57,0)),INDEX($E$815:$E$867,MATCH(Paramètres!N30,Paramètres!$G$5:$G$57,0)))+IF(RIGHT(TRIM(Paramètres!O30),3)="Fin",1-$H840,IF(LEFT(TRIM(Paramètres!O30),1)="F",1,0)))))))</f>
        <v/>
      </c>
      <c r="F840" s="19">
        <f>IF($A840="","",E840+$H840-1)</f>
        <v/>
      </c>
      <c r="G840" s="18" t="n"/>
      <c r="H840" s="18">
        <f>IF($A840="","",IF(I840&lt;&gt;"",I840,Paramètres!B30))</f>
        <v/>
      </c>
      <c r="I840" s="18" t="n"/>
    </row>
    <row r="841">
      <c r="A841" s="18">
        <f>IF(ISNUMBER(Dossiers!$D$19),Dossiers!$A$19&amp;" · "&amp;Dossiers!$B$19,"")</f>
        <v/>
      </c>
      <c r="B841" s="18">
        <f>IF($A841="","",Paramètres!G31)</f>
        <v/>
      </c>
      <c r="C841" s="20">
        <f>IF($A841="","",IF(Dossiers!$F$19="","",Dossiers!$F$19))</f>
        <v/>
      </c>
      <c r="D841" s="18">
        <f>IF($A841="","",IF(Paramètres!I31="","",Paramètres!I31))</f>
        <v/>
      </c>
      <c r="E841" s="19">
        <f>IF($A841="","",IF(Paramètres!J31&amp;Paramètres!L31&amp;Paramètres!N31="",Dossiers!$D$19,MAX(IF(Paramètres!J31="",0,IF(Paramètres!K31="",NA(),IF(LEFT(TRIM(Paramètres!K31),1)="F",INDEX($F$815:$F$867,MATCH(Paramètres!J31,Paramètres!$G$5:$G$57,0)),INDEX($E$815:$E$867,MATCH(Paramètres!J31,Paramètres!$G$5:$G$57,0)))+IF(RIGHT(TRIM(Paramètres!K31),3)="Fin",1-$H841,IF(LEFT(TRIM(Paramètres!K31),1)="F",1,0)))),IF(Paramètres!L31="",0,IF(Paramètres!M31="",NA(),IF(LEFT(TRIM(Paramètres!M31),1)="F",INDEX($F$815:$F$867,MATCH(Paramètres!L31,Paramètres!$G$5:$G$57,0)),INDEX($E$815:$E$867,MATCH(Paramètres!L31,Paramètres!$G$5:$G$57,0)))+IF(RIGHT(TRIM(Paramètres!M31),3)="Fin",1-$H841,IF(LEFT(TRIM(Paramètres!M31),1)="F",1,0)))),IF(Paramètres!N31="",0,IF(Paramètres!O31="",NA(),IF(LEFT(TRIM(Paramètres!O31),1)="F",INDEX($F$815:$F$867,MATCH(Paramètres!N31,Paramètres!$G$5:$G$57,0)),INDEX($E$815:$E$867,MATCH(Paramètres!N31,Paramètres!$G$5:$G$57,0)))+IF(RIGHT(TRIM(Paramètres!O31),3)="Fin",1-$H841,IF(LEFT(TRIM(Paramètres!O31),1)="F",1,0)))))))</f>
        <v/>
      </c>
      <c r="F841" s="19">
        <f>IF($A841="","",E841+$H841-1)</f>
        <v/>
      </c>
      <c r="G841" s="18" t="n"/>
      <c r="H841" s="18">
        <f>IF($A841="","",IF(I841&lt;&gt;"",I841,Paramètres!B31))</f>
        <v/>
      </c>
      <c r="I841" s="18" t="n"/>
    </row>
    <row r="842">
      <c r="A842" s="18">
        <f>IF(ISNUMBER(Dossiers!$D$19),Dossiers!$A$19&amp;" · "&amp;Dossiers!$B$19,"")</f>
        <v/>
      </c>
      <c r="B842" s="18">
        <f>IF($A842="","",Paramètres!G32)</f>
        <v/>
      </c>
      <c r="C842" s="18">
        <f>IF($A842="","",IF(Paramètres!H32="","",Paramètres!H32))</f>
        <v/>
      </c>
      <c r="D842" s="18">
        <f>IF($A842="","",IF(Paramètres!I32="","",Paramètres!I32))</f>
        <v/>
      </c>
      <c r="E842" s="19">
        <f>IF($A842="","",MIN(E843:E846))</f>
        <v/>
      </c>
      <c r="F842" s="19">
        <f>IF($A842="","",MAX(F843:F846))</f>
        <v/>
      </c>
      <c r="G842" s="18" t="n"/>
      <c r="H842" s="18">
        <f>IF($A842="","",F842-E842+1)</f>
        <v/>
      </c>
      <c r="I842" s="18" t="n"/>
    </row>
    <row r="843">
      <c r="A843" s="18">
        <f>IF(ISNUMBER(Dossiers!$D$19),Dossiers!$A$19&amp;" · "&amp;Dossiers!$B$19,"")</f>
        <v/>
      </c>
      <c r="B843" s="18">
        <f>IF($A843="","",Paramètres!G33)</f>
        <v/>
      </c>
      <c r="C843" s="18">
        <f>IF($A843="","",IF(Paramètres!H33="","",Paramètres!H33))</f>
        <v/>
      </c>
      <c r="D843" s="18">
        <f>IF($A843="","",IF(Paramètres!I33="","",Paramètres!I33))</f>
        <v/>
      </c>
      <c r="E843" s="19">
        <f>IF($A843="","",IF(Paramètres!J33&amp;Paramètres!L33&amp;Paramètres!N33="",Dossiers!$D$19,MAX(IF(Paramètres!J33="",0,IF(Paramètres!K33="",NA(),IF(LEFT(TRIM(Paramètres!K33),1)="F",INDEX($F$815:$F$867,MATCH(Paramètres!J33,Paramètres!$G$5:$G$57,0)),INDEX($E$815:$E$867,MATCH(Paramètres!J33,Paramètres!$G$5:$G$57,0)))+IF(RIGHT(TRIM(Paramètres!K33),3)="Fin",1-$H843,IF(LEFT(TRIM(Paramètres!K33),1)="F",1,0)))),IF(Paramètres!L33="",0,IF(Paramètres!M33="",NA(),IF(LEFT(TRIM(Paramètres!M33),1)="F",INDEX($F$815:$F$867,MATCH(Paramètres!L33,Paramètres!$G$5:$G$57,0)),INDEX($E$815:$E$867,MATCH(Paramètres!L33,Paramètres!$G$5:$G$57,0)))+IF(RIGHT(TRIM(Paramètres!M33),3)="Fin",1-$H843,IF(LEFT(TRIM(Paramètres!M33),1)="F",1,0)))),IF(Paramètres!N33="",0,IF(Paramètres!O33="",NA(),IF(LEFT(TRIM(Paramètres!O33),1)="F",INDEX($F$815:$F$867,MATCH(Paramètres!N33,Paramètres!$G$5:$G$57,0)),INDEX($E$815:$E$867,MATCH(Paramètres!N33,Paramètres!$G$5:$G$57,0)))+IF(RIGHT(TRIM(Paramètres!O33),3)="Fin",1-$H843,IF(LEFT(TRIM(Paramètres!O33),1)="F",1,0)))))))</f>
        <v/>
      </c>
      <c r="F843" s="19">
        <f>IF($A843="","",E843+$H843-1)</f>
        <v/>
      </c>
      <c r="G843" s="18" t="n"/>
      <c r="H843" s="18">
        <f>IF($A843="","",IF(I843&lt;&gt;"",I843,Paramètres!B33))</f>
        <v/>
      </c>
      <c r="I843" s="18" t="n"/>
    </row>
    <row r="844">
      <c r="A844" s="18">
        <f>IF(ISNUMBER(Dossiers!$D$19),Dossiers!$A$19&amp;" · "&amp;Dossiers!$B$19,"")</f>
        <v/>
      </c>
      <c r="B844" s="18">
        <f>IF($A844="","",Paramètres!G34)</f>
        <v/>
      </c>
      <c r="C844" s="18">
        <f>IF($A844="","",IF(Paramètres!H34="","",Paramètres!H34))</f>
        <v/>
      </c>
      <c r="D844" s="18">
        <f>IF($A844="","",IF(Paramètres!I34="","",Paramètres!I34))</f>
        <v/>
      </c>
      <c r="E844" s="19">
        <f>IF($A844="","",IF(Paramètres!J34&amp;Paramètres!L34&amp;Paramètres!N34="",Dossiers!$D$19,MAX(IF(Paramètres!J34="",0,IF(Paramètres!K34="",NA(),IF(LEFT(TRIM(Paramètres!K34),1)="F",INDEX($F$815:$F$867,MATCH(Paramètres!J34,Paramètres!$G$5:$G$57,0)),INDEX($E$815:$E$867,MATCH(Paramètres!J34,Paramètres!$G$5:$G$57,0)))+IF(RIGHT(TRIM(Paramètres!K34),3)="Fin",1-$H844,IF(LEFT(TRIM(Paramètres!K34),1)="F",1,0)))),IF(Paramètres!L34="",0,IF(Paramètres!M34="",NA(),IF(LEFT(TRIM(Paramètres!M34),1)="F",INDEX($F$815:$F$867,MATCH(Paramètres!L34,Paramètres!$G$5:$G$57,0)),INDEX($E$815:$E$867,MATCH(Paramètres!L34,Paramètres!$G$5:$G$57,0)))+IF(RIGHT(TRIM(Paramètres!M34),3)="Fin",1-$H844,IF(LEFT(TRIM(Paramètres!M34),1)="F",1,0)))),IF(Paramètres!N34="",0,IF(Paramètres!O34="",NA(),IF(LEFT(TRIM(Paramètres!O34),1)="F",INDEX($F$815:$F$867,MATCH(Paramètres!N34,Paramètres!$G$5:$G$57,0)),INDEX($E$815:$E$867,MATCH(Paramètres!N34,Paramètres!$G$5:$G$57,0)))+IF(RIGHT(TRIM(Paramètres!O34),3)="Fin",1-$H844,IF(LEFT(TRIM(Paramètres!O34),1)="F",1,0)))))))</f>
        <v/>
      </c>
      <c r="F844" s="19">
        <f>IF($A844="","",E844+$H844-1)</f>
        <v/>
      </c>
      <c r="G844" s="18" t="n"/>
      <c r="H844" s="18">
        <f>IF($A844="","",IF(I844&lt;&gt;"",I844,Paramètres!B34))</f>
        <v/>
      </c>
      <c r="I844" s="18" t="n"/>
    </row>
    <row r="845">
      <c r="A845" s="18">
        <f>IF(ISNUMBER(Dossiers!$D$19),Dossiers!$A$19&amp;" · "&amp;Dossiers!$B$19,"")</f>
        <v/>
      </c>
      <c r="B845" s="18">
        <f>IF($A845="","",Paramètres!G35)</f>
        <v/>
      </c>
      <c r="C845" s="18">
        <f>IF($A845="","",IF(Paramètres!H35="","",Paramètres!H35))</f>
        <v/>
      </c>
      <c r="D845" s="18">
        <f>IF($A845="","",IF(Paramètres!I35="","",Paramètres!I35))</f>
        <v/>
      </c>
      <c r="E845" s="19">
        <f>IF($A845="","",IF(Paramètres!J35&amp;Paramètres!L35&amp;Paramètres!N35="",Dossiers!$D$19,MAX(IF(Paramètres!J35="",0,IF(Paramètres!K35="",NA(),IF(LEFT(TRIM(Paramètres!K35),1)="F",INDEX($F$815:$F$867,MATCH(Paramètres!J35,Paramètres!$G$5:$G$57,0)),INDEX($E$815:$E$867,MATCH(Paramètres!J35,Paramètres!$G$5:$G$57,0)))+IF(RIGHT(TRIM(Paramètres!K35),3)="Fin",1-$H845,IF(LEFT(TRIM(Paramètres!K35),1)="F",1,0)))),IF(Paramètres!L35="",0,IF(Paramètres!M35="",NA(),IF(LEFT(TRIM(Paramètres!M35),1)="F",INDEX($F$815:$F$867,MATCH(Paramètres!L35,Paramètres!$G$5:$G$57,0)),INDEX($E$815:$E$867,MATCH(Paramètres!L35,Paramètres!$G$5:$G$57,0)))+IF(RIGHT(TRIM(Paramètres!M35),3)="Fin",1-$H845,IF(LEFT(TRIM(Paramètres!M35),1)="F",1,0)))),IF(Paramètres!N35="",0,IF(Paramètres!O35="",NA(),IF(LEFT(TRIM(Paramètres!O35),1)="F",INDEX($F$815:$F$867,MATCH(Paramètres!N35,Paramètres!$G$5:$G$57,0)),INDEX($E$815:$E$867,MATCH(Paramètres!N35,Paramètres!$G$5:$G$57,0)))+IF(RIGHT(TRIM(Paramètres!O35),3)="Fin",1-$H845,IF(LEFT(TRIM(Paramètres!O35),1)="F",1,0)))))))</f>
        <v/>
      </c>
      <c r="F845" s="19">
        <f>IF($A845="","",E845+$H845-1)</f>
        <v/>
      </c>
      <c r="G845" s="18" t="n"/>
      <c r="H845" s="18">
        <f>IF($A845="","",IF(I845&lt;&gt;"",I845,Paramètres!B35))</f>
        <v/>
      </c>
      <c r="I845" s="18" t="n"/>
    </row>
    <row r="846">
      <c r="A846" s="18">
        <f>IF(ISNUMBER(Dossiers!$D$19),Dossiers!$A$19&amp;" · "&amp;Dossiers!$B$19,"")</f>
        <v/>
      </c>
      <c r="B846" s="18">
        <f>IF($A846="","",Paramètres!G36)</f>
        <v/>
      </c>
      <c r="C846" s="18">
        <f>IF($A846="","",IF(Paramètres!H36="","",Paramètres!H36))</f>
        <v/>
      </c>
      <c r="D846" s="18">
        <f>IF($A846="","",IF(Paramètres!I36="","",Paramètres!I36))</f>
        <v/>
      </c>
      <c r="E846" s="19">
        <f>IF($A846="","",IF(Paramètres!J36&amp;Paramètres!L36&amp;Paramètres!N36="",Dossiers!$D$19,MAX(IF(Paramètres!J36="",0,IF(Paramètres!K36="",NA(),IF(LEFT(TRIM(Paramètres!K36),1)="F",INDEX($F$815:$F$867,MATCH(Paramètres!J36,Paramètres!$G$5:$G$57,0)),INDEX($E$815:$E$867,MATCH(Paramètres!J36,Paramètres!$G$5:$G$57,0)))+IF(RIGHT(TRIM(Paramètres!K36),3)="Fin",1-$H846,IF(LEFT(TRIM(Paramètres!K36),1)="F",1,0)))),IF(Paramètres!L36="",0,IF(Paramètres!M36="",NA(),IF(LEFT(TRIM(Paramètres!M36),1)="F",INDEX($F$815:$F$867,MATCH(Paramètres!L36,Paramètres!$G$5:$G$57,0)),INDEX($E$815:$E$867,MATCH(Paramètres!L36,Paramètres!$G$5:$G$57,0)))+IF(RIGHT(TRIM(Paramètres!M36),3)="Fin",1-$H846,IF(LEFT(TRIM(Paramètres!M36),1)="F",1,0)))),IF(Paramètres!N36="",0,IF(Paramètres!O36="",NA(),IF(LEFT(TRIM(Paramètres!O36),1)="F",INDEX($F$815:$F$867,MATCH(Paramètres!N36,Paramètres!$G$5:$G$57,0)),INDEX($E$815:$E$867,MATCH(Paramètres!N36,Paramètres!$G$5:$G$57,0)))+IF(RIGHT(TRIM(Paramètres!O36),3)="Fin",1-$H846,IF(LEFT(TRIM(Paramètres!O36),1)="F",1,0)))))))</f>
        <v/>
      </c>
      <c r="F846" s="19">
        <f>IF($A846="","",E846+$H846-1)</f>
        <v/>
      </c>
      <c r="G846" s="18" t="n"/>
      <c r="H846" s="18">
        <f>IF($A846="","",IF(I846&lt;&gt;"",I846,Paramètres!B36))</f>
        <v/>
      </c>
      <c r="I846" s="18" t="n"/>
    </row>
    <row r="847">
      <c r="A847" s="18">
        <f>IF(ISNUMBER(Dossiers!$D$19),Dossiers!$A$19&amp;" · "&amp;Dossiers!$B$19,"")</f>
        <v/>
      </c>
      <c r="B847" s="18">
        <f>IF($A847="","",Paramètres!G37)</f>
        <v/>
      </c>
      <c r="C847" s="18">
        <f>IF($A847="","",IF(Paramètres!H37="","",Paramètres!H37))</f>
        <v/>
      </c>
      <c r="D847" s="18">
        <f>IF($A847="","",IF(Paramètres!I37="","",Paramètres!I37))</f>
        <v/>
      </c>
      <c r="E847" s="19">
        <f>IF($A847="","",MIN(E848:E865))</f>
        <v/>
      </c>
      <c r="F847" s="19">
        <f>IF($A847="","",MAX(F848:F865))</f>
        <v/>
      </c>
      <c r="G847" s="18" t="n"/>
      <c r="H847" s="18">
        <f>IF($A847="","",F847-E847+1)</f>
        <v/>
      </c>
      <c r="I847" s="18" t="n"/>
    </row>
    <row r="848">
      <c r="A848" s="18">
        <f>IF(ISNUMBER(Dossiers!$D$19),Dossiers!$A$19&amp;" · "&amp;Dossiers!$B$19,"")</f>
        <v/>
      </c>
      <c r="B848" s="18">
        <f>IF($A848="","",Paramètres!G38)</f>
        <v/>
      </c>
      <c r="C848" s="18">
        <f>IF($A848="","",IF(Paramètres!H38="","",Paramètres!H38))</f>
        <v/>
      </c>
      <c r="D848" s="18">
        <f>IF($A848="","",IF(Paramètres!I38="","",Paramètres!I38))</f>
        <v/>
      </c>
      <c r="E848" s="19">
        <f>IF($A848="","",IF(Paramètres!J38&amp;Paramètres!L38&amp;Paramètres!N38="",Dossiers!$D$19,MAX(IF(Paramètres!J38="",0,IF(Paramètres!K38="",NA(),IF(LEFT(TRIM(Paramètres!K38),1)="F",INDEX($F$815:$F$867,MATCH(Paramètres!J38,Paramètres!$G$5:$G$57,0)),INDEX($E$815:$E$867,MATCH(Paramètres!J38,Paramètres!$G$5:$G$57,0)))+IF(RIGHT(TRIM(Paramètres!K38),3)="Fin",1-$H848,IF(LEFT(TRIM(Paramètres!K38),1)="F",1,0)))),IF(Paramètres!L38="",0,IF(Paramètres!M38="",NA(),IF(LEFT(TRIM(Paramètres!M38),1)="F",INDEX($F$815:$F$867,MATCH(Paramètres!L38,Paramètres!$G$5:$G$57,0)),INDEX($E$815:$E$867,MATCH(Paramètres!L38,Paramètres!$G$5:$G$57,0)))+IF(RIGHT(TRIM(Paramètres!M38),3)="Fin",1-$H848,IF(LEFT(TRIM(Paramètres!M38),1)="F",1,0)))),IF(Paramètres!N38="",0,IF(Paramètres!O38="",NA(),IF(LEFT(TRIM(Paramètres!O38),1)="F",INDEX($F$815:$F$867,MATCH(Paramètres!N38,Paramètres!$G$5:$G$57,0)),INDEX($E$815:$E$867,MATCH(Paramètres!N38,Paramètres!$G$5:$G$57,0)))+IF(RIGHT(TRIM(Paramètres!O38),3)="Fin",1-$H848,IF(LEFT(TRIM(Paramètres!O38),1)="F",1,0)))))))</f>
        <v/>
      </c>
      <c r="F848" s="19">
        <f>IF($A848="","",E848+$H848-1)</f>
        <v/>
      </c>
      <c r="G848" s="18" t="n"/>
      <c r="H848" s="18">
        <f>IF($A848="","",IF(I848&lt;&gt;"",I848,Paramètres!B38))</f>
        <v/>
      </c>
      <c r="I848" s="18" t="n"/>
    </row>
    <row r="849">
      <c r="A849" s="18">
        <f>IF(ISNUMBER(Dossiers!$D$19),Dossiers!$A$19&amp;" · "&amp;Dossiers!$B$19,"")</f>
        <v/>
      </c>
      <c r="B849" s="18">
        <f>IF($A849="","",Paramètres!G39)</f>
        <v/>
      </c>
      <c r="C849" s="18">
        <f>IF($A849="","",IF(Paramètres!H39="","",Paramètres!H39))</f>
        <v/>
      </c>
      <c r="D849" s="18">
        <f>IF($A849="","",IF(Paramètres!I39="","",Paramètres!I39))</f>
        <v/>
      </c>
      <c r="E849" s="19">
        <f>IF($A849="","",IF(Paramètres!J39&amp;Paramètres!L39&amp;Paramètres!N39="",Dossiers!$D$19,MAX(IF(Paramètres!J39="",0,IF(Paramètres!K39="",NA(),IF(LEFT(TRIM(Paramètres!K39),1)="F",INDEX($F$815:$F$867,MATCH(Paramètres!J39,Paramètres!$G$5:$G$57,0)),INDEX($E$815:$E$867,MATCH(Paramètres!J39,Paramètres!$G$5:$G$57,0)))+IF(RIGHT(TRIM(Paramètres!K39),3)="Fin",1-$H849,IF(LEFT(TRIM(Paramètres!K39),1)="F",1,0)))),IF(Paramètres!L39="",0,IF(Paramètres!M39="",NA(),IF(LEFT(TRIM(Paramètres!M39),1)="F",INDEX($F$815:$F$867,MATCH(Paramètres!L39,Paramètres!$G$5:$G$57,0)),INDEX($E$815:$E$867,MATCH(Paramètres!L39,Paramètres!$G$5:$G$57,0)))+IF(RIGHT(TRIM(Paramètres!M39),3)="Fin",1-$H849,IF(LEFT(TRIM(Paramètres!M39),1)="F",1,0)))),IF(Paramètres!N39="",0,IF(Paramètres!O39="",NA(),IF(LEFT(TRIM(Paramètres!O39),1)="F",INDEX($F$815:$F$867,MATCH(Paramètres!N39,Paramètres!$G$5:$G$57,0)),INDEX($E$815:$E$867,MATCH(Paramètres!N39,Paramètres!$G$5:$G$57,0)))+IF(RIGHT(TRIM(Paramètres!O39),3)="Fin",1-$H849,IF(LEFT(TRIM(Paramètres!O39),1)="F",1,0)))))))</f>
        <v/>
      </c>
      <c r="F849" s="19">
        <f>IF($A849="","",E849+$H849-1)</f>
        <v/>
      </c>
      <c r="G849" s="18" t="n"/>
      <c r="H849" s="18">
        <f>IF($A849="","",IF(I849&lt;&gt;"",I849,Paramètres!B39))</f>
        <v/>
      </c>
      <c r="I849" s="18" t="n"/>
    </row>
    <row r="850">
      <c r="A850" s="18">
        <f>IF(ISNUMBER(Dossiers!$D$19),Dossiers!$A$19&amp;" · "&amp;Dossiers!$B$19,"")</f>
        <v/>
      </c>
      <c r="B850" s="18">
        <f>IF($A850="","",Paramètres!G40)</f>
        <v/>
      </c>
      <c r="C850" s="18">
        <f>IF($A850="","",IF(Paramètres!H40="","",Paramètres!H40))</f>
        <v/>
      </c>
      <c r="D850" s="18">
        <f>IF($A850="","",IF(Paramètres!I40="","",Paramètres!I40))</f>
        <v/>
      </c>
      <c r="E850" s="19">
        <f>IF($A850="","",IF(Paramètres!J40&amp;Paramètres!L40&amp;Paramètres!N40="",Dossiers!$D$19,MAX(IF(Paramètres!J40="",0,IF(Paramètres!K40="",NA(),IF(LEFT(TRIM(Paramètres!K40),1)="F",INDEX($F$815:$F$867,MATCH(Paramètres!J40,Paramètres!$G$5:$G$57,0)),INDEX($E$815:$E$867,MATCH(Paramètres!J40,Paramètres!$G$5:$G$57,0)))+IF(RIGHT(TRIM(Paramètres!K40),3)="Fin",1-$H850,IF(LEFT(TRIM(Paramètres!K40),1)="F",1,0)))),IF(Paramètres!L40="",0,IF(Paramètres!M40="",NA(),IF(LEFT(TRIM(Paramètres!M40),1)="F",INDEX($F$815:$F$867,MATCH(Paramètres!L40,Paramètres!$G$5:$G$57,0)),INDEX($E$815:$E$867,MATCH(Paramètres!L40,Paramètres!$G$5:$G$57,0)))+IF(RIGHT(TRIM(Paramètres!M40),3)="Fin",1-$H850,IF(LEFT(TRIM(Paramètres!M40),1)="F",1,0)))),IF(Paramètres!N40="",0,IF(Paramètres!O40="",NA(),IF(LEFT(TRIM(Paramètres!O40),1)="F",INDEX($F$815:$F$867,MATCH(Paramètres!N40,Paramètres!$G$5:$G$57,0)),INDEX($E$815:$E$867,MATCH(Paramètres!N40,Paramètres!$G$5:$G$57,0)))+IF(RIGHT(TRIM(Paramètres!O40),3)="Fin",1-$H850,IF(LEFT(TRIM(Paramètres!O40),1)="F",1,0)))))))</f>
        <v/>
      </c>
      <c r="F850" s="19">
        <f>IF($A850="","",E850+$H850-1)</f>
        <v/>
      </c>
      <c r="G850" s="18" t="n"/>
      <c r="H850" s="18">
        <f>IF($A850="","",IF(I850&lt;&gt;"",I850,Paramètres!B40))</f>
        <v/>
      </c>
      <c r="I850" s="18" t="n"/>
    </row>
    <row r="851">
      <c r="A851" s="18">
        <f>IF(ISNUMBER(Dossiers!$D$19),Dossiers!$A$19&amp;" · "&amp;Dossiers!$B$19,"")</f>
        <v/>
      </c>
      <c r="B851" s="18">
        <f>IF($A851="","",Paramètres!G41)</f>
        <v/>
      </c>
      <c r="C851" s="18">
        <f>IF($A851="","",IF(Paramètres!H41="","",Paramètres!H41))</f>
        <v/>
      </c>
      <c r="D851" s="18">
        <f>IF($A851="","",IF(Paramètres!I41="","",Paramètres!I41))</f>
        <v/>
      </c>
      <c r="E851" s="19">
        <f>IF($A851="","",IF(Paramètres!J41&amp;Paramètres!L41&amp;Paramètres!N41="",Dossiers!$D$19,MAX(IF(Paramètres!J41="",0,IF(Paramètres!K41="",NA(),IF(LEFT(TRIM(Paramètres!K41),1)="F",INDEX($F$815:$F$867,MATCH(Paramètres!J41,Paramètres!$G$5:$G$57,0)),INDEX($E$815:$E$867,MATCH(Paramètres!J41,Paramètres!$G$5:$G$57,0)))+IF(RIGHT(TRIM(Paramètres!K41),3)="Fin",1-$H851,IF(LEFT(TRIM(Paramètres!K41),1)="F",1,0)))),IF(Paramètres!L41="",0,IF(Paramètres!M41="",NA(),IF(LEFT(TRIM(Paramètres!M41),1)="F",INDEX($F$815:$F$867,MATCH(Paramètres!L41,Paramètres!$G$5:$G$57,0)),INDEX($E$815:$E$867,MATCH(Paramètres!L41,Paramètres!$G$5:$G$57,0)))+IF(RIGHT(TRIM(Paramètres!M41),3)="Fin",1-$H851,IF(LEFT(TRIM(Paramètres!M41),1)="F",1,0)))),IF(Paramètres!N41="",0,IF(Paramètres!O41="",NA(),IF(LEFT(TRIM(Paramètres!O41),1)="F",INDEX($F$815:$F$867,MATCH(Paramètres!N41,Paramètres!$G$5:$G$57,0)),INDEX($E$815:$E$867,MATCH(Paramètres!N41,Paramètres!$G$5:$G$57,0)))+IF(RIGHT(TRIM(Paramètres!O41),3)="Fin",1-$H851,IF(LEFT(TRIM(Paramètres!O41),1)="F",1,0)))))))</f>
        <v/>
      </c>
      <c r="F851" s="19">
        <f>IF($A851="","",E851+$H851-1)</f>
        <v/>
      </c>
      <c r="G851" s="18" t="n"/>
      <c r="H851" s="18">
        <f>IF($A851="","",IF(I851&lt;&gt;"",I851,Paramètres!B41))</f>
        <v/>
      </c>
      <c r="I851" s="18" t="n"/>
    </row>
    <row r="852">
      <c r="A852" s="18">
        <f>IF(ISNUMBER(Dossiers!$D$19),Dossiers!$A$19&amp;" · "&amp;Dossiers!$B$19,"")</f>
        <v/>
      </c>
      <c r="B852" s="18">
        <f>IF($A852="","",Paramètres!G42)</f>
        <v/>
      </c>
      <c r="C852" s="18">
        <f>IF($A852="","",IF(Paramètres!H42="","",Paramètres!H42))</f>
        <v/>
      </c>
      <c r="D852" s="18">
        <f>IF($A852="","",IF(Paramètres!I42="","",Paramètres!I42))</f>
        <v/>
      </c>
      <c r="E852" s="19">
        <f>IF($A852="","",IF(Paramètres!J42&amp;Paramètres!L42&amp;Paramètres!N42="",Dossiers!$D$19,MAX(IF(Paramètres!J42="",0,IF(Paramètres!K42="",NA(),IF(LEFT(TRIM(Paramètres!K42),1)="F",INDEX($F$815:$F$867,MATCH(Paramètres!J42,Paramètres!$G$5:$G$57,0)),INDEX($E$815:$E$867,MATCH(Paramètres!J42,Paramètres!$G$5:$G$57,0)))+IF(RIGHT(TRIM(Paramètres!K42),3)="Fin",1-$H852,IF(LEFT(TRIM(Paramètres!K42),1)="F",1,0)))),IF(Paramètres!L42="",0,IF(Paramètres!M42="",NA(),IF(LEFT(TRIM(Paramètres!M42),1)="F",INDEX($F$815:$F$867,MATCH(Paramètres!L42,Paramètres!$G$5:$G$57,0)),INDEX($E$815:$E$867,MATCH(Paramètres!L42,Paramètres!$G$5:$G$57,0)))+IF(RIGHT(TRIM(Paramètres!M42),3)="Fin",1-$H852,IF(LEFT(TRIM(Paramètres!M42),1)="F",1,0)))),IF(Paramètres!N42="",0,IF(Paramètres!O42="",NA(),IF(LEFT(TRIM(Paramètres!O42),1)="F",INDEX($F$815:$F$867,MATCH(Paramètres!N42,Paramètres!$G$5:$G$57,0)),INDEX($E$815:$E$867,MATCH(Paramètres!N42,Paramètres!$G$5:$G$57,0)))+IF(RIGHT(TRIM(Paramètres!O42),3)="Fin",1-$H852,IF(LEFT(TRIM(Paramètres!O42),1)="F",1,0)))))))</f>
        <v/>
      </c>
      <c r="F852" s="19">
        <f>IF($A852="","",E852+$H852-1)</f>
        <v/>
      </c>
      <c r="G852" s="18" t="n"/>
      <c r="H852" s="18">
        <f>IF($A852="","",IF(I852&lt;&gt;"",I852,Paramètres!B42))</f>
        <v/>
      </c>
      <c r="I852" s="18" t="n"/>
    </row>
    <row r="853">
      <c r="A853" s="18">
        <f>IF(ISNUMBER(Dossiers!$D$19),Dossiers!$A$19&amp;" · "&amp;Dossiers!$B$19,"")</f>
        <v/>
      </c>
      <c r="B853" s="18">
        <f>IF($A853="","",Paramètres!G43)</f>
        <v/>
      </c>
      <c r="C853" s="18">
        <f>IF($A853="","",IF(Paramètres!H43="","",Paramètres!H43))</f>
        <v/>
      </c>
      <c r="D853" s="18">
        <f>IF($A853="","",IF(Paramètres!I43="","",Paramètres!I43))</f>
        <v/>
      </c>
      <c r="E853" s="19">
        <f>IF($A853="","",IF(Paramètres!J43&amp;Paramètres!L43&amp;Paramètres!N43="",Dossiers!$D$19,MAX(IF(Paramètres!J43="",0,IF(Paramètres!K43="",NA(),IF(LEFT(TRIM(Paramètres!K43),1)="F",INDEX($F$815:$F$867,MATCH(Paramètres!J43,Paramètres!$G$5:$G$57,0)),INDEX($E$815:$E$867,MATCH(Paramètres!J43,Paramètres!$G$5:$G$57,0)))+IF(RIGHT(TRIM(Paramètres!K43),3)="Fin",1-$H853,IF(LEFT(TRIM(Paramètres!K43),1)="F",1,0)))),IF(Paramètres!L43="",0,IF(Paramètres!M43="",NA(),IF(LEFT(TRIM(Paramètres!M43),1)="F",INDEX($F$815:$F$867,MATCH(Paramètres!L43,Paramètres!$G$5:$G$57,0)),INDEX($E$815:$E$867,MATCH(Paramètres!L43,Paramètres!$G$5:$G$57,0)))+IF(RIGHT(TRIM(Paramètres!M43),3)="Fin",1-$H853,IF(LEFT(TRIM(Paramètres!M43),1)="F",1,0)))),IF(Paramètres!N43="",0,IF(Paramètres!O43="",NA(),IF(LEFT(TRIM(Paramètres!O43),1)="F",INDEX($F$815:$F$867,MATCH(Paramètres!N43,Paramètres!$G$5:$G$57,0)),INDEX($E$815:$E$867,MATCH(Paramètres!N43,Paramètres!$G$5:$G$57,0)))+IF(RIGHT(TRIM(Paramètres!O43),3)="Fin",1-$H853,IF(LEFT(TRIM(Paramètres!O43),1)="F",1,0)))))))</f>
        <v/>
      </c>
      <c r="F853" s="19">
        <f>IF($A853="","",E853+$H853-1)</f>
        <v/>
      </c>
      <c r="G853" s="18" t="n"/>
      <c r="H853" s="18">
        <f>IF($A853="","",IF(I853&lt;&gt;"",I853,Paramètres!B43))</f>
        <v/>
      </c>
      <c r="I853" s="18" t="n"/>
    </row>
    <row r="854">
      <c r="A854" s="18">
        <f>IF(ISNUMBER(Dossiers!$D$19),Dossiers!$A$19&amp;" · "&amp;Dossiers!$B$19,"")</f>
        <v/>
      </c>
      <c r="B854" s="18">
        <f>IF($A854="","",Paramètres!G44)</f>
        <v/>
      </c>
      <c r="C854" s="18">
        <f>IF($A854="","",IF(Paramètres!H44="","",Paramètres!H44))</f>
        <v/>
      </c>
      <c r="D854" s="18">
        <f>IF($A854="","",IF(Paramètres!I44="","",Paramètres!I44))</f>
        <v/>
      </c>
      <c r="E854" s="19">
        <f>IF($A854="","",IF(Paramètres!J44&amp;Paramètres!L44&amp;Paramètres!N44="",Dossiers!$D$19,MAX(IF(Paramètres!J44="",0,IF(Paramètres!K44="",NA(),IF(LEFT(TRIM(Paramètres!K44),1)="F",INDEX($F$815:$F$867,MATCH(Paramètres!J44,Paramètres!$G$5:$G$57,0)),INDEX($E$815:$E$867,MATCH(Paramètres!J44,Paramètres!$G$5:$G$57,0)))+IF(RIGHT(TRIM(Paramètres!K44),3)="Fin",1-$H854,IF(LEFT(TRIM(Paramètres!K44),1)="F",1,0)))),IF(Paramètres!L44="",0,IF(Paramètres!M44="",NA(),IF(LEFT(TRIM(Paramètres!M44),1)="F",INDEX($F$815:$F$867,MATCH(Paramètres!L44,Paramètres!$G$5:$G$57,0)),INDEX($E$815:$E$867,MATCH(Paramètres!L44,Paramètres!$G$5:$G$57,0)))+IF(RIGHT(TRIM(Paramètres!M44),3)="Fin",1-$H854,IF(LEFT(TRIM(Paramètres!M44),1)="F",1,0)))),IF(Paramètres!N44="",0,IF(Paramètres!O44="",NA(),IF(LEFT(TRIM(Paramètres!O44),1)="F",INDEX($F$815:$F$867,MATCH(Paramètres!N44,Paramètres!$G$5:$G$57,0)),INDEX($E$815:$E$867,MATCH(Paramètres!N44,Paramètres!$G$5:$G$57,0)))+IF(RIGHT(TRIM(Paramètres!O44),3)="Fin",1-$H854,IF(LEFT(TRIM(Paramètres!O44),1)="F",1,0)))))))</f>
        <v/>
      </c>
      <c r="F854" s="19">
        <f>IF($A854="","",E854+$H854-1)</f>
        <v/>
      </c>
      <c r="G854" s="18" t="n"/>
      <c r="H854" s="18">
        <f>IF($A854="","",IF(I854&lt;&gt;"",I854,Paramètres!B44))</f>
        <v/>
      </c>
      <c r="I854" s="18" t="n"/>
    </row>
    <row r="855">
      <c r="A855" s="18">
        <f>IF(ISNUMBER(Dossiers!$D$19),Dossiers!$A$19&amp;" · "&amp;Dossiers!$B$19,"")</f>
        <v/>
      </c>
      <c r="B855" s="18">
        <f>IF($A855="","",Paramètres!G45)</f>
        <v/>
      </c>
      <c r="C855" s="20">
        <f>IF($A855="","",IF(Dossiers!$G$19="","",Dossiers!$G$19))</f>
        <v/>
      </c>
      <c r="D855" s="18">
        <f>IF($A855="","",IF(Paramètres!I45="","",Paramètres!I45))</f>
        <v/>
      </c>
      <c r="E855" s="19">
        <f>IF($A855="","",IF(Paramètres!J45&amp;Paramètres!L45&amp;Paramètres!N45="",Dossiers!$D$19,MAX(IF(Paramètres!J45="",0,IF(Paramètres!K45="",NA(),IF(LEFT(TRIM(Paramètres!K45),1)="F",INDEX($F$815:$F$867,MATCH(Paramètres!J45,Paramètres!$G$5:$G$57,0)),INDEX($E$815:$E$867,MATCH(Paramètres!J45,Paramètres!$G$5:$G$57,0)))+IF(RIGHT(TRIM(Paramètres!K45),3)="Fin",1-$H855,IF(LEFT(TRIM(Paramètres!K45),1)="F",1,0)))),IF(Paramètres!L45="",0,IF(Paramètres!M45="",NA(),IF(LEFT(TRIM(Paramètres!M45),1)="F",INDEX($F$815:$F$867,MATCH(Paramètres!L45,Paramètres!$G$5:$G$57,0)),INDEX($E$815:$E$867,MATCH(Paramètres!L45,Paramètres!$G$5:$G$57,0)))+IF(RIGHT(TRIM(Paramètres!M45),3)="Fin",1-$H855,IF(LEFT(TRIM(Paramètres!M45),1)="F",1,0)))),IF(Paramètres!N45="",0,IF(Paramètres!O45="",NA(),IF(LEFT(TRIM(Paramètres!O45),1)="F",INDEX($F$815:$F$867,MATCH(Paramètres!N45,Paramètres!$G$5:$G$57,0)),INDEX($E$815:$E$867,MATCH(Paramètres!N45,Paramètres!$G$5:$G$57,0)))+IF(RIGHT(TRIM(Paramètres!O45),3)="Fin",1-$H855,IF(LEFT(TRIM(Paramètres!O45),1)="F",1,0)))))))</f>
        <v/>
      </c>
      <c r="F855" s="19">
        <f>IF($A855="","",E855+$H855-1)</f>
        <v/>
      </c>
      <c r="G855" s="18" t="n"/>
      <c r="H855" s="18">
        <f>IF($A855="","",IF(I855&lt;&gt;"",I855,Paramètres!B45))</f>
        <v/>
      </c>
      <c r="I855" s="18" t="n"/>
    </row>
    <row r="856">
      <c r="A856" s="18">
        <f>IF(ISNUMBER(Dossiers!$D$19),Dossiers!$A$19&amp;" · "&amp;Dossiers!$B$19,"")</f>
        <v/>
      </c>
      <c r="B856" s="18">
        <f>IF($A856="","",Paramètres!G46)</f>
        <v/>
      </c>
      <c r="C856" s="18">
        <f>IF($A856="","",IF(Paramètres!H46="","",Paramètres!H46))</f>
        <v/>
      </c>
      <c r="D856" s="18">
        <f>IF($A856="","",IF(Paramètres!I46="","",Paramètres!I46))</f>
        <v/>
      </c>
      <c r="E856" s="19">
        <f>IF($A856="","",IF(Paramètres!J46&amp;Paramètres!L46&amp;Paramètres!N46="",Dossiers!$D$19,MAX(IF(Paramètres!J46="",0,IF(Paramètres!K46="",NA(),IF(LEFT(TRIM(Paramètres!K46),1)="F",INDEX($F$815:$F$867,MATCH(Paramètres!J46,Paramètres!$G$5:$G$57,0)),INDEX($E$815:$E$867,MATCH(Paramètres!J46,Paramètres!$G$5:$G$57,0)))+IF(RIGHT(TRIM(Paramètres!K46),3)="Fin",1-$H856,IF(LEFT(TRIM(Paramètres!K46),1)="F",1,0)))),IF(Paramètres!L46="",0,IF(Paramètres!M46="",NA(),IF(LEFT(TRIM(Paramètres!M46),1)="F",INDEX($F$815:$F$867,MATCH(Paramètres!L46,Paramètres!$G$5:$G$57,0)),INDEX($E$815:$E$867,MATCH(Paramètres!L46,Paramètres!$G$5:$G$57,0)))+IF(RIGHT(TRIM(Paramètres!M46),3)="Fin",1-$H856,IF(LEFT(TRIM(Paramètres!M46),1)="F",1,0)))),IF(Paramètres!N46="",0,IF(Paramètres!O46="",NA(),IF(LEFT(TRIM(Paramètres!O46),1)="F",INDEX($F$815:$F$867,MATCH(Paramètres!N46,Paramètres!$G$5:$G$57,0)),INDEX($E$815:$E$867,MATCH(Paramètres!N46,Paramètres!$G$5:$G$57,0)))+IF(RIGHT(TRIM(Paramètres!O46),3)="Fin",1-$H856,IF(LEFT(TRIM(Paramètres!O46),1)="F",1,0)))))))</f>
        <v/>
      </c>
      <c r="F856" s="19">
        <f>IF($A856="","",E856+$H856-1)</f>
        <v/>
      </c>
      <c r="G856" s="18" t="n"/>
      <c r="H856" s="18">
        <f>IF($A856="","",IF(I856&lt;&gt;"",I856,Paramètres!B46))</f>
        <v/>
      </c>
      <c r="I856" s="18" t="n"/>
    </row>
    <row r="857">
      <c r="A857" s="18">
        <f>IF(ISNUMBER(Dossiers!$D$19),Dossiers!$A$19&amp;" · "&amp;Dossiers!$B$19,"")</f>
        <v/>
      </c>
      <c r="B857" s="18">
        <f>IF($A857="","",Paramètres!G47)</f>
        <v/>
      </c>
      <c r="C857" s="18">
        <f>IF($A857="","",IF(Paramètres!H47="","",Paramètres!H47))</f>
        <v/>
      </c>
      <c r="D857" s="18">
        <f>IF($A857="","",IF(Paramètres!I47="","",Paramètres!I47))</f>
        <v/>
      </c>
      <c r="E857" s="19">
        <f>IF($A857="","",IF(Paramètres!J47&amp;Paramètres!L47&amp;Paramètres!N47="",Dossiers!$D$19,MAX(IF(Paramètres!J47="",0,IF(Paramètres!K47="",NA(),IF(LEFT(TRIM(Paramètres!K47),1)="F",INDEX($F$815:$F$867,MATCH(Paramètres!J47,Paramètres!$G$5:$G$57,0)),INDEX($E$815:$E$867,MATCH(Paramètres!J47,Paramètres!$G$5:$G$57,0)))+IF(RIGHT(TRIM(Paramètres!K47),3)="Fin",1-$H857,IF(LEFT(TRIM(Paramètres!K47),1)="F",1,0)))),IF(Paramètres!L47="",0,IF(Paramètres!M47="",NA(),IF(LEFT(TRIM(Paramètres!M47),1)="F",INDEX($F$815:$F$867,MATCH(Paramètres!L47,Paramètres!$G$5:$G$57,0)),INDEX($E$815:$E$867,MATCH(Paramètres!L47,Paramètres!$G$5:$G$57,0)))+IF(RIGHT(TRIM(Paramètres!M47),3)="Fin",1-$H857,IF(LEFT(TRIM(Paramètres!M47),1)="F",1,0)))),IF(Paramètres!N47="",0,IF(Paramètres!O47="",NA(),IF(LEFT(TRIM(Paramètres!O47),1)="F",INDEX($F$815:$F$867,MATCH(Paramètres!N47,Paramètres!$G$5:$G$57,0)),INDEX($E$815:$E$867,MATCH(Paramètres!N47,Paramètres!$G$5:$G$57,0)))+IF(RIGHT(TRIM(Paramètres!O47),3)="Fin",1-$H857,IF(LEFT(TRIM(Paramètres!O47),1)="F",1,0)))))))</f>
        <v/>
      </c>
      <c r="F857" s="19">
        <f>IF($A857="","",E857+$H857-1)</f>
        <v/>
      </c>
      <c r="G857" s="18" t="n"/>
      <c r="H857" s="18">
        <f>IF($A857="","",IF(I857&lt;&gt;"",I857,Paramètres!B47))</f>
        <v/>
      </c>
      <c r="I857" s="18" t="n"/>
    </row>
    <row r="858">
      <c r="A858" s="18">
        <f>IF(ISNUMBER(Dossiers!$D$19),Dossiers!$A$19&amp;" · "&amp;Dossiers!$B$19,"")</f>
        <v/>
      </c>
      <c r="B858" s="18">
        <f>IF($A858="","",Paramètres!G48)</f>
        <v/>
      </c>
      <c r="C858" s="18">
        <f>IF($A858="","",IF(Paramètres!H48="","",Paramètres!H48))</f>
        <v/>
      </c>
      <c r="D858" s="18">
        <f>IF($A858="","",IF(Paramètres!I48="","",Paramètres!I48))</f>
        <v/>
      </c>
      <c r="E858" s="19">
        <f>IF($A858="","",IF(Paramètres!J48&amp;Paramètres!L48&amp;Paramètres!N48="",Dossiers!$D$19,MAX(IF(Paramètres!J48="",0,IF(Paramètres!K48="",NA(),IF(LEFT(TRIM(Paramètres!K48),1)="F",INDEX($F$815:$F$867,MATCH(Paramètres!J48,Paramètres!$G$5:$G$57,0)),INDEX($E$815:$E$867,MATCH(Paramètres!J48,Paramètres!$G$5:$G$57,0)))+IF(RIGHT(TRIM(Paramètres!K48),3)="Fin",1-$H858,IF(LEFT(TRIM(Paramètres!K48),1)="F",1,0)))),IF(Paramètres!L48="",0,IF(Paramètres!M48="",NA(),IF(LEFT(TRIM(Paramètres!M48),1)="F",INDEX($F$815:$F$867,MATCH(Paramètres!L48,Paramètres!$G$5:$G$57,0)),INDEX($E$815:$E$867,MATCH(Paramètres!L48,Paramètres!$G$5:$G$57,0)))+IF(RIGHT(TRIM(Paramètres!M48),3)="Fin",1-$H858,IF(LEFT(TRIM(Paramètres!M48),1)="F",1,0)))),IF(Paramètres!N48="",0,IF(Paramètres!O48="",NA(),IF(LEFT(TRIM(Paramètres!O48),1)="F",INDEX($F$815:$F$867,MATCH(Paramètres!N48,Paramètres!$G$5:$G$57,0)),INDEX($E$815:$E$867,MATCH(Paramètres!N48,Paramètres!$G$5:$G$57,0)))+IF(RIGHT(TRIM(Paramètres!O48),3)="Fin",1-$H858,IF(LEFT(TRIM(Paramètres!O48),1)="F",1,0)))))))</f>
        <v/>
      </c>
      <c r="F858" s="19">
        <f>IF($A858="","",E858+$H858-1)</f>
        <v/>
      </c>
      <c r="G858" s="18" t="n"/>
      <c r="H858" s="18">
        <f>IF($A858="","",IF(I858&lt;&gt;"",I858,Paramètres!B48))</f>
        <v/>
      </c>
      <c r="I858" s="18" t="n"/>
    </row>
    <row r="859">
      <c r="A859" s="18">
        <f>IF(ISNUMBER(Dossiers!$D$19),Dossiers!$A$19&amp;" · "&amp;Dossiers!$B$19,"")</f>
        <v/>
      </c>
      <c r="B859" s="18">
        <f>IF($A859="","",Paramètres!G49)</f>
        <v/>
      </c>
      <c r="C859" s="18">
        <f>IF($A859="","",IF(Paramètres!H49="","",Paramètres!H49))</f>
        <v/>
      </c>
      <c r="D859" s="18">
        <f>IF($A859="","",IF(Paramètres!I49="","",Paramètres!I49))</f>
        <v/>
      </c>
      <c r="E859" s="19">
        <f>IF($A859="","",IF(Paramètres!J49&amp;Paramètres!L49&amp;Paramètres!N49="",Dossiers!$D$19,MAX(IF(Paramètres!J49="",0,IF(Paramètres!K49="",NA(),IF(LEFT(TRIM(Paramètres!K49),1)="F",INDEX($F$815:$F$867,MATCH(Paramètres!J49,Paramètres!$G$5:$G$57,0)),INDEX($E$815:$E$867,MATCH(Paramètres!J49,Paramètres!$G$5:$G$57,0)))+IF(RIGHT(TRIM(Paramètres!K49),3)="Fin",1-$H859,IF(LEFT(TRIM(Paramètres!K49),1)="F",1,0)))),IF(Paramètres!L49="",0,IF(Paramètres!M49="",NA(),IF(LEFT(TRIM(Paramètres!M49),1)="F",INDEX($F$815:$F$867,MATCH(Paramètres!L49,Paramètres!$G$5:$G$57,0)),INDEX($E$815:$E$867,MATCH(Paramètres!L49,Paramètres!$G$5:$G$57,0)))+IF(RIGHT(TRIM(Paramètres!M49),3)="Fin",1-$H859,IF(LEFT(TRIM(Paramètres!M49),1)="F",1,0)))),IF(Paramètres!N49="",0,IF(Paramètres!O49="",NA(),IF(LEFT(TRIM(Paramètres!O49),1)="F",INDEX($F$815:$F$867,MATCH(Paramètres!N49,Paramètres!$G$5:$G$57,0)),INDEX($E$815:$E$867,MATCH(Paramètres!N49,Paramètres!$G$5:$G$57,0)))+IF(RIGHT(TRIM(Paramètres!O49),3)="Fin",1-$H859,IF(LEFT(TRIM(Paramètres!O49),1)="F",1,0)))))))</f>
        <v/>
      </c>
      <c r="F859" s="19">
        <f>IF($A859="","",E859+$H859-1)</f>
        <v/>
      </c>
      <c r="G859" s="18" t="n"/>
      <c r="H859" s="18">
        <f>IF($A859="","",IF(I859&lt;&gt;"",I859,Paramètres!B49))</f>
        <v/>
      </c>
      <c r="I859" s="18" t="n"/>
    </row>
    <row r="860">
      <c r="A860" s="18">
        <f>IF(ISNUMBER(Dossiers!$D$19),Dossiers!$A$19&amp;" · "&amp;Dossiers!$B$19,"")</f>
        <v/>
      </c>
      <c r="B860" s="18">
        <f>IF($A860="","",Paramètres!G50)</f>
        <v/>
      </c>
      <c r="C860" s="18">
        <f>IF($A860="","",IF(Paramètres!H50="","",Paramètres!H50))</f>
        <v/>
      </c>
      <c r="D860" s="18">
        <f>IF($A860="","",IF(Paramètres!I50="","",Paramètres!I50))</f>
        <v/>
      </c>
      <c r="E860" s="19">
        <f>IF($A860="","",IF(Paramètres!J50&amp;Paramètres!L50&amp;Paramètres!N50="",Dossiers!$D$19,MAX(IF(Paramètres!J50="",0,IF(Paramètres!K50="",NA(),IF(LEFT(TRIM(Paramètres!K50),1)="F",INDEX($F$815:$F$867,MATCH(Paramètres!J50,Paramètres!$G$5:$G$57,0)),INDEX($E$815:$E$867,MATCH(Paramètres!J50,Paramètres!$G$5:$G$57,0)))+IF(RIGHT(TRIM(Paramètres!K50),3)="Fin",1-$H860,IF(LEFT(TRIM(Paramètres!K50),1)="F",1,0)))),IF(Paramètres!L50="",0,IF(Paramètres!M50="",NA(),IF(LEFT(TRIM(Paramètres!M50),1)="F",INDEX($F$815:$F$867,MATCH(Paramètres!L50,Paramètres!$G$5:$G$57,0)),INDEX($E$815:$E$867,MATCH(Paramètres!L50,Paramètres!$G$5:$G$57,0)))+IF(RIGHT(TRIM(Paramètres!M50),3)="Fin",1-$H860,IF(LEFT(TRIM(Paramètres!M50),1)="F",1,0)))),IF(Paramètres!N50="",0,IF(Paramètres!O50="",NA(),IF(LEFT(TRIM(Paramètres!O50),1)="F",INDEX($F$815:$F$867,MATCH(Paramètres!N50,Paramètres!$G$5:$G$57,0)),INDEX($E$815:$E$867,MATCH(Paramètres!N50,Paramètres!$G$5:$G$57,0)))+IF(RIGHT(TRIM(Paramètres!O50),3)="Fin",1-$H860,IF(LEFT(TRIM(Paramètres!O50),1)="F",1,0)))))))</f>
        <v/>
      </c>
      <c r="F860" s="19">
        <f>IF($A860="","",E860+$H860-1)</f>
        <v/>
      </c>
      <c r="G860" s="18" t="n"/>
      <c r="H860" s="18">
        <f>IF($A860="","",IF(I860&lt;&gt;"",I860,Paramètres!B50))</f>
        <v/>
      </c>
      <c r="I860" s="18" t="n"/>
    </row>
    <row r="861">
      <c r="A861" s="18">
        <f>IF(ISNUMBER(Dossiers!$D$19),Dossiers!$A$19&amp;" · "&amp;Dossiers!$B$19,"")</f>
        <v/>
      </c>
      <c r="B861" s="18">
        <f>IF($A861="","",Paramètres!G51)</f>
        <v/>
      </c>
      <c r="C861" s="18">
        <f>IF($A861="","",IF(Paramètres!H51="","",Paramètres!H51))</f>
        <v/>
      </c>
      <c r="D861" s="18">
        <f>IF($A861="","",IF(Paramètres!I51="","",Paramètres!I51))</f>
        <v/>
      </c>
      <c r="E861" s="19">
        <f>IF($A861="","",IF(Paramètres!J51&amp;Paramètres!L51&amp;Paramètres!N51="",Dossiers!$D$19,MAX(IF(Paramètres!J51="",0,IF(Paramètres!K51="",NA(),IF(LEFT(TRIM(Paramètres!K51),1)="F",INDEX($F$815:$F$867,MATCH(Paramètres!J51,Paramètres!$G$5:$G$57,0)),INDEX($E$815:$E$867,MATCH(Paramètres!J51,Paramètres!$G$5:$G$57,0)))+IF(RIGHT(TRIM(Paramètres!K51),3)="Fin",1-$H861,IF(LEFT(TRIM(Paramètres!K51),1)="F",1,0)))),IF(Paramètres!L51="",0,IF(Paramètres!M51="",NA(),IF(LEFT(TRIM(Paramètres!M51),1)="F",INDEX($F$815:$F$867,MATCH(Paramètres!L51,Paramètres!$G$5:$G$57,0)),INDEX($E$815:$E$867,MATCH(Paramètres!L51,Paramètres!$G$5:$G$57,0)))+IF(RIGHT(TRIM(Paramètres!M51),3)="Fin",1-$H861,IF(LEFT(TRIM(Paramètres!M51),1)="F",1,0)))),IF(Paramètres!N51="",0,IF(Paramètres!O51="",NA(),IF(LEFT(TRIM(Paramètres!O51),1)="F",INDEX($F$815:$F$867,MATCH(Paramètres!N51,Paramètres!$G$5:$G$57,0)),INDEX($E$815:$E$867,MATCH(Paramètres!N51,Paramètres!$G$5:$G$57,0)))+IF(RIGHT(TRIM(Paramètres!O51),3)="Fin",1-$H861,IF(LEFT(TRIM(Paramètres!O51),1)="F",1,0)))))))</f>
        <v/>
      </c>
      <c r="F861" s="19">
        <f>IF($A861="","",E861+$H861-1)</f>
        <v/>
      </c>
      <c r="G861" s="18" t="n"/>
      <c r="H861" s="18">
        <f>IF($A861="","",IF(I861&lt;&gt;"",I861,Paramètres!B51))</f>
        <v/>
      </c>
      <c r="I861" s="18" t="n"/>
    </row>
    <row r="862">
      <c r="A862" s="18">
        <f>IF(ISNUMBER(Dossiers!$D$19),Dossiers!$A$19&amp;" · "&amp;Dossiers!$B$19,"")</f>
        <v/>
      </c>
      <c r="B862" s="18">
        <f>IF($A862="","",Paramètres!G52)</f>
        <v/>
      </c>
      <c r="C862" s="18">
        <f>IF($A862="","",IF(Paramètres!H52="","",Paramètres!H52))</f>
        <v/>
      </c>
      <c r="D862" s="18">
        <f>IF($A862="","",IF(Paramètres!I52="","",Paramètres!I52))</f>
        <v/>
      </c>
      <c r="E862" s="19">
        <f>IF($A862="","",IF(Paramètres!J52&amp;Paramètres!L52&amp;Paramètres!N52="",Dossiers!$D$19,MAX(IF(Paramètres!J52="",0,IF(Paramètres!K52="",NA(),IF(LEFT(TRIM(Paramètres!K52),1)="F",INDEX($F$815:$F$867,MATCH(Paramètres!J52,Paramètres!$G$5:$G$57,0)),INDEX($E$815:$E$867,MATCH(Paramètres!J52,Paramètres!$G$5:$G$57,0)))+IF(RIGHT(TRIM(Paramètres!K52),3)="Fin",1-$H862,IF(LEFT(TRIM(Paramètres!K52),1)="F",1,0)))),IF(Paramètres!L52="",0,IF(Paramètres!M52="",NA(),IF(LEFT(TRIM(Paramètres!M52),1)="F",INDEX($F$815:$F$867,MATCH(Paramètres!L52,Paramètres!$G$5:$G$57,0)),INDEX($E$815:$E$867,MATCH(Paramètres!L52,Paramètres!$G$5:$G$57,0)))+IF(RIGHT(TRIM(Paramètres!M52),3)="Fin",1-$H862,IF(LEFT(TRIM(Paramètres!M52),1)="F",1,0)))),IF(Paramètres!N52="",0,IF(Paramètres!O52="",NA(),IF(LEFT(TRIM(Paramètres!O52),1)="F",INDEX($F$815:$F$867,MATCH(Paramètres!N52,Paramètres!$G$5:$G$57,0)),INDEX($E$815:$E$867,MATCH(Paramètres!N52,Paramètres!$G$5:$G$57,0)))+IF(RIGHT(TRIM(Paramètres!O52),3)="Fin",1-$H862,IF(LEFT(TRIM(Paramètres!O52),1)="F",1,0)))))))</f>
        <v/>
      </c>
      <c r="F862" s="19">
        <f>IF($A862="","",E862+$H862-1)</f>
        <v/>
      </c>
      <c r="G862" s="18" t="n"/>
      <c r="H862" s="18">
        <f>IF($A862="","",IF(I862&lt;&gt;"",I862,Paramètres!B52))</f>
        <v/>
      </c>
      <c r="I862" s="18" t="n"/>
    </row>
    <row r="863">
      <c r="A863" s="18">
        <f>IF(ISNUMBER(Dossiers!$D$19),Dossiers!$A$19&amp;" · "&amp;Dossiers!$B$19,"")</f>
        <v/>
      </c>
      <c r="B863" s="18">
        <f>IF($A863="","",Paramètres!G53)</f>
        <v/>
      </c>
      <c r="C863" s="18">
        <f>IF($A863="","",IF(Paramètres!H53="","",Paramètres!H53))</f>
        <v/>
      </c>
      <c r="D863" s="18">
        <f>IF($A863="","",IF(Paramètres!I53="","",Paramètres!I53))</f>
        <v/>
      </c>
      <c r="E863" s="19">
        <f>IF($A863="","",IF(Paramètres!J53&amp;Paramètres!L53&amp;Paramètres!N53="",Dossiers!$D$19,MAX(IF(Paramètres!J53="",0,IF(Paramètres!K53="",NA(),IF(LEFT(TRIM(Paramètres!K53),1)="F",INDEX($F$815:$F$867,MATCH(Paramètres!J53,Paramètres!$G$5:$G$57,0)),INDEX($E$815:$E$867,MATCH(Paramètres!J53,Paramètres!$G$5:$G$57,0)))+IF(RIGHT(TRIM(Paramètres!K53),3)="Fin",1-$H863,IF(LEFT(TRIM(Paramètres!K53),1)="F",1,0)))),IF(Paramètres!L53="",0,IF(Paramètres!M53="",NA(),IF(LEFT(TRIM(Paramètres!M53),1)="F",INDEX($F$815:$F$867,MATCH(Paramètres!L53,Paramètres!$G$5:$G$57,0)),INDEX($E$815:$E$867,MATCH(Paramètres!L53,Paramètres!$G$5:$G$57,0)))+IF(RIGHT(TRIM(Paramètres!M53),3)="Fin",1-$H863,IF(LEFT(TRIM(Paramètres!M53),1)="F",1,0)))),IF(Paramètres!N53="",0,IF(Paramètres!O53="",NA(),IF(LEFT(TRIM(Paramètres!O53),1)="F",INDEX($F$815:$F$867,MATCH(Paramètres!N53,Paramètres!$G$5:$G$57,0)),INDEX($E$815:$E$867,MATCH(Paramètres!N53,Paramètres!$G$5:$G$57,0)))+IF(RIGHT(TRIM(Paramètres!O53),3)="Fin",1-$H863,IF(LEFT(TRIM(Paramètres!O53),1)="F",1,0)))))))</f>
        <v/>
      </c>
      <c r="F863" s="19">
        <f>IF($A863="","",E863+$H863-1)</f>
        <v/>
      </c>
      <c r="G863" s="18" t="n"/>
      <c r="H863" s="18">
        <f>IF($A863="","",IF(I863&lt;&gt;"",I863,Paramètres!B53))</f>
        <v/>
      </c>
      <c r="I863" s="18" t="n"/>
    </row>
    <row r="864">
      <c r="A864" s="18">
        <f>IF(ISNUMBER(Dossiers!$D$19),Dossiers!$A$19&amp;" · "&amp;Dossiers!$B$19,"")</f>
        <v/>
      </c>
      <c r="B864" s="18">
        <f>IF($A864="","",Paramètres!G54)</f>
        <v/>
      </c>
      <c r="C864" s="18">
        <f>IF($A864="","",IF(Paramètres!H54="","",Paramètres!H54))</f>
        <v/>
      </c>
      <c r="D864" s="18">
        <f>IF($A864="","",IF(Paramètres!I54="","",Paramètres!I54))</f>
        <v/>
      </c>
      <c r="E864" s="19">
        <f>IF($A864="","",IF(Paramètres!J54&amp;Paramètres!L54&amp;Paramètres!N54="",Dossiers!$D$19,MAX(IF(Paramètres!J54="",0,IF(Paramètres!K54="",NA(),IF(LEFT(TRIM(Paramètres!K54),1)="F",INDEX($F$815:$F$867,MATCH(Paramètres!J54,Paramètres!$G$5:$G$57,0)),INDEX($E$815:$E$867,MATCH(Paramètres!J54,Paramètres!$G$5:$G$57,0)))+IF(RIGHT(TRIM(Paramètres!K54),3)="Fin",1-$H864,IF(LEFT(TRIM(Paramètres!K54),1)="F",1,0)))),IF(Paramètres!L54="",0,IF(Paramètres!M54="",NA(),IF(LEFT(TRIM(Paramètres!M54),1)="F",INDEX($F$815:$F$867,MATCH(Paramètres!L54,Paramètres!$G$5:$G$57,0)),INDEX($E$815:$E$867,MATCH(Paramètres!L54,Paramètres!$G$5:$G$57,0)))+IF(RIGHT(TRIM(Paramètres!M54),3)="Fin",1-$H864,IF(LEFT(TRIM(Paramètres!M54),1)="F",1,0)))),IF(Paramètres!N54="",0,IF(Paramètres!O54="",NA(),IF(LEFT(TRIM(Paramètres!O54),1)="F",INDEX($F$815:$F$867,MATCH(Paramètres!N54,Paramètres!$G$5:$G$57,0)),INDEX($E$815:$E$867,MATCH(Paramètres!N54,Paramètres!$G$5:$G$57,0)))+IF(RIGHT(TRIM(Paramètres!O54),3)="Fin",1-$H864,IF(LEFT(TRIM(Paramètres!O54),1)="F",1,0)))))))</f>
        <v/>
      </c>
      <c r="F864" s="19">
        <f>IF($A864="","",E864+$H864-1)</f>
        <v/>
      </c>
      <c r="G864" s="18" t="n"/>
      <c r="H864" s="18">
        <f>IF($A864="","",IF(I864&lt;&gt;"",I864,Paramètres!B54))</f>
        <v/>
      </c>
      <c r="I864" s="18" t="n"/>
    </row>
    <row r="865">
      <c r="A865" s="18">
        <f>IF(ISNUMBER(Dossiers!$D$19),Dossiers!$A$19&amp;" · "&amp;Dossiers!$B$19,"")</f>
        <v/>
      </c>
      <c r="B865" s="18">
        <f>IF($A865="","",Paramètres!G55)</f>
        <v/>
      </c>
      <c r="C865" s="18">
        <f>IF($A865="","",IF(Paramètres!H55="","",Paramètres!H55))</f>
        <v/>
      </c>
      <c r="D865" s="18">
        <f>IF($A865="","",IF(Paramètres!I55="","",Paramètres!I55))</f>
        <v/>
      </c>
      <c r="E865" s="19">
        <f>IF($A865="","",IF(Paramètres!J55&amp;Paramètres!L55&amp;Paramètres!N55="",Dossiers!$D$19,MAX(IF(Paramètres!J55="",0,IF(Paramètres!K55="",NA(),IF(LEFT(TRIM(Paramètres!K55),1)="F",INDEX($F$815:$F$867,MATCH(Paramètres!J55,Paramètres!$G$5:$G$57,0)),INDEX($E$815:$E$867,MATCH(Paramètres!J55,Paramètres!$G$5:$G$57,0)))+IF(RIGHT(TRIM(Paramètres!K55),3)="Fin",1-$H865,IF(LEFT(TRIM(Paramètres!K55),1)="F",1,0)))),IF(Paramètres!L55="",0,IF(Paramètres!M55="",NA(),IF(LEFT(TRIM(Paramètres!M55),1)="F",INDEX($F$815:$F$867,MATCH(Paramètres!L55,Paramètres!$G$5:$G$57,0)),INDEX($E$815:$E$867,MATCH(Paramètres!L55,Paramètres!$G$5:$G$57,0)))+IF(RIGHT(TRIM(Paramètres!M55),3)="Fin",1-$H865,IF(LEFT(TRIM(Paramètres!M55),1)="F",1,0)))),IF(Paramètres!N55="",0,IF(Paramètres!O55="",NA(),IF(LEFT(TRIM(Paramètres!O55),1)="F",INDEX($F$815:$F$867,MATCH(Paramètres!N55,Paramètres!$G$5:$G$57,0)),INDEX($E$815:$E$867,MATCH(Paramètres!N55,Paramètres!$G$5:$G$57,0)))+IF(RIGHT(TRIM(Paramètres!O55),3)="Fin",1-$H865,IF(LEFT(TRIM(Paramètres!O55),1)="F",1,0)))))))</f>
        <v/>
      </c>
      <c r="F865" s="19">
        <f>IF($A865="","",E865+$H865-1)</f>
        <v/>
      </c>
      <c r="G865" s="18" t="n"/>
      <c r="H865" s="18">
        <f>IF($A865="","",IF(I865&lt;&gt;"",I865,Paramètres!B55))</f>
        <v/>
      </c>
      <c r="I865" s="18" t="n"/>
    </row>
    <row r="866">
      <c r="A866" s="18">
        <f>IF(ISNUMBER(Dossiers!$D$19),Dossiers!$A$19&amp;" · "&amp;Dossiers!$B$19,"")</f>
        <v/>
      </c>
      <c r="B866" s="18">
        <f>IF($A866="","",Paramètres!G56)</f>
        <v/>
      </c>
      <c r="C866" s="18">
        <f>IF($A866="","",IF(Paramètres!H56="","",Paramètres!H56))</f>
        <v/>
      </c>
      <c r="D866" s="18">
        <f>IF($A866="","",IF(Paramètres!I56="","",Paramètres!I56))</f>
        <v/>
      </c>
      <c r="E866" s="19">
        <f>IF($A866="","",MIN(E867:E867))</f>
        <v/>
      </c>
      <c r="F866" s="19">
        <f>IF($A866="","",MAX(F867:F867))</f>
        <v/>
      </c>
      <c r="G866" s="18" t="n"/>
      <c r="H866" s="18">
        <f>IF($A866="","",F866-E866+1)</f>
        <v/>
      </c>
      <c r="I866" s="18" t="n"/>
    </row>
    <row r="867">
      <c r="A867" s="18">
        <f>IF(ISNUMBER(Dossiers!$D$19),Dossiers!$A$19&amp;" · "&amp;Dossiers!$B$19,"")</f>
        <v/>
      </c>
      <c r="B867" s="18">
        <f>IF($A867="","",Paramètres!G57)</f>
        <v/>
      </c>
      <c r="C867" s="18">
        <f>IF($A867="","",IF(Paramètres!H57="","",Paramètres!H57))</f>
        <v/>
      </c>
      <c r="D867" s="18">
        <f>IF($A867="","",IF(Paramètres!I57="","",Paramètres!I57))</f>
        <v/>
      </c>
      <c r="E867" s="19">
        <f>IF($A867="","",IF(Paramètres!J57&amp;Paramètres!L57&amp;Paramètres!N57="",Dossiers!$D$19,MAX(IF(Paramètres!J57="",0,IF(Paramètres!K57="",NA(),IF(LEFT(TRIM(Paramètres!K57),1)="F",INDEX($F$815:$F$867,MATCH(Paramètres!J57,Paramètres!$G$5:$G$57,0)),INDEX($E$815:$E$867,MATCH(Paramètres!J57,Paramètres!$G$5:$G$57,0)))+IF(RIGHT(TRIM(Paramètres!K57),3)="Fin",1-$H867,IF(LEFT(TRIM(Paramètres!K57),1)="F",1,0)))),IF(Paramètres!L57="",0,IF(Paramètres!M57="",NA(),IF(LEFT(TRIM(Paramètres!M57),1)="F",INDEX($F$815:$F$867,MATCH(Paramètres!L57,Paramètres!$G$5:$G$57,0)),INDEX($E$815:$E$867,MATCH(Paramètres!L57,Paramètres!$G$5:$G$57,0)))+IF(RIGHT(TRIM(Paramètres!M57),3)="Fin",1-$H867,IF(LEFT(TRIM(Paramètres!M57),1)="F",1,0)))),IF(Paramètres!N57="",0,IF(Paramètres!O57="",NA(),IF(LEFT(TRIM(Paramètres!O57),1)="F",INDEX($F$815:$F$867,MATCH(Paramètres!N57,Paramètres!$G$5:$G$57,0)),INDEX($E$815:$E$867,MATCH(Paramètres!N57,Paramètres!$G$5:$G$57,0)))+IF(RIGHT(TRIM(Paramètres!O57),3)="Fin",1-$H867,IF(LEFT(TRIM(Paramètres!O57),1)="F",1,0)))))))</f>
        <v/>
      </c>
      <c r="F867" s="19">
        <f>IF($A867="","",E867+$H867-1)</f>
        <v/>
      </c>
      <c r="G867" s="18" t="n"/>
      <c r="H867" s="18">
        <f>IF($A867="","",IF(I867&lt;&gt;"",I867,Paramètres!B57))</f>
        <v/>
      </c>
      <c r="I867" s="18" t="n"/>
    </row>
    <row r="868">
      <c r="A868" s="16">
        <f>IF(ISNUMBER(Dossiers!$D$20),Dossiers!$E$20,"")</f>
        <v/>
      </c>
      <c r="B868" s="16">
        <f>IF($A868="","","Identifiant")</f>
        <v/>
      </c>
      <c r="C868" s="16">
        <f>IF($A868="","","Macro Etape")</f>
        <v/>
      </c>
      <c r="D868" s="16">
        <f>IF($A868="","","Etape")</f>
        <v/>
      </c>
      <c r="E868" s="17">
        <f>IF($A868="","","Début le")</f>
        <v/>
      </c>
      <c r="F868" s="17">
        <f>IF($A868="","","Fin prévue le")</f>
        <v/>
      </c>
      <c r="G868" s="16">
        <f>IF($A868="","","Statut")</f>
        <v/>
      </c>
      <c r="H868" s="16">
        <f>IF($A868="","","Durée (jours)")</f>
        <v/>
      </c>
      <c r="I868" s="16">
        <f>IF($A868="","","Durée particulière")</f>
        <v/>
      </c>
      <c r="J868" s="10">
        <f>IF($A868="","",HYPERLINK("#'Tableau de bord'!A1","↑ Tableau de bord"))</f>
        <v/>
      </c>
    </row>
    <row r="869">
      <c r="A869" s="18">
        <f>IF(ISNUMBER(Dossiers!$D$20),Dossiers!$A$20&amp;" · "&amp;Dossiers!$B$20,"")</f>
        <v/>
      </c>
      <c r="B869" s="18">
        <f>IF($A869="","",Paramètres!G5)</f>
        <v/>
      </c>
      <c r="C869" s="18">
        <f>IF($A869="","",IF(Paramètres!H5="","",Paramètres!H5))</f>
        <v/>
      </c>
      <c r="D869" s="18">
        <f>IF($A869="","",IF(Paramètres!I5="","",Paramètres!I5))</f>
        <v/>
      </c>
      <c r="E869" s="19">
        <f>IF($A869="","",MIN(E870:E873))</f>
        <v/>
      </c>
      <c r="F869" s="19">
        <f>IF($A869="","",MAX(F870:F873))</f>
        <v/>
      </c>
      <c r="G869" s="18" t="n"/>
      <c r="H869" s="18">
        <f>IF($A869="","",F869-E869+1)</f>
        <v/>
      </c>
      <c r="I869" s="18" t="n"/>
    </row>
    <row r="870">
      <c r="A870" s="18">
        <f>IF(ISNUMBER(Dossiers!$D$20),Dossiers!$A$20&amp;" · "&amp;Dossiers!$B$20,"")</f>
        <v/>
      </c>
      <c r="B870" s="18">
        <f>IF($A870="","",Paramètres!G6)</f>
        <v/>
      </c>
      <c r="C870" s="18">
        <f>IF($A870="","",IF(Paramètres!H6="","",Paramètres!H6))</f>
        <v/>
      </c>
      <c r="D870" s="18">
        <f>IF($A870="","",IF(Paramètres!I6="","",Paramètres!I6))</f>
        <v/>
      </c>
      <c r="E870" s="19">
        <f>IF($A870="","",IF(Paramètres!J6&amp;Paramètres!L6&amp;Paramètres!N6="",Dossiers!$D$20,MAX(IF(Paramètres!J6="",0,IF(Paramètres!K6="",NA(),IF(LEFT(TRIM(Paramètres!K6),1)="F",INDEX($F$869:$F$921,MATCH(Paramètres!J6,Paramètres!$G$5:$G$57,0)),INDEX($E$869:$E$921,MATCH(Paramètres!J6,Paramètres!$G$5:$G$57,0)))+IF(RIGHT(TRIM(Paramètres!K6),3)="Fin",1-$H870,IF(LEFT(TRIM(Paramètres!K6),1)="F",1,0)))),IF(Paramètres!L6="",0,IF(Paramètres!M6="",NA(),IF(LEFT(TRIM(Paramètres!M6),1)="F",INDEX($F$869:$F$921,MATCH(Paramètres!L6,Paramètres!$G$5:$G$57,0)),INDEX($E$869:$E$921,MATCH(Paramètres!L6,Paramètres!$G$5:$G$57,0)))+IF(RIGHT(TRIM(Paramètres!M6),3)="Fin",1-$H870,IF(LEFT(TRIM(Paramètres!M6),1)="F",1,0)))),IF(Paramètres!N6="",0,IF(Paramètres!O6="",NA(),IF(LEFT(TRIM(Paramètres!O6),1)="F",INDEX($F$869:$F$921,MATCH(Paramètres!N6,Paramètres!$G$5:$G$57,0)),INDEX($E$869:$E$921,MATCH(Paramètres!N6,Paramètres!$G$5:$G$57,0)))+IF(RIGHT(TRIM(Paramètres!O6),3)="Fin",1-$H870,IF(LEFT(TRIM(Paramètres!O6),1)="F",1,0)))))))</f>
        <v/>
      </c>
      <c r="F870" s="19">
        <f>IF($A870="","",E870+$H870-1)</f>
        <v/>
      </c>
      <c r="G870" s="18" t="n"/>
      <c r="H870" s="18">
        <f>IF($A870="","",IF(I870&lt;&gt;"",I870,Paramètres!B6))</f>
        <v/>
      </c>
      <c r="I870" s="18" t="n"/>
    </row>
    <row r="871">
      <c r="A871" s="18">
        <f>IF(ISNUMBER(Dossiers!$D$20),Dossiers!$A$20&amp;" · "&amp;Dossiers!$B$20,"")</f>
        <v/>
      </c>
      <c r="B871" s="18">
        <f>IF($A871="","",Paramètres!G7)</f>
        <v/>
      </c>
      <c r="C871" s="18">
        <f>IF($A871="","",IF(Paramètres!H7="","",Paramètres!H7))</f>
        <v/>
      </c>
      <c r="D871" s="18">
        <f>IF($A871="","",IF(Paramètres!I7="","",Paramètres!I7))</f>
        <v/>
      </c>
      <c r="E871" s="19">
        <f>IF($A871="","",IF(Paramètres!J7&amp;Paramètres!L7&amp;Paramètres!N7="",Dossiers!$D$20,MAX(IF(Paramètres!J7="",0,IF(Paramètres!K7="",NA(),IF(LEFT(TRIM(Paramètres!K7),1)="F",INDEX($F$869:$F$921,MATCH(Paramètres!J7,Paramètres!$G$5:$G$57,0)),INDEX($E$869:$E$921,MATCH(Paramètres!J7,Paramètres!$G$5:$G$57,0)))+IF(RIGHT(TRIM(Paramètres!K7),3)="Fin",1-$H871,IF(LEFT(TRIM(Paramètres!K7),1)="F",1,0)))),IF(Paramètres!L7="",0,IF(Paramètres!M7="",NA(),IF(LEFT(TRIM(Paramètres!M7),1)="F",INDEX($F$869:$F$921,MATCH(Paramètres!L7,Paramètres!$G$5:$G$57,0)),INDEX($E$869:$E$921,MATCH(Paramètres!L7,Paramètres!$G$5:$G$57,0)))+IF(RIGHT(TRIM(Paramètres!M7),3)="Fin",1-$H871,IF(LEFT(TRIM(Paramètres!M7),1)="F",1,0)))),IF(Paramètres!N7="",0,IF(Paramètres!O7="",NA(),IF(LEFT(TRIM(Paramètres!O7),1)="F",INDEX($F$869:$F$921,MATCH(Paramètres!N7,Paramètres!$G$5:$G$57,0)),INDEX($E$869:$E$921,MATCH(Paramètres!N7,Paramètres!$G$5:$G$57,0)))+IF(RIGHT(TRIM(Paramètres!O7),3)="Fin",1-$H871,IF(LEFT(TRIM(Paramètres!O7),1)="F",1,0)))))))</f>
        <v/>
      </c>
      <c r="F871" s="19">
        <f>IF($A871="","",E871+$H871-1)</f>
        <v/>
      </c>
      <c r="G871" s="18" t="n"/>
      <c r="H871" s="18">
        <f>IF($A871="","",IF(I871&lt;&gt;"",I871,Paramètres!B7))</f>
        <v/>
      </c>
      <c r="I871" s="18" t="n"/>
    </row>
    <row r="872">
      <c r="A872" s="18">
        <f>IF(ISNUMBER(Dossiers!$D$20),Dossiers!$A$20&amp;" · "&amp;Dossiers!$B$20,"")</f>
        <v/>
      </c>
      <c r="B872" s="18">
        <f>IF($A872="","",Paramètres!G8)</f>
        <v/>
      </c>
      <c r="C872" s="18">
        <f>IF($A872="","",IF(Paramètres!H8="","",Paramètres!H8))</f>
        <v/>
      </c>
      <c r="D872" s="18">
        <f>IF($A872="","",IF(Paramètres!I8="","",Paramètres!I8))</f>
        <v/>
      </c>
      <c r="E872" s="19">
        <f>IF($A872="","",IF(Paramètres!J8&amp;Paramètres!L8&amp;Paramètres!N8="",Dossiers!$D$20,MAX(IF(Paramètres!J8="",0,IF(Paramètres!K8="",NA(),IF(LEFT(TRIM(Paramètres!K8),1)="F",INDEX($F$869:$F$921,MATCH(Paramètres!J8,Paramètres!$G$5:$G$57,0)),INDEX($E$869:$E$921,MATCH(Paramètres!J8,Paramètres!$G$5:$G$57,0)))+IF(RIGHT(TRIM(Paramètres!K8),3)="Fin",1-$H872,IF(LEFT(TRIM(Paramètres!K8),1)="F",1,0)))),IF(Paramètres!L8="",0,IF(Paramètres!M8="",NA(),IF(LEFT(TRIM(Paramètres!M8),1)="F",INDEX($F$869:$F$921,MATCH(Paramètres!L8,Paramètres!$G$5:$G$57,0)),INDEX($E$869:$E$921,MATCH(Paramètres!L8,Paramètres!$G$5:$G$57,0)))+IF(RIGHT(TRIM(Paramètres!M8),3)="Fin",1-$H872,IF(LEFT(TRIM(Paramètres!M8),1)="F",1,0)))),IF(Paramètres!N8="",0,IF(Paramètres!O8="",NA(),IF(LEFT(TRIM(Paramètres!O8),1)="F",INDEX($F$869:$F$921,MATCH(Paramètres!N8,Paramètres!$G$5:$G$57,0)),INDEX($E$869:$E$921,MATCH(Paramètres!N8,Paramètres!$G$5:$G$57,0)))+IF(RIGHT(TRIM(Paramètres!O8),3)="Fin",1-$H872,IF(LEFT(TRIM(Paramètres!O8),1)="F",1,0)))))))</f>
        <v/>
      </c>
      <c r="F872" s="19">
        <f>IF($A872="","",E872+$H872-1)</f>
        <v/>
      </c>
      <c r="G872" s="18" t="n"/>
      <c r="H872" s="18">
        <f>IF($A872="","",IF(I872&lt;&gt;"",I872,Paramètres!B8))</f>
        <v/>
      </c>
      <c r="I872" s="18" t="n"/>
    </row>
    <row r="873">
      <c r="A873" s="18">
        <f>IF(ISNUMBER(Dossiers!$D$20),Dossiers!$A$20&amp;" · "&amp;Dossiers!$B$20,"")</f>
        <v/>
      </c>
      <c r="B873" s="18">
        <f>IF($A873="","",Paramètres!G9)</f>
        <v/>
      </c>
      <c r="C873" s="18">
        <f>IF($A873="","",IF(Paramètres!H9="","",Paramètres!H9))</f>
        <v/>
      </c>
      <c r="D873" s="18">
        <f>IF($A873="","",IF(Paramètres!I9="","",Paramètres!I9))</f>
        <v/>
      </c>
      <c r="E873" s="19">
        <f>IF($A873="","",IF(Paramètres!J9&amp;Paramètres!L9&amp;Paramètres!N9="",Dossiers!$D$20,MAX(IF(Paramètres!J9="",0,IF(Paramètres!K9="",NA(),IF(LEFT(TRIM(Paramètres!K9),1)="F",INDEX($F$869:$F$921,MATCH(Paramètres!J9,Paramètres!$G$5:$G$57,0)),INDEX($E$869:$E$921,MATCH(Paramètres!J9,Paramètres!$G$5:$G$57,0)))+IF(RIGHT(TRIM(Paramètres!K9),3)="Fin",1-$H873,IF(LEFT(TRIM(Paramètres!K9),1)="F",1,0)))),IF(Paramètres!L9="",0,IF(Paramètres!M9="",NA(),IF(LEFT(TRIM(Paramètres!M9),1)="F",INDEX($F$869:$F$921,MATCH(Paramètres!L9,Paramètres!$G$5:$G$57,0)),INDEX($E$869:$E$921,MATCH(Paramètres!L9,Paramètres!$G$5:$G$57,0)))+IF(RIGHT(TRIM(Paramètres!M9),3)="Fin",1-$H873,IF(LEFT(TRIM(Paramètres!M9),1)="F",1,0)))),IF(Paramètres!N9="",0,IF(Paramètres!O9="",NA(),IF(LEFT(TRIM(Paramètres!O9),1)="F",INDEX($F$869:$F$921,MATCH(Paramètres!N9,Paramètres!$G$5:$G$57,0)),INDEX($E$869:$E$921,MATCH(Paramètres!N9,Paramètres!$G$5:$G$57,0)))+IF(RIGHT(TRIM(Paramètres!O9),3)="Fin",1-$H873,IF(LEFT(TRIM(Paramètres!O9),1)="F",1,0)))))))</f>
        <v/>
      </c>
      <c r="F873" s="19">
        <f>IF($A873="","",E873+$H873-1)</f>
        <v/>
      </c>
      <c r="G873" s="18" t="n"/>
      <c r="H873" s="18">
        <f>IF($A873="","",IF(I873&lt;&gt;"",I873,Paramètres!B9))</f>
        <v/>
      </c>
      <c r="I873" s="18" t="n"/>
    </row>
    <row r="874">
      <c r="A874" s="18">
        <f>IF(ISNUMBER(Dossiers!$D$20),Dossiers!$A$20&amp;" · "&amp;Dossiers!$B$20,"")</f>
        <v/>
      </c>
      <c r="B874" s="18">
        <f>IF($A874="","",Paramètres!G10)</f>
        <v/>
      </c>
      <c r="C874" s="18">
        <f>IF($A874="","",IF(Paramètres!H10="","",Paramètres!H10))</f>
        <v/>
      </c>
      <c r="D874" s="18">
        <f>IF($A874="","",IF(Paramètres!I10="","",Paramètres!I10))</f>
        <v/>
      </c>
      <c r="E874" s="19">
        <f>IF($A874="","",MIN(E875:E878))</f>
        <v/>
      </c>
      <c r="F874" s="19">
        <f>IF($A874="","",MAX(F875:F878))</f>
        <v/>
      </c>
      <c r="G874" s="18" t="n"/>
      <c r="H874" s="18">
        <f>IF($A874="","",F874-E874+1)</f>
        <v/>
      </c>
      <c r="I874" s="18" t="n"/>
    </row>
    <row r="875">
      <c r="A875" s="18">
        <f>IF(ISNUMBER(Dossiers!$D$20),Dossiers!$A$20&amp;" · "&amp;Dossiers!$B$20,"")</f>
        <v/>
      </c>
      <c r="B875" s="18">
        <f>IF($A875="","",Paramètres!G11)</f>
        <v/>
      </c>
      <c r="C875" s="18">
        <f>IF($A875="","",IF(Paramètres!H11="","",Paramètres!H11))</f>
        <v/>
      </c>
      <c r="D875" s="18">
        <f>IF($A875="","",IF(Paramètres!I11="","",Paramètres!I11))</f>
        <v/>
      </c>
      <c r="E875" s="19">
        <f>IF($A875="","",IF(Paramètres!J11&amp;Paramètres!L11&amp;Paramètres!N11="",Dossiers!$D$20,MAX(IF(Paramètres!J11="",0,IF(Paramètres!K11="",NA(),IF(LEFT(TRIM(Paramètres!K11),1)="F",INDEX($F$869:$F$921,MATCH(Paramètres!J11,Paramètres!$G$5:$G$57,0)),INDEX($E$869:$E$921,MATCH(Paramètres!J11,Paramètres!$G$5:$G$57,0)))+IF(RIGHT(TRIM(Paramètres!K11),3)="Fin",1-$H875,IF(LEFT(TRIM(Paramètres!K11),1)="F",1,0)))),IF(Paramètres!L11="",0,IF(Paramètres!M11="",NA(),IF(LEFT(TRIM(Paramètres!M11),1)="F",INDEX($F$869:$F$921,MATCH(Paramètres!L11,Paramètres!$G$5:$G$57,0)),INDEX($E$869:$E$921,MATCH(Paramètres!L11,Paramètres!$G$5:$G$57,0)))+IF(RIGHT(TRIM(Paramètres!M11),3)="Fin",1-$H875,IF(LEFT(TRIM(Paramètres!M11),1)="F",1,0)))),IF(Paramètres!N11="",0,IF(Paramètres!O11="",NA(),IF(LEFT(TRIM(Paramètres!O11),1)="F",INDEX($F$869:$F$921,MATCH(Paramètres!N11,Paramètres!$G$5:$G$57,0)),INDEX($E$869:$E$921,MATCH(Paramètres!N11,Paramètres!$G$5:$G$57,0)))+IF(RIGHT(TRIM(Paramètres!O11),3)="Fin",1-$H875,IF(LEFT(TRIM(Paramètres!O11),1)="F",1,0)))))))</f>
        <v/>
      </c>
      <c r="F875" s="19">
        <f>IF($A875="","",E875+$H875-1)</f>
        <v/>
      </c>
      <c r="G875" s="18" t="n"/>
      <c r="H875" s="18">
        <f>IF($A875="","",IF(I875&lt;&gt;"",I875,Paramètres!B11))</f>
        <v/>
      </c>
      <c r="I875" s="18" t="n"/>
    </row>
    <row r="876">
      <c r="A876" s="18">
        <f>IF(ISNUMBER(Dossiers!$D$20),Dossiers!$A$20&amp;" · "&amp;Dossiers!$B$20,"")</f>
        <v/>
      </c>
      <c r="B876" s="18">
        <f>IF($A876="","",Paramètres!G12)</f>
        <v/>
      </c>
      <c r="C876" s="18">
        <f>IF($A876="","",IF(Paramètres!H12="","",Paramètres!H12))</f>
        <v/>
      </c>
      <c r="D876" s="18">
        <f>IF($A876="","",IF(Paramètres!I12="","",Paramètres!I12))</f>
        <v/>
      </c>
      <c r="E876" s="19">
        <f>IF($A876="","",IF(Paramètres!J12&amp;Paramètres!L12&amp;Paramètres!N12="",Dossiers!$D$20,MAX(IF(Paramètres!J12="",0,IF(Paramètres!K12="",NA(),IF(LEFT(TRIM(Paramètres!K12),1)="F",INDEX($F$869:$F$921,MATCH(Paramètres!J12,Paramètres!$G$5:$G$57,0)),INDEX($E$869:$E$921,MATCH(Paramètres!J12,Paramètres!$G$5:$G$57,0)))+IF(RIGHT(TRIM(Paramètres!K12),3)="Fin",1-$H876,IF(LEFT(TRIM(Paramètres!K12),1)="F",1,0)))),IF(Paramètres!L12="",0,IF(Paramètres!M12="",NA(),IF(LEFT(TRIM(Paramètres!M12),1)="F",INDEX($F$869:$F$921,MATCH(Paramètres!L12,Paramètres!$G$5:$G$57,0)),INDEX($E$869:$E$921,MATCH(Paramètres!L12,Paramètres!$G$5:$G$57,0)))+IF(RIGHT(TRIM(Paramètres!M12),3)="Fin",1-$H876,IF(LEFT(TRIM(Paramètres!M12),1)="F",1,0)))),IF(Paramètres!N12="",0,IF(Paramètres!O12="",NA(),IF(LEFT(TRIM(Paramètres!O12),1)="F",INDEX($F$869:$F$921,MATCH(Paramètres!N12,Paramètres!$G$5:$G$57,0)),INDEX($E$869:$E$921,MATCH(Paramètres!N12,Paramètres!$G$5:$G$57,0)))+IF(RIGHT(TRIM(Paramètres!O12),3)="Fin",1-$H876,IF(LEFT(TRIM(Paramètres!O12),1)="F",1,0)))))))</f>
        <v/>
      </c>
      <c r="F876" s="19">
        <f>IF($A876="","",E876+$H876-1)</f>
        <v/>
      </c>
      <c r="G876" s="18" t="n"/>
      <c r="H876" s="18">
        <f>IF($A876="","",IF(I876&lt;&gt;"",I876,Paramètres!B12))</f>
        <v/>
      </c>
      <c r="I876" s="18" t="n"/>
    </row>
    <row r="877">
      <c r="A877" s="18">
        <f>IF(ISNUMBER(Dossiers!$D$20),Dossiers!$A$20&amp;" · "&amp;Dossiers!$B$20,"")</f>
        <v/>
      </c>
      <c r="B877" s="18">
        <f>IF($A877="","",Paramètres!G13)</f>
        <v/>
      </c>
      <c r="C877" s="18">
        <f>IF($A877="","",IF(Paramètres!H13="","",Paramètres!H13))</f>
        <v/>
      </c>
      <c r="D877" s="18">
        <f>IF($A877="","",IF(Paramètres!I13="","",Paramètres!I13))</f>
        <v/>
      </c>
      <c r="E877" s="19">
        <f>IF($A877="","",IF(Paramètres!J13&amp;Paramètres!L13&amp;Paramètres!N13="",Dossiers!$D$20,MAX(IF(Paramètres!J13="",0,IF(Paramètres!K13="",NA(),IF(LEFT(TRIM(Paramètres!K13),1)="F",INDEX($F$869:$F$921,MATCH(Paramètres!J13,Paramètres!$G$5:$G$57,0)),INDEX($E$869:$E$921,MATCH(Paramètres!J13,Paramètres!$G$5:$G$57,0)))+IF(RIGHT(TRIM(Paramètres!K13),3)="Fin",1-$H877,IF(LEFT(TRIM(Paramètres!K13),1)="F",1,0)))),IF(Paramètres!L13="",0,IF(Paramètres!M13="",NA(),IF(LEFT(TRIM(Paramètres!M13),1)="F",INDEX($F$869:$F$921,MATCH(Paramètres!L13,Paramètres!$G$5:$G$57,0)),INDEX($E$869:$E$921,MATCH(Paramètres!L13,Paramètres!$G$5:$G$57,0)))+IF(RIGHT(TRIM(Paramètres!M13),3)="Fin",1-$H877,IF(LEFT(TRIM(Paramètres!M13),1)="F",1,0)))),IF(Paramètres!N13="",0,IF(Paramètres!O13="",NA(),IF(LEFT(TRIM(Paramètres!O13),1)="F",INDEX($F$869:$F$921,MATCH(Paramètres!N13,Paramètres!$G$5:$G$57,0)),INDEX($E$869:$E$921,MATCH(Paramètres!N13,Paramètres!$G$5:$G$57,0)))+IF(RIGHT(TRIM(Paramètres!O13),3)="Fin",1-$H877,IF(LEFT(TRIM(Paramètres!O13),1)="F",1,0)))))))</f>
        <v/>
      </c>
      <c r="F877" s="19">
        <f>IF($A877="","",E877+$H877-1)</f>
        <v/>
      </c>
      <c r="G877" s="18" t="n"/>
      <c r="H877" s="18">
        <f>IF($A877="","",IF(I877&lt;&gt;"",I877,Paramètres!B13))</f>
        <v/>
      </c>
      <c r="I877" s="18" t="n"/>
    </row>
    <row r="878">
      <c r="A878" s="18">
        <f>IF(ISNUMBER(Dossiers!$D$20),Dossiers!$A$20&amp;" · "&amp;Dossiers!$B$20,"")</f>
        <v/>
      </c>
      <c r="B878" s="18">
        <f>IF($A878="","",Paramètres!G14)</f>
        <v/>
      </c>
      <c r="C878" s="18">
        <f>IF($A878="","",IF(Paramètres!H14="","",Paramètres!H14))</f>
        <v/>
      </c>
      <c r="D878" s="18">
        <f>IF($A878="","",IF(Paramètres!I14="","",Paramètres!I14))</f>
        <v/>
      </c>
      <c r="E878" s="19">
        <f>IF($A878="","",IF(Paramètres!J14&amp;Paramètres!L14&amp;Paramètres!N14="",Dossiers!$D$20,MAX(IF(Paramètres!J14="",0,IF(Paramètres!K14="",NA(),IF(LEFT(TRIM(Paramètres!K14),1)="F",INDEX($F$869:$F$921,MATCH(Paramètres!J14,Paramètres!$G$5:$G$57,0)),INDEX($E$869:$E$921,MATCH(Paramètres!J14,Paramètres!$G$5:$G$57,0)))+IF(RIGHT(TRIM(Paramètres!K14),3)="Fin",1-$H878,IF(LEFT(TRIM(Paramètres!K14),1)="F",1,0)))),IF(Paramètres!L14="",0,IF(Paramètres!M14="",NA(),IF(LEFT(TRIM(Paramètres!M14),1)="F",INDEX($F$869:$F$921,MATCH(Paramètres!L14,Paramètres!$G$5:$G$57,0)),INDEX($E$869:$E$921,MATCH(Paramètres!L14,Paramètres!$G$5:$G$57,0)))+IF(RIGHT(TRIM(Paramètres!M14),3)="Fin",1-$H878,IF(LEFT(TRIM(Paramètres!M14),1)="F",1,0)))),IF(Paramètres!N14="",0,IF(Paramètres!O14="",NA(),IF(LEFT(TRIM(Paramètres!O14),1)="F",INDEX($F$869:$F$921,MATCH(Paramètres!N14,Paramètres!$G$5:$G$57,0)),INDEX($E$869:$E$921,MATCH(Paramètres!N14,Paramètres!$G$5:$G$57,0)))+IF(RIGHT(TRIM(Paramètres!O14),3)="Fin",1-$H878,IF(LEFT(TRIM(Paramètres!O14),1)="F",1,0)))))))</f>
        <v/>
      </c>
      <c r="F878" s="19">
        <f>IF($A878="","",E878+$H878-1)</f>
        <v/>
      </c>
      <c r="G878" s="18" t="n"/>
      <c r="H878" s="18">
        <f>IF($A878="","",IF(I878&lt;&gt;"",I878,Paramètres!B14))</f>
        <v/>
      </c>
      <c r="I878" s="18" t="n"/>
    </row>
    <row r="879">
      <c r="A879" s="18">
        <f>IF(ISNUMBER(Dossiers!$D$20),Dossiers!$A$20&amp;" · "&amp;Dossiers!$B$20,"")</f>
        <v/>
      </c>
      <c r="B879" s="18">
        <f>IF($A879="","",Paramètres!G15)</f>
        <v/>
      </c>
      <c r="C879" s="18">
        <f>IF($A879="","",IF(Paramètres!H15="","",Paramètres!H15))</f>
        <v/>
      </c>
      <c r="D879" s="18">
        <f>IF($A879="","",IF(Paramètres!I15="","",Paramètres!I15))</f>
        <v/>
      </c>
      <c r="E879" s="19">
        <f>IF($A879="","",MIN(E880:E895))</f>
        <v/>
      </c>
      <c r="F879" s="19">
        <f>IF($A879="","",MAX(F880:F895))</f>
        <v/>
      </c>
      <c r="G879" s="18" t="n"/>
      <c r="H879" s="18">
        <f>IF($A879="","",F879-E879+1)</f>
        <v/>
      </c>
      <c r="I879" s="18" t="n"/>
    </row>
    <row r="880">
      <c r="A880" s="18">
        <f>IF(ISNUMBER(Dossiers!$D$20),Dossiers!$A$20&amp;" · "&amp;Dossiers!$B$20,"")</f>
        <v/>
      </c>
      <c r="B880" s="18">
        <f>IF($A880="","",Paramètres!G16)</f>
        <v/>
      </c>
      <c r="C880" s="18">
        <f>IF($A880="","",IF(Paramètres!H16="","",Paramètres!H16))</f>
        <v/>
      </c>
      <c r="D880" s="18">
        <f>IF($A880="","",IF(Paramètres!I16="","",Paramètres!I16))</f>
        <v/>
      </c>
      <c r="E880" s="19">
        <f>IF($A880="","",IF(Paramètres!J16&amp;Paramètres!L16&amp;Paramètres!N16="",Dossiers!$D$20,MAX(IF(Paramètres!J16="",0,IF(Paramètres!K16="",NA(),IF(LEFT(TRIM(Paramètres!K16),1)="F",INDEX($F$869:$F$921,MATCH(Paramètres!J16,Paramètres!$G$5:$G$57,0)),INDEX($E$869:$E$921,MATCH(Paramètres!J16,Paramètres!$G$5:$G$57,0)))+IF(RIGHT(TRIM(Paramètres!K16),3)="Fin",1-$H880,IF(LEFT(TRIM(Paramètres!K16),1)="F",1,0)))),IF(Paramètres!L16="",0,IF(Paramètres!M16="",NA(),IF(LEFT(TRIM(Paramètres!M16),1)="F",INDEX($F$869:$F$921,MATCH(Paramètres!L16,Paramètres!$G$5:$G$57,0)),INDEX($E$869:$E$921,MATCH(Paramètres!L16,Paramètres!$G$5:$G$57,0)))+IF(RIGHT(TRIM(Paramètres!M16),3)="Fin",1-$H880,IF(LEFT(TRIM(Paramètres!M16),1)="F",1,0)))),IF(Paramètres!N16="",0,IF(Paramètres!O16="",NA(),IF(LEFT(TRIM(Paramètres!O16),1)="F",INDEX($F$869:$F$921,MATCH(Paramètres!N16,Paramètres!$G$5:$G$57,0)),INDEX($E$869:$E$921,MATCH(Paramètres!N16,Paramètres!$G$5:$G$57,0)))+IF(RIGHT(TRIM(Paramètres!O16),3)="Fin",1-$H880,IF(LEFT(TRIM(Paramètres!O16),1)="F",1,0)))))))</f>
        <v/>
      </c>
      <c r="F880" s="19">
        <f>IF($A880="","",E880+$H880-1)</f>
        <v/>
      </c>
      <c r="G880" s="18" t="n"/>
      <c r="H880" s="18">
        <f>IF($A880="","",IF(I880&lt;&gt;"",I880,Paramètres!B16))</f>
        <v/>
      </c>
      <c r="I880" s="18" t="n"/>
    </row>
    <row r="881">
      <c r="A881" s="18">
        <f>IF(ISNUMBER(Dossiers!$D$20),Dossiers!$A$20&amp;" · "&amp;Dossiers!$B$20,"")</f>
        <v/>
      </c>
      <c r="B881" s="18">
        <f>IF($A881="","",Paramètres!G17)</f>
        <v/>
      </c>
      <c r="C881" s="18">
        <f>IF($A881="","",IF(Paramètres!H17="","",Paramètres!H17))</f>
        <v/>
      </c>
      <c r="D881" s="18">
        <f>IF($A881="","",IF(Paramètres!I17="","",Paramètres!I17))</f>
        <v/>
      </c>
      <c r="E881" s="19">
        <f>IF($A881="","",IF(Paramètres!J17&amp;Paramètres!L17&amp;Paramètres!N17="",Dossiers!$D$20,MAX(IF(Paramètres!J17="",0,IF(Paramètres!K17="",NA(),IF(LEFT(TRIM(Paramètres!K17),1)="F",INDEX($F$869:$F$921,MATCH(Paramètres!J17,Paramètres!$G$5:$G$57,0)),INDEX($E$869:$E$921,MATCH(Paramètres!J17,Paramètres!$G$5:$G$57,0)))+IF(RIGHT(TRIM(Paramètres!K17),3)="Fin",1-$H881,IF(LEFT(TRIM(Paramètres!K17),1)="F",1,0)))),IF(Paramètres!L17="",0,IF(Paramètres!M17="",NA(),IF(LEFT(TRIM(Paramètres!M17),1)="F",INDEX($F$869:$F$921,MATCH(Paramètres!L17,Paramètres!$G$5:$G$57,0)),INDEX($E$869:$E$921,MATCH(Paramètres!L17,Paramètres!$G$5:$G$57,0)))+IF(RIGHT(TRIM(Paramètres!M17),3)="Fin",1-$H881,IF(LEFT(TRIM(Paramètres!M17),1)="F",1,0)))),IF(Paramètres!N17="",0,IF(Paramètres!O17="",NA(),IF(LEFT(TRIM(Paramètres!O17),1)="F",INDEX($F$869:$F$921,MATCH(Paramètres!N17,Paramètres!$G$5:$G$57,0)),INDEX($E$869:$E$921,MATCH(Paramètres!N17,Paramètres!$G$5:$G$57,0)))+IF(RIGHT(TRIM(Paramètres!O17),3)="Fin",1-$H881,IF(LEFT(TRIM(Paramètres!O17),1)="F",1,0)))))))</f>
        <v/>
      </c>
      <c r="F881" s="19">
        <f>IF($A881="","",E881+$H881-1)</f>
        <v/>
      </c>
      <c r="G881" s="18" t="n"/>
      <c r="H881" s="18">
        <f>IF($A881="","",IF(I881&lt;&gt;"",I881,Paramètres!B17))</f>
        <v/>
      </c>
      <c r="I881" s="18" t="n"/>
    </row>
    <row r="882">
      <c r="A882" s="18">
        <f>IF(ISNUMBER(Dossiers!$D$20),Dossiers!$A$20&amp;" · "&amp;Dossiers!$B$20,"")</f>
        <v/>
      </c>
      <c r="B882" s="18">
        <f>IF($A882="","",Paramètres!G18)</f>
        <v/>
      </c>
      <c r="C882" s="18">
        <f>IF($A882="","",IF(Paramètres!H18="","",Paramètres!H18))</f>
        <v/>
      </c>
      <c r="D882" s="18">
        <f>IF($A882="","",IF(Paramètres!I18="","",Paramètres!I18))</f>
        <v/>
      </c>
      <c r="E882" s="19">
        <f>IF($A882="","",IF(Paramètres!J18&amp;Paramètres!L18&amp;Paramètres!N18="",Dossiers!$D$20,MAX(IF(Paramètres!J18="",0,IF(Paramètres!K18="",NA(),IF(LEFT(TRIM(Paramètres!K18),1)="F",INDEX($F$869:$F$921,MATCH(Paramètres!J18,Paramètres!$G$5:$G$57,0)),INDEX($E$869:$E$921,MATCH(Paramètres!J18,Paramètres!$G$5:$G$57,0)))+IF(RIGHT(TRIM(Paramètres!K18),3)="Fin",1-$H882,IF(LEFT(TRIM(Paramètres!K18),1)="F",1,0)))),IF(Paramètres!L18="",0,IF(Paramètres!M18="",NA(),IF(LEFT(TRIM(Paramètres!M18),1)="F",INDEX($F$869:$F$921,MATCH(Paramètres!L18,Paramètres!$G$5:$G$57,0)),INDEX($E$869:$E$921,MATCH(Paramètres!L18,Paramètres!$G$5:$G$57,0)))+IF(RIGHT(TRIM(Paramètres!M18),3)="Fin",1-$H882,IF(LEFT(TRIM(Paramètres!M18),1)="F",1,0)))),IF(Paramètres!N18="",0,IF(Paramètres!O18="",NA(),IF(LEFT(TRIM(Paramètres!O18),1)="F",INDEX($F$869:$F$921,MATCH(Paramètres!N18,Paramètres!$G$5:$G$57,0)),INDEX($E$869:$E$921,MATCH(Paramètres!N18,Paramètres!$G$5:$G$57,0)))+IF(RIGHT(TRIM(Paramètres!O18),3)="Fin",1-$H882,IF(LEFT(TRIM(Paramètres!O18),1)="F",1,0)))))))</f>
        <v/>
      </c>
      <c r="F882" s="19">
        <f>IF($A882="","",E882+$H882-1)</f>
        <v/>
      </c>
      <c r="G882" s="18" t="n"/>
      <c r="H882" s="18">
        <f>IF($A882="","",IF(I882&lt;&gt;"",I882,Paramètres!B18))</f>
        <v/>
      </c>
      <c r="I882" s="18" t="n"/>
    </row>
    <row r="883">
      <c r="A883" s="18">
        <f>IF(ISNUMBER(Dossiers!$D$20),Dossiers!$A$20&amp;" · "&amp;Dossiers!$B$20,"")</f>
        <v/>
      </c>
      <c r="B883" s="18">
        <f>IF($A883="","",Paramètres!G19)</f>
        <v/>
      </c>
      <c r="C883" s="18">
        <f>IF($A883="","",IF(Paramètres!H19="","",Paramètres!H19))</f>
        <v/>
      </c>
      <c r="D883" s="18">
        <f>IF($A883="","",IF(Paramètres!I19="","",Paramètres!I19))</f>
        <v/>
      </c>
      <c r="E883" s="19">
        <f>IF($A883="","",IF(Paramètres!J19&amp;Paramètres!L19&amp;Paramètres!N19="",Dossiers!$D$20,MAX(IF(Paramètres!J19="",0,IF(Paramètres!K19="",NA(),IF(LEFT(TRIM(Paramètres!K19),1)="F",INDEX($F$869:$F$921,MATCH(Paramètres!J19,Paramètres!$G$5:$G$57,0)),INDEX($E$869:$E$921,MATCH(Paramètres!J19,Paramètres!$G$5:$G$57,0)))+IF(RIGHT(TRIM(Paramètres!K19),3)="Fin",1-$H883,IF(LEFT(TRIM(Paramètres!K19),1)="F",1,0)))),IF(Paramètres!L19="",0,IF(Paramètres!M19="",NA(),IF(LEFT(TRIM(Paramètres!M19),1)="F",INDEX($F$869:$F$921,MATCH(Paramètres!L19,Paramètres!$G$5:$G$57,0)),INDEX($E$869:$E$921,MATCH(Paramètres!L19,Paramètres!$G$5:$G$57,0)))+IF(RIGHT(TRIM(Paramètres!M19),3)="Fin",1-$H883,IF(LEFT(TRIM(Paramètres!M19),1)="F",1,0)))),IF(Paramètres!N19="",0,IF(Paramètres!O19="",NA(),IF(LEFT(TRIM(Paramètres!O19),1)="F",INDEX($F$869:$F$921,MATCH(Paramètres!N19,Paramètres!$G$5:$G$57,0)),INDEX($E$869:$E$921,MATCH(Paramètres!N19,Paramètres!$G$5:$G$57,0)))+IF(RIGHT(TRIM(Paramètres!O19),3)="Fin",1-$H883,IF(LEFT(TRIM(Paramètres!O19),1)="F",1,0)))))))</f>
        <v/>
      </c>
      <c r="F883" s="19">
        <f>IF($A883="","",E883+$H883-1)</f>
        <v/>
      </c>
      <c r="G883" s="18" t="n"/>
      <c r="H883" s="18">
        <f>IF($A883="","",IF(I883&lt;&gt;"",I883,Paramètres!B19))</f>
        <v/>
      </c>
      <c r="I883" s="18" t="n"/>
    </row>
    <row r="884">
      <c r="A884" s="18">
        <f>IF(ISNUMBER(Dossiers!$D$20),Dossiers!$A$20&amp;" · "&amp;Dossiers!$B$20,"")</f>
        <v/>
      </c>
      <c r="B884" s="18">
        <f>IF($A884="","",Paramètres!G20)</f>
        <v/>
      </c>
      <c r="C884" s="18">
        <f>IF($A884="","",IF(Paramètres!H20="","",Paramètres!H20))</f>
        <v/>
      </c>
      <c r="D884" s="18">
        <f>IF($A884="","",IF(Paramètres!I20="","",Paramètres!I20))</f>
        <v/>
      </c>
      <c r="E884" s="19">
        <f>IF($A884="","",IF(Paramètres!J20&amp;Paramètres!L20&amp;Paramètres!N20="",Dossiers!$D$20,MAX(IF(Paramètres!J20="",0,IF(Paramètres!K20="",NA(),IF(LEFT(TRIM(Paramètres!K20),1)="F",INDEX($F$869:$F$921,MATCH(Paramètres!J20,Paramètres!$G$5:$G$57,0)),INDEX($E$869:$E$921,MATCH(Paramètres!J20,Paramètres!$G$5:$G$57,0)))+IF(RIGHT(TRIM(Paramètres!K20),3)="Fin",1-$H884,IF(LEFT(TRIM(Paramètres!K20),1)="F",1,0)))),IF(Paramètres!L20="",0,IF(Paramètres!M20="",NA(),IF(LEFT(TRIM(Paramètres!M20),1)="F",INDEX($F$869:$F$921,MATCH(Paramètres!L20,Paramètres!$G$5:$G$57,0)),INDEX($E$869:$E$921,MATCH(Paramètres!L20,Paramètres!$G$5:$G$57,0)))+IF(RIGHT(TRIM(Paramètres!M20),3)="Fin",1-$H884,IF(LEFT(TRIM(Paramètres!M20),1)="F",1,0)))),IF(Paramètres!N20="",0,IF(Paramètres!O20="",NA(),IF(LEFT(TRIM(Paramètres!O20),1)="F",INDEX($F$869:$F$921,MATCH(Paramètres!N20,Paramètres!$G$5:$G$57,0)),INDEX($E$869:$E$921,MATCH(Paramètres!N20,Paramètres!$G$5:$G$57,0)))+IF(RIGHT(TRIM(Paramètres!O20),3)="Fin",1-$H884,IF(LEFT(TRIM(Paramètres!O20),1)="F",1,0)))))))</f>
        <v/>
      </c>
      <c r="F884" s="19">
        <f>IF($A884="","",E884+$H884-1)</f>
        <v/>
      </c>
      <c r="G884" s="18" t="n"/>
      <c r="H884" s="18">
        <f>IF($A884="","",IF(I884&lt;&gt;"",I884,Paramètres!B20))</f>
        <v/>
      </c>
      <c r="I884" s="18" t="n"/>
    </row>
    <row r="885">
      <c r="A885" s="18">
        <f>IF(ISNUMBER(Dossiers!$D$20),Dossiers!$A$20&amp;" · "&amp;Dossiers!$B$20,"")</f>
        <v/>
      </c>
      <c r="B885" s="18">
        <f>IF($A885="","",Paramètres!G21)</f>
        <v/>
      </c>
      <c r="C885" s="18">
        <f>IF($A885="","",IF(Paramètres!H21="","",Paramètres!H21))</f>
        <v/>
      </c>
      <c r="D885" s="18">
        <f>IF($A885="","",IF(Paramètres!I21="","",Paramètres!I21))</f>
        <v/>
      </c>
      <c r="E885" s="19">
        <f>IF($A885="","",IF(Paramètres!J21&amp;Paramètres!L21&amp;Paramètres!N21="",Dossiers!$D$20,MAX(IF(Paramètres!J21="",0,IF(Paramètres!K21="",NA(),IF(LEFT(TRIM(Paramètres!K21),1)="F",INDEX($F$869:$F$921,MATCH(Paramètres!J21,Paramètres!$G$5:$G$57,0)),INDEX($E$869:$E$921,MATCH(Paramètres!J21,Paramètres!$G$5:$G$57,0)))+IF(RIGHT(TRIM(Paramètres!K21),3)="Fin",1-$H885,IF(LEFT(TRIM(Paramètres!K21),1)="F",1,0)))),IF(Paramètres!L21="",0,IF(Paramètres!M21="",NA(),IF(LEFT(TRIM(Paramètres!M21),1)="F",INDEX($F$869:$F$921,MATCH(Paramètres!L21,Paramètres!$G$5:$G$57,0)),INDEX($E$869:$E$921,MATCH(Paramètres!L21,Paramètres!$G$5:$G$57,0)))+IF(RIGHT(TRIM(Paramètres!M21),3)="Fin",1-$H885,IF(LEFT(TRIM(Paramètres!M21),1)="F",1,0)))),IF(Paramètres!N21="",0,IF(Paramètres!O21="",NA(),IF(LEFT(TRIM(Paramètres!O21),1)="F",INDEX($F$869:$F$921,MATCH(Paramètres!N21,Paramètres!$G$5:$G$57,0)),INDEX($E$869:$E$921,MATCH(Paramètres!N21,Paramètres!$G$5:$G$57,0)))+IF(RIGHT(TRIM(Paramètres!O21),3)="Fin",1-$H885,IF(LEFT(TRIM(Paramètres!O21),1)="F",1,0)))))))</f>
        <v/>
      </c>
      <c r="F885" s="19">
        <f>IF($A885="","",E885+$H885-1)</f>
        <v/>
      </c>
      <c r="G885" s="18" t="n"/>
      <c r="H885" s="18">
        <f>IF($A885="","",IF(I885&lt;&gt;"",I885,Paramètres!B21))</f>
        <v/>
      </c>
      <c r="I885" s="18" t="n"/>
    </row>
    <row r="886">
      <c r="A886" s="18">
        <f>IF(ISNUMBER(Dossiers!$D$20),Dossiers!$A$20&amp;" · "&amp;Dossiers!$B$20,"")</f>
        <v/>
      </c>
      <c r="B886" s="18">
        <f>IF($A886="","",Paramètres!G22)</f>
        <v/>
      </c>
      <c r="C886" s="18">
        <f>IF($A886="","",IF(Paramètres!H22="","",Paramètres!H22))</f>
        <v/>
      </c>
      <c r="D886" s="18">
        <f>IF($A886="","",IF(Paramètres!I22="","",Paramètres!I22))</f>
        <v/>
      </c>
      <c r="E886" s="19">
        <f>IF($A886="","",IF(Paramètres!J22&amp;Paramètres!L22&amp;Paramètres!N22="",Dossiers!$D$20,MAX(IF(Paramètres!J22="",0,IF(Paramètres!K22="",NA(),IF(LEFT(TRIM(Paramètres!K22),1)="F",INDEX($F$869:$F$921,MATCH(Paramètres!J22,Paramètres!$G$5:$G$57,0)),INDEX($E$869:$E$921,MATCH(Paramètres!J22,Paramètres!$G$5:$G$57,0)))+IF(RIGHT(TRIM(Paramètres!K22),3)="Fin",1-$H886,IF(LEFT(TRIM(Paramètres!K22),1)="F",1,0)))),IF(Paramètres!L22="",0,IF(Paramètres!M22="",NA(),IF(LEFT(TRIM(Paramètres!M22),1)="F",INDEX($F$869:$F$921,MATCH(Paramètres!L22,Paramètres!$G$5:$G$57,0)),INDEX($E$869:$E$921,MATCH(Paramètres!L22,Paramètres!$G$5:$G$57,0)))+IF(RIGHT(TRIM(Paramètres!M22),3)="Fin",1-$H886,IF(LEFT(TRIM(Paramètres!M22),1)="F",1,0)))),IF(Paramètres!N22="",0,IF(Paramètres!O22="",NA(),IF(LEFT(TRIM(Paramètres!O22),1)="F",INDEX($F$869:$F$921,MATCH(Paramètres!N22,Paramètres!$G$5:$G$57,0)),INDEX($E$869:$E$921,MATCH(Paramètres!N22,Paramètres!$G$5:$G$57,0)))+IF(RIGHT(TRIM(Paramètres!O22),3)="Fin",1-$H886,IF(LEFT(TRIM(Paramètres!O22),1)="F",1,0)))))))</f>
        <v/>
      </c>
      <c r="F886" s="19">
        <f>IF($A886="","",E886+$H886-1)</f>
        <v/>
      </c>
      <c r="G886" s="18" t="n"/>
      <c r="H886" s="18">
        <f>IF($A886="","",IF(I886&lt;&gt;"",I886,Paramètres!B22))</f>
        <v/>
      </c>
      <c r="I886" s="18" t="n"/>
    </row>
    <row r="887">
      <c r="A887" s="18">
        <f>IF(ISNUMBER(Dossiers!$D$20),Dossiers!$A$20&amp;" · "&amp;Dossiers!$B$20,"")</f>
        <v/>
      </c>
      <c r="B887" s="18">
        <f>IF($A887="","",Paramètres!G23)</f>
        <v/>
      </c>
      <c r="C887" s="18">
        <f>IF($A887="","",IF(Paramètres!H23="","",Paramètres!H23))</f>
        <v/>
      </c>
      <c r="D887" s="18">
        <f>IF($A887="","",IF(Paramètres!I23="","",Paramètres!I23))</f>
        <v/>
      </c>
      <c r="E887" s="19">
        <f>IF($A887="","",IF(Paramètres!J23&amp;Paramètres!L23&amp;Paramètres!N23="",Dossiers!$D$20,MAX(IF(Paramètres!J23="",0,IF(Paramètres!K23="",NA(),IF(LEFT(TRIM(Paramètres!K23),1)="F",INDEX($F$869:$F$921,MATCH(Paramètres!J23,Paramètres!$G$5:$G$57,0)),INDEX($E$869:$E$921,MATCH(Paramètres!J23,Paramètres!$G$5:$G$57,0)))+IF(RIGHT(TRIM(Paramètres!K23),3)="Fin",1-$H887,IF(LEFT(TRIM(Paramètres!K23),1)="F",1,0)))),IF(Paramètres!L23="",0,IF(Paramètres!M23="",NA(),IF(LEFT(TRIM(Paramètres!M23),1)="F",INDEX($F$869:$F$921,MATCH(Paramètres!L23,Paramètres!$G$5:$G$57,0)),INDEX($E$869:$E$921,MATCH(Paramètres!L23,Paramètres!$G$5:$G$57,0)))+IF(RIGHT(TRIM(Paramètres!M23),3)="Fin",1-$H887,IF(LEFT(TRIM(Paramètres!M23),1)="F",1,0)))),IF(Paramètres!N23="",0,IF(Paramètres!O23="",NA(),IF(LEFT(TRIM(Paramètres!O23),1)="F",INDEX($F$869:$F$921,MATCH(Paramètres!N23,Paramètres!$G$5:$G$57,0)),INDEX($E$869:$E$921,MATCH(Paramètres!N23,Paramètres!$G$5:$G$57,0)))+IF(RIGHT(TRIM(Paramètres!O23),3)="Fin",1-$H887,IF(LEFT(TRIM(Paramètres!O23),1)="F",1,0)))))))</f>
        <v/>
      </c>
      <c r="F887" s="19">
        <f>IF($A887="","",E887+$H887-1)</f>
        <v/>
      </c>
      <c r="G887" s="18" t="n"/>
      <c r="H887" s="18">
        <f>IF($A887="","",IF(I887&lt;&gt;"",I887,Paramètres!B23))</f>
        <v/>
      </c>
      <c r="I887" s="18" t="n"/>
    </row>
    <row r="888">
      <c r="A888" s="18">
        <f>IF(ISNUMBER(Dossiers!$D$20),Dossiers!$A$20&amp;" · "&amp;Dossiers!$B$20,"")</f>
        <v/>
      </c>
      <c r="B888" s="18">
        <f>IF($A888="","",Paramètres!G24)</f>
        <v/>
      </c>
      <c r="C888" s="18">
        <f>IF($A888="","",IF(Paramètres!H24="","",Paramètres!H24))</f>
        <v/>
      </c>
      <c r="D888" s="18">
        <f>IF($A888="","",IF(Paramètres!I24="","",Paramètres!I24))</f>
        <v/>
      </c>
      <c r="E888" s="19">
        <f>IF($A888="","",IF(Paramètres!J24&amp;Paramètres!L24&amp;Paramètres!N24="",Dossiers!$D$20,MAX(IF(Paramètres!J24="",0,IF(Paramètres!K24="",NA(),IF(LEFT(TRIM(Paramètres!K24),1)="F",INDEX($F$869:$F$921,MATCH(Paramètres!J24,Paramètres!$G$5:$G$57,0)),INDEX($E$869:$E$921,MATCH(Paramètres!J24,Paramètres!$G$5:$G$57,0)))+IF(RIGHT(TRIM(Paramètres!K24),3)="Fin",1-$H888,IF(LEFT(TRIM(Paramètres!K24),1)="F",1,0)))),IF(Paramètres!L24="",0,IF(Paramètres!M24="",NA(),IF(LEFT(TRIM(Paramètres!M24),1)="F",INDEX($F$869:$F$921,MATCH(Paramètres!L24,Paramètres!$G$5:$G$57,0)),INDEX($E$869:$E$921,MATCH(Paramètres!L24,Paramètres!$G$5:$G$57,0)))+IF(RIGHT(TRIM(Paramètres!M24),3)="Fin",1-$H888,IF(LEFT(TRIM(Paramètres!M24),1)="F",1,0)))),IF(Paramètres!N24="",0,IF(Paramètres!O24="",NA(),IF(LEFT(TRIM(Paramètres!O24),1)="F",INDEX($F$869:$F$921,MATCH(Paramètres!N24,Paramètres!$G$5:$G$57,0)),INDEX($E$869:$E$921,MATCH(Paramètres!N24,Paramètres!$G$5:$G$57,0)))+IF(RIGHT(TRIM(Paramètres!O24),3)="Fin",1-$H888,IF(LEFT(TRIM(Paramètres!O24),1)="F",1,0)))))))</f>
        <v/>
      </c>
      <c r="F888" s="19">
        <f>IF($A888="","",E888+$H888-1)</f>
        <v/>
      </c>
      <c r="G888" s="18" t="n"/>
      <c r="H888" s="18">
        <f>IF($A888="","",IF(I888&lt;&gt;"",I888,Paramètres!B24))</f>
        <v/>
      </c>
      <c r="I888" s="18" t="n"/>
    </row>
    <row r="889">
      <c r="A889" s="18">
        <f>IF(ISNUMBER(Dossiers!$D$20),Dossiers!$A$20&amp;" · "&amp;Dossiers!$B$20,"")</f>
        <v/>
      </c>
      <c r="B889" s="18">
        <f>IF($A889="","",Paramètres!G25)</f>
        <v/>
      </c>
      <c r="C889" s="18">
        <f>IF($A889="","",IF(Paramètres!H25="","",Paramètres!H25))</f>
        <v/>
      </c>
      <c r="D889" s="18">
        <f>IF($A889="","",IF(Paramètres!I25="","",Paramètres!I25))</f>
        <v/>
      </c>
      <c r="E889" s="19">
        <f>IF($A889="","",IF(Paramètres!J25&amp;Paramètres!L25&amp;Paramètres!N25="",Dossiers!$D$20,MAX(IF(Paramètres!J25="",0,IF(Paramètres!K25="",NA(),IF(LEFT(TRIM(Paramètres!K25),1)="F",INDEX($F$869:$F$921,MATCH(Paramètres!J25,Paramètres!$G$5:$G$57,0)),INDEX($E$869:$E$921,MATCH(Paramètres!J25,Paramètres!$G$5:$G$57,0)))+IF(RIGHT(TRIM(Paramètres!K25),3)="Fin",1-$H889,IF(LEFT(TRIM(Paramètres!K25),1)="F",1,0)))),IF(Paramètres!L25="",0,IF(Paramètres!M25="",NA(),IF(LEFT(TRIM(Paramètres!M25),1)="F",INDEX($F$869:$F$921,MATCH(Paramètres!L25,Paramètres!$G$5:$G$57,0)),INDEX($E$869:$E$921,MATCH(Paramètres!L25,Paramètres!$G$5:$G$57,0)))+IF(RIGHT(TRIM(Paramètres!M25),3)="Fin",1-$H889,IF(LEFT(TRIM(Paramètres!M25),1)="F",1,0)))),IF(Paramètres!N25="",0,IF(Paramètres!O25="",NA(),IF(LEFT(TRIM(Paramètres!O25),1)="F",INDEX($F$869:$F$921,MATCH(Paramètres!N25,Paramètres!$G$5:$G$57,0)),INDEX($E$869:$E$921,MATCH(Paramètres!N25,Paramètres!$G$5:$G$57,0)))+IF(RIGHT(TRIM(Paramètres!O25),3)="Fin",1-$H889,IF(LEFT(TRIM(Paramètres!O25),1)="F",1,0)))))))</f>
        <v/>
      </c>
      <c r="F889" s="19">
        <f>IF($A889="","",E889+$H889-1)</f>
        <v/>
      </c>
      <c r="G889" s="18" t="n"/>
      <c r="H889" s="18">
        <f>IF($A889="","",IF(I889&lt;&gt;"",I889,Paramètres!B25))</f>
        <v/>
      </c>
      <c r="I889" s="18" t="n"/>
    </row>
    <row r="890">
      <c r="A890" s="18">
        <f>IF(ISNUMBER(Dossiers!$D$20),Dossiers!$A$20&amp;" · "&amp;Dossiers!$B$20,"")</f>
        <v/>
      </c>
      <c r="B890" s="18">
        <f>IF($A890="","",Paramètres!G26)</f>
        <v/>
      </c>
      <c r="C890" s="18">
        <f>IF($A890="","",IF(Paramètres!H26="","",Paramètres!H26))</f>
        <v/>
      </c>
      <c r="D890" s="18">
        <f>IF($A890="","",IF(Paramètres!I26="","",Paramètres!I26))</f>
        <v/>
      </c>
      <c r="E890" s="19">
        <f>IF($A890="","",IF(Paramètres!J26&amp;Paramètres!L26&amp;Paramètres!N26="",Dossiers!$D$20,MAX(IF(Paramètres!J26="",0,IF(Paramètres!K26="",NA(),IF(LEFT(TRIM(Paramètres!K26),1)="F",INDEX($F$869:$F$921,MATCH(Paramètres!J26,Paramètres!$G$5:$G$57,0)),INDEX($E$869:$E$921,MATCH(Paramètres!J26,Paramètres!$G$5:$G$57,0)))+IF(RIGHT(TRIM(Paramètres!K26),3)="Fin",1-$H890,IF(LEFT(TRIM(Paramètres!K26),1)="F",1,0)))),IF(Paramètres!L26="",0,IF(Paramètres!M26="",NA(),IF(LEFT(TRIM(Paramètres!M26),1)="F",INDEX($F$869:$F$921,MATCH(Paramètres!L26,Paramètres!$G$5:$G$57,0)),INDEX($E$869:$E$921,MATCH(Paramètres!L26,Paramètres!$G$5:$G$57,0)))+IF(RIGHT(TRIM(Paramètres!M26),3)="Fin",1-$H890,IF(LEFT(TRIM(Paramètres!M26),1)="F",1,0)))),IF(Paramètres!N26="",0,IF(Paramètres!O26="",NA(),IF(LEFT(TRIM(Paramètres!O26),1)="F",INDEX($F$869:$F$921,MATCH(Paramètres!N26,Paramètres!$G$5:$G$57,0)),INDEX($E$869:$E$921,MATCH(Paramètres!N26,Paramètres!$G$5:$G$57,0)))+IF(RIGHT(TRIM(Paramètres!O26),3)="Fin",1-$H890,IF(LEFT(TRIM(Paramètres!O26),1)="F",1,0)))))))</f>
        <v/>
      </c>
      <c r="F890" s="19">
        <f>IF($A890="","",E890+$H890-1)</f>
        <v/>
      </c>
      <c r="G890" s="18" t="n"/>
      <c r="H890" s="18">
        <f>IF($A890="","",IF(I890&lt;&gt;"",I890,Paramètres!B26))</f>
        <v/>
      </c>
      <c r="I890" s="18" t="n"/>
    </row>
    <row r="891">
      <c r="A891" s="18">
        <f>IF(ISNUMBER(Dossiers!$D$20),Dossiers!$A$20&amp;" · "&amp;Dossiers!$B$20,"")</f>
        <v/>
      </c>
      <c r="B891" s="18">
        <f>IF($A891="","",Paramètres!G27)</f>
        <v/>
      </c>
      <c r="C891" s="18">
        <f>IF($A891="","",IF(Paramètres!H27="","",Paramètres!H27))</f>
        <v/>
      </c>
      <c r="D891" s="18">
        <f>IF($A891="","",IF(Paramètres!I27="","",Paramètres!I27))</f>
        <v/>
      </c>
      <c r="E891" s="19">
        <f>IF($A891="","",IF(Paramètres!J27&amp;Paramètres!L27&amp;Paramètres!N27="",Dossiers!$D$20,MAX(IF(Paramètres!J27="",0,IF(Paramètres!K27="",NA(),IF(LEFT(TRIM(Paramètres!K27),1)="F",INDEX($F$869:$F$921,MATCH(Paramètres!J27,Paramètres!$G$5:$G$57,0)),INDEX($E$869:$E$921,MATCH(Paramètres!J27,Paramètres!$G$5:$G$57,0)))+IF(RIGHT(TRIM(Paramètres!K27),3)="Fin",1-$H891,IF(LEFT(TRIM(Paramètres!K27),1)="F",1,0)))),IF(Paramètres!L27="",0,IF(Paramètres!M27="",NA(),IF(LEFT(TRIM(Paramètres!M27),1)="F",INDEX($F$869:$F$921,MATCH(Paramètres!L27,Paramètres!$G$5:$G$57,0)),INDEX($E$869:$E$921,MATCH(Paramètres!L27,Paramètres!$G$5:$G$57,0)))+IF(RIGHT(TRIM(Paramètres!M27),3)="Fin",1-$H891,IF(LEFT(TRIM(Paramètres!M27),1)="F",1,0)))),IF(Paramètres!N27="",0,IF(Paramètres!O27="",NA(),IF(LEFT(TRIM(Paramètres!O27),1)="F",INDEX($F$869:$F$921,MATCH(Paramètres!N27,Paramètres!$G$5:$G$57,0)),INDEX($E$869:$E$921,MATCH(Paramètres!N27,Paramètres!$G$5:$G$57,0)))+IF(RIGHT(TRIM(Paramètres!O27),3)="Fin",1-$H891,IF(LEFT(TRIM(Paramètres!O27),1)="F",1,0)))))))</f>
        <v/>
      </c>
      <c r="F891" s="19">
        <f>IF($A891="","",E891+$H891-1)</f>
        <v/>
      </c>
      <c r="G891" s="18" t="n"/>
      <c r="H891" s="18">
        <f>IF($A891="","",IF(I891&lt;&gt;"",I891,Paramètres!B27))</f>
        <v/>
      </c>
      <c r="I891" s="18" t="n"/>
    </row>
    <row r="892">
      <c r="A892" s="18">
        <f>IF(ISNUMBER(Dossiers!$D$20),Dossiers!$A$20&amp;" · "&amp;Dossiers!$B$20,"")</f>
        <v/>
      </c>
      <c r="B892" s="18">
        <f>IF($A892="","",Paramètres!G28)</f>
        <v/>
      </c>
      <c r="C892" s="18">
        <f>IF($A892="","",IF(Paramètres!H28="","",Paramètres!H28))</f>
        <v/>
      </c>
      <c r="D892" s="18">
        <f>IF($A892="","",IF(Paramètres!I28="","",Paramètres!I28))</f>
        <v/>
      </c>
      <c r="E892" s="19">
        <f>IF($A892="","",IF(Paramètres!J28&amp;Paramètres!L28&amp;Paramètres!N28="",Dossiers!$D$20,MAX(IF(Paramètres!J28="",0,IF(Paramètres!K28="",NA(),IF(LEFT(TRIM(Paramètres!K28),1)="F",INDEX($F$869:$F$921,MATCH(Paramètres!J28,Paramètres!$G$5:$G$57,0)),INDEX($E$869:$E$921,MATCH(Paramètres!J28,Paramètres!$G$5:$G$57,0)))+IF(RIGHT(TRIM(Paramètres!K28),3)="Fin",1-$H892,IF(LEFT(TRIM(Paramètres!K28),1)="F",1,0)))),IF(Paramètres!L28="",0,IF(Paramètres!M28="",NA(),IF(LEFT(TRIM(Paramètres!M28),1)="F",INDEX($F$869:$F$921,MATCH(Paramètres!L28,Paramètres!$G$5:$G$57,0)),INDEX($E$869:$E$921,MATCH(Paramètres!L28,Paramètres!$G$5:$G$57,0)))+IF(RIGHT(TRIM(Paramètres!M28),3)="Fin",1-$H892,IF(LEFT(TRIM(Paramètres!M28),1)="F",1,0)))),IF(Paramètres!N28="",0,IF(Paramètres!O28="",NA(),IF(LEFT(TRIM(Paramètres!O28),1)="F",INDEX($F$869:$F$921,MATCH(Paramètres!N28,Paramètres!$G$5:$G$57,0)),INDEX($E$869:$E$921,MATCH(Paramètres!N28,Paramètres!$G$5:$G$57,0)))+IF(RIGHT(TRIM(Paramètres!O28),3)="Fin",1-$H892,IF(LEFT(TRIM(Paramètres!O28),1)="F",1,0)))))))</f>
        <v/>
      </c>
      <c r="F892" s="19">
        <f>IF($A892="","",E892+$H892-1)</f>
        <v/>
      </c>
      <c r="G892" s="18" t="n"/>
      <c r="H892" s="18">
        <f>IF($A892="","",IF(I892&lt;&gt;"",I892,Paramètres!B28))</f>
        <v/>
      </c>
      <c r="I892" s="18" t="n"/>
    </row>
    <row r="893">
      <c r="A893" s="18">
        <f>IF(ISNUMBER(Dossiers!$D$20),Dossiers!$A$20&amp;" · "&amp;Dossiers!$B$20,"")</f>
        <v/>
      </c>
      <c r="B893" s="18">
        <f>IF($A893="","",Paramètres!G29)</f>
        <v/>
      </c>
      <c r="C893" s="18">
        <f>IF($A893="","",IF(Paramètres!H29="","",Paramètres!H29))</f>
        <v/>
      </c>
      <c r="D893" s="18">
        <f>IF($A893="","",IF(Paramètres!I29="","",Paramètres!I29))</f>
        <v/>
      </c>
      <c r="E893" s="19">
        <f>IF($A893="","",IF(Paramètres!J29&amp;Paramètres!L29&amp;Paramètres!N29="",Dossiers!$D$20,MAX(IF(Paramètres!J29="",0,IF(Paramètres!K29="",NA(),IF(LEFT(TRIM(Paramètres!K29),1)="F",INDEX($F$869:$F$921,MATCH(Paramètres!J29,Paramètres!$G$5:$G$57,0)),INDEX($E$869:$E$921,MATCH(Paramètres!J29,Paramètres!$G$5:$G$57,0)))+IF(RIGHT(TRIM(Paramètres!K29),3)="Fin",1-$H893,IF(LEFT(TRIM(Paramètres!K29),1)="F",1,0)))),IF(Paramètres!L29="",0,IF(Paramètres!M29="",NA(),IF(LEFT(TRIM(Paramètres!M29),1)="F",INDEX($F$869:$F$921,MATCH(Paramètres!L29,Paramètres!$G$5:$G$57,0)),INDEX($E$869:$E$921,MATCH(Paramètres!L29,Paramètres!$G$5:$G$57,0)))+IF(RIGHT(TRIM(Paramètres!M29),3)="Fin",1-$H893,IF(LEFT(TRIM(Paramètres!M29),1)="F",1,0)))),IF(Paramètres!N29="",0,IF(Paramètres!O29="",NA(),IF(LEFT(TRIM(Paramètres!O29),1)="F",INDEX($F$869:$F$921,MATCH(Paramètres!N29,Paramètres!$G$5:$G$57,0)),INDEX($E$869:$E$921,MATCH(Paramètres!N29,Paramètres!$G$5:$G$57,0)))+IF(RIGHT(TRIM(Paramètres!O29),3)="Fin",1-$H893,IF(LEFT(TRIM(Paramètres!O29),1)="F",1,0)))))))</f>
        <v/>
      </c>
      <c r="F893" s="19">
        <f>IF($A893="","",E893+$H893-1)</f>
        <v/>
      </c>
      <c r="G893" s="18" t="n"/>
      <c r="H893" s="18">
        <f>IF($A893="","",IF(I893&lt;&gt;"",I893,Paramètres!B29))</f>
        <v/>
      </c>
      <c r="I893" s="18" t="n"/>
    </row>
    <row r="894">
      <c r="A894" s="18">
        <f>IF(ISNUMBER(Dossiers!$D$20),Dossiers!$A$20&amp;" · "&amp;Dossiers!$B$20,"")</f>
        <v/>
      </c>
      <c r="B894" s="18">
        <f>IF($A894="","",Paramètres!G30)</f>
        <v/>
      </c>
      <c r="C894" s="18">
        <f>IF($A894="","",IF(Paramètres!H30="","",Paramètres!H30))</f>
        <v/>
      </c>
      <c r="D894" s="18">
        <f>IF($A894="","",IF(Paramètres!I30="","",Paramètres!I30))</f>
        <v/>
      </c>
      <c r="E894" s="19">
        <f>IF($A894="","",IF(Paramètres!J30&amp;Paramètres!L30&amp;Paramètres!N30="",Dossiers!$D$20,MAX(IF(Paramètres!J30="",0,IF(Paramètres!K30="",NA(),IF(LEFT(TRIM(Paramètres!K30),1)="F",INDEX($F$869:$F$921,MATCH(Paramètres!J30,Paramètres!$G$5:$G$57,0)),INDEX($E$869:$E$921,MATCH(Paramètres!J30,Paramètres!$G$5:$G$57,0)))+IF(RIGHT(TRIM(Paramètres!K30),3)="Fin",1-$H894,IF(LEFT(TRIM(Paramètres!K30),1)="F",1,0)))),IF(Paramètres!L30="",0,IF(Paramètres!M30="",NA(),IF(LEFT(TRIM(Paramètres!M30),1)="F",INDEX($F$869:$F$921,MATCH(Paramètres!L30,Paramètres!$G$5:$G$57,0)),INDEX($E$869:$E$921,MATCH(Paramètres!L30,Paramètres!$G$5:$G$57,0)))+IF(RIGHT(TRIM(Paramètres!M30),3)="Fin",1-$H894,IF(LEFT(TRIM(Paramètres!M30),1)="F",1,0)))),IF(Paramètres!N30="",0,IF(Paramètres!O30="",NA(),IF(LEFT(TRIM(Paramètres!O30),1)="F",INDEX($F$869:$F$921,MATCH(Paramètres!N30,Paramètres!$G$5:$G$57,0)),INDEX($E$869:$E$921,MATCH(Paramètres!N30,Paramètres!$G$5:$G$57,0)))+IF(RIGHT(TRIM(Paramètres!O30),3)="Fin",1-$H894,IF(LEFT(TRIM(Paramètres!O30),1)="F",1,0)))))))</f>
        <v/>
      </c>
      <c r="F894" s="19">
        <f>IF($A894="","",E894+$H894-1)</f>
        <v/>
      </c>
      <c r="G894" s="18" t="n"/>
      <c r="H894" s="18">
        <f>IF($A894="","",IF(I894&lt;&gt;"",I894,Paramètres!B30))</f>
        <v/>
      </c>
      <c r="I894" s="18" t="n"/>
    </row>
    <row r="895">
      <c r="A895" s="18">
        <f>IF(ISNUMBER(Dossiers!$D$20),Dossiers!$A$20&amp;" · "&amp;Dossiers!$B$20,"")</f>
        <v/>
      </c>
      <c r="B895" s="18">
        <f>IF($A895="","",Paramètres!G31)</f>
        <v/>
      </c>
      <c r="C895" s="20">
        <f>IF($A895="","",IF(Dossiers!$F$20="","",Dossiers!$F$20))</f>
        <v/>
      </c>
      <c r="D895" s="18">
        <f>IF($A895="","",IF(Paramètres!I31="","",Paramètres!I31))</f>
        <v/>
      </c>
      <c r="E895" s="19">
        <f>IF($A895="","",IF(Paramètres!J31&amp;Paramètres!L31&amp;Paramètres!N31="",Dossiers!$D$20,MAX(IF(Paramètres!J31="",0,IF(Paramètres!K31="",NA(),IF(LEFT(TRIM(Paramètres!K31),1)="F",INDEX($F$869:$F$921,MATCH(Paramètres!J31,Paramètres!$G$5:$G$57,0)),INDEX($E$869:$E$921,MATCH(Paramètres!J31,Paramètres!$G$5:$G$57,0)))+IF(RIGHT(TRIM(Paramètres!K31),3)="Fin",1-$H895,IF(LEFT(TRIM(Paramètres!K31),1)="F",1,0)))),IF(Paramètres!L31="",0,IF(Paramètres!M31="",NA(),IF(LEFT(TRIM(Paramètres!M31),1)="F",INDEX($F$869:$F$921,MATCH(Paramètres!L31,Paramètres!$G$5:$G$57,0)),INDEX($E$869:$E$921,MATCH(Paramètres!L31,Paramètres!$G$5:$G$57,0)))+IF(RIGHT(TRIM(Paramètres!M31),3)="Fin",1-$H895,IF(LEFT(TRIM(Paramètres!M31),1)="F",1,0)))),IF(Paramètres!N31="",0,IF(Paramètres!O31="",NA(),IF(LEFT(TRIM(Paramètres!O31),1)="F",INDEX($F$869:$F$921,MATCH(Paramètres!N31,Paramètres!$G$5:$G$57,0)),INDEX($E$869:$E$921,MATCH(Paramètres!N31,Paramètres!$G$5:$G$57,0)))+IF(RIGHT(TRIM(Paramètres!O31),3)="Fin",1-$H895,IF(LEFT(TRIM(Paramètres!O31),1)="F",1,0)))))))</f>
        <v/>
      </c>
      <c r="F895" s="19">
        <f>IF($A895="","",E895+$H895-1)</f>
        <v/>
      </c>
      <c r="G895" s="18" t="n"/>
      <c r="H895" s="18">
        <f>IF($A895="","",IF(I895&lt;&gt;"",I895,Paramètres!B31))</f>
        <v/>
      </c>
      <c r="I895" s="18" t="n"/>
    </row>
    <row r="896">
      <c r="A896" s="18">
        <f>IF(ISNUMBER(Dossiers!$D$20),Dossiers!$A$20&amp;" · "&amp;Dossiers!$B$20,"")</f>
        <v/>
      </c>
      <c r="B896" s="18">
        <f>IF($A896="","",Paramètres!G32)</f>
        <v/>
      </c>
      <c r="C896" s="18">
        <f>IF($A896="","",IF(Paramètres!H32="","",Paramètres!H32))</f>
        <v/>
      </c>
      <c r="D896" s="18">
        <f>IF($A896="","",IF(Paramètres!I32="","",Paramètres!I32))</f>
        <v/>
      </c>
      <c r="E896" s="19">
        <f>IF($A896="","",MIN(E897:E900))</f>
        <v/>
      </c>
      <c r="F896" s="19">
        <f>IF($A896="","",MAX(F897:F900))</f>
        <v/>
      </c>
      <c r="G896" s="18" t="n"/>
      <c r="H896" s="18">
        <f>IF($A896="","",F896-E896+1)</f>
        <v/>
      </c>
      <c r="I896" s="18" t="n"/>
    </row>
    <row r="897">
      <c r="A897" s="18">
        <f>IF(ISNUMBER(Dossiers!$D$20),Dossiers!$A$20&amp;" · "&amp;Dossiers!$B$20,"")</f>
        <v/>
      </c>
      <c r="B897" s="18">
        <f>IF($A897="","",Paramètres!G33)</f>
        <v/>
      </c>
      <c r="C897" s="18">
        <f>IF($A897="","",IF(Paramètres!H33="","",Paramètres!H33))</f>
        <v/>
      </c>
      <c r="D897" s="18">
        <f>IF($A897="","",IF(Paramètres!I33="","",Paramètres!I33))</f>
        <v/>
      </c>
      <c r="E897" s="19">
        <f>IF($A897="","",IF(Paramètres!J33&amp;Paramètres!L33&amp;Paramètres!N33="",Dossiers!$D$20,MAX(IF(Paramètres!J33="",0,IF(Paramètres!K33="",NA(),IF(LEFT(TRIM(Paramètres!K33),1)="F",INDEX($F$869:$F$921,MATCH(Paramètres!J33,Paramètres!$G$5:$G$57,0)),INDEX($E$869:$E$921,MATCH(Paramètres!J33,Paramètres!$G$5:$G$57,0)))+IF(RIGHT(TRIM(Paramètres!K33),3)="Fin",1-$H897,IF(LEFT(TRIM(Paramètres!K33),1)="F",1,0)))),IF(Paramètres!L33="",0,IF(Paramètres!M33="",NA(),IF(LEFT(TRIM(Paramètres!M33),1)="F",INDEX($F$869:$F$921,MATCH(Paramètres!L33,Paramètres!$G$5:$G$57,0)),INDEX($E$869:$E$921,MATCH(Paramètres!L33,Paramètres!$G$5:$G$57,0)))+IF(RIGHT(TRIM(Paramètres!M33),3)="Fin",1-$H897,IF(LEFT(TRIM(Paramètres!M33),1)="F",1,0)))),IF(Paramètres!N33="",0,IF(Paramètres!O33="",NA(),IF(LEFT(TRIM(Paramètres!O33),1)="F",INDEX($F$869:$F$921,MATCH(Paramètres!N33,Paramètres!$G$5:$G$57,0)),INDEX($E$869:$E$921,MATCH(Paramètres!N33,Paramètres!$G$5:$G$57,0)))+IF(RIGHT(TRIM(Paramètres!O33),3)="Fin",1-$H897,IF(LEFT(TRIM(Paramètres!O33),1)="F",1,0)))))))</f>
        <v/>
      </c>
      <c r="F897" s="19">
        <f>IF($A897="","",E897+$H897-1)</f>
        <v/>
      </c>
      <c r="G897" s="18" t="n"/>
      <c r="H897" s="18">
        <f>IF($A897="","",IF(I897&lt;&gt;"",I897,Paramètres!B33))</f>
        <v/>
      </c>
      <c r="I897" s="18" t="n"/>
    </row>
    <row r="898">
      <c r="A898" s="18">
        <f>IF(ISNUMBER(Dossiers!$D$20),Dossiers!$A$20&amp;" · "&amp;Dossiers!$B$20,"")</f>
        <v/>
      </c>
      <c r="B898" s="18">
        <f>IF($A898="","",Paramètres!G34)</f>
        <v/>
      </c>
      <c r="C898" s="18">
        <f>IF($A898="","",IF(Paramètres!H34="","",Paramètres!H34))</f>
        <v/>
      </c>
      <c r="D898" s="18">
        <f>IF($A898="","",IF(Paramètres!I34="","",Paramètres!I34))</f>
        <v/>
      </c>
      <c r="E898" s="19">
        <f>IF($A898="","",IF(Paramètres!J34&amp;Paramètres!L34&amp;Paramètres!N34="",Dossiers!$D$20,MAX(IF(Paramètres!J34="",0,IF(Paramètres!K34="",NA(),IF(LEFT(TRIM(Paramètres!K34),1)="F",INDEX($F$869:$F$921,MATCH(Paramètres!J34,Paramètres!$G$5:$G$57,0)),INDEX($E$869:$E$921,MATCH(Paramètres!J34,Paramètres!$G$5:$G$57,0)))+IF(RIGHT(TRIM(Paramètres!K34),3)="Fin",1-$H898,IF(LEFT(TRIM(Paramètres!K34),1)="F",1,0)))),IF(Paramètres!L34="",0,IF(Paramètres!M34="",NA(),IF(LEFT(TRIM(Paramètres!M34),1)="F",INDEX($F$869:$F$921,MATCH(Paramètres!L34,Paramètres!$G$5:$G$57,0)),INDEX($E$869:$E$921,MATCH(Paramètres!L34,Paramètres!$G$5:$G$57,0)))+IF(RIGHT(TRIM(Paramètres!M34),3)="Fin",1-$H898,IF(LEFT(TRIM(Paramètres!M34),1)="F",1,0)))),IF(Paramètres!N34="",0,IF(Paramètres!O34="",NA(),IF(LEFT(TRIM(Paramètres!O34),1)="F",INDEX($F$869:$F$921,MATCH(Paramètres!N34,Paramètres!$G$5:$G$57,0)),INDEX($E$869:$E$921,MATCH(Paramètres!N34,Paramètres!$G$5:$G$57,0)))+IF(RIGHT(TRIM(Paramètres!O34),3)="Fin",1-$H898,IF(LEFT(TRIM(Paramètres!O34),1)="F",1,0)))))))</f>
        <v/>
      </c>
      <c r="F898" s="19">
        <f>IF($A898="","",E898+$H898-1)</f>
        <v/>
      </c>
      <c r="G898" s="18" t="n"/>
      <c r="H898" s="18">
        <f>IF($A898="","",IF(I898&lt;&gt;"",I898,Paramètres!B34))</f>
        <v/>
      </c>
      <c r="I898" s="18" t="n"/>
    </row>
    <row r="899">
      <c r="A899" s="18">
        <f>IF(ISNUMBER(Dossiers!$D$20),Dossiers!$A$20&amp;" · "&amp;Dossiers!$B$20,"")</f>
        <v/>
      </c>
      <c r="B899" s="18">
        <f>IF($A899="","",Paramètres!G35)</f>
        <v/>
      </c>
      <c r="C899" s="18">
        <f>IF($A899="","",IF(Paramètres!H35="","",Paramètres!H35))</f>
        <v/>
      </c>
      <c r="D899" s="18">
        <f>IF($A899="","",IF(Paramètres!I35="","",Paramètres!I35))</f>
        <v/>
      </c>
      <c r="E899" s="19">
        <f>IF($A899="","",IF(Paramètres!J35&amp;Paramètres!L35&amp;Paramètres!N35="",Dossiers!$D$20,MAX(IF(Paramètres!J35="",0,IF(Paramètres!K35="",NA(),IF(LEFT(TRIM(Paramètres!K35),1)="F",INDEX($F$869:$F$921,MATCH(Paramètres!J35,Paramètres!$G$5:$G$57,0)),INDEX($E$869:$E$921,MATCH(Paramètres!J35,Paramètres!$G$5:$G$57,0)))+IF(RIGHT(TRIM(Paramètres!K35),3)="Fin",1-$H899,IF(LEFT(TRIM(Paramètres!K35),1)="F",1,0)))),IF(Paramètres!L35="",0,IF(Paramètres!M35="",NA(),IF(LEFT(TRIM(Paramètres!M35),1)="F",INDEX($F$869:$F$921,MATCH(Paramètres!L35,Paramètres!$G$5:$G$57,0)),INDEX($E$869:$E$921,MATCH(Paramètres!L35,Paramètres!$G$5:$G$57,0)))+IF(RIGHT(TRIM(Paramètres!M35),3)="Fin",1-$H899,IF(LEFT(TRIM(Paramètres!M35),1)="F",1,0)))),IF(Paramètres!N35="",0,IF(Paramètres!O35="",NA(),IF(LEFT(TRIM(Paramètres!O35),1)="F",INDEX($F$869:$F$921,MATCH(Paramètres!N35,Paramètres!$G$5:$G$57,0)),INDEX($E$869:$E$921,MATCH(Paramètres!N35,Paramètres!$G$5:$G$57,0)))+IF(RIGHT(TRIM(Paramètres!O35),3)="Fin",1-$H899,IF(LEFT(TRIM(Paramètres!O35),1)="F",1,0)))))))</f>
        <v/>
      </c>
      <c r="F899" s="19">
        <f>IF($A899="","",E899+$H899-1)</f>
        <v/>
      </c>
      <c r="G899" s="18" t="n"/>
      <c r="H899" s="18">
        <f>IF($A899="","",IF(I899&lt;&gt;"",I899,Paramètres!B35))</f>
        <v/>
      </c>
      <c r="I899" s="18" t="n"/>
    </row>
    <row r="900">
      <c r="A900" s="18">
        <f>IF(ISNUMBER(Dossiers!$D$20),Dossiers!$A$20&amp;" · "&amp;Dossiers!$B$20,"")</f>
        <v/>
      </c>
      <c r="B900" s="18">
        <f>IF($A900="","",Paramètres!G36)</f>
        <v/>
      </c>
      <c r="C900" s="18">
        <f>IF($A900="","",IF(Paramètres!H36="","",Paramètres!H36))</f>
        <v/>
      </c>
      <c r="D900" s="18">
        <f>IF($A900="","",IF(Paramètres!I36="","",Paramètres!I36))</f>
        <v/>
      </c>
      <c r="E900" s="19">
        <f>IF($A900="","",IF(Paramètres!J36&amp;Paramètres!L36&amp;Paramètres!N36="",Dossiers!$D$20,MAX(IF(Paramètres!J36="",0,IF(Paramètres!K36="",NA(),IF(LEFT(TRIM(Paramètres!K36),1)="F",INDEX($F$869:$F$921,MATCH(Paramètres!J36,Paramètres!$G$5:$G$57,0)),INDEX($E$869:$E$921,MATCH(Paramètres!J36,Paramètres!$G$5:$G$57,0)))+IF(RIGHT(TRIM(Paramètres!K36),3)="Fin",1-$H900,IF(LEFT(TRIM(Paramètres!K36),1)="F",1,0)))),IF(Paramètres!L36="",0,IF(Paramètres!M36="",NA(),IF(LEFT(TRIM(Paramètres!M36),1)="F",INDEX($F$869:$F$921,MATCH(Paramètres!L36,Paramètres!$G$5:$G$57,0)),INDEX($E$869:$E$921,MATCH(Paramètres!L36,Paramètres!$G$5:$G$57,0)))+IF(RIGHT(TRIM(Paramètres!M36),3)="Fin",1-$H900,IF(LEFT(TRIM(Paramètres!M36),1)="F",1,0)))),IF(Paramètres!N36="",0,IF(Paramètres!O36="",NA(),IF(LEFT(TRIM(Paramètres!O36),1)="F",INDEX($F$869:$F$921,MATCH(Paramètres!N36,Paramètres!$G$5:$G$57,0)),INDEX($E$869:$E$921,MATCH(Paramètres!N36,Paramètres!$G$5:$G$57,0)))+IF(RIGHT(TRIM(Paramètres!O36),3)="Fin",1-$H900,IF(LEFT(TRIM(Paramètres!O36),1)="F",1,0)))))))</f>
        <v/>
      </c>
      <c r="F900" s="19">
        <f>IF($A900="","",E900+$H900-1)</f>
        <v/>
      </c>
      <c r="G900" s="18" t="n"/>
      <c r="H900" s="18">
        <f>IF($A900="","",IF(I900&lt;&gt;"",I900,Paramètres!B36))</f>
        <v/>
      </c>
      <c r="I900" s="18" t="n"/>
    </row>
    <row r="901">
      <c r="A901" s="18">
        <f>IF(ISNUMBER(Dossiers!$D$20),Dossiers!$A$20&amp;" · "&amp;Dossiers!$B$20,"")</f>
        <v/>
      </c>
      <c r="B901" s="18">
        <f>IF($A901="","",Paramètres!G37)</f>
        <v/>
      </c>
      <c r="C901" s="18">
        <f>IF($A901="","",IF(Paramètres!H37="","",Paramètres!H37))</f>
        <v/>
      </c>
      <c r="D901" s="18">
        <f>IF($A901="","",IF(Paramètres!I37="","",Paramètres!I37))</f>
        <v/>
      </c>
      <c r="E901" s="19">
        <f>IF($A901="","",MIN(E902:E919))</f>
        <v/>
      </c>
      <c r="F901" s="19">
        <f>IF($A901="","",MAX(F902:F919))</f>
        <v/>
      </c>
      <c r="G901" s="18" t="n"/>
      <c r="H901" s="18">
        <f>IF($A901="","",F901-E901+1)</f>
        <v/>
      </c>
      <c r="I901" s="18" t="n"/>
    </row>
    <row r="902">
      <c r="A902" s="18">
        <f>IF(ISNUMBER(Dossiers!$D$20),Dossiers!$A$20&amp;" · "&amp;Dossiers!$B$20,"")</f>
        <v/>
      </c>
      <c r="B902" s="18">
        <f>IF($A902="","",Paramètres!G38)</f>
        <v/>
      </c>
      <c r="C902" s="18">
        <f>IF($A902="","",IF(Paramètres!H38="","",Paramètres!H38))</f>
        <v/>
      </c>
      <c r="D902" s="18">
        <f>IF($A902="","",IF(Paramètres!I38="","",Paramètres!I38))</f>
        <v/>
      </c>
      <c r="E902" s="19">
        <f>IF($A902="","",IF(Paramètres!J38&amp;Paramètres!L38&amp;Paramètres!N38="",Dossiers!$D$20,MAX(IF(Paramètres!J38="",0,IF(Paramètres!K38="",NA(),IF(LEFT(TRIM(Paramètres!K38),1)="F",INDEX($F$869:$F$921,MATCH(Paramètres!J38,Paramètres!$G$5:$G$57,0)),INDEX($E$869:$E$921,MATCH(Paramètres!J38,Paramètres!$G$5:$G$57,0)))+IF(RIGHT(TRIM(Paramètres!K38),3)="Fin",1-$H902,IF(LEFT(TRIM(Paramètres!K38),1)="F",1,0)))),IF(Paramètres!L38="",0,IF(Paramètres!M38="",NA(),IF(LEFT(TRIM(Paramètres!M38),1)="F",INDEX($F$869:$F$921,MATCH(Paramètres!L38,Paramètres!$G$5:$G$57,0)),INDEX($E$869:$E$921,MATCH(Paramètres!L38,Paramètres!$G$5:$G$57,0)))+IF(RIGHT(TRIM(Paramètres!M38),3)="Fin",1-$H902,IF(LEFT(TRIM(Paramètres!M38),1)="F",1,0)))),IF(Paramètres!N38="",0,IF(Paramètres!O38="",NA(),IF(LEFT(TRIM(Paramètres!O38),1)="F",INDEX($F$869:$F$921,MATCH(Paramètres!N38,Paramètres!$G$5:$G$57,0)),INDEX($E$869:$E$921,MATCH(Paramètres!N38,Paramètres!$G$5:$G$57,0)))+IF(RIGHT(TRIM(Paramètres!O38),3)="Fin",1-$H902,IF(LEFT(TRIM(Paramètres!O38),1)="F",1,0)))))))</f>
        <v/>
      </c>
      <c r="F902" s="19">
        <f>IF($A902="","",E902+$H902-1)</f>
        <v/>
      </c>
      <c r="G902" s="18" t="n"/>
      <c r="H902" s="18">
        <f>IF($A902="","",IF(I902&lt;&gt;"",I902,Paramètres!B38))</f>
        <v/>
      </c>
      <c r="I902" s="18" t="n"/>
    </row>
    <row r="903">
      <c r="A903" s="18">
        <f>IF(ISNUMBER(Dossiers!$D$20),Dossiers!$A$20&amp;" · "&amp;Dossiers!$B$20,"")</f>
        <v/>
      </c>
      <c r="B903" s="18">
        <f>IF($A903="","",Paramètres!G39)</f>
        <v/>
      </c>
      <c r="C903" s="18">
        <f>IF($A903="","",IF(Paramètres!H39="","",Paramètres!H39))</f>
        <v/>
      </c>
      <c r="D903" s="18">
        <f>IF($A903="","",IF(Paramètres!I39="","",Paramètres!I39))</f>
        <v/>
      </c>
      <c r="E903" s="19">
        <f>IF($A903="","",IF(Paramètres!J39&amp;Paramètres!L39&amp;Paramètres!N39="",Dossiers!$D$20,MAX(IF(Paramètres!J39="",0,IF(Paramètres!K39="",NA(),IF(LEFT(TRIM(Paramètres!K39),1)="F",INDEX($F$869:$F$921,MATCH(Paramètres!J39,Paramètres!$G$5:$G$57,0)),INDEX($E$869:$E$921,MATCH(Paramètres!J39,Paramètres!$G$5:$G$57,0)))+IF(RIGHT(TRIM(Paramètres!K39),3)="Fin",1-$H903,IF(LEFT(TRIM(Paramètres!K39),1)="F",1,0)))),IF(Paramètres!L39="",0,IF(Paramètres!M39="",NA(),IF(LEFT(TRIM(Paramètres!M39),1)="F",INDEX($F$869:$F$921,MATCH(Paramètres!L39,Paramètres!$G$5:$G$57,0)),INDEX($E$869:$E$921,MATCH(Paramètres!L39,Paramètres!$G$5:$G$57,0)))+IF(RIGHT(TRIM(Paramètres!M39),3)="Fin",1-$H903,IF(LEFT(TRIM(Paramètres!M39),1)="F",1,0)))),IF(Paramètres!N39="",0,IF(Paramètres!O39="",NA(),IF(LEFT(TRIM(Paramètres!O39),1)="F",INDEX($F$869:$F$921,MATCH(Paramètres!N39,Paramètres!$G$5:$G$57,0)),INDEX($E$869:$E$921,MATCH(Paramètres!N39,Paramètres!$G$5:$G$57,0)))+IF(RIGHT(TRIM(Paramètres!O39),3)="Fin",1-$H903,IF(LEFT(TRIM(Paramètres!O39),1)="F",1,0)))))))</f>
        <v/>
      </c>
      <c r="F903" s="19">
        <f>IF($A903="","",E903+$H903-1)</f>
        <v/>
      </c>
      <c r="G903" s="18" t="n"/>
      <c r="H903" s="18">
        <f>IF($A903="","",IF(I903&lt;&gt;"",I903,Paramètres!B39))</f>
        <v/>
      </c>
      <c r="I903" s="18" t="n"/>
    </row>
    <row r="904">
      <c r="A904" s="18">
        <f>IF(ISNUMBER(Dossiers!$D$20),Dossiers!$A$20&amp;" · "&amp;Dossiers!$B$20,"")</f>
        <v/>
      </c>
      <c r="B904" s="18">
        <f>IF($A904="","",Paramètres!G40)</f>
        <v/>
      </c>
      <c r="C904" s="18">
        <f>IF($A904="","",IF(Paramètres!H40="","",Paramètres!H40))</f>
        <v/>
      </c>
      <c r="D904" s="18">
        <f>IF($A904="","",IF(Paramètres!I40="","",Paramètres!I40))</f>
        <v/>
      </c>
      <c r="E904" s="19">
        <f>IF($A904="","",IF(Paramètres!J40&amp;Paramètres!L40&amp;Paramètres!N40="",Dossiers!$D$20,MAX(IF(Paramètres!J40="",0,IF(Paramètres!K40="",NA(),IF(LEFT(TRIM(Paramètres!K40),1)="F",INDEX($F$869:$F$921,MATCH(Paramètres!J40,Paramètres!$G$5:$G$57,0)),INDEX($E$869:$E$921,MATCH(Paramètres!J40,Paramètres!$G$5:$G$57,0)))+IF(RIGHT(TRIM(Paramètres!K40),3)="Fin",1-$H904,IF(LEFT(TRIM(Paramètres!K40),1)="F",1,0)))),IF(Paramètres!L40="",0,IF(Paramètres!M40="",NA(),IF(LEFT(TRIM(Paramètres!M40),1)="F",INDEX($F$869:$F$921,MATCH(Paramètres!L40,Paramètres!$G$5:$G$57,0)),INDEX($E$869:$E$921,MATCH(Paramètres!L40,Paramètres!$G$5:$G$57,0)))+IF(RIGHT(TRIM(Paramètres!M40),3)="Fin",1-$H904,IF(LEFT(TRIM(Paramètres!M40),1)="F",1,0)))),IF(Paramètres!N40="",0,IF(Paramètres!O40="",NA(),IF(LEFT(TRIM(Paramètres!O40),1)="F",INDEX($F$869:$F$921,MATCH(Paramètres!N40,Paramètres!$G$5:$G$57,0)),INDEX($E$869:$E$921,MATCH(Paramètres!N40,Paramètres!$G$5:$G$57,0)))+IF(RIGHT(TRIM(Paramètres!O40),3)="Fin",1-$H904,IF(LEFT(TRIM(Paramètres!O40),1)="F",1,0)))))))</f>
        <v/>
      </c>
      <c r="F904" s="19">
        <f>IF($A904="","",E904+$H904-1)</f>
        <v/>
      </c>
      <c r="G904" s="18" t="n"/>
      <c r="H904" s="18">
        <f>IF($A904="","",IF(I904&lt;&gt;"",I904,Paramètres!B40))</f>
        <v/>
      </c>
      <c r="I904" s="18" t="n"/>
    </row>
    <row r="905">
      <c r="A905" s="18">
        <f>IF(ISNUMBER(Dossiers!$D$20),Dossiers!$A$20&amp;" · "&amp;Dossiers!$B$20,"")</f>
        <v/>
      </c>
      <c r="B905" s="18">
        <f>IF($A905="","",Paramètres!G41)</f>
        <v/>
      </c>
      <c r="C905" s="18">
        <f>IF($A905="","",IF(Paramètres!H41="","",Paramètres!H41))</f>
        <v/>
      </c>
      <c r="D905" s="18">
        <f>IF($A905="","",IF(Paramètres!I41="","",Paramètres!I41))</f>
        <v/>
      </c>
      <c r="E905" s="19">
        <f>IF($A905="","",IF(Paramètres!J41&amp;Paramètres!L41&amp;Paramètres!N41="",Dossiers!$D$20,MAX(IF(Paramètres!J41="",0,IF(Paramètres!K41="",NA(),IF(LEFT(TRIM(Paramètres!K41),1)="F",INDEX($F$869:$F$921,MATCH(Paramètres!J41,Paramètres!$G$5:$G$57,0)),INDEX($E$869:$E$921,MATCH(Paramètres!J41,Paramètres!$G$5:$G$57,0)))+IF(RIGHT(TRIM(Paramètres!K41),3)="Fin",1-$H905,IF(LEFT(TRIM(Paramètres!K41),1)="F",1,0)))),IF(Paramètres!L41="",0,IF(Paramètres!M41="",NA(),IF(LEFT(TRIM(Paramètres!M41),1)="F",INDEX($F$869:$F$921,MATCH(Paramètres!L41,Paramètres!$G$5:$G$57,0)),INDEX($E$869:$E$921,MATCH(Paramètres!L41,Paramètres!$G$5:$G$57,0)))+IF(RIGHT(TRIM(Paramètres!M41),3)="Fin",1-$H905,IF(LEFT(TRIM(Paramètres!M41),1)="F",1,0)))),IF(Paramètres!N41="",0,IF(Paramètres!O41="",NA(),IF(LEFT(TRIM(Paramètres!O41),1)="F",INDEX($F$869:$F$921,MATCH(Paramètres!N41,Paramètres!$G$5:$G$57,0)),INDEX($E$869:$E$921,MATCH(Paramètres!N41,Paramètres!$G$5:$G$57,0)))+IF(RIGHT(TRIM(Paramètres!O41),3)="Fin",1-$H905,IF(LEFT(TRIM(Paramètres!O41),1)="F",1,0)))))))</f>
        <v/>
      </c>
      <c r="F905" s="19">
        <f>IF($A905="","",E905+$H905-1)</f>
        <v/>
      </c>
      <c r="G905" s="18" t="n"/>
      <c r="H905" s="18">
        <f>IF($A905="","",IF(I905&lt;&gt;"",I905,Paramètres!B41))</f>
        <v/>
      </c>
      <c r="I905" s="18" t="n"/>
    </row>
    <row r="906">
      <c r="A906" s="18">
        <f>IF(ISNUMBER(Dossiers!$D$20),Dossiers!$A$20&amp;" · "&amp;Dossiers!$B$20,"")</f>
        <v/>
      </c>
      <c r="B906" s="18">
        <f>IF($A906="","",Paramètres!G42)</f>
        <v/>
      </c>
      <c r="C906" s="18">
        <f>IF($A906="","",IF(Paramètres!H42="","",Paramètres!H42))</f>
        <v/>
      </c>
      <c r="D906" s="18">
        <f>IF($A906="","",IF(Paramètres!I42="","",Paramètres!I42))</f>
        <v/>
      </c>
      <c r="E906" s="19">
        <f>IF($A906="","",IF(Paramètres!J42&amp;Paramètres!L42&amp;Paramètres!N42="",Dossiers!$D$20,MAX(IF(Paramètres!J42="",0,IF(Paramètres!K42="",NA(),IF(LEFT(TRIM(Paramètres!K42),1)="F",INDEX($F$869:$F$921,MATCH(Paramètres!J42,Paramètres!$G$5:$G$57,0)),INDEX($E$869:$E$921,MATCH(Paramètres!J42,Paramètres!$G$5:$G$57,0)))+IF(RIGHT(TRIM(Paramètres!K42),3)="Fin",1-$H906,IF(LEFT(TRIM(Paramètres!K42),1)="F",1,0)))),IF(Paramètres!L42="",0,IF(Paramètres!M42="",NA(),IF(LEFT(TRIM(Paramètres!M42),1)="F",INDEX($F$869:$F$921,MATCH(Paramètres!L42,Paramètres!$G$5:$G$57,0)),INDEX($E$869:$E$921,MATCH(Paramètres!L42,Paramètres!$G$5:$G$57,0)))+IF(RIGHT(TRIM(Paramètres!M42),3)="Fin",1-$H906,IF(LEFT(TRIM(Paramètres!M42),1)="F",1,0)))),IF(Paramètres!N42="",0,IF(Paramètres!O42="",NA(),IF(LEFT(TRIM(Paramètres!O42),1)="F",INDEX($F$869:$F$921,MATCH(Paramètres!N42,Paramètres!$G$5:$G$57,0)),INDEX($E$869:$E$921,MATCH(Paramètres!N42,Paramètres!$G$5:$G$57,0)))+IF(RIGHT(TRIM(Paramètres!O42),3)="Fin",1-$H906,IF(LEFT(TRIM(Paramètres!O42),1)="F",1,0)))))))</f>
        <v/>
      </c>
      <c r="F906" s="19">
        <f>IF($A906="","",E906+$H906-1)</f>
        <v/>
      </c>
      <c r="G906" s="18" t="n"/>
      <c r="H906" s="18">
        <f>IF($A906="","",IF(I906&lt;&gt;"",I906,Paramètres!B42))</f>
        <v/>
      </c>
      <c r="I906" s="18" t="n"/>
    </row>
    <row r="907">
      <c r="A907" s="18">
        <f>IF(ISNUMBER(Dossiers!$D$20),Dossiers!$A$20&amp;" · "&amp;Dossiers!$B$20,"")</f>
        <v/>
      </c>
      <c r="B907" s="18">
        <f>IF($A907="","",Paramètres!G43)</f>
        <v/>
      </c>
      <c r="C907" s="18">
        <f>IF($A907="","",IF(Paramètres!H43="","",Paramètres!H43))</f>
        <v/>
      </c>
      <c r="D907" s="18">
        <f>IF($A907="","",IF(Paramètres!I43="","",Paramètres!I43))</f>
        <v/>
      </c>
      <c r="E907" s="19">
        <f>IF($A907="","",IF(Paramètres!J43&amp;Paramètres!L43&amp;Paramètres!N43="",Dossiers!$D$20,MAX(IF(Paramètres!J43="",0,IF(Paramètres!K43="",NA(),IF(LEFT(TRIM(Paramètres!K43),1)="F",INDEX($F$869:$F$921,MATCH(Paramètres!J43,Paramètres!$G$5:$G$57,0)),INDEX($E$869:$E$921,MATCH(Paramètres!J43,Paramètres!$G$5:$G$57,0)))+IF(RIGHT(TRIM(Paramètres!K43),3)="Fin",1-$H907,IF(LEFT(TRIM(Paramètres!K43),1)="F",1,0)))),IF(Paramètres!L43="",0,IF(Paramètres!M43="",NA(),IF(LEFT(TRIM(Paramètres!M43),1)="F",INDEX($F$869:$F$921,MATCH(Paramètres!L43,Paramètres!$G$5:$G$57,0)),INDEX($E$869:$E$921,MATCH(Paramètres!L43,Paramètres!$G$5:$G$57,0)))+IF(RIGHT(TRIM(Paramètres!M43),3)="Fin",1-$H907,IF(LEFT(TRIM(Paramètres!M43),1)="F",1,0)))),IF(Paramètres!N43="",0,IF(Paramètres!O43="",NA(),IF(LEFT(TRIM(Paramètres!O43),1)="F",INDEX($F$869:$F$921,MATCH(Paramètres!N43,Paramètres!$G$5:$G$57,0)),INDEX($E$869:$E$921,MATCH(Paramètres!N43,Paramètres!$G$5:$G$57,0)))+IF(RIGHT(TRIM(Paramètres!O43),3)="Fin",1-$H907,IF(LEFT(TRIM(Paramètres!O43),1)="F",1,0)))))))</f>
        <v/>
      </c>
      <c r="F907" s="19">
        <f>IF($A907="","",E907+$H907-1)</f>
        <v/>
      </c>
      <c r="G907" s="18" t="n"/>
      <c r="H907" s="18">
        <f>IF($A907="","",IF(I907&lt;&gt;"",I907,Paramètres!B43))</f>
        <v/>
      </c>
      <c r="I907" s="18" t="n"/>
    </row>
    <row r="908">
      <c r="A908" s="18">
        <f>IF(ISNUMBER(Dossiers!$D$20),Dossiers!$A$20&amp;" · "&amp;Dossiers!$B$20,"")</f>
        <v/>
      </c>
      <c r="B908" s="18">
        <f>IF($A908="","",Paramètres!G44)</f>
        <v/>
      </c>
      <c r="C908" s="18">
        <f>IF($A908="","",IF(Paramètres!H44="","",Paramètres!H44))</f>
        <v/>
      </c>
      <c r="D908" s="18">
        <f>IF($A908="","",IF(Paramètres!I44="","",Paramètres!I44))</f>
        <v/>
      </c>
      <c r="E908" s="19">
        <f>IF($A908="","",IF(Paramètres!J44&amp;Paramètres!L44&amp;Paramètres!N44="",Dossiers!$D$20,MAX(IF(Paramètres!J44="",0,IF(Paramètres!K44="",NA(),IF(LEFT(TRIM(Paramètres!K44),1)="F",INDEX($F$869:$F$921,MATCH(Paramètres!J44,Paramètres!$G$5:$G$57,0)),INDEX($E$869:$E$921,MATCH(Paramètres!J44,Paramètres!$G$5:$G$57,0)))+IF(RIGHT(TRIM(Paramètres!K44),3)="Fin",1-$H908,IF(LEFT(TRIM(Paramètres!K44),1)="F",1,0)))),IF(Paramètres!L44="",0,IF(Paramètres!M44="",NA(),IF(LEFT(TRIM(Paramètres!M44),1)="F",INDEX($F$869:$F$921,MATCH(Paramètres!L44,Paramètres!$G$5:$G$57,0)),INDEX($E$869:$E$921,MATCH(Paramètres!L44,Paramètres!$G$5:$G$57,0)))+IF(RIGHT(TRIM(Paramètres!M44),3)="Fin",1-$H908,IF(LEFT(TRIM(Paramètres!M44),1)="F",1,0)))),IF(Paramètres!N44="",0,IF(Paramètres!O44="",NA(),IF(LEFT(TRIM(Paramètres!O44),1)="F",INDEX($F$869:$F$921,MATCH(Paramètres!N44,Paramètres!$G$5:$G$57,0)),INDEX($E$869:$E$921,MATCH(Paramètres!N44,Paramètres!$G$5:$G$57,0)))+IF(RIGHT(TRIM(Paramètres!O44),3)="Fin",1-$H908,IF(LEFT(TRIM(Paramètres!O44),1)="F",1,0)))))))</f>
        <v/>
      </c>
      <c r="F908" s="19">
        <f>IF($A908="","",E908+$H908-1)</f>
        <v/>
      </c>
      <c r="G908" s="18" t="n"/>
      <c r="H908" s="18">
        <f>IF($A908="","",IF(I908&lt;&gt;"",I908,Paramètres!B44))</f>
        <v/>
      </c>
      <c r="I908" s="18" t="n"/>
    </row>
    <row r="909">
      <c r="A909" s="18">
        <f>IF(ISNUMBER(Dossiers!$D$20),Dossiers!$A$20&amp;" · "&amp;Dossiers!$B$20,"")</f>
        <v/>
      </c>
      <c r="B909" s="18">
        <f>IF($A909="","",Paramètres!G45)</f>
        <v/>
      </c>
      <c r="C909" s="20">
        <f>IF($A909="","",IF(Dossiers!$G$20="","",Dossiers!$G$20))</f>
        <v/>
      </c>
      <c r="D909" s="18">
        <f>IF($A909="","",IF(Paramètres!I45="","",Paramètres!I45))</f>
        <v/>
      </c>
      <c r="E909" s="19">
        <f>IF($A909="","",IF(Paramètres!J45&amp;Paramètres!L45&amp;Paramètres!N45="",Dossiers!$D$20,MAX(IF(Paramètres!J45="",0,IF(Paramètres!K45="",NA(),IF(LEFT(TRIM(Paramètres!K45),1)="F",INDEX($F$869:$F$921,MATCH(Paramètres!J45,Paramètres!$G$5:$G$57,0)),INDEX($E$869:$E$921,MATCH(Paramètres!J45,Paramètres!$G$5:$G$57,0)))+IF(RIGHT(TRIM(Paramètres!K45),3)="Fin",1-$H909,IF(LEFT(TRIM(Paramètres!K45),1)="F",1,0)))),IF(Paramètres!L45="",0,IF(Paramètres!M45="",NA(),IF(LEFT(TRIM(Paramètres!M45),1)="F",INDEX($F$869:$F$921,MATCH(Paramètres!L45,Paramètres!$G$5:$G$57,0)),INDEX($E$869:$E$921,MATCH(Paramètres!L45,Paramètres!$G$5:$G$57,0)))+IF(RIGHT(TRIM(Paramètres!M45),3)="Fin",1-$H909,IF(LEFT(TRIM(Paramètres!M45),1)="F",1,0)))),IF(Paramètres!N45="",0,IF(Paramètres!O45="",NA(),IF(LEFT(TRIM(Paramètres!O45),1)="F",INDEX($F$869:$F$921,MATCH(Paramètres!N45,Paramètres!$G$5:$G$57,0)),INDEX($E$869:$E$921,MATCH(Paramètres!N45,Paramètres!$G$5:$G$57,0)))+IF(RIGHT(TRIM(Paramètres!O45),3)="Fin",1-$H909,IF(LEFT(TRIM(Paramètres!O45),1)="F",1,0)))))))</f>
        <v/>
      </c>
      <c r="F909" s="19">
        <f>IF($A909="","",E909+$H909-1)</f>
        <v/>
      </c>
      <c r="G909" s="18" t="n"/>
      <c r="H909" s="18">
        <f>IF($A909="","",IF(I909&lt;&gt;"",I909,Paramètres!B45))</f>
        <v/>
      </c>
      <c r="I909" s="18" t="n"/>
    </row>
    <row r="910">
      <c r="A910" s="18">
        <f>IF(ISNUMBER(Dossiers!$D$20),Dossiers!$A$20&amp;" · "&amp;Dossiers!$B$20,"")</f>
        <v/>
      </c>
      <c r="B910" s="18">
        <f>IF($A910="","",Paramètres!G46)</f>
        <v/>
      </c>
      <c r="C910" s="18">
        <f>IF($A910="","",IF(Paramètres!H46="","",Paramètres!H46))</f>
        <v/>
      </c>
      <c r="D910" s="18">
        <f>IF($A910="","",IF(Paramètres!I46="","",Paramètres!I46))</f>
        <v/>
      </c>
      <c r="E910" s="19">
        <f>IF($A910="","",IF(Paramètres!J46&amp;Paramètres!L46&amp;Paramètres!N46="",Dossiers!$D$20,MAX(IF(Paramètres!J46="",0,IF(Paramètres!K46="",NA(),IF(LEFT(TRIM(Paramètres!K46),1)="F",INDEX($F$869:$F$921,MATCH(Paramètres!J46,Paramètres!$G$5:$G$57,0)),INDEX($E$869:$E$921,MATCH(Paramètres!J46,Paramètres!$G$5:$G$57,0)))+IF(RIGHT(TRIM(Paramètres!K46),3)="Fin",1-$H910,IF(LEFT(TRIM(Paramètres!K46),1)="F",1,0)))),IF(Paramètres!L46="",0,IF(Paramètres!M46="",NA(),IF(LEFT(TRIM(Paramètres!M46),1)="F",INDEX($F$869:$F$921,MATCH(Paramètres!L46,Paramètres!$G$5:$G$57,0)),INDEX($E$869:$E$921,MATCH(Paramètres!L46,Paramètres!$G$5:$G$57,0)))+IF(RIGHT(TRIM(Paramètres!M46),3)="Fin",1-$H910,IF(LEFT(TRIM(Paramètres!M46),1)="F",1,0)))),IF(Paramètres!N46="",0,IF(Paramètres!O46="",NA(),IF(LEFT(TRIM(Paramètres!O46),1)="F",INDEX($F$869:$F$921,MATCH(Paramètres!N46,Paramètres!$G$5:$G$57,0)),INDEX($E$869:$E$921,MATCH(Paramètres!N46,Paramètres!$G$5:$G$57,0)))+IF(RIGHT(TRIM(Paramètres!O46),3)="Fin",1-$H910,IF(LEFT(TRIM(Paramètres!O46),1)="F",1,0)))))))</f>
        <v/>
      </c>
      <c r="F910" s="19">
        <f>IF($A910="","",E910+$H910-1)</f>
        <v/>
      </c>
      <c r="G910" s="18" t="n"/>
      <c r="H910" s="18">
        <f>IF($A910="","",IF(I910&lt;&gt;"",I910,Paramètres!B46))</f>
        <v/>
      </c>
      <c r="I910" s="18" t="n"/>
    </row>
    <row r="911">
      <c r="A911" s="18">
        <f>IF(ISNUMBER(Dossiers!$D$20),Dossiers!$A$20&amp;" · "&amp;Dossiers!$B$20,"")</f>
        <v/>
      </c>
      <c r="B911" s="18">
        <f>IF($A911="","",Paramètres!G47)</f>
        <v/>
      </c>
      <c r="C911" s="18">
        <f>IF($A911="","",IF(Paramètres!H47="","",Paramètres!H47))</f>
        <v/>
      </c>
      <c r="D911" s="18">
        <f>IF($A911="","",IF(Paramètres!I47="","",Paramètres!I47))</f>
        <v/>
      </c>
      <c r="E911" s="19">
        <f>IF($A911="","",IF(Paramètres!J47&amp;Paramètres!L47&amp;Paramètres!N47="",Dossiers!$D$20,MAX(IF(Paramètres!J47="",0,IF(Paramètres!K47="",NA(),IF(LEFT(TRIM(Paramètres!K47),1)="F",INDEX($F$869:$F$921,MATCH(Paramètres!J47,Paramètres!$G$5:$G$57,0)),INDEX($E$869:$E$921,MATCH(Paramètres!J47,Paramètres!$G$5:$G$57,0)))+IF(RIGHT(TRIM(Paramètres!K47),3)="Fin",1-$H911,IF(LEFT(TRIM(Paramètres!K47),1)="F",1,0)))),IF(Paramètres!L47="",0,IF(Paramètres!M47="",NA(),IF(LEFT(TRIM(Paramètres!M47),1)="F",INDEX($F$869:$F$921,MATCH(Paramètres!L47,Paramètres!$G$5:$G$57,0)),INDEX($E$869:$E$921,MATCH(Paramètres!L47,Paramètres!$G$5:$G$57,0)))+IF(RIGHT(TRIM(Paramètres!M47),3)="Fin",1-$H911,IF(LEFT(TRIM(Paramètres!M47),1)="F",1,0)))),IF(Paramètres!N47="",0,IF(Paramètres!O47="",NA(),IF(LEFT(TRIM(Paramètres!O47),1)="F",INDEX($F$869:$F$921,MATCH(Paramètres!N47,Paramètres!$G$5:$G$57,0)),INDEX($E$869:$E$921,MATCH(Paramètres!N47,Paramètres!$G$5:$G$57,0)))+IF(RIGHT(TRIM(Paramètres!O47),3)="Fin",1-$H911,IF(LEFT(TRIM(Paramètres!O47),1)="F",1,0)))))))</f>
        <v/>
      </c>
      <c r="F911" s="19">
        <f>IF($A911="","",E911+$H911-1)</f>
        <v/>
      </c>
      <c r="G911" s="18" t="n"/>
      <c r="H911" s="18">
        <f>IF($A911="","",IF(I911&lt;&gt;"",I911,Paramètres!B47))</f>
        <v/>
      </c>
      <c r="I911" s="18" t="n"/>
    </row>
    <row r="912">
      <c r="A912" s="18">
        <f>IF(ISNUMBER(Dossiers!$D$20),Dossiers!$A$20&amp;" · "&amp;Dossiers!$B$20,"")</f>
        <v/>
      </c>
      <c r="B912" s="18">
        <f>IF($A912="","",Paramètres!G48)</f>
        <v/>
      </c>
      <c r="C912" s="18">
        <f>IF($A912="","",IF(Paramètres!H48="","",Paramètres!H48))</f>
        <v/>
      </c>
      <c r="D912" s="18">
        <f>IF($A912="","",IF(Paramètres!I48="","",Paramètres!I48))</f>
        <v/>
      </c>
      <c r="E912" s="19">
        <f>IF($A912="","",IF(Paramètres!J48&amp;Paramètres!L48&amp;Paramètres!N48="",Dossiers!$D$20,MAX(IF(Paramètres!J48="",0,IF(Paramètres!K48="",NA(),IF(LEFT(TRIM(Paramètres!K48),1)="F",INDEX($F$869:$F$921,MATCH(Paramètres!J48,Paramètres!$G$5:$G$57,0)),INDEX($E$869:$E$921,MATCH(Paramètres!J48,Paramètres!$G$5:$G$57,0)))+IF(RIGHT(TRIM(Paramètres!K48),3)="Fin",1-$H912,IF(LEFT(TRIM(Paramètres!K48),1)="F",1,0)))),IF(Paramètres!L48="",0,IF(Paramètres!M48="",NA(),IF(LEFT(TRIM(Paramètres!M48),1)="F",INDEX($F$869:$F$921,MATCH(Paramètres!L48,Paramètres!$G$5:$G$57,0)),INDEX($E$869:$E$921,MATCH(Paramètres!L48,Paramètres!$G$5:$G$57,0)))+IF(RIGHT(TRIM(Paramètres!M48),3)="Fin",1-$H912,IF(LEFT(TRIM(Paramètres!M48),1)="F",1,0)))),IF(Paramètres!N48="",0,IF(Paramètres!O48="",NA(),IF(LEFT(TRIM(Paramètres!O48),1)="F",INDEX($F$869:$F$921,MATCH(Paramètres!N48,Paramètres!$G$5:$G$57,0)),INDEX($E$869:$E$921,MATCH(Paramètres!N48,Paramètres!$G$5:$G$57,0)))+IF(RIGHT(TRIM(Paramètres!O48),3)="Fin",1-$H912,IF(LEFT(TRIM(Paramètres!O48),1)="F",1,0)))))))</f>
        <v/>
      </c>
      <c r="F912" s="19">
        <f>IF($A912="","",E912+$H912-1)</f>
        <v/>
      </c>
      <c r="G912" s="18" t="n"/>
      <c r="H912" s="18">
        <f>IF($A912="","",IF(I912&lt;&gt;"",I912,Paramètres!B48))</f>
        <v/>
      </c>
      <c r="I912" s="18" t="n"/>
    </row>
    <row r="913">
      <c r="A913" s="18">
        <f>IF(ISNUMBER(Dossiers!$D$20),Dossiers!$A$20&amp;" · "&amp;Dossiers!$B$20,"")</f>
        <v/>
      </c>
      <c r="B913" s="18">
        <f>IF($A913="","",Paramètres!G49)</f>
        <v/>
      </c>
      <c r="C913" s="18">
        <f>IF($A913="","",IF(Paramètres!H49="","",Paramètres!H49))</f>
        <v/>
      </c>
      <c r="D913" s="18">
        <f>IF($A913="","",IF(Paramètres!I49="","",Paramètres!I49))</f>
        <v/>
      </c>
      <c r="E913" s="19">
        <f>IF($A913="","",IF(Paramètres!J49&amp;Paramètres!L49&amp;Paramètres!N49="",Dossiers!$D$20,MAX(IF(Paramètres!J49="",0,IF(Paramètres!K49="",NA(),IF(LEFT(TRIM(Paramètres!K49),1)="F",INDEX($F$869:$F$921,MATCH(Paramètres!J49,Paramètres!$G$5:$G$57,0)),INDEX($E$869:$E$921,MATCH(Paramètres!J49,Paramètres!$G$5:$G$57,0)))+IF(RIGHT(TRIM(Paramètres!K49),3)="Fin",1-$H913,IF(LEFT(TRIM(Paramètres!K49),1)="F",1,0)))),IF(Paramètres!L49="",0,IF(Paramètres!M49="",NA(),IF(LEFT(TRIM(Paramètres!M49),1)="F",INDEX($F$869:$F$921,MATCH(Paramètres!L49,Paramètres!$G$5:$G$57,0)),INDEX($E$869:$E$921,MATCH(Paramètres!L49,Paramètres!$G$5:$G$57,0)))+IF(RIGHT(TRIM(Paramètres!M49),3)="Fin",1-$H913,IF(LEFT(TRIM(Paramètres!M49),1)="F",1,0)))),IF(Paramètres!N49="",0,IF(Paramètres!O49="",NA(),IF(LEFT(TRIM(Paramètres!O49),1)="F",INDEX($F$869:$F$921,MATCH(Paramètres!N49,Paramètres!$G$5:$G$57,0)),INDEX($E$869:$E$921,MATCH(Paramètres!N49,Paramètres!$G$5:$G$57,0)))+IF(RIGHT(TRIM(Paramètres!O49),3)="Fin",1-$H913,IF(LEFT(TRIM(Paramètres!O49),1)="F",1,0)))))))</f>
        <v/>
      </c>
      <c r="F913" s="19">
        <f>IF($A913="","",E913+$H913-1)</f>
        <v/>
      </c>
      <c r="G913" s="18" t="n"/>
      <c r="H913" s="18">
        <f>IF($A913="","",IF(I913&lt;&gt;"",I913,Paramètres!B49))</f>
        <v/>
      </c>
      <c r="I913" s="18" t="n"/>
    </row>
    <row r="914">
      <c r="A914" s="18">
        <f>IF(ISNUMBER(Dossiers!$D$20),Dossiers!$A$20&amp;" · "&amp;Dossiers!$B$20,"")</f>
        <v/>
      </c>
      <c r="B914" s="18">
        <f>IF($A914="","",Paramètres!G50)</f>
        <v/>
      </c>
      <c r="C914" s="18">
        <f>IF($A914="","",IF(Paramètres!H50="","",Paramètres!H50))</f>
        <v/>
      </c>
      <c r="D914" s="18">
        <f>IF($A914="","",IF(Paramètres!I50="","",Paramètres!I50))</f>
        <v/>
      </c>
      <c r="E914" s="19">
        <f>IF($A914="","",IF(Paramètres!J50&amp;Paramètres!L50&amp;Paramètres!N50="",Dossiers!$D$20,MAX(IF(Paramètres!J50="",0,IF(Paramètres!K50="",NA(),IF(LEFT(TRIM(Paramètres!K50),1)="F",INDEX($F$869:$F$921,MATCH(Paramètres!J50,Paramètres!$G$5:$G$57,0)),INDEX($E$869:$E$921,MATCH(Paramètres!J50,Paramètres!$G$5:$G$57,0)))+IF(RIGHT(TRIM(Paramètres!K50),3)="Fin",1-$H914,IF(LEFT(TRIM(Paramètres!K50),1)="F",1,0)))),IF(Paramètres!L50="",0,IF(Paramètres!M50="",NA(),IF(LEFT(TRIM(Paramètres!M50),1)="F",INDEX($F$869:$F$921,MATCH(Paramètres!L50,Paramètres!$G$5:$G$57,0)),INDEX($E$869:$E$921,MATCH(Paramètres!L50,Paramètres!$G$5:$G$57,0)))+IF(RIGHT(TRIM(Paramètres!M50),3)="Fin",1-$H914,IF(LEFT(TRIM(Paramètres!M50),1)="F",1,0)))),IF(Paramètres!N50="",0,IF(Paramètres!O50="",NA(),IF(LEFT(TRIM(Paramètres!O50),1)="F",INDEX($F$869:$F$921,MATCH(Paramètres!N50,Paramètres!$G$5:$G$57,0)),INDEX($E$869:$E$921,MATCH(Paramètres!N50,Paramètres!$G$5:$G$57,0)))+IF(RIGHT(TRIM(Paramètres!O50),3)="Fin",1-$H914,IF(LEFT(TRIM(Paramètres!O50),1)="F",1,0)))))))</f>
        <v/>
      </c>
      <c r="F914" s="19">
        <f>IF($A914="","",E914+$H914-1)</f>
        <v/>
      </c>
      <c r="G914" s="18" t="n"/>
      <c r="H914" s="18">
        <f>IF($A914="","",IF(I914&lt;&gt;"",I914,Paramètres!B50))</f>
        <v/>
      </c>
      <c r="I914" s="18" t="n"/>
    </row>
    <row r="915">
      <c r="A915" s="18">
        <f>IF(ISNUMBER(Dossiers!$D$20),Dossiers!$A$20&amp;" · "&amp;Dossiers!$B$20,"")</f>
        <v/>
      </c>
      <c r="B915" s="18">
        <f>IF($A915="","",Paramètres!G51)</f>
        <v/>
      </c>
      <c r="C915" s="18">
        <f>IF($A915="","",IF(Paramètres!H51="","",Paramètres!H51))</f>
        <v/>
      </c>
      <c r="D915" s="18">
        <f>IF($A915="","",IF(Paramètres!I51="","",Paramètres!I51))</f>
        <v/>
      </c>
      <c r="E915" s="19">
        <f>IF($A915="","",IF(Paramètres!J51&amp;Paramètres!L51&amp;Paramètres!N51="",Dossiers!$D$20,MAX(IF(Paramètres!J51="",0,IF(Paramètres!K51="",NA(),IF(LEFT(TRIM(Paramètres!K51),1)="F",INDEX($F$869:$F$921,MATCH(Paramètres!J51,Paramètres!$G$5:$G$57,0)),INDEX($E$869:$E$921,MATCH(Paramètres!J51,Paramètres!$G$5:$G$57,0)))+IF(RIGHT(TRIM(Paramètres!K51),3)="Fin",1-$H915,IF(LEFT(TRIM(Paramètres!K51),1)="F",1,0)))),IF(Paramètres!L51="",0,IF(Paramètres!M51="",NA(),IF(LEFT(TRIM(Paramètres!M51),1)="F",INDEX($F$869:$F$921,MATCH(Paramètres!L51,Paramètres!$G$5:$G$57,0)),INDEX($E$869:$E$921,MATCH(Paramètres!L51,Paramètres!$G$5:$G$57,0)))+IF(RIGHT(TRIM(Paramètres!M51),3)="Fin",1-$H915,IF(LEFT(TRIM(Paramètres!M51),1)="F",1,0)))),IF(Paramètres!N51="",0,IF(Paramètres!O51="",NA(),IF(LEFT(TRIM(Paramètres!O51),1)="F",INDEX($F$869:$F$921,MATCH(Paramètres!N51,Paramètres!$G$5:$G$57,0)),INDEX($E$869:$E$921,MATCH(Paramètres!N51,Paramètres!$G$5:$G$57,0)))+IF(RIGHT(TRIM(Paramètres!O51),3)="Fin",1-$H915,IF(LEFT(TRIM(Paramètres!O51),1)="F",1,0)))))))</f>
        <v/>
      </c>
      <c r="F915" s="19">
        <f>IF($A915="","",E915+$H915-1)</f>
        <v/>
      </c>
      <c r="G915" s="18" t="n"/>
      <c r="H915" s="18">
        <f>IF($A915="","",IF(I915&lt;&gt;"",I915,Paramètres!B51))</f>
        <v/>
      </c>
      <c r="I915" s="18" t="n"/>
    </row>
    <row r="916">
      <c r="A916" s="18">
        <f>IF(ISNUMBER(Dossiers!$D$20),Dossiers!$A$20&amp;" · "&amp;Dossiers!$B$20,"")</f>
        <v/>
      </c>
      <c r="B916" s="18">
        <f>IF($A916="","",Paramètres!G52)</f>
        <v/>
      </c>
      <c r="C916" s="18">
        <f>IF($A916="","",IF(Paramètres!H52="","",Paramètres!H52))</f>
        <v/>
      </c>
      <c r="D916" s="18">
        <f>IF($A916="","",IF(Paramètres!I52="","",Paramètres!I52))</f>
        <v/>
      </c>
      <c r="E916" s="19">
        <f>IF($A916="","",IF(Paramètres!J52&amp;Paramètres!L52&amp;Paramètres!N52="",Dossiers!$D$20,MAX(IF(Paramètres!J52="",0,IF(Paramètres!K52="",NA(),IF(LEFT(TRIM(Paramètres!K52),1)="F",INDEX($F$869:$F$921,MATCH(Paramètres!J52,Paramètres!$G$5:$G$57,0)),INDEX($E$869:$E$921,MATCH(Paramètres!J52,Paramètres!$G$5:$G$57,0)))+IF(RIGHT(TRIM(Paramètres!K52),3)="Fin",1-$H916,IF(LEFT(TRIM(Paramètres!K52),1)="F",1,0)))),IF(Paramètres!L52="",0,IF(Paramètres!M52="",NA(),IF(LEFT(TRIM(Paramètres!M52),1)="F",INDEX($F$869:$F$921,MATCH(Paramètres!L52,Paramètres!$G$5:$G$57,0)),INDEX($E$869:$E$921,MATCH(Paramètres!L52,Paramètres!$G$5:$G$57,0)))+IF(RIGHT(TRIM(Paramètres!M52),3)="Fin",1-$H916,IF(LEFT(TRIM(Paramètres!M52),1)="F",1,0)))),IF(Paramètres!N52="",0,IF(Paramètres!O52="",NA(),IF(LEFT(TRIM(Paramètres!O52),1)="F",INDEX($F$869:$F$921,MATCH(Paramètres!N52,Paramètres!$G$5:$G$57,0)),INDEX($E$869:$E$921,MATCH(Paramètres!N52,Paramètres!$G$5:$G$57,0)))+IF(RIGHT(TRIM(Paramètres!O52),3)="Fin",1-$H916,IF(LEFT(TRIM(Paramètres!O52),1)="F",1,0)))))))</f>
        <v/>
      </c>
      <c r="F916" s="19">
        <f>IF($A916="","",E916+$H916-1)</f>
        <v/>
      </c>
      <c r="G916" s="18" t="n"/>
      <c r="H916" s="18">
        <f>IF($A916="","",IF(I916&lt;&gt;"",I916,Paramètres!B52))</f>
        <v/>
      </c>
      <c r="I916" s="18" t="n"/>
    </row>
    <row r="917">
      <c r="A917" s="18">
        <f>IF(ISNUMBER(Dossiers!$D$20),Dossiers!$A$20&amp;" · "&amp;Dossiers!$B$20,"")</f>
        <v/>
      </c>
      <c r="B917" s="18">
        <f>IF($A917="","",Paramètres!G53)</f>
        <v/>
      </c>
      <c r="C917" s="18">
        <f>IF($A917="","",IF(Paramètres!H53="","",Paramètres!H53))</f>
        <v/>
      </c>
      <c r="D917" s="18">
        <f>IF($A917="","",IF(Paramètres!I53="","",Paramètres!I53))</f>
        <v/>
      </c>
      <c r="E917" s="19">
        <f>IF($A917="","",IF(Paramètres!J53&amp;Paramètres!L53&amp;Paramètres!N53="",Dossiers!$D$20,MAX(IF(Paramètres!J53="",0,IF(Paramètres!K53="",NA(),IF(LEFT(TRIM(Paramètres!K53),1)="F",INDEX($F$869:$F$921,MATCH(Paramètres!J53,Paramètres!$G$5:$G$57,0)),INDEX($E$869:$E$921,MATCH(Paramètres!J53,Paramètres!$G$5:$G$57,0)))+IF(RIGHT(TRIM(Paramètres!K53),3)="Fin",1-$H917,IF(LEFT(TRIM(Paramètres!K53),1)="F",1,0)))),IF(Paramètres!L53="",0,IF(Paramètres!M53="",NA(),IF(LEFT(TRIM(Paramètres!M53),1)="F",INDEX($F$869:$F$921,MATCH(Paramètres!L53,Paramètres!$G$5:$G$57,0)),INDEX($E$869:$E$921,MATCH(Paramètres!L53,Paramètres!$G$5:$G$57,0)))+IF(RIGHT(TRIM(Paramètres!M53),3)="Fin",1-$H917,IF(LEFT(TRIM(Paramètres!M53),1)="F",1,0)))),IF(Paramètres!N53="",0,IF(Paramètres!O53="",NA(),IF(LEFT(TRIM(Paramètres!O53),1)="F",INDEX($F$869:$F$921,MATCH(Paramètres!N53,Paramètres!$G$5:$G$57,0)),INDEX($E$869:$E$921,MATCH(Paramètres!N53,Paramètres!$G$5:$G$57,0)))+IF(RIGHT(TRIM(Paramètres!O53),3)="Fin",1-$H917,IF(LEFT(TRIM(Paramètres!O53),1)="F",1,0)))))))</f>
        <v/>
      </c>
      <c r="F917" s="19">
        <f>IF($A917="","",E917+$H917-1)</f>
        <v/>
      </c>
      <c r="G917" s="18" t="n"/>
      <c r="H917" s="18">
        <f>IF($A917="","",IF(I917&lt;&gt;"",I917,Paramètres!B53))</f>
        <v/>
      </c>
      <c r="I917" s="18" t="n"/>
    </row>
    <row r="918">
      <c r="A918" s="18">
        <f>IF(ISNUMBER(Dossiers!$D$20),Dossiers!$A$20&amp;" · "&amp;Dossiers!$B$20,"")</f>
        <v/>
      </c>
      <c r="B918" s="18">
        <f>IF($A918="","",Paramètres!G54)</f>
        <v/>
      </c>
      <c r="C918" s="18">
        <f>IF($A918="","",IF(Paramètres!H54="","",Paramètres!H54))</f>
        <v/>
      </c>
      <c r="D918" s="18">
        <f>IF($A918="","",IF(Paramètres!I54="","",Paramètres!I54))</f>
        <v/>
      </c>
      <c r="E918" s="19">
        <f>IF($A918="","",IF(Paramètres!J54&amp;Paramètres!L54&amp;Paramètres!N54="",Dossiers!$D$20,MAX(IF(Paramètres!J54="",0,IF(Paramètres!K54="",NA(),IF(LEFT(TRIM(Paramètres!K54),1)="F",INDEX($F$869:$F$921,MATCH(Paramètres!J54,Paramètres!$G$5:$G$57,0)),INDEX($E$869:$E$921,MATCH(Paramètres!J54,Paramètres!$G$5:$G$57,0)))+IF(RIGHT(TRIM(Paramètres!K54),3)="Fin",1-$H918,IF(LEFT(TRIM(Paramètres!K54),1)="F",1,0)))),IF(Paramètres!L54="",0,IF(Paramètres!M54="",NA(),IF(LEFT(TRIM(Paramètres!M54),1)="F",INDEX($F$869:$F$921,MATCH(Paramètres!L54,Paramètres!$G$5:$G$57,0)),INDEX($E$869:$E$921,MATCH(Paramètres!L54,Paramètres!$G$5:$G$57,0)))+IF(RIGHT(TRIM(Paramètres!M54),3)="Fin",1-$H918,IF(LEFT(TRIM(Paramètres!M54),1)="F",1,0)))),IF(Paramètres!N54="",0,IF(Paramètres!O54="",NA(),IF(LEFT(TRIM(Paramètres!O54),1)="F",INDEX($F$869:$F$921,MATCH(Paramètres!N54,Paramètres!$G$5:$G$57,0)),INDEX($E$869:$E$921,MATCH(Paramètres!N54,Paramètres!$G$5:$G$57,0)))+IF(RIGHT(TRIM(Paramètres!O54),3)="Fin",1-$H918,IF(LEFT(TRIM(Paramètres!O54),1)="F",1,0)))))))</f>
        <v/>
      </c>
      <c r="F918" s="19">
        <f>IF($A918="","",E918+$H918-1)</f>
        <v/>
      </c>
      <c r="G918" s="18" t="n"/>
      <c r="H918" s="18">
        <f>IF($A918="","",IF(I918&lt;&gt;"",I918,Paramètres!B54))</f>
        <v/>
      </c>
      <c r="I918" s="18" t="n"/>
    </row>
    <row r="919">
      <c r="A919" s="18">
        <f>IF(ISNUMBER(Dossiers!$D$20),Dossiers!$A$20&amp;" · "&amp;Dossiers!$B$20,"")</f>
        <v/>
      </c>
      <c r="B919" s="18">
        <f>IF($A919="","",Paramètres!G55)</f>
        <v/>
      </c>
      <c r="C919" s="18">
        <f>IF($A919="","",IF(Paramètres!H55="","",Paramètres!H55))</f>
        <v/>
      </c>
      <c r="D919" s="18">
        <f>IF($A919="","",IF(Paramètres!I55="","",Paramètres!I55))</f>
        <v/>
      </c>
      <c r="E919" s="19">
        <f>IF($A919="","",IF(Paramètres!J55&amp;Paramètres!L55&amp;Paramètres!N55="",Dossiers!$D$20,MAX(IF(Paramètres!J55="",0,IF(Paramètres!K55="",NA(),IF(LEFT(TRIM(Paramètres!K55),1)="F",INDEX($F$869:$F$921,MATCH(Paramètres!J55,Paramètres!$G$5:$G$57,0)),INDEX($E$869:$E$921,MATCH(Paramètres!J55,Paramètres!$G$5:$G$57,0)))+IF(RIGHT(TRIM(Paramètres!K55),3)="Fin",1-$H919,IF(LEFT(TRIM(Paramètres!K55),1)="F",1,0)))),IF(Paramètres!L55="",0,IF(Paramètres!M55="",NA(),IF(LEFT(TRIM(Paramètres!M55),1)="F",INDEX($F$869:$F$921,MATCH(Paramètres!L55,Paramètres!$G$5:$G$57,0)),INDEX($E$869:$E$921,MATCH(Paramètres!L55,Paramètres!$G$5:$G$57,0)))+IF(RIGHT(TRIM(Paramètres!M55),3)="Fin",1-$H919,IF(LEFT(TRIM(Paramètres!M55),1)="F",1,0)))),IF(Paramètres!N55="",0,IF(Paramètres!O55="",NA(),IF(LEFT(TRIM(Paramètres!O55),1)="F",INDEX($F$869:$F$921,MATCH(Paramètres!N55,Paramètres!$G$5:$G$57,0)),INDEX($E$869:$E$921,MATCH(Paramètres!N55,Paramètres!$G$5:$G$57,0)))+IF(RIGHT(TRIM(Paramètres!O55),3)="Fin",1-$H919,IF(LEFT(TRIM(Paramètres!O55),1)="F",1,0)))))))</f>
        <v/>
      </c>
      <c r="F919" s="19">
        <f>IF($A919="","",E919+$H919-1)</f>
        <v/>
      </c>
      <c r="G919" s="18" t="n"/>
      <c r="H919" s="18">
        <f>IF($A919="","",IF(I919&lt;&gt;"",I919,Paramètres!B55))</f>
        <v/>
      </c>
      <c r="I919" s="18" t="n"/>
    </row>
    <row r="920">
      <c r="A920" s="18">
        <f>IF(ISNUMBER(Dossiers!$D$20),Dossiers!$A$20&amp;" · "&amp;Dossiers!$B$20,"")</f>
        <v/>
      </c>
      <c r="B920" s="18">
        <f>IF($A920="","",Paramètres!G56)</f>
        <v/>
      </c>
      <c r="C920" s="18">
        <f>IF($A920="","",IF(Paramètres!H56="","",Paramètres!H56))</f>
        <v/>
      </c>
      <c r="D920" s="18">
        <f>IF($A920="","",IF(Paramètres!I56="","",Paramètres!I56))</f>
        <v/>
      </c>
      <c r="E920" s="19">
        <f>IF($A920="","",MIN(E921:E921))</f>
        <v/>
      </c>
      <c r="F920" s="19">
        <f>IF($A920="","",MAX(F921:F921))</f>
        <v/>
      </c>
      <c r="G920" s="18" t="n"/>
      <c r="H920" s="18">
        <f>IF($A920="","",F920-E920+1)</f>
        <v/>
      </c>
      <c r="I920" s="18" t="n"/>
    </row>
    <row r="921">
      <c r="A921" s="18">
        <f>IF(ISNUMBER(Dossiers!$D$20),Dossiers!$A$20&amp;" · "&amp;Dossiers!$B$20,"")</f>
        <v/>
      </c>
      <c r="B921" s="18">
        <f>IF($A921="","",Paramètres!G57)</f>
        <v/>
      </c>
      <c r="C921" s="18">
        <f>IF($A921="","",IF(Paramètres!H57="","",Paramètres!H57))</f>
        <v/>
      </c>
      <c r="D921" s="18">
        <f>IF($A921="","",IF(Paramètres!I57="","",Paramètres!I57))</f>
        <v/>
      </c>
      <c r="E921" s="19">
        <f>IF($A921="","",IF(Paramètres!J57&amp;Paramètres!L57&amp;Paramètres!N57="",Dossiers!$D$20,MAX(IF(Paramètres!J57="",0,IF(Paramètres!K57="",NA(),IF(LEFT(TRIM(Paramètres!K57),1)="F",INDEX($F$869:$F$921,MATCH(Paramètres!J57,Paramètres!$G$5:$G$57,0)),INDEX($E$869:$E$921,MATCH(Paramètres!J57,Paramètres!$G$5:$G$57,0)))+IF(RIGHT(TRIM(Paramètres!K57),3)="Fin",1-$H921,IF(LEFT(TRIM(Paramètres!K57),1)="F",1,0)))),IF(Paramètres!L57="",0,IF(Paramètres!M57="",NA(),IF(LEFT(TRIM(Paramètres!M57),1)="F",INDEX($F$869:$F$921,MATCH(Paramètres!L57,Paramètres!$G$5:$G$57,0)),INDEX($E$869:$E$921,MATCH(Paramètres!L57,Paramètres!$G$5:$G$57,0)))+IF(RIGHT(TRIM(Paramètres!M57),3)="Fin",1-$H921,IF(LEFT(TRIM(Paramètres!M57),1)="F",1,0)))),IF(Paramètres!N57="",0,IF(Paramètres!O57="",NA(),IF(LEFT(TRIM(Paramètres!O57),1)="F",INDEX($F$869:$F$921,MATCH(Paramètres!N57,Paramètres!$G$5:$G$57,0)),INDEX($E$869:$E$921,MATCH(Paramètres!N57,Paramètres!$G$5:$G$57,0)))+IF(RIGHT(TRIM(Paramètres!O57),3)="Fin",1-$H921,IF(LEFT(TRIM(Paramètres!O57),1)="F",1,0)))))))</f>
        <v/>
      </c>
      <c r="F921" s="19">
        <f>IF($A921="","",E921+$H921-1)</f>
        <v/>
      </c>
      <c r="G921" s="18" t="n"/>
      <c r="H921" s="18">
        <f>IF($A921="","",IF(I921&lt;&gt;"",I921,Paramètres!B57))</f>
        <v/>
      </c>
      <c r="I921" s="18" t="n"/>
    </row>
    <row r="922">
      <c r="A922" s="16">
        <f>IF(ISNUMBER(Dossiers!$D$21),Dossiers!$E$21,"")</f>
        <v/>
      </c>
      <c r="B922" s="16">
        <f>IF($A922="","","Identifiant")</f>
        <v/>
      </c>
      <c r="C922" s="16">
        <f>IF($A922="","","Macro Etape")</f>
        <v/>
      </c>
      <c r="D922" s="16">
        <f>IF($A922="","","Etape")</f>
        <v/>
      </c>
      <c r="E922" s="17">
        <f>IF($A922="","","Début le")</f>
        <v/>
      </c>
      <c r="F922" s="17">
        <f>IF($A922="","","Fin prévue le")</f>
        <v/>
      </c>
      <c r="G922" s="16">
        <f>IF($A922="","","Statut")</f>
        <v/>
      </c>
      <c r="H922" s="16">
        <f>IF($A922="","","Durée (jours)")</f>
        <v/>
      </c>
      <c r="I922" s="16">
        <f>IF($A922="","","Durée particulière")</f>
        <v/>
      </c>
      <c r="J922" s="10">
        <f>IF($A922="","",HYPERLINK("#'Tableau de bord'!A1","↑ Tableau de bord"))</f>
        <v/>
      </c>
    </row>
    <row r="923">
      <c r="A923" s="18">
        <f>IF(ISNUMBER(Dossiers!$D$21),Dossiers!$A$21&amp;" · "&amp;Dossiers!$B$21,"")</f>
        <v/>
      </c>
      <c r="B923" s="18">
        <f>IF($A923="","",Paramètres!G5)</f>
        <v/>
      </c>
      <c r="C923" s="18">
        <f>IF($A923="","",IF(Paramètres!H5="","",Paramètres!H5))</f>
        <v/>
      </c>
      <c r="D923" s="18">
        <f>IF($A923="","",IF(Paramètres!I5="","",Paramètres!I5))</f>
        <v/>
      </c>
      <c r="E923" s="19">
        <f>IF($A923="","",MIN(E924:E927))</f>
        <v/>
      </c>
      <c r="F923" s="19">
        <f>IF($A923="","",MAX(F924:F927))</f>
        <v/>
      </c>
      <c r="G923" s="18" t="n"/>
      <c r="H923" s="18">
        <f>IF($A923="","",F923-E923+1)</f>
        <v/>
      </c>
      <c r="I923" s="18" t="n"/>
    </row>
    <row r="924">
      <c r="A924" s="18">
        <f>IF(ISNUMBER(Dossiers!$D$21),Dossiers!$A$21&amp;" · "&amp;Dossiers!$B$21,"")</f>
        <v/>
      </c>
      <c r="B924" s="18">
        <f>IF($A924="","",Paramètres!G6)</f>
        <v/>
      </c>
      <c r="C924" s="18">
        <f>IF($A924="","",IF(Paramètres!H6="","",Paramètres!H6))</f>
        <v/>
      </c>
      <c r="D924" s="18">
        <f>IF($A924="","",IF(Paramètres!I6="","",Paramètres!I6))</f>
        <v/>
      </c>
      <c r="E924" s="19">
        <f>IF($A924="","",IF(Paramètres!J6&amp;Paramètres!L6&amp;Paramètres!N6="",Dossiers!$D$21,MAX(IF(Paramètres!J6="",0,IF(Paramètres!K6="",NA(),IF(LEFT(TRIM(Paramètres!K6),1)="F",INDEX($F$923:$F$975,MATCH(Paramètres!J6,Paramètres!$G$5:$G$57,0)),INDEX($E$923:$E$975,MATCH(Paramètres!J6,Paramètres!$G$5:$G$57,0)))+IF(RIGHT(TRIM(Paramètres!K6),3)="Fin",1-$H924,IF(LEFT(TRIM(Paramètres!K6),1)="F",1,0)))),IF(Paramètres!L6="",0,IF(Paramètres!M6="",NA(),IF(LEFT(TRIM(Paramètres!M6),1)="F",INDEX($F$923:$F$975,MATCH(Paramètres!L6,Paramètres!$G$5:$G$57,0)),INDEX($E$923:$E$975,MATCH(Paramètres!L6,Paramètres!$G$5:$G$57,0)))+IF(RIGHT(TRIM(Paramètres!M6),3)="Fin",1-$H924,IF(LEFT(TRIM(Paramètres!M6),1)="F",1,0)))),IF(Paramètres!N6="",0,IF(Paramètres!O6="",NA(),IF(LEFT(TRIM(Paramètres!O6),1)="F",INDEX($F$923:$F$975,MATCH(Paramètres!N6,Paramètres!$G$5:$G$57,0)),INDEX($E$923:$E$975,MATCH(Paramètres!N6,Paramètres!$G$5:$G$57,0)))+IF(RIGHT(TRIM(Paramètres!O6),3)="Fin",1-$H924,IF(LEFT(TRIM(Paramètres!O6),1)="F",1,0)))))))</f>
        <v/>
      </c>
      <c r="F924" s="19">
        <f>IF($A924="","",E924+$H924-1)</f>
        <v/>
      </c>
      <c r="G924" s="18" t="n"/>
      <c r="H924" s="18">
        <f>IF($A924="","",IF(I924&lt;&gt;"",I924,Paramètres!B6))</f>
        <v/>
      </c>
      <c r="I924" s="18" t="n"/>
    </row>
    <row r="925">
      <c r="A925" s="18">
        <f>IF(ISNUMBER(Dossiers!$D$21),Dossiers!$A$21&amp;" · "&amp;Dossiers!$B$21,"")</f>
        <v/>
      </c>
      <c r="B925" s="18">
        <f>IF($A925="","",Paramètres!G7)</f>
        <v/>
      </c>
      <c r="C925" s="18">
        <f>IF($A925="","",IF(Paramètres!H7="","",Paramètres!H7))</f>
        <v/>
      </c>
      <c r="D925" s="18">
        <f>IF($A925="","",IF(Paramètres!I7="","",Paramètres!I7))</f>
        <v/>
      </c>
      <c r="E925" s="19">
        <f>IF($A925="","",IF(Paramètres!J7&amp;Paramètres!L7&amp;Paramètres!N7="",Dossiers!$D$21,MAX(IF(Paramètres!J7="",0,IF(Paramètres!K7="",NA(),IF(LEFT(TRIM(Paramètres!K7),1)="F",INDEX($F$923:$F$975,MATCH(Paramètres!J7,Paramètres!$G$5:$G$57,0)),INDEX($E$923:$E$975,MATCH(Paramètres!J7,Paramètres!$G$5:$G$57,0)))+IF(RIGHT(TRIM(Paramètres!K7),3)="Fin",1-$H925,IF(LEFT(TRIM(Paramètres!K7),1)="F",1,0)))),IF(Paramètres!L7="",0,IF(Paramètres!M7="",NA(),IF(LEFT(TRIM(Paramètres!M7),1)="F",INDEX($F$923:$F$975,MATCH(Paramètres!L7,Paramètres!$G$5:$G$57,0)),INDEX($E$923:$E$975,MATCH(Paramètres!L7,Paramètres!$G$5:$G$57,0)))+IF(RIGHT(TRIM(Paramètres!M7),3)="Fin",1-$H925,IF(LEFT(TRIM(Paramètres!M7),1)="F",1,0)))),IF(Paramètres!N7="",0,IF(Paramètres!O7="",NA(),IF(LEFT(TRIM(Paramètres!O7),1)="F",INDEX($F$923:$F$975,MATCH(Paramètres!N7,Paramètres!$G$5:$G$57,0)),INDEX($E$923:$E$975,MATCH(Paramètres!N7,Paramètres!$G$5:$G$57,0)))+IF(RIGHT(TRIM(Paramètres!O7),3)="Fin",1-$H925,IF(LEFT(TRIM(Paramètres!O7),1)="F",1,0)))))))</f>
        <v/>
      </c>
      <c r="F925" s="19">
        <f>IF($A925="","",E925+$H925-1)</f>
        <v/>
      </c>
      <c r="G925" s="18" t="n"/>
      <c r="H925" s="18">
        <f>IF($A925="","",IF(I925&lt;&gt;"",I925,Paramètres!B7))</f>
        <v/>
      </c>
      <c r="I925" s="18" t="n"/>
    </row>
    <row r="926">
      <c r="A926" s="18">
        <f>IF(ISNUMBER(Dossiers!$D$21),Dossiers!$A$21&amp;" · "&amp;Dossiers!$B$21,"")</f>
        <v/>
      </c>
      <c r="B926" s="18">
        <f>IF($A926="","",Paramètres!G8)</f>
        <v/>
      </c>
      <c r="C926" s="18">
        <f>IF($A926="","",IF(Paramètres!H8="","",Paramètres!H8))</f>
        <v/>
      </c>
      <c r="D926" s="18">
        <f>IF($A926="","",IF(Paramètres!I8="","",Paramètres!I8))</f>
        <v/>
      </c>
      <c r="E926" s="19">
        <f>IF($A926="","",IF(Paramètres!J8&amp;Paramètres!L8&amp;Paramètres!N8="",Dossiers!$D$21,MAX(IF(Paramètres!J8="",0,IF(Paramètres!K8="",NA(),IF(LEFT(TRIM(Paramètres!K8),1)="F",INDEX($F$923:$F$975,MATCH(Paramètres!J8,Paramètres!$G$5:$G$57,0)),INDEX($E$923:$E$975,MATCH(Paramètres!J8,Paramètres!$G$5:$G$57,0)))+IF(RIGHT(TRIM(Paramètres!K8),3)="Fin",1-$H926,IF(LEFT(TRIM(Paramètres!K8),1)="F",1,0)))),IF(Paramètres!L8="",0,IF(Paramètres!M8="",NA(),IF(LEFT(TRIM(Paramètres!M8),1)="F",INDEX($F$923:$F$975,MATCH(Paramètres!L8,Paramètres!$G$5:$G$57,0)),INDEX($E$923:$E$975,MATCH(Paramètres!L8,Paramètres!$G$5:$G$57,0)))+IF(RIGHT(TRIM(Paramètres!M8),3)="Fin",1-$H926,IF(LEFT(TRIM(Paramètres!M8),1)="F",1,0)))),IF(Paramètres!N8="",0,IF(Paramètres!O8="",NA(),IF(LEFT(TRIM(Paramètres!O8),1)="F",INDEX($F$923:$F$975,MATCH(Paramètres!N8,Paramètres!$G$5:$G$57,0)),INDEX($E$923:$E$975,MATCH(Paramètres!N8,Paramètres!$G$5:$G$57,0)))+IF(RIGHT(TRIM(Paramètres!O8),3)="Fin",1-$H926,IF(LEFT(TRIM(Paramètres!O8),1)="F",1,0)))))))</f>
        <v/>
      </c>
      <c r="F926" s="19">
        <f>IF($A926="","",E926+$H926-1)</f>
        <v/>
      </c>
      <c r="G926" s="18" t="n"/>
      <c r="H926" s="18">
        <f>IF($A926="","",IF(I926&lt;&gt;"",I926,Paramètres!B8))</f>
        <v/>
      </c>
      <c r="I926" s="18" t="n"/>
    </row>
    <row r="927">
      <c r="A927" s="18">
        <f>IF(ISNUMBER(Dossiers!$D$21),Dossiers!$A$21&amp;" · "&amp;Dossiers!$B$21,"")</f>
        <v/>
      </c>
      <c r="B927" s="18">
        <f>IF($A927="","",Paramètres!G9)</f>
        <v/>
      </c>
      <c r="C927" s="18">
        <f>IF($A927="","",IF(Paramètres!H9="","",Paramètres!H9))</f>
        <v/>
      </c>
      <c r="D927" s="18">
        <f>IF($A927="","",IF(Paramètres!I9="","",Paramètres!I9))</f>
        <v/>
      </c>
      <c r="E927" s="19">
        <f>IF($A927="","",IF(Paramètres!J9&amp;Paramètres!L9&amp;Paramètres!N9="",Dossiers!$D$21,MAX(IF(Paramètres!J9="",0,IF(Paramètres!K9="",NA(),IF(LEFT(TRIM(Paramètres!K9),1)="F",INDEX($F$923:$F$975,MATCH(Paramètres!J9,Paramètres!$G$5:$G$57,0)),INDEX($E$923:$E$975,MATCH(Paramètres!J9,Paramètres!$G$5:$G$57,0)))+IF(RIGHT(TRIM(Paramètres!K9),3)="Fin",1-$H927,IF(LEFT(TRIM(Paramètres!K9),1)="F",1,0)))),IF(Paramètres!L9="",0,IF(Paramètres!M9="",NA(),IF(LEFT(TRIM(Paramètres!M9),1)="F",INDEX($F$923:$F$975,MATCH(Paramètres!L9,Paramètres!$G$5:$G$57,0)),INDEX($E$923:$E$975,MATCH(Paramètres!L9,Paramètres!$G$5:$G$57,0)))+IF(RIGHT(TRIM(Paramètres!M9),3)="Fin",1-$H927,IF(LEFT(TRIM(Paramètres!M9),1)="F",1,0)))),IF(Paramètres!N9="",0,IF(Paramètres!O9="",NA(),IF(LEFT(TRIM(Paramètres!O9),1)="F",INDEX($F$923:$F$975,MATCH(Paramètres!N9,Paramètres!$G$5:$G$57,0)),INDEX($E$923:$E$975,MATCH(Paramètres!N9,Paramètres!$G$5:$G$57,0)))+IF(RIGHT(TRIM(Paramètres!O9),3)="Fin",1-$H927,IF(LEFT(TRIM(Paramètres!O9),1)="F",1,0)))))))</f>
        <v/>
      </c>
      <c r="F927" s="19">
        <f>IF($A927="","",E927+$H927-1)</f>
        <v/>
      </c>
      <c r="G927" s="18" t="n"/>
      <c r="H927" s="18">
        <f>IF($A927="","",IF(I927&lt;&gt;"",I927,Paramètres!B9))</f>
        <v/>
      </c>
      <c r="I927" s="18" t="n"/>
    </row>
    <row r="928">
      <c r="A928" s="18">
        <f>IF(ISNUMBER(Dossiers!$D$21),Dossiers!$A$21&amp;" · "&amp;Dossiers!$B$21,"")</f>
        <v/>
      </c>
      <c r="B928" s="18">
        <f>IF($A928="","",Paramètres!G10)</f>
        <v/>
      </c>
      <c r="C928" s="18">
        <f>IF($A928="","",IF(Paramètres!H10="","",Paramètres!H10))</f>
        <v/>
      </c>
      <c r="D928" s="18">
        <f>IF($A928="","",IF(Paramètres!I10="","",Paramètres!I10))</f>
        <v/>
      </c>
      <c r="E928" s="19">
        <f>IF($A928="","",MIN(E929:E932))</f>
        <v/>
      </c>
      <c r="F928" s="19">
        <f>IF($A928="","",MAX(F929:F932))</f>
        <v/>
      </c>
      <c r="G928" s="18" t="n"/>
      <c r="H928" s="18">
        <f>IF($A928="","",F928-E928+1)</f>
        <v/>
      </c>
      <c r="I928" s="18" t="n"/>
    </row>
    <row r="929">
      <c r="A929" s="18">
        <f>IF(ISNUMBER(Dossiers!$D$21),Dossiers!$A$21&amp;" · "&amp;Dossiers!$B$21,"")</f>
        <v/>
      </c>
      <c r="B929" s="18">
        <f>IF($A929="","",Paramètres!G11)</f>
        <v/>
      </c>
      <c r="C929" s="18">
        <f>IF($A929="","",IF(Paramètres!H11="","",Paramètres!H11))</f>
        <v/>
      </c>
      <c r="D929" s="18">
        <f>IF($A929="","",IF(Paramètres!I11="","",Paramètres!I11))</f>
        <v/>
      </c>
      <c r="E929" s="19">
        <f>IF($A929="","",IF(Paramètres!J11&amp;Paramètres!L11&amp;Paramètres!N11="",Dossiers!$D$21,MAX(IF(Paramètres!J11="",0,IF(Paramètres!K11="",NA(),IF(LEFT(TRIM(Paramètres!K11),1)="F",INDEX($F$923:$F$975,MATCH(Paramètres!J11,Paramètres!$G$5:$G$57,0)),INDEX($E$923:$E$975,MATCH(Paramètres!J11,Paramètres!$G$5:$G$57,0)))+IF(RIGHT(TRIM(Paramètres!K11),3)="Fin",1-$H929,IF(LEFT(TRIM(Paramètres!K11),1)="F",1,0)))),IF(Paramètres!L11="",0,IF(Paramètres!M11="",NA(),IF(LEFT(TRIM(Paramètres!M11),1)="F",INDEX($F$923:$F$975,MATCH(Paramètres!L11,Paramètres!$G$5:$G$57,0)),INDEX($E$923:$E$975,MATCH(Paramètres!L11,Paramètres!$G$5:$G$57,0)))+IF(RIGHT(TRIM(Paramètres!M11),3)="Fin",1-$H929,IF(LEFT(TRIM(Paramètres!M11),1)="F",1,0)))),IF(Paramètres!N11="",0,IF(Paramètres!O11="",NA(),IF(LEFT(TRIM(Paramètres!O11),1)="F",INDEX($F$923:$F$975,MATCH(Paramètres!N11,Paramètres!$G$5:$G$57,0)),INDEX($E$923:$E$975,MATCH(Paramètres!N11,Paramètres!$G$5:$G$57,0)))+IF(RIGHT(TRIM(Paramètres!O11),3)="Fin",1-$H929,IF(LEFT(TRIM(Paramètres!O11),1)="F",1,0)))))))</f>
        <v/>
      </c>
      <c r="F929" s="19">
        <f>IF($A929="","",E929+$H929-1)</f>
        <v/>
      </c>
      <c r="G929" s="18" t="n"/>
      <c r="H929" s="18">
        <f>IF($A929="","",IF(I929&lt;&gt;"",I929,Paramètres!B11))</f>
        <v/>
      </c>
      <c r="I929" s="18" t="n"/>
    </row>
    <row r="930">
      <c r="A930" s="18">
        <f>IF(ISNUMBER(Dossiers!$D$21),Dossiers!$A$21&amp;" · "&amp;Dossiers!$B$21,"")</f>
        <v/>
      </c>
      <c r="B930" s="18">
        <f>IF($A930="","",Paramètres!G12)</f>
        <v/>
      </c>
      <c r="C930" s="18">
        <f>IF($A930="","",IF(Paramètres!H12="","",Paramètres!H12))</f>
        <v/>
      </c>
      <c r="D930" s="18">
        <f>IF($A930="","",IF(Paramètres!I12="","",Paramètres!I12))</f>
        <v/>
      </c>
      <c r="E930" s="19">
        <f>IF($A930="","",IF(Paramètres!J12&amp;Paramètres!L12&amp;Paramètres!N12="",Dossiers!$D$21,MAX(IF(Paramètres!J12="",0,IF(Paramètres!K12="",NA(),IF(LEFT(TRIM(Paramètres!K12),1)="F",INDEX($F$923:$F$975,MATCH(Paramètres!J12,Paramètres!$G$5:$G$57,0)),INDEX($E$923:$E$975,MATCH(Paramètres!J12,Paramètres!$G$5:$G$57,0)))+IF(RIGHT(TRIM(Paramètres!K12),3)="Fin",1-$H930,IF(LEFT(TRIM(Paramètres!K12),1)="F",1,0)))),IF(Paramètres!L12="",0,IF(Paramètres!M12="",NA(),IF(LEFT(TRIM(Paramètres!M12),1)="F",INDEX($F$923:$F$975,MATCH(Paramètres!L12,Paramètres!$G$5:$G$57,0)),INDEX($E$923:$E$975,MATCH(Paramètres!L12,Paramètres!$G$5:$G$57,0)))+IF(RIGHT(TRIM(Paramètres!M12),3)="Fin",1-$H930,IF(LEFT(TRIM(Paramètres!M12),1)="F",1,0)))),IF(Paramètres!N12="",0,IF(Paramètres!O12="",NA(),IF(LEFT(TRIM(Paramètres!O12),1)="F",INDEX($F$923:$F$975,MATCH(Paramètres!N12,Paramètres!$G$5:$G$57,0)),INDEX($E$923:$E$975,MATCH(Paramètres!N12,Paramètres!$G$5:$G$57,0)))+IF(RIGHT(TRIM(Paramètres!O12),3)="Fin",1-$H930,IF(LEFT(TRIM(Paramètres!O12),1)="F",1,0)))))))</f>
        <v/>
      </c>
      <c r="F930" s="19">
        <f>IF($A930="","",E930+$H930-1)</f>
        <v/>
      </c>
      <c r="G930" s="18" t="n"/>
      <c r="H930" s="18">
        <f>IF($A930="","",IF(I930&lt;&gt;"",I930,Paramètres!B12))</f>
        <v/>
      </c>
      <c r="I930" s="18" t="n"/>
    </row>
    <row r="931">
      <c r="A931" s="18">
        <f>IF(ISNUMBER(Dossiers!$D$21),Dossiers!$A$21&amp;" · "&amp;Dossiers!$B$21,"")</f>
        <v/>
      </c>
      <c r="B931" s="18">
        <f>IF($A931="","",Paramètres!G13)</f>
        <v/>
      </c>
      <c r="C931" s="18">
        <f>IF($A931="","",IF(Paramètres!H13="","",Paramètres!H13))</f>
        <v/>
      </c>
      <c r="D931" s="18">
        <f>IF($A931="","",IF(Paramètres!I13="","",Paramètres!I13))</f>
        <v/>
      </c>
      <c r="E931" s="19">
        <f>IF($A931="","",IF(Paramètres!J13&amp;Paramètres!L13&amp;Paramètres!N13="",Dossiers!$D$21,MAX(IF(Paramètres!J13="",0,IF(Paramètres!K13="",NA(),IF(LEFT(TRIM(Paramètres!K13),1)="F",INDEX($F$923:$F$975,MATCH(Paramètres!J13,Paramètres!$G$5:$G$57,0)),INDEX($E$923:$E$975,MATCH(Paramètres!J13,Paramètres!$G$5:$G$57,0)))+IF(RIGHT(TRIM(Paramètres!K13),3)="Fin",1-$H931,IF(LEFT(TRIM(Paramètres!K13),1)="F",1,0)))),IF(Paramètres!L13="",0,IF(Paramètres!M13="",NA(),IF(LEFT(TRIM(Paramètres!M13),1)="F",INDEX($F$923:$F$975,MATCH(Paramètres!L13,Paramètres!$G$5:$G$57,0)),INDEX($E$923:$E$975,MATCH(Paramètres!L13,Paramètres!$G$5:$G$57,0)))+IF(RIGHT(TRIM(Paramètres!M13),3)="Fin",1-$H931,IF(LEFT(TRIM(Paramètres!M13),1)="F",1,0)))),IF(Paramètres!N13="",0,IF(Paramètres!O13="",NA(),IF(LEFT(TRIM(Paramètres!O13),1)="F",INDEX($F$923:$F$975,MATCH(Paramètres!N13,Paramètres!$G$5:$G$57,0)),INDEX($E$923:$E$975,MATCH(Paramètres!N13,Paramètres!$G$5:$G$57,0)))+IF(RIGHT(TRIM(Paramètres!O13),3)="Fin",1-$H931,IF(LEFT(TRIM(Paramètres!O13),1)="F",1,0)))))))</f>
        <v/>
      </c>
      <c r="F931" s="19">
        <f>IF($A931="","",E931+$H931-1)</f>
        <v/>
      </c>
      <c r="G931" s="18" t="n"/>
      <c r="H931" s="18">
        <f>IF($A931="","",IF(I931&lt;&gt;"",I931,Paramètres!B13))</f>
        <v/>
      </c>
      <c r="I931" s="18" t="n"/>
    </row>
    <row r="932">
      <c r="A932" s="18">
        <f>IF(ISNUMBER(Dossiers!$D$21),Dossiers!$A$21&amp;" · "&amp;Dossiers!$B$21,"")</f>
        <v/>
      </c>
      <c r="B932" s="18">
        <f>IF($A932="","",Paramètres!G14)</f>
        <v/>
      </c>
      <c r="C932" s="18">
        <f>IF($A932="","",IF(Paramètres!H14="","",Paramètres!H14))</f>
        <v/>
      </c>
      <c r="D932" s="18">
        <f>IF($A932="","",IF(Paramètres!I14="","",Paramètres!I14))</f>
        <v/>
      </c>
      <c r="E932" s="19">
        <f>IF($A932="","",IF(Paramètres!J14&amp;Paramètres!L14&amp;Paramètres!N14="",Dossiers!$D$21,MAX(IF(Paramètres!J14="",0,IF(Paramètres!K14="",NA(),IF(LEFT(TRIM(Paramètres!K14),1)="F",INDEX($F$923:$F$975,MATCH(Paramètres!J14,Paramètres!$G$5:$G$57,0)),INDEX($E$923:$E$975,MATCH(Paramètres!J14,Paramètres!$G$5:$G$57,0)))+IF(RIGHT(TRIM(Paramètres!K14),3)="Fin",1-$H932,IF(LEFT(TRIM(Paramètres!K14),1)="F",1,0)))),IF(Paramètres!L14="",0,IF(Paramètres!M14="",NA(),IF(LEFT(TRIM(Paramètres!M14),1)="F",INDEX($F$923:$F$975,MATCH(Paramètres!L14,Paramètres!$G$5:$G$57,0)),INDEX($E$923:$E$975,MATCH(Paramètres!L14,Paramètres!$G$5:$G$57,0)))+IF(RIGHT(TRIM(Paramètres!M14),3)="Fin",1-$H932,IF(LEFT(TRIM(Paramètres!M14),1)="F",1,0)))),IF(Paramètres!N14="",0,IF(Paramètres!O14="",NA(),IF(LEFT(TRIM(Paramètres!O14),1)="F",INDEX($F$923:$F$975,MATCH(Paramètres!N14,Paramètres!$G$5:$G$57,0)),INDEX($E$923:$E$975,MATCH(Paramètres!N14,Paramètres!$G$5:$G$57,0)))+IF(RIGHT(TRIM(Paramètres!O14),3)="Fin",1-$H932,IF(LEFT(TRIM(Paramètres!O14),1)="F",1,0)))))))</f>
        <v/>
      </c>
      <c r="F932" s="19">
        <f>IF($A932="","",E932+$H932-1)</f>
        <v/>
      </c>
      <c r="G932" s="18" t="n"/>
      <c r="H932" s="18">
        <f>IF($A932="","",IF(I932&lt;&gt;"",I932,Paramètres!B14))</f>
        <v/>
      </c>
      <c r="I932" s="18" t="n"/>
    </row>
    <row r="933">
      <c r="A933" s="18">
        <f>IF(ISNUMBER(Dossiers!$D$21),Dossiers!$A$21&amp;" · "&amp;Dossiers!$B$21,"")</f>
        <v/>
      </c>
      <c r="B933" s="18">
        <f>IF($A933="","",Paramètres!G15)</f>
        <v/>
      </c>
      <c r="C933" s="18">
        <f>IF($A933="","",IF(Paramètres!H15="","",Paramètres!H15))</f>
        <v/>
      </c>
      <c r="D933" s="18">
        <f>IF($A933="","",IF(Paramètres!I15="","",Paramètres!I15))</f>
        <v/>
      </c>
      <c r="E933" s="19">
        <f>IF($A933="","",MIN(E934:E949))</f>
        <v/>
      </c>
      <c r="F933" s="19">
        <f>IF($A933="","",MAX(F934:F949))</f>
        <v/>
      </c>
      <c r="G933" s="18" t="n"/>
      <c r="H933" s="18">
        <f>IF($A933="","",F933-E933+1)</f>
        <v/>
      </c>
      <c r="I933" s="18" t="n"/>
    </row>
    <row r="934">
      <c r="A934" s="18">
        <f>IF(ISNUMBER(Dossiers!$D$21),Dossiers!$A$21&amp;" · "&amp;Dossiers!$B$21,"")</f>
        <v/>
      </c>
      <c r="B934" s="18">
        <f>IF($A934="","",Paramètres!G16)</f>
        <v/>
      </c>
      <c r="C934" s="18">
        <f>IF($A934="","",IF(Paramètres!H16="","",Paramètres!H16))</f>
        <v/>
      </c>
      <c r="D934" s="18">
        <f>IF($A934="","",IF(Paramètres!I16="","",Paramètres!I16))</f>
        <v/>
      </c>
      <c r="E934" s="19">
        <f>IF($A934="","",IF(Paramètres!J16&amp;Paramètres!L16&amp;Paramètres!N16="",Dossiers!$D$21,MAX(IF(Paramètres!J16="",0,IF(Paramètres!K16="",NA(),IF(LEFT(TRIM(Paramètres!K16),1)="F",INDEX($F$923:$F$975,MATCH(Paramètres!J16,Paramètres!$G$5:$G$57,0)),INDEX($E$923:$E$975,MATCH(Paramètres!J16,Paramètres!$G$5:$G$57,0)))+IF(RIGHT(TRIM(Paramètres!K16),3)="Fin",1-$H934,IF(LEFT(TRIM(Paramètres!K16),1)="F",1,0)))),IF(Paramètres!L16="",0,IF(Paramètres!M16="",NA(),IF(LEFT(TRIM(Paramètres!M16),1)="F",INDEX($F$923:$F$975,MATCH(Paramètres!L16,Paramètres!$G$5:$G$57,0)),INDEX($E$923:$E$975,MATCH(Paramètres!L16,Paramètres!$G$5:$G$57,0)))+IF(RIGHT(TRIM(Paramètres!M16),3)="Fin",1-$H934,IF(LEFT(TRIM(Paramètres!M16),1)="F",1,0)))),IF(Paramètres!N16="",0,IF(Paramètres!O16="",NA(),IF(LEFT(TRIM(Paramètres!O16),1)="F",INDEX($F$923:$F$975,MATCH(Paramètres!N16,Paramètres!$G$5:$G$57,0)),INDEX($E$923:$E$975,MATCH(Paramètres!N16,Paramètres!$G$5:$G$57,0)))+IF(RIGHT(TRIM(Paramètres!O16),3)="Fin",1-$H934,IF(LEFT(TRIM(Paramètres!O16),1)="F",1,0)))))))</f>
        <v/>
      </c>
      <c r="F934" s="19">
        <f>IF($A934="","",E934+$H934-1)</f>
        <v/>
      </c>
      <c r="G934" s="18" t="n"/>
      <c r="H934" s="18">
        <f>IF($A934="","",IF(I934&lt;&gt;"",I934,Paramètres!B16))</f>
        <v/>
      </c>
      <c r="I934" s="18" t="n"/>
    </row>
    <row r="935">
      <c r="A935" s="18">
        <f>IF(ISNUMBER(Dossiers!$D$21),Dossiers!$A$21&amp;" · "&amp;Dossiers!$B$21,"")</f>
        <v/>
      </c>
      <c r="B935" s="18">
        <f>IF($A935="","",Paramètres!G17)</f>
        <v/>
      </c>
      <c r="C935" s="18">
        <f>IF($A935="","",IF(Paramètres!H17="","",Paramètres!H17))</f>
        <v/>
      </c>
      <c r="D935" s="18">
        <f>IF($A935="","",IF(Paramètres!I17="","",Paramètres!I17))</f>
        <v/>
      </c>
      <c r="E935" s="19">
        <f>IF($A935="","",IF(Paramètres!J17&amp;Paramètres!L17&amp;Paramètres!N17="",Dossiers!$D$21,MAX(IF(Paramètres!J17="",0,IF(Paramètres!K17="",NA(),IF(LEFT(TRIM(Paramètres!K17),1)="F",INDEX($F$923:$F$975,MATCH(Paramètres!J17,Paramètres!$G$5:$G$57,0)),INDEX($E$923:$E$975,MATCH(Paramètres!J17,Paramètres!$G$5:$G$57,0)))+IF(RIGHT(TRIM(Paramètres!K17),3)="Fin",1-$H935,IF(LEFT(TRIM(Paramètres!K17),1)="F",1,0)))),IF(Paramètres!L17="",0,IF(Paramètres!M17="",NA(),IF(LEFT(TRIM(Paramètres!M17),1)="F",INDEX($F$923:$F$975,MATCH(Paramètres!L17,Paramètres!$G$5:$G$57,0)),INDEX($E$923:$E$975,MATCH(Paramètres!L17,Paramètres!$G$5:$G$57,0)))+IF(RIGHT(TRIM(Paramètres!M17),3)="Fin",1-$H935,IF(LEFT(TRIM(Paramètres!M17),1)="F",1,0)))),IF(Paramètres!N17="",0,IF(Paramètres!O17="",NA(),IF(LEFT(TRIM(Paramètres!O17),1)="F",INDEX($F$923:$F$975,MATCH(Paramètres!N17,Paramètres!$G$5:$G$57,0)),INDEX($E$923:$E$975,MATCH(Paramètres!N17,Paramètres!$G$5:$G$57,0)))+IF(RIGHT(TRIM(Paramètres!O17),3)="Fin",1-$H935,IF(LEFT(TRIM(Paramètres!O17),1)="F",1,0)))))))</f>
        <v/>
      </c>
      <c r="F935" s="19">
        <f>IF($A935="","",E935+$H935-1)</f>
        <v/>
      </c>
      <c r="G935" s="18" t="n"/>
      <c r="H935" s="18">
        <f>IF($A935="","",IF(I935&lt;&gt;"",I935,Paramètres!B17))</f>
        <v/>
      </c>
      <c r="I935" s="18" t="n"/>
    </row>
    <row r="936">
      <c r="A936" s="18">
        <f>IF(ISNUMBER(Dossiers!$D$21),Dossiers!$A$21&amp;" · "&amp;Dossiers!$B$21,"")</f>
        <v/>
      </c>
      <c r="B936" s="18">
        <f>IF($A936="","",Paramètres!G18)</f>
        <v/>
      </c>
      <c r="C936" s="18">
        <f>IF($A936="","",IF(Paramètres!H18="","",Paramètres!H18))</f>
        <v/>
      </c>
      <c r="D936" s="18">
        <f>IF($A936="","",IF(Paramètres!I18="","",Paramètres!I18))</f>
        <v/>
      </c>
      <c r="E936" s="19">
        <f>IF($A936="","",IF(Paramètres!J18&amp;Paramètres!L18&amp;Paramètres!N18="",Dossiers!$D$21,MAX(IF(Paramètres!J18="",0,IF(Paramètres!K18="",NA(),IF(LEFT(TRIM(Paramètres!K18),1)="F",INDEX($F$923:$F$975,MATCH(Paramètres!J18,Paramètres!$G$5:$G$57,0)),INDEX($E$923:$E$975,MATCH(Paramètres!J18,Paramètres!$G$5:$G$57,0)))+IF(RIGHT(TRIM(Paramètres!K18),3)="Fin",1-$H936,IF(LEFT(TRIM(Paramètres!K18),1)="F",1,0)))),IF(Paramètres!L18="",0,IF(Paramètres!M18="",NA(),IF(LEFT(TRIM(Paramètres!M18),1)="F",INDEX($F$923:$F$975,MATCH(Paramètres!L18,Paramètres!$G$5:$G$57,0)),INDEX($E$923:$E$975,MATCH(Paramètres!L18,Paramètres!$G$5:$G$57,0)))+IF(RIGHT(TRIM(Paramètres!M18),3)="Fin",1-$H936,IF(LEFT(TRIM(Paramètres!M18),1)="F",1,0)))),IF(Paramètres!N18="",0,IF(Paramètres!O18="",NA(),IF(LEFT(TRIM(Paramètres!O18),1)="F",INDEX($F$923:$F$975,MATCH(Paramètres!N18,Paramètres!$G$5:$G$57,0)),INDEX($E$923:$E$975,MATCH(Paramètres!N18,Paramètres!$G$5:$G$57,0)))+IF(RIGHT(TRIM(Paramètres!O18),3)="Fin",1-$H936,IF(LEFT(TRIM(Paramètres!O18),1)="F",1,0)))))))</f>
        <v/>
      </c>
      <c r="F936" s="19">
        <f>IF($A936="","",E936+$H936-1)</f>
        <v/>
      </c>
      <c r="G936" s="18" t="n"/>
      <c r="H936" s="18">
        <f>IF($A936="","",IF(I936&lt;&gt;"",I936,Paramètres!B18))</f>
        <v/>
      </c>
      <c r="I936" s="18" t="n"/>
    </row>
    <row r="937">
      <c r="A937" s="18">
        <f>IF(ISNUMBER(Dossiers!$D$21),Dossiers!$A$21&amp;" · "&amp;Dossiers!$B$21,"")</f>
        <v/>
      </c>
      <c r="B937" s="18">
        <f>IF($A937="","",Paramètres!G19)</f>
        <v/>
      </c>
      <c r="C937" s="18">
        <f>IF($A937="","",IF(Paramètres!H19="","",Paramètres!H19))</f>
        <v/>
      </c>
      <c r="D937" s="18">
        <f>IF($A937="","",IF(Paramètres!I19="","",Paramètres!I19))</f>
        <v/>
      </c>
      <c r="E937" s="19">
        <f>IF($A937="","",IF(Paramètres!J19&amp;Paramètres!L19&amp;Paramètres!N19="",Dossiers!$D$21,MAX(IF(Paramètres!J19="",0,IF(Paramètres!K19="",NA(),IF(LEFT(TRIM(Paramètres!K19),1)="F",INDEX($F$923:$F$975,MATCH(Paramètres!J19,Paramètres!$G$5:$G$57,0)),INDEX($E$923:$E$975,MATCH(Paramètres!J19,Paramètres!$G$5:$G$57,0)))+IF(RIGHT(TRIM(Paramètres!K19),3)="Fin",1-$H937,IF(LEFT(TRIM(Paramètres!K19),1)="F",1,0)))),IF(Paramètres!L19="",0,IF(Paramètres!M19="",NA(),IF(LEFT(TRIM(Paramètres!M19),1)="F",INDEX($F$923:$F$975,MATCH(Paramètres!L19,Paramètres!$G$5:$G$57,0)),INDEX($E$923:$E$975,MATCH(Paramètres!L19,Paramètres!$G$5:$G$57,0)))+IF(RIGHT(TRIM(Paramètres!M19),3)="Fin",1-$H937,IF(LEFT(TRIM(Paramètres!M19),1)="F",1,0)))),IF(Paramètres!N19="",0,IF(Paramètres!O19="",NA(),IF(LEFT(TRIM(Paramètres!O19),1)="F",INDEX($F$923:$F$975,MATCH(Paramètres!N19,Paramètres!$G$5:$G$57,0)),INDEX($E$923:$E$975,MATCH(Paramètres!N19,Paramètres!$G$5:$G$57,0)))+IF(RIGHT(TRIM(Paramètres!O19),3)="Fin",1-$H937,IF(LEFT(TRIM(Paramètres!O19),1)="F",1,0)))))))</f>
        <v/>
      </c>
      <c r="F937" s="19">
        <f>IF($A937="","",E937+$H937-1)</f>
        <v/>
      </c>
      <c r="G937" s="18" t="n"/>
      <c r="H937" s="18">
        <f>IF($A937="","",IF(I937&lt;&gt;"",I937,Paramètres!B19))</f>
        <v/>
      </c>
      <c r="I937" s="18" t="n"/>
    </row>
    <row r="938">
      <c r="A938" s="18">
        <f>IF(ISNUMBER(Dossiers!$D$21),Dossiers!$A$21&amp;" · "&amp;Dossiers!$B$21,"")</f>
        <v/>
      </c>
      <c r="B938" s="18">
        <f>IF($A938="","",Paramètres!G20)</f>
        <v/>
      </c>
      <c r="C938" s="18">
        <f>IF($A938="","",IF(Paramètres!H20="","",Paramètres!H20))</f>
        <v/>
      </c>
      <c r="D938" s="18">
        <f>IF($A938="","",IF(Paramètres!I20="","",Paramètres!I20))</f>
        <v/>
      </c>
      <c r="E938" s="19">
        <f>IF($A938="","",IF(Paramètres!J20&amp;Paramètres!L20&amp;Paramètres!N20="",Dossiers!$D$21,MAX(IF(Paramètres!J20="",0,IF(Paramètres!K20="",NA(),IF(LEFT(TRIM(Paramètres!K20),1)="F",INDEX($F$923:$F$975,MATCH(Paramètres!J20,Paramètres!$G$5:$G$57,0)),INDEX($E$923:$E$975,MATCH(Paramètres!J20,Paramètres!$G$5:$G$57,0)))+IF(RIGHT(TRIM(Paramètres!K20),3)="Fin",1-$H938,IF(LEFT(TRIM(Paramètres!K20),1)="F",1,0)))),IF(Paramètres!L20="",0,IF(Paramètres!M20="",NA(),IF(LEFT(TRIM(Paramètres!M20),1)="F",INDEX($F$923:$F$975,MATCH(Paramètres!L20,Paramètres!$G$5:$G$57,0)),INDEX($E$923:$E$975,MATCH(Paramètres!L20,Paramètres!$G$5:$G$57,0)))+IF(RIGHT(TRIM(Paramètres!M20),3)="Fin",1-$H938,IF(LEFT(TRIM(Paramètres!M20),1)="F",1,0)))),IF(Paramètres!N20="",0,IF(Paramètres!O20="",NA(),IF(LEFT(TRIM(Paramètres!O20),1)="F",INDEX($F$923:$F$975,MATCH(Paramètres!N20,Paramètres!$G$5:$G$57,0)),INDEX($E$923:$E$975,MATCH(Paramètres!N20,Paramètres!$G$5:$G$57,0)))+IF(RIGHT(TRIM(Paramètres!O20),3)="Fin",1-$H938,IF(LEFT(TRIM(Paramètres!O20),1)="F",1,0)))))))</f>
        <v/>
      </c>
      <c r="F938" s="19">
        <f>IF($A938="","",E938+$H938-1)</f>
        <v/>
      </c>
      <c r="G938" s="18" t="n"/>
      <c r="H938" s="18">
        <f>IF($A938="","",IF(I938&lt;&gt;"",I938,Paramètres!B20))</f>
        <v/>
      </c>
      <c r="I938" s="18" t="n"/>
    </row>
    <row r="939">
      <c r="A939" s="18">
        <f>IF(ISNUMBER(Dossiers!$D$21),Dossiers!$A$21&amp;" · "&amp;Dossiers!$B$21,"")</f>
        <v/>
      </c>
      <c r="B939" s="18">
        <f>IF($A939="","",Paramètres!G21)</f>
        <v/>
      </c>
      <c r="C939" s="18">
        <f>IF($A939="","",IF(Paramètres!H21="","",Paramètres!H21))</f>
        <v/>
      </c>
      <c r="D939" s="18">
        <f>IF($A939="","",IF(Paramètres!I21="","",Paramètres!I21))</f>
        <v/>
      </c>
      <c r="E939" s="19">
        <f>IF($A939="","",IF(Paramètres!J21&amp;Paramètres!L21&amp;Paramètres!N21="",Dossiers!$D$21,MAX(IF(Paramètres!J21="",0,IF(Paramètres!K21="",NA(),IF(LEFT(TRIM(Paramètres!K21),1)="F",INDEX($F$923:$F$975,MATCH(Paramètres!J21,Paramètres!$G$5:$G$57,0)),INDEX($E$923:$E$975,MATCH(Paramètres!J21,Paramètres!$G$5:$G$57,0)))+IF(RIGHT(TRIM(Paramètres!K21),3)="Fin",1-$H939,IF(LEFT(TRIM(Paramètres!K21),1)="F",1,0)))),IF(Paramètres!L21="",0,IF(Paramètres!M21="",NA(),IF(LEFT(TRIM(Paramètres!M21),1)="F",INDEX($F$923:$F$975,MATCH(Paramètres!L21,Paramètres!$G$5:$G$57,0)),INDEX($E$923:$E$975,MATCH(Paramètres!L21,Paramètres!$G$5:$G$57,0)))+IF(RIGHT(TRIM(Paramètres!M21),3)="Fin",1-$H939,IF(LEFT(TRIM(Paramètres!M21),1)="F",1,0)))),IF(Paramètres!N21="",0,IF(Paramètres!O21="",NA(),IF(LEFT(TRIM(Paramètres!O21),1)="F",INDEX($F$923:$F$975,MATCH(Paramètres!N21,Paramètres!$G$5:$G$57,0)),INDEX($E$923:$E$975,MATCH(Paramètres!N21,Paramètres!$G$5:$G$57,0)))+IF(RIGHT(TRIM(Paramètres!O21),3)="Fin",1-$H939,IF(LEFT(TRIM(Paramètres!O21),1)="F",1,0)))))))</f>
        <v/>
      </c>
      <c r="F939" s="19">
        <f>IF($A939="","",E939+$H939-1)</f>
        <v/>
      </c>
      <c r="G939" s="18" t="n"/>
      <c r="H939" s="18">
        <f>IF($A939="","",IF(I939&lt;&gt;"",I939,Paramètres!B21))</f>
        <v/>
      </c>
      <c r="I939" s="18" t="n"/>
    </row>
    <row r="940">
      <c r="A940" s="18">
        <f>IF(ISNUMBER(Dossiers!$D$21),Dossiers!$A$21&amp;" · "&amp;Dossiers!$B$21,"")</f>
        <v/>
      </c>
      <c r="B940" s="18">
        <f>IF($A940="","",Paramètres!G22)</f>
        <v/>
      </c>
      <c r="C940" s="18">
        <f>IF($A940="","",IF(Paramètres!H22="","",Paramètres!H22))</f>
        <v/>
      </c>
      <c r="D940" s="18">
        <f>IF($A940="","",IF(Paramètres!I22="","",Paramètres!I22))</f>
        <v/>
      </c>
      <c r="E940" s="19">
        <f>IF($A940="","",IF(Paramètres!J22&amp;Paramètres!L22&amp;Paramètres!N22="",Dossiers!$D$21,MAX(IF(Paramètres!J22="",0,IF(Paramètres!K22="",NA(),IF(LEFT(TRIM(Paramètres!K22),1)="F",INDEX($F$923:$F$975,MATCH(Paramètres!J22,Paramètres!$G$5:$G$57,0)),INDEX($E$923:$E$975,MATCH(Paramètres!J22,Paramètres!$G$5:$G$57,0)))+IF(RIGHT(TRIM(Paramètres!K22),3)="Fin",1-$H940,IF(LEFT(TRIM(Paramètres!K22),1)="F",1,0)))),IF(Paramètres!L22="",0,IF(Paramètres!M22="",NA(),IF(LEFT(TRIM(Paramètres!M22),1)="F",INDEX($F$923:$F$975,MATCH(Paramètres!L22,Paramètres!$G$5:$G$57,0)),INDEX($E$923:$E$975,MATCH(Paramètres!L22,Paramètres!$G$5:$G$57,0)))+IF(RIGHT(TRIM(Paramètres!M22),3)="Fin",1-$H940,IF(LEFT(TRIM(Paramètres!M22),1)="F",1,0)))),IF(Paramètres!N22="",0,IF(Paramètres!O22="",NA(),IF(LEFT(TRIM(Paramètres!O22),1)="F",INDEX($F$923:$F$975,MATCH(Paramètres!N22,Paramètres!$G$5:$G$57,0)),INDEX($E$923:$E$975,MATCH(Paramètres!N22,Paramètres!$G$5:$G$57,0)))+IF(RIGHT(TRIM(Paramètres!O22),3)="Fin",1-$H940,IF(LEFT(TRIM(Paramètres!O22),1)="F",1,0)))))))</f>
        <v/>
      </c>
      <c r="F940" s="19">
        <f>IF($A940="","",E940+$H940-1)</f>
        <v/>
      </c>
      <c r="G940" s="18" t="n"/>
      <c r="H940" s="18">
        <f>IF($A940="","",IF(I940&lt;&gt;"",I940,Paramètres!B22))</f>
        <v/>
      </c>
      <c r="I940" s="18" t="n"/>
    </row>
    <row r="941">
      <c r="A941" s="18">
        <f>IF(ISNUMBER(Dossiers!$D$21),Dossiers!$A$21&amp;" · "&amp;Dossiers!$B$21,"")</f>
        <v/>
      </c>
      <c r="B941" s="18">
        <f>IF($A941="","",Paramètres!G23)</f>
        <v/>
      </c>
      <c r="C941" s="18">
        <f>IF($A941="","",IF(Paramètres!H23="","",Paramètres!H23))</f>
        <v/>
      </c>
      <c r="D941" s="18">
        <f>IF($A941="","",IF(Paramètres!I23="","",Paramètres!I23))</f>
        <v/>
      </c>
      <c r="E941" s="19">
        <f>IF($A941="","",IF(Paramètres!J23&amp;Paramètres!L23&amp;Paramètres!N23="",Dossiers!$D$21,MAX(IF(Paramètres!J23="",0,IF(Paramètres!K23="",NA(),IF(LEFT(TRIM(Paramètres!K23),1)="F",INDEX($F$923:$F$975,MATCH(Paramètres!J23,Paramètres!$G$5:$G$57,0)),INDEX($E$923:$E$975,MATCH(Paramètres!J23,Paramètres!$G$5:$G$57,0)))+IF(RIGHT(TRIM(Paramètres!K23),3)="Fin",1-$H941,IF(LEFT(TRIM(Paramètres!K23),1)="F",1,0)))),IF(Paramètres!L23="",0,IF(Paramètres!M23="",NA(),IF(LEFT(TRIM(Paramètres!M23),1)="F",INDEX($F$923:$F$975,MATCH(Paramètres!L23,Paramètres!$G$5:$G$57,0)),INDEX($E$923:$E$975,MATCH(Paramètres!L23,Paramètres!$G$5:$G$57,0)))+IF(RIGHT(TRIM(Paramètres!M23),3)="Fin",1-$H941,IF(LEFT(TRIM(Paramètres!M23),1)="F",1,0)))),IF(Paramètres!N23="",0,IF(Paramètres!O23="",NA(),IF(LEFT(TRIM(Paramètres!O23),1)="F",INDEX($F$923:$F$975,MATCH(Paramètres!N23,Paramètres!$G$5:$G$57,0)),INDEX($E$923:$E$975,MATCH(Paramètres!N23,Paramètres!$G$5:$G$57,0)))+IF(RIGHT(TRIM(Paramètres!O23),3)="Fin",1-$H941,IF(LEFT(TRIM(Paramètres!O23),1)="F",1,0)))))))</f>
        <v/>
      </c>
      <c r="F941" s="19">
        <f>IF($A941="","",E941+$H941-1)</f>
        <v/>
      </c>
      <c r="G941" s="18" t="n"/>
      <c r="H941" s="18">
        <f>IF($A941="","",IF(I941&lt;&gt;"",I941,Paramètres!B23))</f>
        <v/>
      </c>
      <c r="I941" s="18" t="n"/>
    </row>
    <row r="942">
      <c r="A942" s="18">
        <f>IF(ISNUMBER(Dossiers!$D$21),Dossiers!$A$21&amp;" · "&amp;Dossiers!$B$21,"")</f>
        <v/>
      </c>
      <c r="B942" s="18">
        <f>IF($A942="","",Paramètres!G24)</f>
        <v/>
      </c>
      <c r="C942" s="18">
        <f>IF($A942="","",IF(Paramètres!H24="","",Paramètres!H24))</f>
        <v/>
      </c>
      <c r="D942" s="18">
        <f>IF($A942="","",IF(Paramètres!I24="","",Paramètres!I24))</f>
        <v/>
      </c>
      <c r="E942" s="19">
        <f>IF($A942="","",IF(Paramètres!J24&amp;Paramètres!L24&amp;Paramètres!N24="",Dossiers!$D$21,MAX(IF(Paramètres!J24="",0,IF(Paramètres!K24="",NA(),IF(LEFT(TRIM(Paramètres!K24),1)="F",INDEX($F$923:$F$975,MATCH(Paramètres!J24,Paramètres!$G$5:$G$57,0)),INDEX($E$923:$E$975,MATCH(Paramètres!J24,Paramètres!$G$5:$G$57,0)))+IF(RIGHT(TRIM(Paramètres!K24),3)="Fin",1-$H942,IF(LEFT(TRIM(Paramètres!K24),1)="F",1,0)))),IF(Paramètres!L24="",0,IF(Paramètres!M24="",NA(),IF(LEFT(TRIM(Paramètres!M24),1)="F",INDEX($F$923:$F$975,MATCH(Paramètres!L24,Paramètres!$G$5:$G$57,0)),INDEX($E$923:$E$975,MATCH(Paramètres!L24,Paramètres!$G$5:$G$57,0)))+IF(RIGHT(TRIM(Paramètres!M24),3)="Fin",1-$H942,IF(LEFT(TRIM(Paramètres!M24),1)="F",1,0)))),IF(Paramètres!N24="",0,IF(Paramètres!O24="",NA(),IF(LEFT(TRIM(Paramètres!O24),1)="F",INDEX($F$923:$F$975,MATCH(Paramètres!N24,Paramètres!$G$5:$G$57,0)),INDEX($E$923:$E$975,MATCH(Paramètres!N24,Paramètres!$G$5:$G$57,0)))+IF(RIGHT(TRIM(Paramètres!O24),3)="Fin",1-$H942,IF(LEFT(TRIM(Paramètres!O24),1)="F",1,0)))))))</f>
        <v/>
      </c>
      <c r="F942" s="19">
        <f>IF($A942="","",E942+$H942-1)</f>
        <v/>
      </c>
      <c r="G942" s="18" t="n"/>
      <c r="H942" s="18">
        <f>IF($A942="","",IF(I942&lt;&gt;"",I942,Paramètres!B24))</f>
        <v/>
      </c>
      <c r="I942" s="18" t="n"/>
    </row>
    <row r="943">
      <c r="A943" s="18">
        <f>IF(ISNUMBER(Dossiers!$D$21),Dossiers!$A$21&amp;" · "&amp;Dossiers!$B$21,"")</f>
        <v/>
      </c>
      <c r="B943" s="18">
        <f>IF($A943="","",Paramètres!G25)</f>
        <v/>
      </c>
      <c r="C943" s="18">
        <f>IF($A943="","",IF(Paramètres!H25="","",Paramètres!H25))</f>
        <v/>
      </c>
      <c r="D943" s="18">
        <f>IF($A943="","",IF(Paramètres!I25="","",Paramètres!I25))</f>
        <v/>
      </c>
      <c r="E943" s="19">
        <f>IF($A943="","",IF(Paramètres!J25&amp;Paramètres!L25&amp;Paramètres!N25="",Dossiers!$D$21,MAX(IF(Paramètres!J25="",0,IF(Paramètres!K25="",NA(),IF(LEFT(TRIM(Paramètres!K25),1)="F",INDEX($F$923:$F$975,MATCH(Paramètres!J25,Paramètres!$G$5:$G$57,0)),INDEX($E$923:$E$975,MATCH(Paramètres!J25,Paramètres!$G$5:$G$57,0)))+IF(RIGHT(TRIM(Paramètres!K25),3)="Fin",1-$H943,IF(LEFT(TRIM(Paramètres!K25),1)="F",1,0)))),IF(Paramètres!L25="",0,IF(Paramètres!M25="",NA(),IF(LEFT(TRIM(Paramètres!M25),1)="F",INDEX($F$923:$F$975,MATCH(Paramètres!L25,Paramètres!$G$5:$G$57,0)),INDEX($E$923:$E$975,MATCH(Paramètres!L25,Paramètres!$G$5:$G$57,0)))+IF(RIGHT(TRIM(Paramètres!M25),3)="Fin",1-$H943,IF(LEFT(TRIM(Paramètres!M25),1)="F",1,0)))),IF(Paramètres!N25="",0,IF(Paramètres!O25="",NA(),IF(LEFT(TRIM(Paramètres!O25),1)="F",INDEX($F$923:$F$975,MATCH(Paramètres!N25,Paramètres!$G$5:$G$57,0)),INDEX($E$923:$E$975,MATCH(Paramètres!N25,Paramètres!$G$5:$G$57,0)))+IF(RIGHT(TRIM(Paramètres!O25),3)="Fin",1-$H943,IF(LEFT(TRIM(Paramètres!O25),1)="F",1,0)))))))</f>
        <v/>
      </c>
      <c r="F943" s="19">
        <f>IF($A943="","",E943+$H943-1)</f>
        <v/>
      </c>
      <c r="G943" s="18" t="n"/>
      <c r="H943" s="18">
        <f>IF($A943="","",IF(I943&lt;&gt;"",I943,Paramètres!B25))</f>
        <v/>
      </c>
      <c r="I943" s="18" t="n"/>
    </row>
    <row r="944">
      <c r="A944" s="18">
        <f>IF(ISNUMBER(Dossiers!$D$21),Dossiers!$A$21&amp;" · "&amp;Dossiers!$B$21,"")</f>
        <v/>
      </c>
      <c r="B944" s="18">
        <f>IF($A944="","",Paramètres!G26)</f>
        <v/>
      </c>
      <c r="C944" s="18">
        <f>IF($A944="","",IF(Paramètres!H26="","",Paramètres!H26))</f>
        <v/>
      </c>
      <c r="D944" s="18">
        <f>IF($A944="","",IF(Paramètres!I26="","",Paramètres!I26))</f>
        <v/>
      </c>
      <c r="E944" s="19">
        <f>IF($A944="","",IF(Paramètres!J26&amp;Paramètres!L26&amp;Paramètres!N26="",Dossiers!$D$21,MAX(IF(Paramètres!J26="",0,IF(Paramètres!K26="",NA(),IF(LEFT(TRIM(Paramètres!K26),1)="F",INDEX($F$923:$F$975,MATCH(Paramètres!J26,Paramètres!$G$5:$G$57,0)),INDEX($E$923:$E$975,MATCH(Paramètres!J26,Paramètres!$G$5:$G$57,0)))+IF(RIGHT(TRIM(Paramètres!K26),3)="Fin",1-$H944,IF(LEFT(TRIM(Paramètres!K26),1)="F",1,0)))),IF(Paramètres!L26="",0,IF(Paramètres!M26="",NA(),IF(LEFT(TRIM(Paramètres!M26),1)="F",INDEX($F$923:$F$975,MATCH(Paramètres!L26,Paramètres!$G$5:$G$57,0)),INDEX($E$923:$E$975,MATCH(Paramètres!L26,Paramètres!$G$5:$G$57,0)))+IF(RIGHT(TRIM(Paramètres!M26),3)="Fin",1-$H944,IF(LEFT(TRIM(Paramètres!M26),1)="F",1,0)))),IF(Paramètres!N26="",0,IF(Paramètres!O26="",NA(),IF(LEFT(TRIM(Paramètres!O26),1)="F",INDEX($F$923:$F$975,MATCH(Paramètres!N26,Paramètres!$G$5:$G$57,0)),INDEX($E$923:$E$975,MATCH(Paramètres!N26,Paramètres!$G$5:$G$57,0)))+IF(RIGHT(TRIM(Paramètres!O26),3)="Fin",1-$H944,IF(LEFT(TRIM(Paramètres!O26),1)="F",1,0)))))))</f>
        <v/>
      </c>
      <c r="F944" s="19">
        <f>IF($A944="","",E944+$H944-1)</f>
        <v/>
      </c>
      <c r="G944" s="18" t="n"/>
      <c r="H944" s="18">
        <f>IF($A944="","",IF(I944&lt;&gt;"",I944,Paramètres!B26))</f>
        <v/>
      </c>
      <c r="I944" s="18" t="n"/>
    </row>
    <row r="945">
      <c r="A945" s="18">
        <f>IF(ISNUMBER(Dossiers!$D$21),Dossiers!$A$21&amp;" · "&amp;Dossiers!$B$21,"")</f>
        <v/>
      </c>
      <c r="B945" s="18">
        <f>IF($A945="","",Paramètres!G27)</f>
        <v/>
      </c>
      <c r="C945" s="18">
        <f>IF($A945="","",IF(Paramètres!H27="","",Paramètres!H27))</f>
        <v/>
      </c>
      <c r="D945" s="18">
        <f>IF($A945="","",IF(Paramètres!I27="","",Paramètres!I27))</f>
        <v/>
      </c>
      <c r="E945" s="19">
        <f>IF($A945="","",IF(Paramètres!J27&amp;Paramètres!L27&amp;Paramètres!N27="",Dossiers!$D$21,MAX(IF(Paramètres!J27="",0,IF(Paramètres!K27="",NA(),IF(LEFT(TRIM(Paramètres!K27),1)="F",INDEX($F$923:$F$975,MATCH(Paramètres!J27,Paramètres!$G$5:$G$57,0)),INDEX($E$923:$E$975,MATCH(Paramètres!J27,Paramètres!$G$5:$G$57,0)))+IF(RIGHT(TRIM(Paramètres!K27),3)="Fin",1-$H945,IF(LEFT(TRIM(Paramètres!K27),1)="F",1,0)))),IF(Paramètres!L27="",0,IF(Paramètres!M27="",NA(),IF(LEFT(TRIM(Paramètres!M27),1)="F",INDEX($F$923:$F$975,MATCH(Paramètres!L27,Paramètres!$G$5:$G$57,0)),INDEX($E$923:$E$975,MATCH(Paramètres!L27,Paramètres!$G$5:$G$57,0)))+IF(RIGHT(TRIM(Paramètres!M27),3)="Fin",1-$H945,IF(LEFT(TRIM(Paramètres!M27),1)="F",1,0)))),IF(Paramètres!N27="",0,IF(Paramètres!O27="",NA(),IF(LEFT(TRIM(Paramètres!O27),1)="F",INDEX($F$923:$F$975,MATCH(Paramètres!N27,Paramètres!$G$5:$G$57,0)),INDEX($E$923:$E$975,MATCH(Paramètres!N27,Paramètres!$G$5:$G$57,0)))+IF(RIGHT(TRIM(Paramètres!O27),3)="Fin",1-$H945,IF(LEFT(TRIM(Paramètres!O27),1)="F",1,0)))))))</f>
        <v/>
      </c>
      <c r="F945" s="19">
        <f>IF($A945="","",E945+$H945-1)</f>
        <v/>
      </c>
      <c r="G945" s="18" t="n"/>
      <c r="H945" s="18">
        <f>IF($A945="","",IF(I945&lt;&gt;"",I945,Paramètres!B27))</f>
        <v/>
      </c>
      <c r="I945" s="18" t="n"/>
    </row>
    <row r="946">
      <c r="A946" s="18">
        <f>IF(ISNUMBER(Dossiers!$D$21),Dossiers!$A$21&amp;" · "&amp;Dossiers!$B$21,"")</f>
        <v/>
      </c>
      <c r="B946" s="18">
        <f>IF($A946="","",Paramètres!G28)</f>
        <v/>
      </c>
      <c r="C946" s="18">
        <f>IF($A946="","",IF(Paramètres!H28="","",Paramètres!H28))</f>
        <v/>
      </c>
      <c r="D946" s="18">
        <f>IF($A946="","",IF(Paramètres!I28="","",Paramètres!I28))</f>
        <v/>
      </c>
      <c r="E946" s="19">
        <f>IF($A946="","",IF(Paramètres!J28&amp;Paramètres!L28&amp;Paramètres!N28="",Dossiers!$D$21,MAX(IF(Paramètres!J28="",0,IF(Paramètres!K28="",NA(),IF(LEFT(TRIM(Paramètres!K28),1)="F",INDEX($F$923:$F$975,MATCH(Paramètres!J28,Paramètres!$G$5:$G$57,0)),INDEX($E$923:$E$975,MATCH(Paramètres!J28,Paramètres!$G$5:$G$57,0)))+IF(RIGHT(TRIM(Paramètres!K28),3)="Fin",1-$H946,IF(LEFT(TRIM(Paramètres!K28),1)="F",1,0)))),IF(Paramètres!L28="",0,IF(Paramètres!M28="",NA(),IF(LEFT(TRIM(Paramètres!M28),1)="F",INDEX($F$923:$F$975,MATCH(Paramètres!L28,Paramètres!$G$5:$G$57,0)),INDEX($E$923:$E$975,MATCH(Paramètres!L28,Paramètres!$G$5:$G$57,0)))+IF(RIGHT(TRIM(Paramètres!M28),3)="Fin",1-$H946,IF(LEFT(TRIM(Paramètres!M28),1)="F",1,0)))),IF(Paramètres!N28="",0,IF(Paramètres!O28="",NA(),IF(LEFT(TRIM(Paramètres!O28),1)="F",INDEX($F$923:$F$975,MATCH(Paramètres!N28,Paramètres!$G$5:$G$57,0)),INDEX($E$923:$E$975,MATCH(Paramètres!N28,Paramètres!$G$5:$G$57,0)))+IF(RIGHT(TRIM(Paramètres!O28),3)="Fin",1-$H946,IF(LEFT(TRIM(Paramètres!O28),1)="F",1,0)))))))</f>
        <v/>
      </c>
      <c r="F946" s="19">
        <f>IF($A946="","",E946+$H946-1)</f>
        <v/>
      </c>
      <c r="G946" s="18" t="n"/>
      <c r="H946" s="18">
        <f>IF($A946="","",IF(I946&lt;&gt;"",I946,Paramètres!B28))</f>
        <v/>
      </c>
      <c r="I946" s="18" t="n"/>
    </row>
    <row r="947">
      <c r="A947" s="18">
        <f>IF(ISNUMBER(Dossiers!$D$21),Dossiers!$A$21&amp;" · "&amp;Dossiers!$B$21,"")</f>
        <v/>
      </c>
      <c r="B947" s="18">
        <f>IF($A947="","",Paramètres!G29)</f>
        <v/>
      </c>
      <c r="C947" s="18">
        <f>IF($A947="","",IF(Paramètres!H29="","",Paramètres!H29))</f>
        <v/>
      </c>
      <c r="D947" s="18">
        <f>IF($A947="","",IF(Paramètres!I29="","",Paramètres!I29))</f>
        <v/>
      </c>
      <c r="E947" s="19">
        <f>IF($A947="","",IF(Paramètres!J29&amp;Paramètres!L29&amp;Paramètres!N29="",Dossiers!$D$21,MAX(IF(Paramètres!J29="",0,IF(Paramètres!K29="",NA(),IF(LEFT(TRIM(Paramètres!K29),1)="F",INDEX($F$923:$F$975,MATCH(Paramètres!J29,Paramètres!$G$5:$G$57,0)),INDEX($E$923:$E$975,MATCH(Paramètres!J29,Paramètres!$G$5:$G$57,0)))+IF(RIGHT(TRIM(Paramètres!K29),3)="Fin",1-$H947,IF(LEFT(TRIM(Paramètres!K29),1)="F",1,0)))),IF(Paramètres!L29="",0,IF(Paramètres!M29="",NA(),IF(LEFT(TRIM(Paramètres!M29),1)="F",INDEX($F$923:$F$975,MATCH(Paramètres!L29,Paramètres!$G$5:$G$57,0)),INDEX($E$923:$E$975,MATCH(Paramètres!L29,Paramètres!$G$5:$G$57,0)))+IF(RIGHT(TRIM(Paramètres!M29),3)="Fin",1-$H947,IF(LEFT(TRIM(Paramètres!M29),1)="F",1,0)))),IF(Paramètres!N29="",0,IF(Paramètres!O29="",NA(),IF(LEFT(TRIM(Paramètres!O29),1)="F",INDEX($F$923:$F$975,MATCH(Paramètres!N29,Paramètres!$G$5:$G$57,0)),INDEX($E$923:$E$975,MATCH(Paramètres!N29,Paramètres!$G$5:$G$57,0)))+IF(RIGHT(TRIM(Paramètres!O29),3)="Fin",1-$H947,IF(LEFT(TRIM(Paramètres!O29),1)="F",1,0)))))))</f>
        <v/>
      </c>
      <c r="F947" s="19">
        <f>IF($A947="","",E947+$H947-1)</f>
        <v/>
      </c>
      <c r="G947" s="18" t="n"/>
      <c r="H947" s="18">
        <f>IF($A947="","",IF(I947&lt;&gt;"",I947,Paramètres!B29))</f>
        <v/>
      </c>
      <c r="I947" s="18" t="n"/>
    </row>
    <row r="948">
      <c r="A948" s="18">
        <f>IF(ISNUMBER(Dossiers!$D$21),Dossiers!$A$21&amp;" · "&amp;Dossiers!$B$21,"")</f>
        <v/>
      </c>
      <c r="B948" s="18">
        <f>IF($A948="","",Paramètres!G30)</f>
        <v/>
      </c>
      <c r="C948" s="18">
        <f>IF($A948="","",IF(Paramètres!H30="","",Paramètres!H30))</f>
        <v/>
      </c>
      <c r="D948" s="18">
        <f>IF($A948="","",IF(Paramètres!I30="","",Paramètres!I30))</f>
        <v/>
      </c>
      <c r="E948" s="19">
        <f>IF($A948="","",IF(Paramètres!J30&amp;Paramètres!L30&amp;Paramètres!N30="",Dossiers!$D$21,MAX(IF(Paramètres!J30="",0,IF(Paramètres!K30="",NA(),IF(LEFT(TRIM(Paramètres!K30),1)="F",INDEX($F$923:$F$975,MATCH(Paramètres!J30,Paramètres!$G$5:$G$57,0)),INDEX($E$923:$E$975,MATCH(Paramètres!J30,Paramètres!$G$5:$G$57,0)))+IF(RIGHT(TRIM(Paramètres!K30),3)="Fin",1-$H948,IF(LEFT(TRIM(Paramètres!K30),1)="F",1,0)))),IF(Paramètres!L30="",0,IF(Paramètres!M30="",NA(),IF(LEFT(TRIM(Paramètres!M30),1)="F",INDEX($F$923:$F$975,MATCH(Paramètres!L30,Paramètres!$G$5:$G$57,0)),INDEX($E$923:$E$975,MATCH(Paramètres!L30,Paramètres!$G$5:$G$57,0)))+IF(RIGHT(TRIM(Paramètres!M30),3)="Fin",1-$H948,IF(LEFT(TRIM(Paramètres!M30),1)="F",1,0)))),IF(Paramètres!N30="",0,IF(Paramètres!O30="",NA(),IF(LEFT(TRIM(Paramètres!O30),1)="F",INDEX($F$923:$F$975,MATCH(Paramètres!N30,Paramètres!$G$5:$G$57,0)),INDEX($E$923:$E$975,MATCH(Paramètres!N30,Paramètres!$G$5:$G$57,0)))+IF(RIGHT(TRIM(Paramètres!O30),3)="Fin",1-$H948,IF(LEFT(TRIM(Paramètres!O30),1)="F",1,0)))))))</f>
        <v/>
      </c>
      <c r="F948" s="19">
        <f>IF($A948="","",E948+$H948-1)</f>
        <v/>
      </c>
      <c r="G948" s="18" t="n"/>
      <c r="H948" s="18">
        <f>IF($A948="","",IF(I948&lt;&gt;"",I948,Paramètres!B30))</f>
        <v/>
      </c>
      <c r="I948" s="18" t="n"/>
    </row>
    <row r="949">
      <c r="A949" s="18">
        <f>IF(ISNUMBER(Dossiers!$D$21),Dossiers!$A$21&amp;" · "&amp;Dossiers!$B$21,"")</f>
        <v/>
      </c>
      <c r="B949" s="18">
        <f>IF($A949="","",Paramètres!G31)</f>
        <v/>
      </c>
      <c r="C949" s="20">
        <f>IF($A949="","",IF(Dossiers!$F$21="","",Dossiers!$F$21))</f>
        <v/>
      </c>
      <c r="D949" s="18">
        <f>IF($A949="","",IF(Paramètres!I31="","",Paramètres!I31))</f>
        <v/>
      </c>
      <c r="E949" s="19">
        <f>IF($A949="","",IF(Paramètres!J31&amp;Paramètres!L31&amp;Paramètres!N31="",Dossiers!$D$21,MAX(IF(Paramètres!J31="",0,IF(Paramètres!K31="",NA(),IF(LEFT(TRIM(Paramètres!K31),1)="F",INDEX($F$923:$F$975,MATCH(Paramètres!J31,Paramètres!$G$5:$G$57,0)),INDEX($E$923:$E$975,MATCH(Paramètres!J31,Paramètres!$G$5:$G$57,0)))+IF(RIGHT(TRIM(Paramètres!K31),3)="Fin",1-$H949,IF(LEFT(TRIM(Paramètres!K31),1)="F",1,0)))),IF(Paramètres!L31="",0,IF(Paramètres!M31="",NA(),IF(LEFT(TRIM(Paramètres!M31),1)="F",INDEX($F$923:$F$975,MATCH(Paramètres!L31,Paramètres!$G$5:$G$57,0)),INDEX($E$923:$E$975,MATCH(Paramètres!L31,Paramètres!$G$5:$G$57,0)))+IF(RIGHT(TRIM(Paramètres!M31),3)="Fin",1-$H949,IF(LEFT(TRIM(Paramètres!M31),1)="F",1,0)))),IF(Paramètres!N31="",0,IF(Paramètres!O31="",NA(),IF(LEFT(TRIM(Paramètres!O31),1)="F",INDEX($F$923:$F$975,MATCH(Paramètres!N31,Paramètres!$G$5:$G$57,0)),INDEX($E$923:$E$975,MATCH(Paramètres!N31,Paramètres!$G$5:$G$57,0)))+IF(RIGHT(TRIM(Paramètres!O31),3)="Fin",1-$H949,IF(LEFT(TRIM(Paramètres!O31),1)="F",1,0)))))))</f>
        <v/>
      </c>
      <c r="F949" s="19">
        <f>IF($A949="","",E949+$H949-1)</f>
        <v/>
      </c>
      <c r="G949" s="18" t="n"/>
      <c r="H949" s="18">
        <f>IF($A949="","",IF(I949&lt;&gt;"",I949,Paramètres!B31))</f>
        <v/>
      </c>
      <c r="I949" s="18" t="n"/>
    </row>
    <row r="950">
      <c r="A950" s="18">
        <f>IF(ISNUMBER(Dossiers!$D$21),Dossiers!$A$21&amp;" · "&amp;Dossiers!$B$21,"")</f>
        <v/>
      </c>
      <c r="B950" s="18">
        <f>IF($A950="","",Paramètres!G32)</f>
        <v/>
      </c>
      <c r="C950" s="18">
        <f>IF($A950="","",IF(Paramètres!H32="","",Paramètres!H32))</f>
        <v/>
      </c>
      <c r="D950" s="18">
        <f>IF($A950="","",IF(Paramètres!I32="","",Paramètres!I32))</f>
        <v/>
      </c>
      <c r="E950" s="19">
        <f>IF($A950="","",MIN(E951:E954))</f>
        <v/>
      </c>
      <c r="F950" s="19">
        <f>IF($A950="","",MAX(F951:F954))</f>
        <v/>
      </c>
      <c r="G950" s="18" t="n"/>
      <c r="H950" s="18">
        <f>IF($A950="","",F950-E950+1)</f>
        <v/>
      </c>
      <c r="I950" s="18" t="n"/>
    </row>
    <row r="951">
      <c r="A951" s="18">
        <f>IF(ISNUMBER(Dossiers!$D$21),Dossiers!$A$21&amp;" · "&amp;Dossiers!$B$21,"")</f>
        <v/>
      </c>
      <c r="B951" s="18">
        <f>IF($A951="","",Paramètres!G33)</f>
        <v/>
      </c>
      <c r="C951" s="18">
        <f>IF($A951="","",IF(Paramètres!H33="","",Paramètres!H33))</f>
        <v/>
      </c>
      <c r="D951" s="18">
        <f>IF($A951="","",IF(Paramètres!I33="","",Paramètres!I33))</f>
        <v/>
      </c>
      <c r="E951" s="19">
        <f>IF($A951="","",IF(Paramètres!J33&amp;Paramètres!L33&amp;Paramètres!N33="",Dossiers!$D$21,MAX(IF(Paramètres!J33="",0,IF(Paramètres!K33="",NA(),IF(LEFT(TRIM(Paramètres!K33),1)="F",INDEX($F$923:$F$975,MATCH(Paramètres!J33,Paramètres!$G$5:$G$57,0)),INDEX($E$923:$E$975,MATCH(Paramètres!J33,Paramètres!$G$5:$G$57,0)))+IF(RIGHT(TRIM(Paramètres!K33),3)="Fin",1-$H951,IF(LEFT(TRIM(Paramètres!K33),1)="F",1,0)))),IF(Paramètres!L33="",0,IF(Paramètres!M33="",NA(),IF(LEFT(TRIM(Paramètres!M33),1)="F",INDEX($F$923:$F$975,MATCH(Paramètres!L33,Paramètres!$G$5:$G$57,0)),INDEX($E$923:$E$975,MATCH(Paramètres!L33,Paramètres!$G$5:$G$57,0)))+IF(RIGHT(TRIM(Paramètres!M33),3)="Fin",1-$H951,IF(LEFT(TRIM(Paramètres!M33),1)="F",1,0)))),IF(Paramètres!N33="",0,IF(Paramètres!O33="",NA(),IF(LEFT(TRIM(Paramètres!O33),1)="F",INDEX($F$923:$F$975,MATCH(Paramètres!N33,Paramètres!$G$5:$G$57,0)),INDEX($E$923:$E$975,MATCH(Paramètres!N33,Paramètres!$G$5:$G$57,0)))+IF(RIGHT(TRIM(Paramètres!O33),3)="Fin",1-$H951,IF(LEFT(TRIM(Paramètres!O33),1)="F",1,0)))))))</f>
        <v/>
      </c>
      <c r="F951" s="19">
        <f>IF($A951="","",E951+$H951-1)</f>
        <v/>
      </c>
      <c r="G951" s="18" t="n"/>
      <c r="H951" s="18">
        <f>IF($A951="","",IF(I951&lt;&gt;"",I951,Paramètres!B33))</f>
        <v/>
      </c>
      <c r="I951" s="18" t="n"/>
    </row>
    <row r="952">
      <c r="A952" s="18">
        <f>IF(ISNUMBER(Dossiers!$D$21),Dossiers!$A$21&amp;" · "&amp;Dossiers!$B$21,"")</f>
        <v/>
      </c>
      <c r="B952" s="18">
        <f>IF($A952="","",Paramètres!G34)</f>
        <v/>
      </c>
      <c r="C952" s="18">
        <f>IF($A952="","",IF(Paramètres!H34="","",Paramètres!H34))</f>
        <v/>
      </c>
      <c r="D952" s="18">
        <f>IF($A952="","",IF(Paramètres!I34="","",Paramètres!I34))</f>
        <v/>
      </c>
      <c r="E952" s="19">
        <f>IF($A952="","",IF(Paramètres!J34&amp;Paramètres!L34&amp;Paramètres!N34="",Dossiers!$D$21,MAX(IF(Paramètres!J34="",0,IF(Paramètres!K34="",NA(),IF(LEFT(TRIM(Paramètres!K34),1)="F",INDEX($F$923:$F$975,MATCH(Paramètres!J34,Paramètres!$G$5:$G$57,0)),INDEX($E$923:$E$975,MATCH(Paramètres!J34,Paramètres!$G$5:$G$57,0)))+IF(RIGHT(TRIM(Paramètres!K34),3)="Fin",1-$H952,IF(LEFT(TRIM(Paramètres!K34),1)="F",1,0)))),IF(Paramètres!L34="",0,IF(Paramètres!M34="",NA(),IF(LEFT(TRIM(Paramètres!M34),1)="F",INDEX($F$923:$F$975,MATCH(Paramètres!L34,Paramètres!$G$5:$G$57,0)),INDEX($E$923:$E$975,MATCH(Paramètres!L34,Paramètres!$G$5:$G$57,0)))+IF(RIGHT(TRIM(Paramètres!M34),3)="Fin",1-$H952,IF(LEFT(TRIM(Paramètres!M34),1)="F",1,0)))),IF(Paramètres!N34="",0,IF(Paramètres!O34="",NA(),IF(LEFT(TRIM(Paramètres!O34),1)="F",INDEX($F$923:$F$975,MATCH(Paramètres!N34,Paramètres!$G$5:$G$57,0)),INDEX($E$923:$E$975,MATCH(Paramètres!N34,Paramètres!$G$5:$G$57,0)))+IF(RIGHT(TRIM(Paramètres!O34),3)="Fin",1-$H952,IF(LEFT(TRIM(Paramètres!O34),1)="F",1,0)))))))</f>
        <v/>
      </c>
      <c r="F952" s="19">
        <f>IF($A952="","",E952+$H952-1)</f>
        <v/>
      </c>
      <c r="G952" s="18" t="n"/>
      <c r="H952" s="18">
        <f>IF($A952="","",IF(I952&lt;&gt;"",I952,Paramètres!B34))</f>
        <v/>
      </c>
      <c r="I952" s="18" t="n"/>
    </row>
    <row r="953">
      <c r="A953" s="18">
        <f>IF(ISNUMBER(Dossiers!$D$21),Dossiers!$A$21&amp;" · "&amp;Dossiers!$B$21,"")</f>
        <v/>
      </c>
      <c r="B953" s="18">
        <f>IF($A953="","",Paramètres!G35)</f>
        <v/>
      </c>
      <c r="C953" s="18">
        <f>IF($A953="","",IF(Paramètres!H35="","",Paramètres!H35))</f>
        <v/>
      </c>
      <c r="D953" s="18">
        <f>IF($A953="","",IF(Paramètres!I35="","",Paramètres!I35))</f>
        <v/>
      </c>
      <c r="E953" s="19">
        <f>IF($A953="","",IF(Paramètres!J35&amp;Paramètres!L35&amp;Paramètres!N35="",Dossiers!$D$21,MAX(IF(Paramètres!J35="",0,IF(Paramètres!K35="",NA(),IF(LEFT(TRIM(Paramètres!K35),1)="F",INDEX($F$923:$F$975,MATCH(Paramètres!J35,Paramètres!$G$5:$G$57,0)),INDEX($E$923:$E$975,MATCH(Paramètres!J35,Paramètres!$G$5:$G$57,0)))+IF(RIGHT(TRIM(Paramètres!K35),3)="Fin",1-$H953,IF(LEFT(TRIM(Paramètres!K35),1)="F",1,0)))),IF(Paramètres!L35="",0,IF(Paramètres!M35="",NA(),IF(LEFT(TRIM(Paramètres!M35),1)="F",INDEX($F$923:$F$975,MATCH(Paramètres!L35,Paramètres!$G$5:$G$57,0)),INDEX($E$923:$E$975,MATCH(Paramètres!L35,Paramètres!$G$5:$G$57,0)))+IF(RIGHT(TRIM(Paramètres!M35),3)="Fin",1-$H953,IF(LEFT(TRIM(Paramètres!M35),1)="F",1,0)))),IF(Paramètres!N35="",0,IF(Paramètres!O35="",NA(),IF(LEFT(TRIM(Paramètres!O35),1)="F",INDEX($F$923:$F$975,MATCH(Paramètres!N35,Paramètres!$G$5:$G$57,0)),INDEX($E$923:$E$975,MATCH(Paramètres!N35,Paramètres!$G$5:$G$57,0)))+IF(RIGHT(TRIM(Paramètres!O35),3)="Fin",1-$H953,IF(LEFT(TRIM(Paramètres!O35),1)="F",1,0)))))))</f>
        <v/>
      </c>
      <c r="F953" s="19">
        <f>IF($A953="","",E953+$H953-1)</f>
        <v/>
      </c>
      <c r="G953" s="18" t="n"/>
      <c r="H953" s="18">
        <f>IF($A953="","",IF(I953&lt;&gt;"",I953,Paramètres!B35))</f>
        <v/>
      </c>
      <c r="I953" s="18" t="n"/>
    </row>
    <row r="954">
      <c r="A954" s="18">
        <f>IF(ISNUMBER(Dossiers!$D$21),Dossiers!$A$21&amp;" · "&amp;Dossiers!$B$21,"")</f>
        <v/>
      </c>
      <c r="B954" s="18">
        <f>IF($A954="","",Paramètres!G36)</f>
        <v/>
      </c>
      <c r="C954" s="18">
        <f>IF($A954="","",IF(Paramètres!H36="","",Paramètres!H36))</f>
        <v/>
      </c>
      <c r="D954" s="18">
        <f>IF($A954="","",IF(Paramètres!I36="","",Paramètres!I36))</f>
        <v/>
      </c>
      <c r="E954" s="19">
        <f>IF($A954="","",IF(Paramètres!J36&amp;Paramètres!L36&amp;Paramètres!N36="",Dossiers!$D$21,MAX(IF(Paramètres!J36="",0,IF(Paramètres!K36="",NA(),IF(LEFT(TRIM(Paramètres!K36),1)="F",INDEX($F$923:$F$975,MATCH(Paramètres!J36,Paramètres!$G$5:$G$57,0)),INDEX($E$923:$E$975,MATCH(Paramètres!J36,Paramètres!$G$5:$G$57,0)))+IF(RIGHT(TRIM(Paramètres!K36),3)="Fin",1-$H954,IF(LEFT(TRIM(Paramètres!K36),1)="F",1,0)))),IF(Paramètres!L36="",0,IF(Paramètres!M36="",NA(),IF(LEFT(TRIM(Paramètres!M36),1)="F",INDEX($F$923:$F$975,MATCH(Paramètres!L36,Paramètres!$G$5:$G$57,0)),INDEX($E$923:$E$975,MATCH(Paramètres!L36,Paramètres!$G$5:$G$57,0)))+IF(RIGHT(TRIM(Paramètres!M36),3)="Fin",1-$H954,IF(LEFT(TRIM(Paramètres!M36),1)="F",1,0)))),IF(Paramètres!N36="",0,IF(Paramètres!O36="",NA(),IF(LEFT(TRIM(Paramètres!O36),1)="F",INDEX($F$923:$F$975,MATCH(Paramètres!N36,Paramètres!$G$5:$G$57,0)),INDEX($E$923:$E$975,MATCH(Paramètres!N36,Paramètres!$G$5:$G$57,0)))+IF(RIGHT(TRIM(Paramètres!O36),3)="Fin",1-$H954,IF(LEFT(TRIM(Paramètres!O36),1)="F",1,0)))))))</f>
        <v/>
      </c>
      <c r="F954" s="19">
        <f>IF($A954="","",E954+$H954-1)</f>
        <v/>
      </c>
      <c r="G954" s="18" t="n"/>
      <c r="H954" s="18">
        <f>IF($A954="","",IF(I954&lt;&gt;"",I954,Paramètres!B36))</f>
        <v/>
      </c>
      <c r="I954" s="18" t="n"/>
    </row>
    <row r="955">
      <c r="A955" s="18">
        <f>IF(ISNUMBER(Dossiers!$D$21),Dossiers!$A$21&amp;" · "&amp;Dossiers!$B$21,"")</f>
        <v/>
      </c>
      <c r="B955" s="18">
        <f>IF($A955="","",Paramètres!G37)</f>
        <v/>
      </c>
      <c r="C955" s="18">
        <f>IF($A955="","",IF(Paramètres!H37="","",Paramètres!H37))</f>
        <v/>
      </c>
      <c r="D955" s="18">
        <f>IF($A955="","",IF(Paramètres!I37="","",Paramètres!I37))</f>
        <v/>
      </c>
      <c r="E955" s="19">
        <f>IF($A955="","",MIN(E956:E973))</f>
        <v/>
      </c>
      <c r="F955" s="19">
        <f>IF($A955="","",MAX(F956:F973))</f>
        <v/>
      </c>
      <c r="G955" s="18" t="n"/>
      <c r="H955" s="18">
        <f>IF($A955="","",F955-E955+1)</f>
        <v/>
      </c>
      <c r="I955" s="18" t="n"/>
    </row>
    <row r="956">
      <c r="A956" s="18">
        <f>IF(ISNUMBER(Dossiers!$D$21),Dossiers!$A$21&amp;" · "&amp;Dossiers!$B$21,"")</f>
        <v/>
      </c>
      <c r="B956" s="18">
        <f>IF($A956="","",Paramètres!G38)</f>
        <v/>
      </c>
      <c r="C956" s="18">
        <f>IF($A956="","",IF(Paramètres!H38="","",Paramètres!H38))</f>
        <v/>
      </c>
      <c r="D956" s="18">
        <f>IF($A956="","",IF(Paramètres!I38="","",Paramètres!I38))</f>
        <v/>
      </c>
      <c r="E956" s="19">
        <f>IF($A956="","",IF(Paramètres!J38&amp;Paramètres!L38&amp;Paramètres!N38="",Dossiers!$D$21,MAX(IF(Paramètres!J38="",0,IF(Paramètres!K38="",NA(),IF(LEFT(TRIM(Paramètres!K38),1)="F",INDEX($F$923:$F$975,MATCH(Paramètres!J38,Paramètres!$G$5:$G$57,0)),INDEX($E$923:$E$975,MATCH(Paramètres!J38,Paramètres!$G$5:$G$57,0)))+IF(RIGHT(TRIM(Paramètres!K38),3)="Fin",1-$H956,IF(LEFT(TRIM(Paramètres!K38),1)="F",1,0)))),IF(Paramètres!L38="",0,IF(Paramètres!M38="",NA(),IF(LEFT(TRIM(Paramètres!M38),1)="F",INDEX($F$923:$F$975,MATCH(Paramètres!L38,Paramètres!$G$5:$G$57,0)),INDEX($E$923:$E$975,MATCH(Paramètres!L38,Paramètres!$G$5:$G$57,0)))+IF(RIGHT(TRIM(Paramètres!M38),3)="Fin",1-$H956,IF(LEFT(TRIM(Paramètres!M38),1)="F",1,0)))),IF(Paramètres!N38="",0,IF(Paramètres!O38="",NA(),IF(LEFT(TRIM(Paramètres!O38),1)="F",INDEX($F$923:$F$975,MATCH(Paramètres!N38,Paramètres!$G$5:$G$57,0)),INDEX($E$923:$E$975,MATCH(Paramètres!N38,Paramètres!$G$5:$G$57,0)))+IF(RIGHT(TRIM(Paramètres!O38),3)="Fin",1-$H956,IF(LEFT(TRIM(Paramètres!O38),1)="F",1,0)))))))</f>
        <v/>
      </c>
      <c r="F956" s="19">
        <f>IF($A956="","",E956+$H956-1)</f>
        <v/>
      </c>
      <c r="G956" s="18" t="n"/>
      <c r="H956" s="18">
        <f>IF($A956="","",IF(I956&lt;&gt;"",I956,Paramètres!B38))</f>
        <v/>
      </c>
      <c r="I956" s="18" t="n"/>
    </row>
    <row r="957">
      <c r="A957" s="18">
        <f>IF(ISNUMBER(Dossiers!$D$21),Dossiers!$A$21&amp;" · "&amp;Dossiers!$B$21,"")</f>
        <v/>
      </c>
      <c r="B957" s="18">
        <f>IF($A957="","",Paramètres!G39)</f>
        <v/>
      </c>
      <c r="C957" s="18">
        <f>IF($A957="","",IF(Paramètres!H39="","",Paramètres!H39))</f>
        <v/>
      </c>
      <c r="D957" s="18">
        <f>IF($A957="","",IF(Paramètres!I39="","",Paramètres!I39))</f>
        <v/>
      </c>
      <c r="E957" s="19">
        <f>IF($A957="","",IF(Paramètres!J39&amp;Paramètres!L39&amp;Paramètres!N39="",Dossiers!$D$21,MAX(IF(Paramètres!J39="",0,IF(Paramètres!K39="",NA(),IF(LEFT(TRIM(Paramètres!K39),1)="F",INDEX($F$923:$F$975,MATCH(Paramètres!J39,Paramètres!$G$5:$G$57,0)),INDEX($E$923:$E$975,MATCH(Paramètres!J39,Paramètres!$G$5:$G$57,0)))+IF(RIGHT(TRIM(Paramètres!K39),3)="Fin",1-$H957,IF(LEFT(TRIM(Paramètres!K39),1)="F",1,0)))),IF(Paramètres!L39="",0,IF(Paramètres!M39="",NA(),IF(LEFT(TRIM(Paramètres!M39),1)="F",INDEX($F$923:$F$975,MATCH(Paramètres!L39,Paramètres!$G$5:$G$57,0)),INDEX($E$923:$E$975,MATCH(Paramètres!L39,Paramètres!$G$5:$G$57,0)))+IF(RIGHT(TRIM(Paramètres!M39),3)="Fin",1-$H957,IF(LEFT(TRIM(Paramètres!M39),1)="F",1,0)))),IF(Paramètres!N39="",0,IF(Paramètres!O39="",NA(),IF(LEFT(TRIM(Paramètres!O39),1)="F",INDEX($F$923:$F$975,MATCH(Paramètres!N39,Paramètres!$G$5:$G$57,0)),INDEX($E$923:$E$975,MATCH(Paramètres!N39,Paramètres!$G$5:$G$57,0)))+IF(RIGHT(TRIM(Paramètres!O39),3)="Fin",1-$H957,IF(LEFT(TRIM(Paramètres!O39),1)="F",1,0)))))))</f>
        <v/>
      </c>
      <c r="F957" s="19">
        <f>IF($A957="","",E957+$H957-1)</f>
        <v/>
      </c>
      <c r="G957" s="18" t="n"/>
      <c r="H957" s="18">
        <f>IF($A957="","",IF(I957&lt;&gt;"",I957,Paramètres!B39))</f>
        <v/>
      </c>
      <c r="I957" s="18" t="n"/>
    </row>
    <row r="958">
      <c r="A958" s="18">
        <f>IF(ISNUMBER(Dossiers!$D$21),Dossiers!$A$21&amp;" · "&amp;Dossiers!$B$21,"")</f>
        <v/>
      </c>
      <c r="B958" s="18">
        <f>IF($A958="","",Paramètres!G40)</f>
        <v/>
      </c>
      <c r="C958" s="18">
        <f>IF($A958="","",IF(Paramètres!H40="","",Paramètres!H40))</f>
        <v/>
      </c>
      <c r="D958" s="18">
        <f>IF($A958="","",IF(Paramètres!I40="","",Paramètres!I40))</f>
        <v/>
      </c>
      <c r="E958" s="19">
        <f>IF($A958="","",IF(Paramètres!J40&amp;Paramètres!L40&amp;Paramètres!N40="",Dossiers!$D$21,MAX(IF(Paramètres!J40="",0,IF(Paramètres!K40="",NA(),IF(LEFT(TRIM(Paramètres!K40),1)="F",INDEX($F$923:$F$975,MATCH(Paramètres!J40,Paramètres!$G$5:$G$57,0)),INDEX($E$923:$E$975,MATCH(Paramètres!J40,Paramètres!$G$5:$G$57,0)))+IF(RIGHT(TRIM(Paramètres!K40),3)="Fin",1-$H958,IF(LEFT(TRIM(Paramètres!K40),1)="F",1,0)))),IF(Paramètres!L40="",0,IF(Paramètres!M40="",NA(),IF(LEFT(TRIM(Paramètres!M40),1)="F",INDEX($F$923:$F$975,MATCH(Paramètres!L40,Paramètres!$G$5:$G$57,0)),INDEX($E$923:$E$975,MATCH(Paramètres!L40,Paramètres!$G$5:$G$57,0)))+IF(RIGHT(TRIM(Paramètres!M40),3)="Fin",1-$H958,IF(LEFT(TRIM(Paramètres!M40),1)="F",1,0)))),IF(Paramètres!N40="",0,IF(Paramètres!O40="",NA(),IF(LEFT(TRIM(Paramètres!O40),1)="F",INDEX($F$923:$F$975,MATCH(Paramètres!N40,Paramètres!$G$5:$G$57,0)),INDEX($E$923:$E$975,MATCH(Paramètres!N40,Paramètres!$G$5:$G$57,0)))+IF(RIGHT(TRIM(Paramètres!O40),3)="Fin",1-$H958,IF(LEFT(TRIM(Paramètres!O40),1)="F",1,0)))))))</f>
        <v/>
      </c>
      <c r="F958" s="19">
        <f>IF($A958="","",E958+$H958-1)</f>
        <v/>
      </c>
      <c r="G958" s="18" t="n"/>
      <c r="H958" s="18">
        <f>IF($A958="","",IF(I958&lt;&gt;"",I958,Paramètres!B40))</f>
        <v/>
      </c>
      <c r="I958" s="18" t="n"/>
    </row>
    <row r="959">
      <c r="A959" s="18">
        <f>IF(ISNUMBER(Dossiers!$D$21),Dossiers!$A$21&amp;" · "&amp;Dossiers!$B$21,"")</f>
        <v/>
      </c>
      <c r="B959" s="18">
        <f>IF($A959="","",Paramètres!G41)</f>
        <v/>
      </c>
      <c r="C959" s="18">
        <f>IF($A959="","",IF(Paramètres!H41="","",Paramètres!H41))</f>
        <v/>
      </c>
      <c r="D959" s="18">
        <f>IF($A959="","",IF(Paramètres!I41="","",Paramètres!I41))</f>
        <v/>
      </c>
      <c r="E959" s="19">
        <f>IF($A959="","",IF(Paramètres!J41&amp;Paramètres!L41&amp;Paramètres!N41="",Dossiers!$D$21,MAX(IF(Paramètres!J41="",0,IF(Paramètres!K41="",NA(),IF(LEFT(TRIM(Paramètres!K41),1)="F",INDEX($F$923:$F$975,MATCH(Paramètres!J41,Paramètres!$G$5:$G$57,0)),INDEX($E$923:$E$975,MATCH(Paramètres!J41,Paramètres!$G$5:$G$57,0)))+IF(RIGHT(TRIM(Paramètres!K41),3)="Fin",1-$H959,IF(LEFT(TRIM(Paramètres!K41),1)="F",1,0)))),IF(Paramètres!L41="",0,IF(Paramètres!M41="",NA(),IF(LEFT(TRIM(Paramètres!M41),1)="F",INDEX($F$923:$F$975,MATCH(Paramètres!L41,Paramètres!$G$5:$G$57,0)),INDEX($E$923:$E$975,MATCH(Paramètres!L41,Paramètres!$G$5:$G$57,0)))+IF(RIGHT(TRIM(Paramètres!M41),3)="Fin",1-$H959,IF(LEFT(TRIM(Paramètres!M41),1)="F",1,0)))),IF(Paramètres!N41="",0,IF(Paramètres!O41="",NA(),IF(LEFT(TRIM(Paramètres!O41),1)="F",INDEX($F$923:$F$975,MATCH(Paramètres!N41,Paramètres!$G$5:$G$57,0)),INDEX($E$923:$E$975,MATCH(Paramètres!N41,Paramètres!$G$5:$G$57,0)))+IF(RIGHT(TRIM(Paramètres!O41),3)="Fin",1-$H959,IF(LEFT(TRIM(Paramètres!O41),1)="F",1,0)))))))</f>
        <v/>
      </c>
      <c r="F959" s="19">
        <f>IF($A959="","",E959+$H959-1)</f>
        <v/>
      </c>
      <c r="G959" s="18" t="n"/>
      <c r="H959" s="18">
        <f>IF($A959="","",IF(I959&lt;&gt;"",I959,Paramètres!B41))</f>
        <v/>
      </c>
      <c r="I959" s="18" t="n"/>
    </row>
    <row r="960">
      <c r="A960" s="18">
        <f>IF(ISNUMBER(Dossiers!$D$21),Dossiers!$A$21&amp;" · "&amp;Dossiers!$B$21,"")</f>
        <v/>
      </c>
      <c r="B960" s="18">
        <f>IF($A960="","",Paramètres!G42)</f>
        <v/>
      </c>
      <c r="C960" s="18">
        <f>IF($A960="","",IF(Paramètres!H42="","",Paramètres!H42))</f>
        <v/>
      </c>
      <c r="D960" s="18">
        <f>IF($A960="","",IF(Paramètres!I42="","",Paramètres!I42))</f>
        <v/>
      </c>
      <c r="E960" s="19">
        <f>IF($A960="","",IF(Paramètres!J42&amp;Paramètres!L42&amp;Paramètres!N42="",Dossiers!$D$21,MAX(IF(Paramètres!J42="",0,IF(Paramètres!K42="",NA(),IF(LEFT(TRIM(Paramètres!K42),1)="F",INDEX($F$923:$F$975,MATCH(Paramètres!J42,Paramètres!$G$5:$G$57,0)),INDEX($E$923:$E$975,MATCH(Paramètres!J42,Paramètres!$G$5:$G$57,0)))+IF(RIGHT(TRIM(Paramètres!K42),3)="Fin",1-$H960,IF(LEFT(TRIM(Paramètres!K42),1)="F",1,0)))),IF(Paramètres!L42="",0,IF(Paramètres!M42="",NA(),IF(LEFT(TRIM(Paramètres!M42),1)="F",INDEX($F$923:$F$975,MATCH(Paramètres!L42,Paramètres!$G$5:$G$57,0)),INDEX($E$923:$E$975,MATCH(Paramètres!L42,Paramètres!$G$5:$G$57,0)))+IF(RIGHT(TRIM(Paramètres!M42),3)="Fin",1-$H960,IF(LEFT(TRIM(Paramètres!M42),1)="F",1,0)))),IF(Paramètres!N42="",0,IF(Paramètres!O42="",NA(),IF(LEFT(TRIM(Paramètres!O42),1)="F",INDEX($F$923:$F$975,MATCH(Paramètres!N42,Paramètres!$G$5:$G$57,0)),INDEX($E$923:$E$975,MATCH(Paramètres!N42,Paramètres!$G$5:$G$57,0)))+IF(RIGHT(TRIM(Paramètres!O42),3)="Fin",1-$H960,IF(LEFT(TRIM(Paramètres!O42),1)="F",1,0)))))))</f>
        <v/>
      </c>
      <c r="F960" s="19">
        <f>IF($A960="","",E960+$H960-1)</f>
        <v/>
      </c>
      <c r="G960" s="18" t="n"/>
      <c r="H960" s="18">
        <f>IF($A960="","",IF(I960&lt;&gt;"",I960,Paramètres!B42))</f>
        <v/>
      </c>
      <c r="I960" s="18" t="n"/>
    </row>
    <row r="961">
      <c r="A961" s="18">
        <f>IF(ISNUMBER(Dossiers!$D$21),Dossiers!$A$21&amp;" · "&amp;Dossiers!$B$21,"")</f>
        <v/>
      </c>
      <c r="B961" s="18">
        <f>IF($A961="","",Paramètres!G43)</f>
        <v/>
      </c>
      <c r="C961" s="18">
        <f>IF($A961="","",IF(Paramètres!H43="","",Paramètres!H43))</f>
        <v/>
      </c>
      <c r="D961" s="18">
        <f>IF($A961="","",IF(Paramètres!I43="","",Paramètres!I43))</f>
        <v/>
      </c>
      <c r="E961" s="19">
        <f>IF($A961="","",IF(Paramètres!J43&amp;Paramètres!L43&amp;Paramètres!N43="",Dossiers!$D$21,MAX(IF(Paramètres!J43="",0,IF(Paramètres!K43="",NA(),IF(LEFT(TRIM(Paramètres!K43),1)="F",INDEX($F$923:$F$975,MATCH(Paramètres!J43,Paramètres!$G$5:$G$57,0)),INDEX($E$923:$E$975,MATCH(Paramètres!J43,Paramètres!$G$5:$G$57,0)))+IF(RIGHT(TRIM(Paramètres!K43),3)="Fin",1-$H961,IF(LEFT(TRIM(Paramètres!K43),1)="F",1,0)))),IF(Paramètres!L43="",0,IF(Paramètres!M43="",NA(),IF(LEFT(TRIM(Paramètres!M43),1)="F",INDEX($F$923:$F$975,MATCH(Paramètres!L43,Paramètres!$G$5:$G$57,0)),INDEX($E$923:$E$975,MATCH(Paramètres!L43,Paramètres!$G$5:$G$57,0)))+IF(RIGHT(TRIM(Paramètres!M43),3)="Fin",1-$H961,IF(LEFT(TRIM(Paramètres!M43),1)="F",1,0)))),IF(Paramètres!N43="",0,IF(Paramètres!O43="",NA(),IF(LEFT(TRIM(Paramètres!O43),1)="F",INDEX($F$923:$F$975,MATCH(Paramètres!N43,Paramètres!$G$5:$G$57,0)),INDEX($E$923:$E$975,MATCH(Paramètres!N43,Paramètres!$G$5:$G$57,0)))+IF(RIGHT(TRIM(Paramètres!O43),3)="Fin",1-$H961,IF(LEFT(TRIM(Paramètres!O43),1)="F",1,0)))))))</f>
        <v/>
      </c>
      <c r="F961" s="19">
        <f>IF($A961="","",E961+$H961-1)</f>
        <v/>
      </c>
      <c r="G961" s="18" t="n"/>
      <c r="H961" s="18">
        <f>IF($A961="","",IF(I961&lt;&gt;"",I961,Paramètres!B43))</f>
        <v/>
      </c>
      <c r="I961" s="18" t="n"/>
    </row>
    <row r="962">
      <c r="A962" s="18">
        <f>IF(ISNUMBER(Dossiers!$D$21),Dossiers!$A$21&amp;" · "&amp;Dossiers!$B$21,"")</f>
        <v/>
      </c>
      <c r="B962" s="18">
        <f>IF($A962="","",Paramètres!G44)</f>
        <v/>
      </c>
      <c r="C962" s="18">
        <f>IF($A962="","",IF(Paramètres!H44="","",Paramètres!H44))</f>
        <v/>
      </c>
      <c r="D962" s="18">
        <f>IF($A962="","",IF(Paramètres!I44="","",Paramètres!I44))</f>
        <v/>
      </c>
      <c r="E962" s="19">
        <f>IF($A962="","",IF(Paramètres!J44&amp;Paramètres!L44&amp;Paramètres!N44="",Dossiers!$D$21,MAX(IF(Paramètres!J44="",0,IF(Paramètres!K44="",NA(),IF(LEFT(TRIM(Paramètres!K44),1)="F",INDEX($F$923:$F$975,MATCH(Paramètres!J44,Paramètres!$G$5:$G$57,0)),INDEX($E$923:$E$975,MATCH(Paramètres!J44,Paramètres!$G$5:$G$57,0)))+IF(RIGHT(TRIM(Paramètres!K44),3)="Fin",1-$H962,IF(LEFT(TRIM(Paramètres!K44),1)="F",1,0)))),IF(Paramètres!L44="",0,IF(Paramètres!M44="",NA(),IF(LEFT(TRIM(Paramètres!M44),1)="F",INDEX($F$923:$F$975,MATCH(Paramètres!L44,Paramètres!$G$5:$G$57,0)),INDEX($E$923:$E$975,MATCH(Paramètres!L44,Paramètres!$G$5:$G$57,0)))+IF(RIGHT(TRIM(Paramètres!M44),3)="Fin",1-$H962,IF(LEFT(TRIM(Paramètres!M44),1)="F",1,0)))),IF(Paramètres!N44="",0,IF(Paramètres!O44="",NA(),IF(LEFT(TRIM(Paramètres!O44),1)="F",INDEX($F$923:$F$975,MATCH(Paramètres!N44,Paramètres!$G$5:$G$57,0)),INDEX($E$923:$E$975,MATCH(Paramètres!N44,Paramètres!$G$5:$G$57,0)))+IF(RIGHT(TRIM(Paramètres!O44),3)="Fin",1-$H962,IF(LEFT(TRIM(Paramètres!O44),1)="F",1,0)))))))</f>
        <v/>
      </c>
      <c r="F962" s="19">
        <f>IF($A962="","",E962+$H962-1)</f>
        <v/>
      </c>
      <c r="G962" s="18" t="n"/>
      <c r="H962" s="18">
        <f>IF($A962="","",IF(I962&lt;&gt;"",I962,Paramètres!B44))</f>
        <v/>
      </c>
      <c r="I962" s="18" t="n"/>
    </row>
    <row r="963">
      <c r="A963" s="18">
        <f>IF(ISNUMBER(Dossiers!$D$21),Dossiers!$A$21&amp;" · "&amp;Dossiers!$B$21,"")</f>
        <v/>
      </c>
      <c r="B963" s="18">
        <f>IF($A963="","",Paramètres!G45)</f>
        <v/>
      </c>
      <c r="C963" s="20">
        <f>IF($A963="","",IF(Dossiers!$G$21="","",Dossiers!$G$21))</f>
        <v/>
      </c>
      <c r="D963" s="18">
        <f>IF($A963="","",IF(Paramètres!I45="","",Paramètres!I45))</f>
        <v/>
      </c>
      <c r="E963" s="19">
        <f>IF($A963="","",IF(Paramètres!J45&amp;Paramètres!L45&amp;Paramètres!N45="",Dossiers!$D$21,MAX(IF(Paramètres!J45="",0,IF(Paramètres!K45="",NA(),IF(LEFT(TRIM(Paramètres!K45),1)="F",INDEX($F$923:$F$975,MATCH(Paramètres!J45,Paramètres!$G$5:$G$57,0)),INDEX($E$923:$E$975,MATCH(Paramètres!J45,Paramètres!$G$5:$G$57,0)))+IF(RIGHT(TRIM(Paramètres!K45),3)="Fin",1-$H963,IF(LEFT(TRIM(Paramètres!K45),1)="F",1,0)))),IF(Paramètres!L45="",0,IF(Paramètres!M45="",NA(),IF(LEFT(TRIM(Paramètres!M45),1)="F",INDEX($F$923:$F$975,MATCH(Paramètres!L45,Paramètres!$G$5:$G$57,0)),INDEX($E$923:$E$975,MATCH(Paramètres!L45,Paramètres!$G$5:$G$57,0)))+IF(RIGHT(TRIM(Paramètres!M45),3)="Fin",1-$H963,IF(LEFT(TRIM(Paramètres!M45),1)="F",1,0)))),IF(Paramètres!N45="",0,IF(Paramètres!O45="",NA(),IF(LEFT(TRIM(Paramètres!O45),1)="F",INDEX($F$923:$F$975,MATCH(Paramètres!N45,Paramètres!$G$5:$G$57,0)),INDEX($E$923:$E$975,MATCH(Paramètres!N45,Paramètres!$G$5:$G$57,0)))+IF(RIGHT(TRIM(Paramètres!O45),3)="Fin",1-$H963,IF(LEFT(TRIM(Paramètres!O45),1)="F",1,0)))))))</f>
        <v/>
      </c>
      <c r="F963" s="19">
        <f>IF($A963="","",E963+$H963-1)</f>
        <v/>
      </c>
      <c r="G963" s="18" t="n"/>
      <c r="H963" s="18">
        <f>IF($A963="","",IF(I963&lt;&gt;"",I963,Paramètres!B45))</f>
        <v/>
      </c>
      <c r="I963" s="18" t="n"/>
    </row>
    <row r="964">
      <c r="A964" s="18">
        <f>IF(ISNUMBER(Dossiers!$D$21),Dossiers!$A$21&amp;" · "&amp;Dossiers!$B$21,"")</f>
        <v/>
      </c>
      <c r="B964" s="18">
        <f>IF($A964="","",Paramètres!G46)</f>
        <v/>
      </c>
      <c r="C964" s="18">
        <f>IF($A964="","",IF(Paramètres!H46="","",Paramètres!H46))</f>
        <v/>
      </c>
      <c r="D964" s="18">
        <f>IF($A964="","",IF(Paramètres!I46="","",Paramètres!I46))</f>
        <v/>
      </c>
      <c r="E964" s="19">
        <f>IF($A964="","",IF(Paramètres!J46&amp;Paramètres!L46&amp;Paramètres!N46="",Dossiers!$D$21,MAX(IF(Paramètres!J46="",0,IF(Paramètres!K46="",NA(),IF(LEFT(TRIM(Paramètres!K46),1)="F",INDEX($F$923:$F$975,MATCH(Paramètres!J46,Paramètres!$G$5:$G$57,0)),INDEX($E$923:$E$975,MATCH(Paramètres!J46,Paramètres!$G$5:$G$57,0)))+IF(RIGHT(TRIM(Paramètres!K46),3)="Fin",1-$H964,IF(LEFT(TRIM(Paramètres!K46),1)="F",1,0)))),IF(Paramètres!L46="",0,IF(Paramètres!M46="",NA(),IF(LEFT(TRIM(Paramètres!M46),1)="F",INDEX($F$923:$F$975,MATCH(Paramètres!L46,Paramètres!$G$5:$G$57,0)),INDEX($E$923:$E$975,MATCH(Paramètres!L46,Paramètres!$G$5:$G$57,0)))+IF(RIGHT(TRIM(Paramètres!M46),3)="Fin",1-$H964,IF(LEFT(TRIM(Paramètres!M46),1)="F",1,0)))),IF(Paramètres!N46="",0,IF(Paramètres!O46="",NA(),IF(LEFT(TRIM(Paramètres!O46),1)="F",INDEX($F$923:$F$975,MATCH(Paramètres!N46,Paramètres!$G$5:$G$57,0)),INDEX($E$923:$E$975,MATCH(Paramètres!N46,Paramètres!$G$5:$G$57,0)))+IF(RIGHT(TRIM(Paramètres!O46),3)="Fin",1-$H964,IF(LEFT(TRIM(Paramètres!O46),1)="F",1,0)))))))</f>
        <v/>
      </c>
      <c r="F964" s="19">
        <f>IF($A964="","",E964+$H964-1)</f>
        <v/>
      </c>
      <c r="G964" s="18" t="n"/>
      <c r="H964" s="18">
        <f>IF($A964="","",IF(I964&lt;&gt;"",I964,Paramètres!B46))</f>
        <v/>
      </c>
      <c r="I964" s="18" t="n"/>
    </row>
    <row r="965">
      <c r="A965" s="18">
        <f>IF(ISNUMBER(Dossiers!$D$21),Dossiers!$A$21&amp;" · "&amp;Dossiers!$B$21,"")</f>
        <v/>
      </c>
      <c r="B965" s="18">
        <f>IF($A965="","",Paramètres!G47)</f>
        <v/>
      </c>
      <c r="C965" s="18">
        <f>IF($A965="","",IF(Paramètres!H47="","",Paramètres!H47))</f>
        <v/>
      </c>
      <c r="D965" s="18">
        <f>IF($A965="","",IF(Paramètres!I47="","",Paramètres!I47))</f>
        <v/>
      </c>
      <c r="E965" s="19">
        <f>IF($A965="","",IF(Paramètres!J47&amp;Paramètres!L47&amp;Paramètres!N47="",Dossiers!$D$21,MAX(IF(Paramètres!J47="",0,IF(Paramètres!K47="",NA(),IF(LEFT(TRIM(Paramètres!K47),1)="F",INDEX($F$923:$F$975,MATCH(Paramètres!J47,Paramètres!$G$5:$G$57,0)),INDEX($E$923:$E$975,MATCH(Paramètres!J47,Paramètres!$G$5:$G$57,0)))+IF(RIGHT(TRIM(Paramètres!K47),3)="Fin",1-$H965,IF(LEFT(TRIM(Paramètres!K47),1)="F",1,0)))),IF(Paramètres!L47="",0,IF(Paramètres!M47="",NA(),IF(LEFT(TRIM(Paramètres!M47),1)="F",INDEX($F$923:$F$975,MATCH(Paramètres!L47,Paramètres!$G$5:$G$57,0)),INDEX($E$923:$E$975,MATCH(Paramètres!L47,Paramètres!$G$5:$G$57,0)))+IF(RIGHT(TRIM(Paramètres!M47),3)="Fin",1-$H965,IF(LEFT(TRIM(Paramètres!M47),1)="F",1,0)))),IF(Paramètres!N47="",0,IF(Paramètres!O47="",NA(),IF(LEFT(TRIM(Paramètres!O47),1)="F",INDEX($F$923:$F$975,MATCH(Paramètres!N47,Paramètres!$G$5:$G$57,0)),INDEX($E$923:$E$975,MATCH(Paramètres!N47,Paramètres!$G$5:$G$57,0)))+IF(RIGHT(TRIM(Paramètres!O47),3)="Fin",1-$H965,IF(LEFT(TRIM(Paramètres!O47),1)="F",1,0)))))))</f>
        <v/>
      </c>
      <c r="F965" s="19">
        <f>IF($A965="","",E965+$H965-1)</f>
        <v/>
      </c>
      <c r="G965" s="18" t="n"/>
      <c r="H965" s="18">
        <f>IF($A965="","",IF(I965&lt;&gt;"",I965,Paramètres!B47))</f>
        <v/>
      </c>
      <c r="I965" s="18" t="n"/>
    </row>
    <row r="966">
      <c r="A966" s="18">
        <f>IF(ISNUMBER(Dossiers!$D$21),Dossiers!$A$21&amp;" · "&amp;Dossiers!$B$21,"")</f>
        <v/>
      </c>
      <c r="B966" s="18">
        <f>IF($A966="","",Paramètres!G48)</f>
        <v/>
      </c>
      <c r="C966" s="18">
        <f>IF($A966="","",IF(Paramètres!H48="","",Paramètres!H48))</f>
        <v/>
      </c>
      <c r="D966" s="18">
        <f>IF($A966="","",IF(Paramètres!I48="","",Paramètres!I48))</f>
        <v/>
      </c>
      <c r="E966" s="19">
        <f>IF($A966="","",IF(Paramètres!J48&amp;Paramètres!L48&amp;Paramètres!N48="",Dossiers!$D$21,MAX(IF(Paramètres!J48="",0,IF(Paramètres!K48="",NA(),IF(LEFT(TRIM(Paramètres!K48),1)="F",INDEX($F$923:$F$975,MATCH(Paramètres!J48,Paramètres!$G$5:$G$57,0)),INDEX($E$923:$E$975,MATCH(Paramètres!J48,Paramètres!$G$5:$G$57,0)))+IF(RIGHT(TRIM(Paramètres!K48),3)="Fin",1-$H966,IF(LEFT(TRIM(Paramètres!K48),1)="F",1,0)))),IF(Paramètres!L48="",0,IF(Paramètres!M48="",NA(),IF(LEFT(TRIM(Paramètres!M48),1)="F",INDEX($F$923:$F$975,MATCH(Paramètres!L48,Paramètres!$G$5:$G$57,0)),INDEX($E$923:$E$975,MATCH(Paramètres!L48,Paramètres!$G$5:$G$57,0)))+IF(RIGHT(TRIM(Paramètres!M48),3)="Fin",1-$H966,IF(LEFT(TRIM(Paramètres!M48),1)="F",1,0)))),IF(Paramètres!N48="",0,IF(Paramètres!O48="",NA(),IF(LEFT(TRIM(Paramètres!O48),1)="F",INDEX($F$923:$F$975,MATCH(Paramètres!N48,Paramètres!$G$5:$G$57,0)),INDEX($E$923:$E$975,MATCH(Paramètres!N48,Paramètres!$G$5:$G$57,0)))+IF(RIGHT(TRIM(Paramètres!O48),3)="Fin",1-$H966,IF(LEFT(TRIM(Paramètres!O48),1)="F",1,0)))))))</f>
        <v/>
      </c>
      <c r="F966" s="19">
        <f>IF($A966="","",E966+$H966-1)</f>
        <v/>
      </c>
      <c r="G966" s="18" t="n"/>
      <c r="H966" s="18">
        <f>IF($A966="","",IF(I966&lt;&gt;"",I966,Paramètres!B48))</f>
        <v/>
      </c>
      <c r="I966" s="18" t="n"/>
    </row>
    <row r="967">
      <c r="A967" s="18">
        <f>IF(ISNUMBER(Dossiers!$D$21),Dossiers!$A$21&amp;" · "&amp;Dossiers!$B$21,"")</f>
        <v/>
      </c>
      <c r="B967" s="18">
        <f>IF($A967="","",Paramètres!G49)</f>
        <v/>
      </c>
      <c r="C967" s="18">
        <f>IF($A967="","",IF(Paramètres!H49="","",Paramètres!H49))</f>
        <v/>
      </c>
      <c r="D967" s="18">
        <f>IF($A967="","",IF(Paramètres!I49="","",Paramètres!I49))</f>
        <v/>
      </c>
      <c r="E967" s="19">
        <f>IF($A967="","",IF(Paramètres!J49&amp;Paramètres!L49&amp;Paramètres!N49="",Dossiers!$D$21,MAX(IF(Paramètres!J49="",0,IF(Paramètres!K49="",NA(),IF(LEFT(TRIM(Paramètres!K49),1)="F",INDEX($F$923:$F$975,MATCH(Paramètres!J49,Paramètres!$G$5:$G$57,0)),INDEX($E$923:$E$975,MATCH(Paramètres!J49,Paramètres!$G$5:$G$57,0)))+IF(RIGHT(TRIM(Paramètres!K49),3)="Fin",1-$H967,IF(LEFT(TRIM(Paramètres!K49),1)="F",1,0)))),IF(Paramètres!L49="",0,IF(Paramètres!M49="",NA(),IF(LEFT(TRIM(Paramètres!M49),1)="F",INDEX($F$923:$F$975,MATCH(Paramètres!L49,Paramètres!$G$5:$G$57,0)),INDEX($E$923:$E$975,MATCH(Paramètres!L49,Paramètres!$G$5:$G$57,0)))+IF(RIGHT(TRIM(Paramètres!M49),3)="Fin",1-$H967,IF(LEFT(TRIM(Paramètres!M49),1)="F",1,0)))),IF(Paramètres!N49="",0,IF(Paramètres!O49="",NA(),IF(LEFT(TRIM(Paramètres!O49),1)="F",INDEX($F$923:$F$975,MATCH(Paramètres!N49,Paramètres!$G$5:$G$57,0)),INDEX($E$923:$E$975,MATCH(Paramètres!N49,Paramètres!$G$5:$G$57,0)))+IF(RIGHT(TRIM(Paramètres!O49),3)="Fin",1-$H967,IF(LEFT(TRIM(Paramètres!O49),1)="F",1,0)))))))</f>
        <v/>
      </c>
      <c r="F967" s="19">
        <f>IF($A967="","",E967+$H967-1)</f>
        <v/>
      </c>
      <c r="G967" s="18" t="n"/>
      <c r="H967" s="18">
        <f>IF($A967="","",IF(I967&lt;&gt;"",I967,Paramètres!B49))</f>
        <v/>
      </c>
      <c r="I967" s="18" t="n"/>
    </row>
    <row r="968">
      <c r="A968" s="18">
        <f>IF(ISNUMBER(Dossiers!$D$21),Dossiers!$A$21&amp;" · "&amp;Dossiers!$B$21,"")</f>
        <v/>
      </c>
      <c r="B968" s="18">
        <f>IF($A968="","",Paramètres!G50)</f>
        <v/>
      </c>
      <c r="C968" s="18">
        <f>IF($A968="","",IF(Paramètres!H50="","",Paramètres!H50))</f>
        <v/>
      </c>
      <c r="D968" s="18">
        <f>IF($A968="","",IF(Paramètres!I50="","",Paramètres!I50))</f>
        <v/>
      </c>
      <c r="E968" s="19">
        <f>IF($A968="","",IF(Paramètres!J50&amp;Paramètres!L50&amp;Paramètres!N50="",Dossiers!$D$21,MAX(IF(Paramètres!J50="",0,IF(Paramètres!K50="",NA(),IF(LEFT(TRIM(Paramètres!K50),1)="F",INDEX($F$923:$F$975,MATCH(Paramètres!J50,Paramètres!$G$5:$G$57,0)),INDEX($E$923:$E$975,MATCH(Paramètres!J50,Paramètres!$G$5:$G$57,0)))+IF(RIGHT(TRIM(Paramètres!K50),3)="Fin",1-$H968,IF(LEFT(TRIM(Paramètres!K50),1)="F",1,0)))),IF(Paramètres!L50="",0,IF(Paramètres!M50="",NA(),IF(LEFT(TRIM(Paramètres!M50),1)="F",INDEX($F$923:$F$975,MATCH(Paramètres!L50,Paramètres!$G$5:$G$57,0)),INDEX($E$923:$E$975,MATCH(Paramètres!L50,Paramètres!$G$5:$G$57,0)))+IF(RIGHT(TRIM(Paramètres!M50),3)="Fin",1-$H968,IF(LEFT(TRIM(Paramètres!M50),1)="F",1,0)))),IF(Paramètres!N50="",0,IF(Paramètres!O50="",NA(),IF(LEFT(TRIM(Paramètres!O50),1)="F",INDEX($F$923:$F$975,MATCH(Paramètres!N50,Paramètres!$G$5:$G$57,0)),INDEX($E$923:$E$975,MATCH(Paramètres!N50,Paramètres!$G$5:$G$57,0)))+IF(RIGHT(TRIM(Paramètres!O50),3)="Fin",1-$H968,IF(LEFT(TRIM(Paramètres!O50),1)="F",1,0)))))))</f>
        <v/>
      </c>
      <c r="F968" s="19">
        <f>IF($A968="","",E968+$H968-1)</f>
        <v/>
      </c>
      <c r="G968" s="18" t="n"/>
      <c r="H968" s="18">
        <f>IF($A968="","",IF(I968&lt;&gt;"",I968,Paramètres!B50))</f>
        <v/>
      </c>
      <c r="I968" s="18" t="n"/>
    </row>
    <row r="969">
      <c r="A969" s="18">
        <f>IF(ISNUMBER(Dossiers!$D$21),Dossiers!$A$21&amp;" · "&amp;Dossiers!$B$21,"")</f>
        <v/>
      </c>
      <c r="B969" s="18">
        <f>IF($A969="","",Paramètres!G51)</f>
        <v/>
      </c>
      <c r="C969" s="18">
        <f>IF($A969="","",IF(Paramètres!H51="","",Paramètres!H51))</f>
        <v/>
      </c>
      <c r="D969" s="18">
        <f>IF($A969="","",IF(Paramètres!I51="","",Paramètres!I51))</f>
        <v/>
      </c>
      <c r="E969" s="19">
        <f>IF($A969="","",IF(Paramètres!J51&amp;Paramètres!L51&amp;Paramètres!N51="",Dossiers!$D$21,MAX(IF(Paramètres!J51="",0,IF(Paramètres!K51="",NA(),IF(LEFT(TRIM(Paramètres!K51),1)="F",INDEX($F$923:$F$975,MATCH(Paramètres!J51,Paramètres!$G$5:$G$57,0)),INDEX($E$923:$E$975,MATCH(Paramètres!J51,Paramètres!$G$5:$G$57,0)))+IF(RIGHT(TRIM(Paramètres!K51),3)="Fin",1-$H969,IF(LEFT(TRIM(Paramètres!K51),1)="F",1,0)))),IF(Paramètres!L51="",0,IF(Paramètres!M51="",NA(),IF(LEFT(TRIM(Paramètres!M51),1)="F",INDEX($F$923:$F$975,MATCH(Paramètres!L51,Paramètres!$G$5:$G$57,0)),INDEX($E$923:$E$975,MATCH(Paramètres!L51,Paramètres!$G$5:$G$57,0)))+IF(RIGHT(TRIM(Paramètres!M51),3)="Fin",1-$H969,IF(LEFT(TRIM(Paramètres!M51),1)="F",1,0)))),IF(Paramètres!N51="",0,IF(Paramètres!O51="",NA(),IF(LEFT(TRIM(Paramètres!O51),1)="F",INDEX($F$923:$F$975,MATCH(Paramètres!N51,Paramètres!$G$5:$G$57,0)),INDEX($E$923:$E$975,MATCH(Paramètres!N51,Paramètres!$G$5:$G$57,0)))+IF(RIGHT(TRIM(Paramètres!O51),3)="Fin",1-$H969,IF(LEFT(TRIM(Paramètres!O51),1)="F",1,0)))))))</f>
        <v/>
      </c>
      <c r="F969" s="19">
        <f>IF($A969="","",E969+$H969-1)</f>
        <v/>
      </c>
      <c r="G969" s="18" t="n"/>
      <c r="H969" s="18">
        <f>IF($A969="","",IF(I969&lt;&gt;"",I969,Paramètres!B51))</f>
        <v/>
      </c>
      <c r="I969" s="18" t="n"/>
    </row>
    <row r="970">
      <c r="A970" s="18">
        <f>IF(ISNUMBER(Dossiers!$D$21),Dossiers!$A$21&amp;" · "&amp;Dossiers!$B$21,"")</f>
        <v/>
      </c>
      <c r="B970" s="18">
        <f>IF($A970="","",Paramètres!G52)</f>
        <v/>
      </c>
      <c r="C970" s="18">
        <f>IF($A970="","",IF(Paramètres!H52="","",Paramètres!H52))</f>
        <v/>
      </c>
      <c r="D970" s="18">
        <f>IF($A970="","",IF(Paramètres!I52="","",Paramètres!I52))</f>
        <v/>
      </c>
      <c r="E970" s="19">
        <f>IF($A970="","",IF(Paramètres!J52&amp;Paramètres!L52&amp;Paramètres!N52="",Dossiers!$D$21,MAX(IF(Paramètres!J52="",0,IF(Paramètres!K52="",NA(),IF(LEFT(TRIM(Paramètres!K52),1)="F",INDEX($F$923:$F$975,MATCH(Paramètres!J52,Paramètres!$G$5:$G$57,0)),INDEX($E$923:$E$975,MATCH(Paramètres!J52,Paramètres!$G$5:$G$57,0)))+IF(RIGHT(TRIM(Paramètres!K52),3)="Fin",1-$H970,IF(LEFT(TRIM(Paramètres!K52),1)="F",1,0)))),IF(Paramètres!L52="",0,IF(Paramètres!M52="",NA(),IF(LEFT(TRIM(Paramètres!M52),1)="F",INDEX($F$923:$F$975,MATCH(Paramètres!L52,Paramètres!$G$5:$G$57,0)),INDEX($E$923:$E$975,MATCH(Paramètres!L52,Paramètres!$G$5:$G$57,0)))+IF(RIGHT(TRIM(Paramètres!M52),3)="Fin",1-$H970,IF(LEFT(TRIM(Paramètres!M52),1)="F",1,0)))),IF(Paramètres!N52="",0,IF(Paramètres!O52="",NA(),IF(LEFT(TRIM(Paramètres!O52),1)="F",INDEX($F$923:$F$975,MATCH(Paramètres!N52,Paramètres!$G$5:$G$57,0)),INDEX($E$923:$E$975,MATCH(Paramètres!N52,Paramètres!$G$5:$G$57,0)))+IF(RIGHT(TRIM(Paramètres!O52),3)="Fin",1-$H970,IF(LEFT(TRIM(Paramètres!O52),1)="F",1,0)))))))</f>
        <v/>
      </c>
      <c r="F970" s="19">
        <f>IF($A970="","",E970+$H970-1)</f>
        <v/>
      </c>
      <c r="G970" s="18" t="n"/>
      <c r="H970" s="18">
        <f>IF($A970="","",IF(I970&lt;&gt;"",I970,Paramètres!B52))</f>
        <v/>
      </c>
      <c r="I970" s="18" t="n"/>
    </row>
    <row r="971">
      <c r="A971" s="18">
        <f>IF(ISNUMBER(Dossiers!$D$21),Dossiers!$A$21&amp;" · "&amp;Dossiers!$B$21,"")</f>
        <v/>
      </c>
      <c r="B971" s="18">
        <f>IF($A971="","",Paramètres!G53)</f>
        <v/>
      </c>
      <c r="C971" s="18">
        <f>IF($A971="","",IF(Paramètres!H53="","",Paramètres!H53))</f>
        <v/>
      </c>
      <c r="D971" s="18">
        <f>IF($A971="","",IF(Paramètres!I53="","",Paramètres!I53))</f>
        <v/>
      </c>
      <c r="E971" s="19">
        <f>IF($A971="","",IF(Paramètres!J53&amp;Paramètres!L53&amp;Paramètres!N53="",Dossiers!$D$21,MAX(IF(Paramètres!J53="",0,IF(Paramètres!K53="",NA(),IF(LEFT(TRIM(Paramètres!K53),1)="F",INDEX($F$923:$F$975,MATCH(Paramètres!J53,Paramètres!$G$5:$G$57,0)),INDEX($E$923:$E$975,MATCH(Paramètres!J53,Paramètres!$G$5:$G$57,0)))+IF(RIGHT(TRIM(Paramètres!K53),3)="Fin",1-$H971,IF(LEFT(TRIM(Paramètres!K53),1)="F",1,0)))),IF(Paramètres!L53="",0,IF(Paramètres!M53="",NA(),IF(LEFT(TRIM(Paramètres!M53),1)="F",INDEX($F$923:$F$975,MATCH(Paramètres!L53,Paramètres!$G$5:$G$57,0)),INDEX($E$923:$E$975,MATCH(Paramètres!L53,Paramètres!$G$5:$G$57,0)))+IF(RIGHT(TRIM(Paramètres!M53),3)="Fin",1-$H971,IF(LEFT(TRIM(Paramètres!M53),1)="F",1,0)))),IF(Paramètres!N53="",0,IF(Paramètres!O53="",NA(),IF(LEFT(TRIM(Paramètres!O53),1)="F",INDEX($F$923:$F$975,MATCH(Paramètres!N53,Paramètres!$G$5:$G$57,0)),INDEX($E$923:$E$975,MATCH(Paramètres!N53,Paramètres!$G$5:$G$57,0)))+IF(RIGHT(TRIM(Paramètres!O53),3)="Fin",1-$H971,IF(LEFT(TRIM(Paramètres!O53),1)="F",1,0)))))))</f>
        <v/>
      </c>
      <c r="F971" s="19">
        <f>IF($A971="","",E971+$H971-1)</f>
        <v/>
      </c>
      <c r="G971" s="18" t="n"/>
      <c r="H971" s="18">
        <f>IF($A971="","",IF(I971&lt;&gt;"",I971,Paramètres!B53))</f>
        <v/>
      </c>
      <c r="I971" s="18" t="n"/>
    </row>
    <row r="972">
      <c r="A972" s="18">
        <f>IF(ISNUMBER(Dossiers!$D$21),Dossiers!$A$21&amp;" · "&amp;Dossiers!$B$21,"")</f>
        <v/>
      </c>
      <c r="B972" s="18">
        <f>IF($A972="","",Paramètres!G54)</f>
        <v/>
      </c>
      <c r="C972" s="18">
        <f>IF($A972="","",IF(Paramètres!H54="","",Paramètres!H54))</f>
        <v/>
      </c>
      <c r="D972" s="18">
        <f>IF($A972="","",IF(Paramètres!I54="","",Paramètres!I54))</f>
        <v/>
      </c>
      <c r="E972" s="19">
        <f>IF($A972="","",IF(Paramètres!J54&amp;Paramètres!L54&amp;Paramètres!N54="",Dossiers!$D$21,MAX(IF(Paramètres!J54="",0,IF(Paramètres!K54="",NA(),IF(LEFT(TRIM(Paramètres!K54),1)="F",INDEX($F$923:$F$975,MATCH(Paramètres!J54,Paramètres!$G$5:$G$57,0)),INDEX($E$923:$E$975,MATCH(Paramètres!J54,Paramètres!$G$5:$G$57,0)))+IF(RIGHT(TRIM(Paramètres!K54),3)="Fin",1-$H972,IF(LEFT(TRIM(Paramètres!K54),1)="F",1,0)))),IF(Paramètres!L54="",0,IF(Paramètres!M54="",NA(),IF(LEFT(TRIM(Paramètres!M54),1)="F",INDEX($F$923:$F$975,MATCH(Paramètres!L54,Paramètres!$G$5:$G$57,0)),INDEX($E$923:$E$975,MATCH(Paramètres!L54,Paramètres!$G$5:$G$57,0)))+IF(RIGHT(TRIM(Paramètres!M54),3)="Fin",1-$H972,IF(LEFT(TRIM(Paramètres!M54),1)="F",1,0)))),IF(Paramètres!N54="",0,IF(Paramètres!O54="",NA(),IF(LEFT(TRIM(Paramètres!O54),1)="F",INDEX($F$923:$F$975,MATCH(Paramètres!N54,Paramètres!$G$5:$G$57,0)),INDEX($E$923:$E$975,MATCH(Paramètres!N54,Paramètres!$G$5:$G$57,0)))+IF(RIGHT(TRIM(Paramètres!O54),3)="Fin",1-$H972,IF(LEFT(TRIM(Paramètres!O54),1)="F",1,0)))))))</f>
        <v/>
      </c>
      <c r="F972" s="19">
        <f>IF($A972="","",E972+$H972-1)</f>
        <v/>
      </c>
      <c r="G972" s="18" t="n"/>
      <c r="H972" s="18">
        <f>IF($A972="","",IF(I972&lt;&gt;"",I972,Paramètres!B54))</f>
        <v/>
      </c>
      <c r="I972" s="18" t="n"/>
    </row>
    <row r="973">
      <c r="A973" s="18">
        <f>IF(ISNUMBER(Dossiers!$D$21),Dossiers!$A$21&amp;" · "&amp;Dossiers!$B$21,"")</f>
        <v/>
      </c>
      <c r="B973" s="18">
        <f>IF($A973="","",Paramètres!G55)</f>
        <v/>
      </c>
      <c r="C973" s="18">
        <f>IF($A973="","",IF(Paramètres!H55="","",Paramètres!H55))</f>
        <v/>
      </c>
      <c r="D973" s="18">
        <f>IF($A973="","",IF(Paramètres!I55="","",Paramètres!I55))</f>
        <v/>
      </c>
      <c r="E973" s="19">
        <f>IF($A973="","",IF(Paramètres!J55&amp;Paramètres!L55&amp;Paramètres!N55="",Dossiers!$D$21,MAX(IF(Paramètres!J55="",0,IF(Paramètres!K55="",NA(),IF(LEFT(TRIM(Paramètres!K55),1)="F",INDEX($F$923:$F$975,MATCH(Paramètres!J55,Paramètres!$G$5:$G$57,0)),INDEX($E$923:$E$975,MATCH(Paramètres!J55,Paramètres!$G$5:$G$57,0)))+IF(RIGHT(TRIM(Paramètres!K55),3)="Fin",1-$H973,IF(LEFT(TRIM(Paramètres!K55),1)="F",1,0)))),IF(Paramètres!L55="",0,IF(Paramètres!M55="",NA(),IF(LEFT(TRIM(Paramètres!M55),1)="F",INDEX($F$923:$F$975,MATCH(Paramètres!L55,Paramètres!$G$5:$G$57,0)),INDEX($E$923:$E$975,MATCH(Paramètres!L55,Paramètres!$G$5:$G$57,0)))+IF(RIGHT(TRIM(Paramètres!M55),3)="Fin",1-$H973,IF(LEFT(TRIM(Paramètres!M55),1)="F",1,0)))),IF(Paramètres!N55="",0,IF(Paramètres!O55="",NA(),IF(LEFT(TRIM(Paramètres!O55),1)="F",INDEX($F$923:$F$975,MATCH(Paramètres!N55,Paramètres!$G$5:$G$57,0)),INDEX($E$923:$E$975,MATCH(Paramètres!N55,Paramètres!$G$5:$G$57,0)))+IF(RIGHT(TRIM(Paramètres!O55),3)="Fin",1-$H973,IF(LEFT(TRIM(Paramètres!O55),1)="F",1,0)))))))</f>
        <v/>
      </c>
      <c r="F973" s="19">
        <f>IF($A973="","",E973+$H973-1)</f>
        <v/>
      </c>
      <c r="G973" s="18" t="n"/>
      <c r="H973" s="18">
        <f>IF($A973="","",IF(I973&lt;&gt;"",I973,Paramètres!B55))</f>
        <v/>
      </c>
      <c r="I973" s="18" t="n"/>
    </row>
    <row r="974">
      <c r="A974" s="18">
        <f>IF(ISNUMBER(Dossiers!$D$21),Dossiers!$A$21&amp;" · "&amp;Dossiers!$B$21,"")</f>
        <v/>
      </c>
      <c r="B974" s="18">
        <f>IF($A974="","",Paramètres!G56)</f>
        <v/>
      </c>
      <c r="C974" s="18">
        <f>IF($A974="","",IF(Paramètres!H56="","",Paramètres!H56))</f>
        <v/>
      </c>
      <c r="D974" s="18">
        <f>IF($A974="","",IF(Paramètres!I56="","",Paramètres!I56))</f>
        <v/>
      </c>
      <c r="E974" s="19">
        <f>IF($A974="","",MIN(E975:E975))</f>
        <v/>
      </c>
      <c r="F974" s="19">
        <f>IF($A974="","",MAX(F975:F975))</f>
        <v/>
      </c>
      <c r="G974" s="18" t="n"/>
      <c r="H974" s="18">
        <f>IF($A974="","",F974-E974+1)</f>
        <v/>
      </c>
      <c r="I974" s="18" t="n"/>
    </row>
    <row r="975">
      <c r="A975" s="18">
        <f>IF(ISNUMBER(Dossiers!$D$21),Dossiers!$A$21&amp;" · "&amp;Dossiers!$B$21,"")</f>
        <v/>
      </c>
      <c r="B975" s="18">
        <f>IF($A975="","",Paramètres!G57)</f>
        <v/>
      </c>
      <c r="C975" s="18">
        <f>IF($A975="","",IF(Paramètres!H57="","",Paramètres!H57))</f>
        <v/>
      </c>
      <c r="D975" s="18">
        <f>IF($A975="","",IF(Paramètres!I57="","",Paramètres!I57))</f>
        <v/>
      </c>
      <c r="E975" s="19">
        <f>IF($A975="","",IF(Paramètres!J57&amp;Paramètres!L57&amp;Paramètres!N57="",Dossiers!$D$21,MAX(IF(Paramètres!J57="",0,IF(Paramètres!K57="",NA(),IF(LEFT(TRIM(Paramètres!K57),1)="F",INDEX($F$923:$F$975,MATCH(Paramètres!J57,Paramètres!$G$5:$G$57,0)),INDEX($E$923:$E$975,MATCH(Paramètres!J57,Paramètres!$G$5:$G$57,0)))+IF(RIGHT(TRIM(Paramètres!K57),3)="Fin",1-$H975,IF(LEFT(TRIM(Paramètres!K57),1)="F",1,0)))),IF(Paramètres!L57="",0,IF(Paramètres!M57="",NA(),IF(LEFT(TRIM(Paramètres!M57),1)="F",INDEX($F$923:$F$975,MATCH(Paramètres!L57,Paramètres!$G$5:$G$57,0)),INDEX($E$923:$E$975,MATCH(Paramètres!L57,Paramètres!$G$5:$G$57,0)))+IF(RIGHT(TRIM(Paramètres!M57),3)="Fin",1-$H975,IF(LEFT(TRIM(Paramètres!M57),1)="F",1,0)))),IF(Paramètres!N57="",0,IF(Paramètres!O57="",NA(),IF(LEFT(TRIM(Paramètres!O57),1)="F",INDEX($F$923:$F$975,MATCH(Paramètres!N57,Paramètres!$G$5:$G$57,0)),INDEX($E$923:$E$975,MATCH(Paramètres!N57,Paramètres!$G$5:$G$57,0)))+IF(RIGHT(TRIM(Paramètres!O57),3)="Fin",1-$H975,IF(LEFT(TRIM(Paramètres!O57),1)="F",1,0)))))))</f>
        <v/>
      </c>
      <c r="F975" s="19">
        <f>IF($A975="","",E975+$H975-1)</f>
        <v/>
      </c>
      <c r="G975" s="18" t="n"/>
      <c r="H975" s="18">
        <f>IF($A975="","",IF(I975&lt;&gt;"",I975,Paramètres!B57))</f>
        <v/>
      </c>
      <c r="I975" s="18" t="n"/>
    </row>
    <row r="976">
      <c r="A976" s="16">
        <f>IF(ISNUMBER(Dossiers!$D$22),Dossiers!$E$22,"")</f>
        <v/>
      </c>
      <c r="B976" s="16">
        <f>IF($A976="","","Identifiant")</f>
        <v/>
      </c>
      <c r="C976" s="16">
        <f>IF($A976="","","Macro Etape")</f>
        <v/>
      </c>
      <c r="D976" s="16">
        <f>IF($A976="","","Etape")</f>
        <v/>
      </c>
      <c r="E976" s="17">
        <f>IF($A976="","","Début le")</f>
        <v/>
      </c>
      <c r="F976" s="17">
        <f>IF($A976="","","Fin prévue le")</f>
        <v/>
      </c>
      <c r="G976" s="16">
        <f>IF($A976="","","Statut")</f>
        <v/>
      </c>
      <c r="H976" s="16">
        <f>IF($A976="","","Durée (jours)")</f>
        <v/>
      </c>
      <c r="I976" s="16">
        <f>IF($A976="","","Durée particulière")</f>
        <v/>
      </c>
      <c r="J976" s="10">
        <f>IF($A976="","",HYPERLINK("#'Tableau de bord'!A1","↑ Tableau de bord"))</f>
        <v/>
      </c>
    </row>
    <row r="977">
      <c r="A977" s="18">
        <f>IF(ISNUMBER(Dossiers!$D$22),Dossiers!$A$22&amp;" · "&amp;Dossiers!$B$22,"")</f>
        <v/>
      </c>
      <c r="B977" s="18">
        <f>IF($A977="","",Paramètres!G5)</f>
        <v/>
      </c>
      <c r="C977" s="18">
        <f>IF($A977="","",IF(Paramètres!H5="","",Paramètres!H5))</f>
        <v/>
      </c>
      <c r="D977" s="18">
        <f>IF($A977="","",IF(Paramètres!I5="","",Paramètres!I5))</f>
        <v/>
      </c>
      <c r="E977" s="19">
        <f>IF($A977="","",MIN(E978:E981))</f>
        <v/>
      </c>
      <c r="F977" s="19">
        <f>IF($A977="","",MAX(F978:F981))</f>
        <v/>
      </c>
      <c r="G977" s="18" t="n"/>
      <c r="H977" s="18">
        <f>IF($A977="","",F977-E977+1)</f>
        <v/>
      </c>
      <c r="I977" s="18" t="n"/>
    </row>
    <row r="978">
      <c r="A978" s="18">
        <f>IF(ISNUMBER(Dossiers!$D$22),Dossiers!$A$22&amp;" · "&amp;Dossiers!$B$22,"")</f>
        <v/>
      </c>
      <c r="B978" s="18">
        <f>IF($A978="","",Paramètres!G6)</f>
        <v/>
      </c>
      <c r="C978" s="18">
        <f>IF($A978="","",IF(Paramètres!H6="","",Paramètres!H6))</f>
        <v/>
      </c>
      <c r="D978" s="18">
        <f>IF($A978="","",IF(Paramètres!I6="","",Paramètres!I6))</f>
        <v/>
      </c>
      <c r="E978" s="19">
        <f>IF($A978="","",IF(Paramètres!J6&amp;Paramètres!L6&amp;Paramètres!N6="",Dossiers!$D$22,MAX(IF(Paramètres!J6="",0,IF(Paramètres!K6="",NA(),IF(LEFT(TRIM(Paramètres!K6),1)="F",INDEX($F$977:$F$1029,MATCH(Paramètres!J6,Paramètres!$G$5:$G$57,0)),INDEX($E$977:$E$1029,MATCH(Paramètres!J6,Paramètres!$G$5:$G$57,0)))+IF(RIGHT(TRIM(Paramètres!K6),3)="Fin",1-$H978,IF(LEFT(TRIM(Paramètres!K6),1)="F",1,0)))),IF(Paramètres!L6="",0,IF(Paramètres!M6="",NA(),IF(LEFT(TRIM(Paramètres!M6),1)="F",INDEX($F$977:$F$1029,MATCH(Paramètres!L6,Paramètres!$G$5:$G$57,0)),INDEX($E$977:$E$1029,MATCH(Paramètres!L6,Paramètres!$G$5:$G$57,0)))+IF(RIGHT(TRIM(Paramètres!M6),3)="Fin",1-$H978,IF(LEFT(TRIM(Paramètres!M6),1)="F",1,0)))),IF(Paramètres!N6="",0,IF(Paramètres!O6="",NA(),IF(LEFT(TRIM(Paramètres!O6),1)="F",INDEX($F$977:$F$1029,MATCH(Paramètres!N6,Paramètres!$G$5:$G$57,0)),INDEX($E$977:$E$1029,MATCH(Paramètres!N6,Paramètres!$G$5:$G$57,0)))+IF(RIGHT(TRIM(Paramètres!O6),3)="Fin",1-$H978,IF(LEFT(TRIM(Paramètres!O6),1)="F",1,0)))))))</f>
        <v/>
      </c>
      <c r="F978" s="19">
        <f>IF($A978="","",E978+$H978-1)</f>
        <v/>
      </c>
      <c r="G978" s="18" t="n"/>
      <c r="H978" s="18">
        <f>IF($A978="","",IF(I978&lt;&gt;"",I978,Paramètres!B6))</f>
        <v/>
      </c>
      <c r="I978" s="18" t="n"/>
    </row>
    <row r="979">
      <c r="A979" s="18">
        <f>IF(ISNUMBER(Dossiers!$D$22),Dossiers!$A$22&amp;" · "&amp;Dossiers!$B$22,"")</f>
        <v/>
      </c>
      <c r="B979" s="18">
        <f>IF($A979="","",Paramètres!G7)</f>
        <v/>
      </c>
      <c r="C979" s="18">
        <f>IF($A979="","",IF(Paramètres!H7="","",Paramètres!H7))</f>
        <v/>
      </c>
      <c r="D979" s="18">
        <f>IF($A979="","",IF(Paramètres!I7="","",Paramètres!I7))</f>
        <v/>
      </c>
      <c r="E979" s="19">
        <f>IF($A979="","",IF(Paramètres!J7&amp;Paramètres!L7&amp;Paramètres!N7="",Dossiers!$D$22,MAX(IF(Paramètres!J7="",0,IF(Paramètres!K7="",NA(),IF(LEFT(TRIM(Paramètres!K7),1)="F",INDEX($F$977:$F$1029,MATCH(Paramètres!J7,Paramètres!$G$5:$G$57,0)),INDEX($E$977:$E$1029,MATCH(Paramètres!J7,Paramètres!$G$5:$G$57,0)))+IF(RIGHT(TRIM(Paramètres!K7),3)="Fin",1-$H979,IF(LEFT(TRIM(Paramètres!K7),1)="F",1,0)))),IF(Paramètres!L7="",0,IF(Paramètres!M7="",NA(),IF(LEFT(TRIM(Paramètres!M7),1)="F",INDEX($F$977:$F$1029,MATCH(Paramètres!L7,Paramètres!$G$5:$G$57,0)),INDEX($E$977:$E$1029,MATCH(Paramètres!L7,Paramètres!$G$5:$G$57,0)))+IF(RIGHT(TRIM(Paramètres!M7),3)="Fin",1-$H979,IF(LEFT(TRIM(Paramètres!M7),1)="F",1,0)))),IF(Paramètres!N7="",0,IF(Paramètres!O7="",NA(),IF(LEFT(TRIM(Paramètres!O7),1)="F",INDEX($F$977:$F$1029,MATCH(Paramètres!N7,Paramètres!$G$5:$G$57,0)),INDEX($E$977:$E$1029,MATCH(Paramètres!N7,Paramètres!$G$5:$G$57,0)))+IF(RIGHT(TRIM(Paramètres!O7),3)="Fin",1-$H979,IF(LEFT(TRIM(Paramètres!O7),1)="F",1,0)))))))</f>
        <v/>
      </c>
      <c r="F979" s="19">
        <f>IF($A979="","",E979+$H979-1)</f>
        <v/>
      </c>
      <c r="G979" s="18" t="n"/>
      <c r="H979" s="18">
        <f>IF($A979="","",IF(I979&lt;&gt;"",I979,Paramètres!B7))</f>
        <v/>
      </c>
      <c r="I979" s="18" t="n"/>
    </row>
    <row r="980">
      <c r="A980" s="18">
        <f>IF(ISNUMBER(Dossiers!$D$22),Dossiers!$A$22&amp;" · "&amp;Dossiers!$B$22,"")</f>
        <v/>
      </c>
      <c r="B980" s="18">
        <f>IF($A980="","",Paramètres!G8)</f>
        <v/>
      </c>
      <c r="C980" s="18">
        <f>IF($A980="","",IF(Paramètres!H8="","",Paramètres!H8))</f>
        <v/>
      </c>
      <c r="D980" s="18">
        <f>IF($A980="","",IF(Paramètres!I8="","",Paramètres!I8))</f>
        <v/>
      </c>
      <c r="E980" s="19">
        <f>IF($A980="","",IF(Paramètres!J8&amp;Paramètres!L8&amp;Paramètres!N8="",Dossiers!$D$22,MAX(IF(Paramètres!J8="",0,IF(Paramètres!K8="",NA(),IF(LEFT(TRIM(Paramètres!K8),1)="F",INDEX($F$977:$F$1029,MATCH(Paramètres!J8,Paramètres!$G$5:$G$57,0)),INDEX($E$977:$E$1029,MATCH(Paramètres!J8,Paramètres!$G$5:$G$57,0)))+IF(RIGHT(TRIM(Paramètres!K8),3)="Fin",1-$H980,IF(LEFT(TRIM(Paramètres!K8),1)="F",1,0)))),IF(Paramètres!L8="",0,IF(Paramètres!M8="",NA(),IF(LEFT(TRIM(Paramètres!M8),1)="F",INDEX($F$977:$F$1029,MATCH(Paramètres!L8,Paramètres!$G$5:$G$57,0)),INDEX($E$977:$E$1029,MATCH(Paramètres!L8,Paramètres!$G$5:$G$57,0)))+IF(RIGHT(TRIM(Paramètres!M8),3)="Fin",1-$H980,IF(LEFT(TRIM(Paramètres!M8),1)="F",1,0)))),IF(Paramètres!N8="",0,IF(Paramètres!O8="",NA(),IF(LEFT(TRIM(Paramètres!O8),1)="F",INDEX($F$977:$F$1029,MATCH(Paramètres!N8,Paramètres!$G$5:$G$57,0)),INDEX($E$977:$E$1029,MATCH(Paramètres!N8,Paramètres!$G$5:$G$57,0)))+IF(RIGHT(TRIM(Paramètres!O8),3)="Fin",1-$H980,IF(LEFT(TRIM(Paramètres!O8),1)="F",1,0)))))))</f>
        <v/>
      </c>
      <c r="F980" s="19">
        <f>IF($A980="","",E980+$H980-1)</f>
        <v/>
      </c>
      <c r="G980" s="18" t="n"/>
      <c r="H980" s="18">
        <f>IF($A980="","",IF(I980&lt;&gt;"",I980,Paramètres!B8))</f>
        <v/>
      </c>
      <c r="I980" s="18" t="n"/>
    </row>
    <row r="981">
      <c r="A981" s="18">
        <f>IF(ISNUMBER(Dossiers!$D$22),Dossiers!$A$22&amp;" · "&amp;Dossiers!$B$22,"")</f>
        <v/>
      </c>
      <c r="B981" s="18">
        <f>IF($A981="","",Paramètres!G9)</f>
        <v/>
      </c>
      <c r="C981" s="18">
        <f>IF($A981="","",IF(Paramètres!H9="","",Paramètres!H9))</f>
        <v/>
      </c>
      <c r="D981" s="18">
        <f>IF($A981="","",IF(Paramètres!I9="","",Paramètres!I9))</f>
        <v/>
      </c>
      <c r="E981" s="19">
        <f>IF($A981="","",IF(Paramètres!J9&amp;Paramètres!L9&amp;Paramètres!N9="",Dossiers!$D$22,MAX(IF(Paramètres!J9="",0,IF(Paramètres!K9="",NA(),IF(LEFT(TRIM(Paramètres!K9),1)="F",INDEX($F$977:$F$1029,MATCH(Paramètres!J9,Paramètres!$G$5:$G$57,0)),INDEX($E$977:$E$1029,MATCH(Paramètres!J9,Paramètres!$G$5:$G$57,0)))+IF(RIGHT(TRIM(Paramètres!K9),3)="Fin",1-$H981,IF(LEFT(TRIM(Paramètres!K9),1)="F",1,0)))),IF(Paramètres!L9="",0,IF(Paramètres!M9="",NA(),IF(LEFT(TRIM(Paramètres!M9),1)="F",INDEX($F$977:$F$1029,MATCH(Paramètres!L9,Paramètres!$G$5:$G$57,0)),INDEX($E$977:$E$1029,MATCH(Paramètres!L9,Paramètres!$G$5:$G$57,0)))+IF(RIGHT(TRIM(Paramètres!M9),3)="Fin",1-$H981,IF(LEFT(TRIM(Paramètres!M9),1)="F",1,0)))),IF(Paramètres!N9="",0,IF(Paramètres!O9="",NA(),IF(LEFT(TRIM(Paramètres!O9),1)="F",INDEX($F$977:$F$1029,MATCH(Paramètres!N9,Paramètres!$G$5:$G$57,0)),INDEX($E$977:$E$1029,MATCH(Paramètres!N9,Paramètres!$G$5:$G$57,0)))+IF(RIGHT(TRIM(Paramètres!O9),3)="Fin",1-$H981,IF(LEFT(TRIM(Paramètres!O9),1)="F",1,0)))))))</f>
        <v/>
      </c>
      <c r="F981" s="19">
        <f>IF($A981="","",E981+$H981-1)</f>
        <v/>
      </c>
      <c r="G981" s="18" t="n"/>
      <c r="H981" s="18">
        <f>IF($A981="","",IF(I981&lt;&gt;"",I981,Paramètres!B9))</f>
        <v/>
      </c>
      <c r="I981" s="18" t="n"/>
    </row>
    <row r="982">
      <c r="A982" s="18">
        <f>IF(ISNUMBER(Dossiers!$D$22),Dossiers!$A$22&amp;" · "&amp;Dossiers!$B$22,"")</f>
        <v/>
      </c>
      <c r="B982" s="18">
        <f>IF($A982="","",Paramètres!G10)</f>
        <v/>
      </c>
      <c r="C982" s="18">
        <f>IF($A982="","",IF(Paramètres!H10="","",Paramètres!H10))</f>
        <v/>
      </c>
      <c r="D982" s="18">
        <f>IF($A982="","",IF(Paramètres!I10="","",Paramètres!I10))</f>
        <v/>
      </c>
      <c r="E982" s="19">
        <f>IF($A982="","",MIN(E983:E986))</f>
        <v/>
      </c>
      <c r="F982" s="19">
        <f>IF($A982="","",MAX(F983:F986))</f>
        <v/>
      </c>
      <c r="G982" s="18" t="n"/>
      <c r="H982" s="18">
        <f>IF($A982="","",F982-E982+1)</f>
        <v/>
      </c>
      <c r="I982" s="18" t="n"/>
    </row>
    <row r="983">
      <c r="A983" s="18">
        <f>IF(ISNUMBER(Dossiers!$D$22),Dossiers!$A$22&amp;" · "&amp;Dossiers!$B$22,"")</f>
        <v/>
      </c>
      <c r="B983" s="18">
        <f>IF($A983="","",Paramètres!G11)</f>
        <v/>
      </c>
      <c r="C983" s="18">
        <f>IF($A983="","",IF(Paramètres!H11="","",Paramètres!H11))</f>
        <v/>
      </c>
      <c r="D983" s="18">
        <f>IF($A983="","",IF(Paramètres!I11="","",Paramètres!I11))</f>
        <v/>
      </c>
      <c r="E983" s="19">
        <f>IF($A983="","",IF(Paramètres!J11&amp;Paramètres!L11&amp;Paramètres!N11="",Dossiers!$D$22,MAX(IF(Paramètres!J11="",0,IF(Paramètres!K11="",NA(),IF(LEFT(TRIM(Paramètres!K11),1)="F",INDEX($F$977:$F$1029,MATCH(Paramètres!J11,Paramètres!$G$5:$G$57,0)),INDEX($E$977:$E$1029,MATCH(Paramètres!J11,Paramètres!$G$5:$G$57,0)))+IF(RIGHT(TRIM(Paramètres!K11),3)="Fin",1-$H983,IF(LEFT(TRIM(Paramètres!K11),1)="F",1,0)))),IF(Paramètres!L11="",0,IF(Paramètres!M11="",NA(),IF(LEFT(TRIM(Paramètres!M11),1)="F",INDEX($F$977:$F$1029,MATCH(Paramètres!L11,Paramètres!$G$5:$G$57,0)),INDEX($E$977:$E$1029,MATCH(Paramètres!L11,Paramètres!$G$5:$G$57,0)))+IF(RIGHT(TRIM(Paramètres!M11),3)="Fin",1-$H983,IF(LEFT(TRIM(Paramètres!M11),1)="F",1,0)))),IF(Paramètres!N11="",0,IF(Paramètres!O11="",NA(),IF(LEFT(TRIM(Paramètres!O11),1)="F",INDEX($F$977:$F$1029,MATCH(Paramètres!N11,Paramètres!$G$5:$G$57,0)),INDEX($E$977:$E$1029,MATCH(Paramètres!N11,Paramètres!$G$5:$G$57,0)))+IF(RIGHT(TRIM(Paramètres!O11),3)="Fin",1-$H983,IF(LEFT(TRIM(Paramètres!O11),1)="F",1,0)))))))</f>
        <v/>
      </c>
      <c r="F983" s="19">
        <f>IF($A983="","",E983+$H983-1)</f>
        <v/>
      </c>
      <c r="G983" s="18" t="n"/>
      <c r="H983" s="18">
        <f>IF($A983="","",IF(I983&lt;&gt;"",I983,Paramètres!B11))</f>
        <v/>
      </c>
      <c r="I983" s="18" t="n"/>
    </row>
    <row r="984">
      <c r="A984" s="18">
        <f>IF(ISNUMBER(Dossiers!$D$22),Dossiers!$A$22&amp;" · "&amp;Dossiers!$B$22,"")</f>
        <v/>
      </c>
      <c r="B984" s="18">
        <f>IF($A984="","",Paramètres!G12)</f>
        <v/>
      </c>
      <c r="C984" s="18">
        <f>IF($A984="","",IF(Paramètres!H12="","",Paramètres!H12))</f>
        <v/>
      </c>
      <c r="D984" s="18">
        <f>IF($A984="","",IF(Paramètres!I12="","",Paramètres!I12))</f>
        <v/>
      </c>
      <c r="E984" s="19">
        <f>IF($A984="","",IF(Paramètres!J12&amp;Paramètres!L12&amp;Paramètres!N12="",Dossiers!$D$22,MAX(IF(Paramètres!J12="",0,IF(Paramètres!K12="",NA(),IF(LEFT(TRIM(Paramètres!K12),1)="F",INDEX($F$977:$F$1029,MATCH(Paramètres!J12,Paramètres!$G$5:$G$57,0)),INDEX($E$977:$E$1029,MATCH(Paramètres!J12,Paramètres!$G$5:$G$57,0)))+IF(RIGHT(TRIM(Paramètres!K12),3)="Fin",1-$H984,IF(LEFT(TRIM(Paramètres!K12),1)="F",1,0)))),IF(Paramètres!L12="",0,IF(Paramètres!M12="",NA(),IF(LEFT(TRIM(Paramètres!M12),1)="F",INDEX($F$977:$F$1029,MATCH(Paramètres!L12,Paramètres!$G$5:$G$57,0)),INDEX($E$977:$E$1029,MATCH(Paramètres!L12,Paramètres!$G$5:$G$57,0)))+IF(RIGHT(TRIM(Paramètres!M12),3)="Fin",1-$H984,IF(LEFT(TRIM(Paramètres!M12),1)="F",1,0)))),IF(Paramètres!N12="",0,IF(Paramètres!O12="",NA(),IF(LEFT(TRIM(Paramètres!O12),1)="F",INDEX($F$977:$F$1029,MATCH(Paramètres!N12,Paramètres!$G$5:$G$57,0)),INDEX($E$977:$E$1029,MATCH(Paramètres!N12,Paramètres!$G$5:$G$57,0)))+IF(RIGHT(TRIM(Paramètres!O12),3)="Fin",1-$H984,IF(LEFT(TRIM(Paramètres!O12),1)="F",1,0)))))))</f>
        <v/>
      </c>
      <c r="F984" s="19">
        <f>IF($A984="","",E984+$H984-1)</f>
        <v/>
      </c>
      <c r="G984" s="18" t="n"/>
      <c r="H984" s="18">
        <f>IF($A984="","",IF(I984&lt;&gt;"",I984,Paramètres!B12))</f>
        <v/>
      </c>
      <c r="I984" s="18" t="n"/>
    </row>
    <row r="985">
      <c r="A985" s="18">
        <f>IF(ISNUMBER(Dossiers!$D$22),Dossiers!$A$22&amp;" · "&amp;Dossiers!$B$22,"")</f>
        <v/>
      </c>
      <c r="B985" s="18">
        <f>IF($A985="","",Paramètres!G13)</f>
        <v/>
      </c>
      <c r="C985" s="18">
        <f>IF($A985="","",IF(Paramètres!H13="","",Paramètres!H13))</f>
        <v/>
      </c>
      <c r="D985" s="18">
        <f>IF($A985="","",IF(Paramètres!I13="","",Paramètres!I13))</f>
        <v/>
      </c>
      <c r="E985" s="19">
        <f>IF($A985="","",IF(Paramètres!J13&amp;Paramètres!L13&amp;Paramètres!N13="",Dossiers!$D$22,MAX(IF(Paramètres!J13="",0,IF(Paramètres!K13="",NA(),IF(LEFT(TRIM(Paramètres!K13),1)="F",INDEX($F$977:$F$1029,MATCH(Paramètres!J13,Paramètres!$G$5:$G$57,0)),INDEX($E$977:$E$1029,MATCH(Paramètres!J13,Paramètres!$G$5:$G$57,0)))+IF(RIGHT(TRIM(Paramètres!K13),3)="Fin",1-$H985,IF(LEFT(TRIM(Paramètres!K13),1)="F",1,0)))),IF(Paramètres!L13="",0,IF(Paramètres!M13="",NA(),IF(LEFT(TRIM(Paramètres!M13),1)="F",INDEX($F$977:$F$1029,MATCH(Paramètres!L13,Paramètres!$G$5:$G$57,0)),INDEX($E$977:$E$1029,MATCH(Paramètres!L13,Paramètres!$G$5:$G$57,0)))+IF(RIGHT(TRIM(Paramètres!M13),3)="Fin",1-$H985,IF(LEFT(TRIM(Paramètres!M13),1)="F",1,0)))),IF(Paramètres!N13="",0,IF(Paramètres!O13="",NA(),IF(LEFT(TRIM(Paramètres!O13),1)="F",INDEX($F$977:$F$1029,MATCH(Paramètres!N13,Paramètres!$G$5:$G$57,0)),INDEX($E$977:$E$1029,MATCH(Paramètres!N13,Paramètres!$G$5:$G$57,0)))+IF(RIGHT(TRIM(Paramètres!O13),3)="Fin",1-$H985,IF(LEFT(TRIM(Paramètres!O13),1)="F",1,0)))))))</f>
        <v/>
      </c>
      <c r="F985" s="19">
        <f>IF($A985="","",E985+$H985-1)</f>
        <v/>
      </c>
      <c r="G985" s="18" t="n"/>
      <c r="H985" s="18">
        <f>IF($A985="","",IF(I985&lt;&gt;"",I985,Paramètres!B13))</f>
        <v/>
      </c>
      <c r="I985" s="18" t="n"/>
    </row>
    <row r="986">
      <c r="A986" s="18">
        <f>IF(ISNUMBER(Dossiers!$D$22),Dossiers!$A$22&amp;" · "&amp;Dossiers!$B$22,"")</f>
        <v/>
      </c>
      <c r="B986" s="18">
        <f>IF($A986="","",Paramètres!G14)</f>
        <v/>
      </c>
      <c r="C986" s="18">
        <f>IF($A986="","",IF(Paramètres!H14="","",Paramètres!H14))</f>
        <v/>
      </c>
      <c r="D986" s="18">
        <f>IF($A986="","",IF(Paramètres!I14="","",Paramètres!I14))</f>
        <v/>
      </c>
      <c r="E986" s="19">
        <f>IF($A986="","",IF(Paramètres!J14&amp;Paramètres!L14&amp;Paramètres!N14="",Dossiers!$D$22,MAX(IF(Paramètres!J14="",0,IF(Paramètres!K14="",NA(),IF(LEFT(TRIM(Paramètres!K14),1)="F",INDEX($F$977:$F$1029,MATCH(Paramètres!J14,Paramètres!$G$5:$G$57,0)),INDEX($E$977:$E$1029,MATCH(Paramètres!J14,Paramètres!$G$5:$G$57,0)))+IF(RIGHT(TRIM(Paramètres!K14),3)="Fin",1-$H986,IF(LEFT(TRIM(Paramètres!K14),1)="F",1,0)))),IF(Paramètres!L14="",0,IF(Paramètres!M14="",NA(),IF(LEFT(TRIM(Paramètres!M14),1)="F",INDEX($F$977:$F$1029,MATCH(Paramètres!L14,Paramètres!$G$5:$G$57,0)),INDEX($E$977:$E$1029,MATCH(Paramètres!L14,Paramètres!$G$5:$G$57,0)))+IF(RIGHT(TRIM(Paramètres!M14),3)="Fin",1-$H986,IF(LEFT(TRIM(Paramètres!M14),1)="F",1,0)))),IF(Paramètres!N14="",0,IF(Paramètres!O14="",NA(),IF(LEFT(TRIM(Paramètres!O14),1)="F",INDEX($F$977:$F$1029,MATCH(Paramètres!N14,Paramètres!$G$5:$G$57,0)),INDEX($E$977:$E$1029,MATCH(Paramètres!N14,Paramètres!$G$5:$G$57,0)))+IF(RIGHT(TRIM(Paramètres!O14),3)="Fin",1-$H986,IF(LEFT(TRIM(Paramètres!O14),1)="F",1,0)))))))</f>
        <v/>
      </c>
      <c r="F986" s="19">
        <f>IF($A986="","",E986+$H986-1)</f>
        <v/>
      </c>
      <c r="G986" s="18" t="n"/>
      <c r="H986" s="18">
        <f>IF($A986="","",IF(I986&lt;&gt;"",I986,Paramètres!B14))</f>
        <v/>
      </c>
      <c r="I986" s="18" t="n"/>
    </row>
    <row r="987">
      <c r="A987" s="18">
        <f>IF(ISNUMBER(Dossiers!$D$22),Dossiers!$A$22&amp;" · "&amp;Dossiers!$B$22,"")</f>
        <v/>
      </c>
      <c r="B987" s="18">
        <f>IF($A987="","",Paramètres!G15)</f>
        <v/>
      </c>
      <c r="C987" s="18">
        <f>IF($A987="","",IF(Paramètres!H15="","",Paramètres!H15))</f>
        <v/>
      </c>
      <c r="D987" s="18">
        <f>IF($A987="","",IF(Paramètres!I15="","",Paramètres!I15))</f>
        <v/>
      </c>
      <c r="E987" s="19">
        <f>IF($A987="","",MIN(E988:E1003))</f>
        <v/>
      </c>
      <c r="F987" s="19">
        <f>IF($A987="","",MAX(F988:F1003))</f>
        <v/>
      </c>
      <c r="G987" s="18" t="n"/>
      <c r="H987" s="18">
        <f>IF($A987="","",F987-E987+1)</f>
        <v/>
      </c>
      <c r="I987" s="18" t="n"/>
    </row>
    <row r="988">
      <c r="A988" s="18">
        <f>IF(ISNUMBER(Dossiers!$D$22),Dossiers!$A$22&amp;" · "&amp;Dossiers!$B$22,"")</f>
        <v/>
      </c>
      <c r="B988" s="18">
        <f>IF($A988="","",Paramètres!G16)</f>
        <v/>
      </c>
      <c r="C988" s="18">
        <f>IF($A988="","",IF(Paramètres!H16="","",Paramètres!H16))</f>
        <v/>
      </c>
      <c r="D988" s="18">
        <f>IF($A988="","",IF(Paramètres!I16="","",Paramètres!I16))</f>
        <v/>
      </c>
      <c r="E988" s="19">
        <f>IF($A988="","",IF(Paramètres!J16&amp;Paramètres!L16&amp;Paramètres!N16="",Dossiers!$D$22,MAX(IF(Paramètres!J16="",0,IF(Paramètres!K16="",NA(),IF(LEFT(TRIM(Paramètres!K16),1)="F",INDEX($F$977:$F$1029,MATCH(Paramètres!J16,Paramètres!$G$5:$G$57,0)),INDEX($E$977:$E$1029,MATCH(Paramètres!J16,Paramètres!$G$5:$G$57,0)))+IF(RIGHT(TRIM(Paramètres!K16),3)="Fin",1-$H988,IF(LEFT(TRIM(Paramètres!K16),1)="F",1,0)))),IF(Paramètres!L16="",0,IF(Paramètres!M16="",NA(),IF(LEFT(TRIM(Paramètres!M16),1)="F",INDEX($F$977:$F$1029,MATCH(Paramètres!L16,Paramètres!$G$5:$G$57,0)),INDEX($E$977:$E$1029,MATCH(Paramètres!L16,Paramètres!$G$5:$G$57,0)))+IF(RIGHT(TRIM(Paramètres!M16),3)="Fin",1-$H988,IF(LEFT(TRIM(Paramètres!M16),1)="F",1,0)))),IF(Paramètres!N16="",0,IF(Paramètres!O16="",NA(),IF(LEFT(TRIM(Paramètres!O16),1)="F",INDEX($F$977:$F$1029,MATCH(Paramètres!N16,Paramètres!$G$5:$G$57,0)),INDEX($E$977:$E$1029,MATCH(Paramètres!N16,Paramètres!$G$5:$G$57,0)))+IF(RIGHT(TRIM(Paramètres!O16),3)="Fin",1-$H988,IF(LEFT(TRIM(Paramètres!O16),1)="F",1,0)))))))</f>
        <v/>
      </c>
      <c r="F988" s="19">
        <f>IF($A988="","",E988+$H988-1)</f>
        <v/>
      </c>
      <c r="G988" s="18" t="n"/>
      <c r="H988" s="18">
        <f>IF($A988="","",IF(I988&lt;&gt;"",I988,Paramètres!B16))</f>
        <v/>
      </c>
      <c r="I988" s="18" t="n"/>
    </row>
    <row r="989">
      <c r="A989" s="18">
        <f>IF(ISNUMBER(Dossiers!$D$22),Dossiers!$A$22&amp;" · "&amp;Dossiers!$B$22,"")</f>
        <v/>
      </c>
      <c r="B989" s="18">
        <f>IF($A989="","",Paramètres!G17)</f>
        <v/>
      </c>
      <c r="C989" s="18">
        <f>IF($A989="","",IF(Paramètres!H17="","",Paramètres!H17))</f>
        <v/>
      </c>
      <c r="D989" s="18">
        <f>IF($A989="","",IF(Paramètres!I17="","",Paramètres!I17))</f>
        <v/>
      </c>
      <c r="E989" s="19">
        <f>IF($A989="","",IF(Paramètres!J17&amp;Paramètres!L17&amp;Paramètres!N17="",Dossiers!$D$22,MAX(IF(Paramètres!J17="",0,IF(Paramètres!K17="",NA(),IF(LEFT(TRIM(Paramètres!K17),1)="F",INDEX($F$977:$F$1029,MATCH(Paramètres!J17,Paramètres!$G$5:$G$57,0)),INDEX($E$977:$E$1029,MATCH(Paramètres!J17,Paramètres!$G$5:$G$57,0)))+IF(RIGHT(TRIM(Paramètres!K17),3)="Fin",1-$H989,IF(LEFT(TRIM(Paramètres!K17),1)="F",1,0)))),IF(Paramètres!L17="",0,IF(Paramètres!M17="",NA(),IF(LEFT(TRIM(Paramètres!M17),1)="F",INDEX($F$977:$F$1029,MATCH(Paramètres!L17,Paramètres!$G$5:$G$57,0)),INDEX($E$977:$E$1029,MATCH(Paramètres!L17,Paramètres!$G$5:$G$57,0)))+IF(RIGHT(TRIM(Paramètres!M17),3)="Fin",1-$H989,IF(LEFT(TRIM(Paramètres!M17),1)="F",1,0)))),IF(Paramètres!N17="",0,IF(Paramètres!O17="",NA(),IF(LEFT(TRIM(Paramètres!O17),1)="F",INDEX($F$977:$F$1029,MATCH(Paramètres!N17,Paramètres!$G$5:$G$57,0)),INDEX($E$977:$E$1029,MATCH(Paramètres!N17,Paramètres!$G$5:$G$57,0)))+IF(RIGHT(TRIM(Paramètres!O17),3)="Fin",1-$H989,IF(LEFT(TRIM(Paramètres!O17),1)="F",1,0)))))))</f>
        <v/>
      </c>
      <c r="F989" s="19">
        <f>IF($A989="","",E989+$H989-1)</f>
        <v/>
      </c>
      <c r="G989" s="18" t="n"/>
      <c r="H989" s="18">
        <f>IF($A989="","",IF(I989&lt;&gt;"",I989,Paramètres!B17))</f>
        <v/>
      </c>
      <c r="I989" s="18" t="n"/>
    </row>
    <row r="990">
      <c r="A990" s="18">
        <f>IF(ISNUMBER(Dossiers!$D$22),Dossiers!$A$22&amp;" · "&amp;Dossiers!$B$22,"")</f>
        <v/>
      </c>
      <c r="B990" s="18">
        <f>IF($A990="","",Paramètres!G18)</f>
        <v/>
      </c>
      <c r="C990" s="18">
        <f>IF($A990="","",IF(Paramètres!H18="","",Paramètres!H18))</f>
        <v/>
      </c>
      <c r="D990" s="18">
        <f>IF($A990="","",IF(Paramètres!I18="","",Paramètres!I18))</f>
        <v/>
      </c>
      <c r="E990" s="19">
        <f>IF($A990="","",IF(Paramètres!J18&amp;Paramètres!L18&amp;Paramètres!N18="",Dossiers!$D$22,MAX(IF(Paramètres!J18="",0,IF(Paramètres!K18="",NA(),IF(LEFT(TRIM(Paramètres!K18),1)="F",INDEX($F$977:$F$1029,MATCH(Paramètres!J18,Paramètres!$G$5:$G$57,0)),INDEX($E$977:$E$1029,MATCH(Paramètres!J18,Paramètres!$G$5:$G$57,0)))+IF(RIGHT(TRIM(Paramètres!K18),3)="Fin",1-$H990,IF(LEFT(TRIM(Paramètres!K18),1)="F",1,0)))),IF(Paramètres!L18="",0,IF(Paramètres!M18="",NA(),IF(LEFT(TRIM(Paramètres!M18),1)="F",INDEX($F$977:$F$1029,MATCH(Paramètres!L18,Paramètres!$G$5:$G$57,0)),INDEX($E$977:$E$1029,MATCH(Paramètres!L18,Paramètres!$G$5:$G$57,0)))+IF(RIGHT(TRIM(Paramètres!M18),3)="Fin",1-$H990,IF(LEFT(TRIM(Paramètres!M18),1)="F",1,0)))),IF(Paramètres!N18="",0,IF(Paramètres!O18="",NA(),IF(LEFT(TRIM(Paramètres!O18),1)="F",INDEX($F$977:$F$1029,MATCH(Paramètres!N18,Paramètres!$G$5:$G$57,0)),INDEX($E$977:$E$1029,MATCH(Paramètres!N18,Paramètres!$G$5:$G$57,0)))+IF(RIGHT(TRIM(Paramètres!O18),3)="Fin",1-$H990,IF(LEFT(TRIM(Paramètres!O18),1)="F",1,0)))))))</f>
        <v/>
      </c>
      <c r="F990" s="19">
        <f>IF($A990="","",E990+$H990-1)</f>
        <v/>
      </c>
      <c r="G990" s="18" t="n"/>
      <c r="H990" s="18">
        <f>IF($A990="","",IF(I990&lt;&gt;"",I990,Paramètres!B18))</f>
        <v/>
      </c>
      <c r="I990" s="18" t="n"/>
    </row>
    <row r="991">
      <c r="A991" s="18">
        <f>IF(ISNUMBER(Dossiers!$D$22),Dossiers!$A$22&amp;" · "&amp;Dossiers!$B$22,"")</f>
        <v/>
      </c>
      <c r="B991" s="18">
        <f>IF($A991="","",Paramètres!G19)</f>
        <v/>
      </c>
      <c r="C991" s="18">
        <f>IF($A991="","",IF(Paramètres!H19="","",Paramètres!H19))</f>
        <v/>
      </c>
      <c r="D991" s="18">
        <f>IF($A991="","",IF(Paramètres!I19="","",Paramètres!I19))</f>
        <v/>
      </c>
      <c r="E991" s="19">
        <f>IF($A991="","",IF(Paramètres!J19&amp;Paramètres!L19&amp;Paramètres!N19="",Dossiers!$D$22,MAX(IF(Paramètres!J19="",0,IF(Paramètres!K19="",NA(),IF(LEFT(TRIM(Paramètres!K19),1)="F",INDEX($F$977:$F$1029,MATCH(Paramètres!J19,Paramètres!$G$5:$G$57,0)),INDEX($E$977:$E$1029,MATCH(Paramètres!J19,Paramètres!$G$5:$G$57,0)))+IF(RIGHT(TRIM(Paramètres!K19),3)="Fin",1-$H991,IF(LEFT(TRIM(Paramètres!K19),1)="F",1,0)))),IF(Paramètres!L19="",0,IF(Paramètres!M19="",NA(),IF(LEFT(TRIM(Paramètres!M19),1)="F",INDEX($F$977:$F$1029,MATCH(Paramètres!L19,Paramètres!$G$5:$G$57,0)),INDEX($E$977:$E$1029,MATCH(Paramètres!L19,Paramètres!$G$5:$G$57,0)))+IF(RIGHT(TRIM(Paramètres!M19),3)="Fin",1-$H991,IF(LEFT(TRIM(Paramètres!M19),1)="F",1,0)))),IF(Paramètres!N19="",0,IF(Paramètres!O19="",NA(),IF(LEFT(TRIM(Paramètres!O19),1)="F",INDEX($F$977:$F$1029,MATCH(Paramètres!N19,Paramètres!$G$5:$G$57,0)),INDEX($E$977:$E$1029,MATCH(Paramètres!N19,Paramètres!$G$5:$G$57,0)))+IF(RIGHT(TRIM(Paramètres!O19),3)="Fin",1-$H991,IF(LEFT(TRIM(Paramètres!O19),1)="F",1,0)))))))</f>
        <v/>
      </c>
      <c r="F991" s="19">
        <f>IF($A991="","",E991+$H991-1)</f>
        <v/>
      </c>
      <c r="G991" s="18" t="n"/>
      <c r="H991" s="18">
        <f>IF($A991="","",IF(I991&lt;&gt;"",I991,Paramètres!B19))</f>
        <v/>
      </c>
      <c r="I991" s="18" t="n"/>
    </row>
    <row r="992">
      <c r="A992" s="18">
        <f>IF(ISNUMBER(Dossiers!$D$22),Dossiers!$A$22&amp;" · "&amp;Dossiers!$B$22,"")</f>
        <v/>
      </c>
      <c r="B992" s="18">
        <f>IF($A992="","",Paramètres!G20)</f>
        <v/>
      </c>
      <c r="C992" s="18">
        <f>IF($A992="","",IF(Paramètres!H20="","",Paramètres!H20))</f>
        <v/>
      </c>
      <c r="D992" s="18">
        <f>IF($A992="","",IF(Paramètres!I20="","",Paramètres!I20))</f>
        <v/>
      </c>
      <c r="E992" s="19">
        <f>IF($A992="","",IF(Paramètres!J20&amp;Paramètres!L20&amp;Paramètres!N20="",Dossiers!$D$22,MAX(IF(Paramètres!J20="",0,IF(Paramètres!K20="",NA(),IF(LEFT(TRIM(Paramètres!K20),1)="F",INDEX($F$977:$F$1029,MATCH(Paramètres!J20,Paramètres!$G$5:$G$57,0)),INDEX($E$977:$E$1029,MATCH(Paramètres!J20,Paramètres!$G$5:$G$57,0)))+IF(RIGHT(TRIM(Paramètres!K20),3)="Fin",1-$H992,IF(LEFT(TRIM(Paramètres!K20),1)="F",1,0)))),IF(Paramètres!L20="",0,IF(Paramètres!M20="",NA(),IF(LEFT(TRIM(Paramètres!M20),1)="F",INDEX($F$977:$F$1029,MATCH(Paramètres!L20,Paramètres!$G$5:$G$57,0)),INDEX($E$977:$E$1029,MATCH(Paramètres!L20,Paramètres!$G$5:$G$57,0)))+IF(RIGHT(TRIM(Paramètres!M20),3)="Fin",1-$H992,IF(LEFT(TRIM(Paramètres!M20),1)="F",1,0)))),IF(Paramètres!N20="",0,IF(Paramètres!O20="",NA(),IF(LEFT(TRIM(Paramètres!O20),1)="F",INDEX($F$977:$F$1029,MATCH(Paramètres!N20,Paramètres!$G$5:$G$57,0)),INDEX($E$977:$E$1029,MATCH(Paramètres!N20,Paramètres!$G$5:$G$57,0)))+IF(RIGHT(TRIM(Paramètres!O20),3)="Fin",1-$H992,IF(LEFT(TRIM(Paramètres!O20),1)="F",1,0)))))))</f>
        <v/>
      </c>
      <c r="F992" s="19">
        <f>IF($A992="","",E992+$H992-1)</f>
        <v/>
      </c>
      <c r="G992" s="18" t="n"/>
      <c r="H992" s="18">
        <f>IF($A992="","",IF(I992&lt;&gt;"",I992,Paramètres!B20))</f>
        <v/>
      </c>
      <c r="I992" s="18" t="n"/>
    </row>
    <row r="993">
      <c r="A993" s="18">
        <f>IF(ISNUMBER(Dossiers!$D$22),Dossiers!$A$22&amp;" · "&amp;Dossiers!$B$22,"")</f>
        <v/>
      </c>
      <c r="B993" s="18">
        <f>IF($A993="","",Paramètres!G21)</f>
        <v/>
      </c>
      <c r="C993" s="18">
        <f>IF($A993="","",IF(Paramètres!H21="","",Paramètres!H21))</f>
        <v/>
      </c>
      <c r="D993" s="18">
        <f>IF($A993="","",IF(Paramètres!I21="","",Paramètres!I21))</f>
        <v/>
      </c>
      <c r="E993" s="19">
        <f>IF($A993="","",IF(Paramètres!J21&amp;Paramètres!L21&amp;Paramètres!N21="",Dossiers!$D$22,MAX(IF(Paramètres!J21="",0,IF(Paramètres!K21="",NA(),IF(LEFT(TRIM(Paramètres!K21),1)="F",INDEX($F$977:$F$1029,MATCH(Paramètres!J21,Paramètres!$G$5:$G$57,0)),INDEX($E$977:$E$1029,MATCH(Paramètres!J21,Paramètres!$G$5:$G$57,0)))+IF(RIGHT(TRIM(Paramètres!K21),3)="Fin",1-$H993,IF(LEFT(TRIM(Paramètres!K21),1)="F",1,0)))),IF(Paramètres!L21="",0,IF(Paramètres!M21="",NA(),IF(LEFT(TRIM(Paramètres!M21),1)="F",INDEX($F$977:$F$1029,MATCH(Paramètres!L21,Paramètres!$G$5:$G$57,0)),INDEX($E$977:$E$1029,MATCH(Paramètres!L21,Paramètres!$G$5:$G$57,0)))+IF(RIGHT(TRIM(Paramètres!M21),3)="Fin",1-$H993,IF(LEFT(TRIM(Paramètres!M21),1)="F",1,0)))),IF(Paramètres!N21="",0,IF(Paramètres!O21="",NA(),IF(LEFT(TRIM(Paramètres!O21),1)="F",INDEX($F$977:$F$1029,MATCH(Paramètres!N21,Paramètres!$G$5:$G$57,0)),INDEX($E$977:$E$1029,MATCH(Paramètres!N21,Paramètres!$G$5:$G$57,0)))+IF(RIGHT(TRIM(Paramètres!O21),3)="Fin",1-$H993,IF(LEFT(TRIM(Paramètres!O21),1)="F",1,0)))))))</f>
        <v/>
      </c>
      <c r="F993" s="19">
        <f>IF($A993="","",E993+$H993-1)</f>
        <v/>
      </c>
      <c r="G993" s="18" t="n"/>
      <c r="H993" s="18">
        <f>IF($A993="","",IF(I993&lt;&gt;"",I993,Paramètres!B21))</f>
        <v/>
      </c>
      <c r="I993" s="18" t="n"/>
    </row>
    <row r="994">
      <c r="A994" s="18">
        <f>IF(ISNUMBER(Dossiers!$D$22),Dossiers!$A$22&amp;" · "&amp;Dossiers!$B$22,"")</f>
        <v/>
      </c>
      <c r="B994" s="18">
        <f>IF($A994="","",Paramètres!G22)</f>
        <v/>
      </c>
      <c r="C994" s="18">
        <f>IF($A994="","",IF(Paramètres!H22="","",Paramètres!H22))</f>
        <v/>
      </c>
      <c r="D994" s="18">
        <f>IF($A994="","",IF(Paramètres!I22="","",Paramètres!I22))</f>
        <v/>
      </c>
      <c r="E994" s="19">
        <f>IF($A994="","",IF(Paramètres!J22&amp;Paramètres!L22&amp;Paramètres!N22="",Dossiers!$D$22,MAX(IF(Paramètres!J22="",0,IF(Paramètres!K22="",NA(),IF(LEFT(TRIM(Paramètres!K22),1)="F",INDEX($F$977:$F$1029,MATCH(Paramètres!J22,Paramètres!$G$5:$G$57,0)),INDEX($E$977:$E$1029,MATCH(Paramètres!J22,Paramètres!$G$5:$G$57,0)))+IF(RIGHT(TRIM(Paramètres!K22),3)="Fin",1-$H994,IF(LEFT(TRIM(Paramètres!K22),1)="F",1,0)))),IF(Paramètres!L22="",0,IF(Paramètres!M22="",NA(),IF(LEFT(TRIM(Paramètres!M22),1)="F",INDEX($F$977:$F$1029,MATCH(Paramètres!L22,Paramètres!$G$5:$G$57,0)),INDEX($E$977:$E$1029,MATCH(Paramètres!L22,Paramètres!$G$5:$G$57,0)))+IF(RIGHT(TRIM(Paramètres!M22),3)="Fin",1-$H994,IF(LEFT(TRIM(Paramètres!M22),1)="F",1,0)))),IF(Paramètres!N22="",0,IF(Paramètres!O22="",NA(),IF(LEFT(TRIM(Paramètres!O22),1)="F",INDEX($F$977:$F$1029,MATCH(Paramètres!N22,Paramètres!$G$5:$G$57,0)),INDEX($E$977:$E$1029,MATCH(Paramètres!N22,Paramètres!$G$5:$G$57,0)))+IF(RIGHT(TRIM(Paramètres!O22),3)="Fin",1-$H994,IF(LEFT(TRIM(Paramètres!O22),1)="F",1,0)))))))</f>
        <v/>
      </c>
      <c r="F994" s="19">
        <f>IF($A994="","",E994+$H994-1)</f>
        <v/>
      </c>
      <c r="G994" s="18" t="n"/>
      <c r="H994" s="18">
        <f>IF($A994="","",IF(I994&lt;&gt;"",I994,Paramètres!B22))</f>
        <v/>
      </c>
      <c r="I994" s="18" t="n"/>
    </row>
    <row r="995">
      <c r="A995" s="18">
        <f>IF(ISNUMBER(Dossiers!$D$22),Dossiers!$A$22&amp;" · "&amp;Dossiers!$B$22,"")</f>
        <v/>
      </c>
      <c r="B995" s="18">
        <f>IF($A995="","",Paramètres!G23)</f>
        <v/>
      </c>
      <c r="C995" s="18">
        <f>IF($A995="","",IF(Paramètres!H23="","",Paramètres!H23))</f>
        <v/>
      </c>
      <c r="D995" s="18">
        <f>IF($A995="","",IF(Paramètres!I23="","",Paramètres!I23))</f>
        <v/>
      </c>
      <c r="E995" s="19">
        <f>IF($A995="","",IF(Paramètres!J23&amp;Paramètres!L23&amp;Paramètres!N23="",Dossiers!$D$22,MAX(IF(Paramètres!J23="",0,IF(Paramètres!K23="",NA(),IF(LEFT(TRIM(Paramètres!K23),1)="F",INDEX($F$977:$F$1029,MATCH(Paramètres!J23,Paramètres!$G$5:$G$57,0)),INDEX($E$977:$E$1029,MATCH(Paramètres!J23,Paramètres!$G$5:$G$57,0)))+IF(RIGHT(TRIM(Paramètres!K23),3)="Fin",1-$H995,IF(LEFT(TRIM(Paramètres!K23),1)="F",1,0)))),IF(Paramètres!L23="",0,IF(Paramètres!M23="",NA(),IF(LEFT(TRIM(Paramètres!M23),1)="F",INDEX($F$977:$F$1029,MATCH(Paramètres!L23,Paramètres!$G$5:$G$57,0)),INDEX($E$977:$E$1029,MATCH(Paramètres!L23,Paramètres!$G$5:$G$57,0)))+IF(RIGHT(TRIM(Paramètres!M23),3)="Fin",1-$H995,IF(LEFT(TRIM(Paramètres!M23),1)="F",1,0)))),IF(Paramètres!N23="",0,IF(Paramètres!O23="",NA(),IF(LEFT(TRIM(Paramètres!O23),1)="F",INDEX($F$977:$F$1029,MATCH(Paramètres!N23,Paramètres!$G$5:$G$57,0)),INDEX($E$977:$E$1029,MATCH(Paramètres!N23,Paramètres!$G$5:$G$57,0)))+IF(RIGHT(TRIM(Paramètres!O23),3)="Fin",1-$H995,IF(LEFT(TRIM(Paramètres!O23),1)="F",1,0)))))))</f>
        <v/>
      </c>
      <c r="F995" s="19">
        <f>IF($A995="","",E995+$H995-1)</f>
        <v/>
      </c>
      <c r="G995" s="18" t="n"/>
      <c r="H995" s="18">
        <f>IF($A995="","",IF(I995&lt;&gt;"",I995,Paramètres!B23))</f>
        <v/>
      </c>
      <c r="I995" s="18" t="n"/>
    </row>
    <row r="996">
      <c r="A996" s="18">
        <f>IF(ISNUMBER(Dossiers!$D$22),Dossiers!$A$22&amp;" · "&amp;Dossiers!$B$22,"")</f>
        <v/>
      </c>
      <c r="B996" s="18">
        <f>IF($A996="","",Paramètres!G24)</f>
        <v/>
      </c>
      <c r="C996" s="18">
        <f>IF($A996="","",IF(Paramètres!H24="","",Paramètres!H24))</f>
        <v/>
      </c>
      <c r="D996" s="18">
        <f>IF($A996="","",IF(Paramètres!I24="","",Paramètres!I24))</f>
        <v/>
      </c>
      <c r="E996" s="19">
        <f>IF($A996="","",IF(Paramètres!J24&amp;Paramètres!L24&amp;Paramètres!N24="",Dossiers!$D$22,MAX(IF(Paramètres!J24="",0,IF(Paramètres!K24="",NA(),IF(LEFT(TRIM(Paramètres!K24),1)="F",INDEX($F$977:$F$1029,MATCH(Paramètres!J24,Paramètres!$G$5:$G$57,0)),INDEX($E$977:$E$1029,MATCH(Paramètres!J24,Paramètres!$G$5:$G$57,0)))+IF(RIGHT(TRIM(Paramètres!K24),3)="Fin",1-$H996,IF(LEFT(TRIM(Paramètres!K24),1)="F",1,0)))),IF(Paramètres!L24="",0,IF(Paramètres!M24="",NA(),IF(LEFT(TRIM(Paramètres!M24),1)="F",INDEX($F$977:$F$1029,MATCH(Paramètres!L24,Paramètres!$G$5:$G$57,0)),INDEX($E$977:$E$1029,MATCH(Paramètres!L24,Paramètres!$G$5:$G$57,0)))+IF(RIGHT(TRIM(Paramètres!M24),3)="Fin",1-$H996,IF(LEFT(TRIM(Paramètres!M24),1)="F",1,0)))),IF(Paramètres!N24="",0,IF(Paramètres!O24="",NA(),IF(LEFT(TRIM(Paramètres!O24),1)="F",INDEX($F$977:$F$1029,MATCH(Paramètres!N24,Paramètres!$G$5:$G$57,0)),INDEX($E$977:$E$1029,MATCH(Paramètres!N24,Paramètres!$G$5:$G$57,0)))+IF(RIGHT(TRIM(Paramètres!O24),3)="Fin",1-$H996,IF(LEFT(TRIM(Paramètres!O24),1)="F",1,0)))))))</f>
        <v/>
      </c>
      <c r="F996" s="19">
        <f>IF($A996="","",E996+$H996-1)</f>
        <v/>
      </c>
      <c r="G996" s="18" t="n"/>
      <c r="H996" s="18">
        <f>IF($A996="","",IF(I996&lt;&gt;"",I996,Paramètres!B24))</f>
        <v/>
      </c>
      <c r="I996" s="18" t="n"/>
    </row>
    <row r="997">
      <c r="A997" s="18">
        <f>IF(ISNUMBER(Dossiers!$D$22),Dossiers!$A$22&amp;" · "&amp;Dossiers!$B$22,"")</f>
        <v/>
      </c>
      <c r="B997" s="18">
        <f>IF($A997="","",Paramètres!G25)</f>
        <v/>
      </c>
      <c r="C997" s="18">
        <f>IF($A997="","",IF(Paramètres!H25="","",Paramètres!H25))</f>
        <v/>
      </c>
      <c r="D997" s="18">
        <f>IF($A997="","",IF(Paramètres!I25="","",Paramètres!I25))</f>
        <v/>
      </c>
      <c r="E997" s="19">
        <f>IF($A997="","",IF(Paramètres!J25&amp;Paramètres!L25&amp;Paramètres!N25="",Dossiers!$D$22,MAX(IF(Paramètres!J25="",0,IF(Paramètres!K25="",NA(),IF(LEFT(TRIM(Paramètres!K25),1)="F",INDEX($F$977:$F$1029,MATCH(Paramètres!J25,Paramètres!$G$5:$G$57,0)),INDEX($E$977:$E$1029,MATCH(Paramètres!J25,Paramètres!$G$5:$G$57,0)))+IF(RIGHT(TRIM(Paramètres!K25),3)="Fin",1-$H997,IF(LEFT(TRIM(Paramètres!K25),1)="F",1,0)))),IF(Paramètres!L25="",0,IF(Paramètres!M25="",NA(),IF(LEFT(TRIM(Paramètres!M25),1)="F",INDEX($F$977:$F$1029,MATCH(Paramètres!L25,Paramètres!$G$5:$G$57,0)),INDEX($E$977:$E$1029,MATCH(Paramètres!L25,Paramètres!$G$5:$G$57,0)))+IF(RIGHT(TRIM(Paramètres!M25),3)="Fin",1-$H997,IF(LEFT(TRIM(Paramètres!M25),1)="F",1,0)))),IF(Paramètres!N25="",0,IF(Paramètres!O25="",NA(),IF(LEFT(TRIM(Paramètres!O25),1)="F",INDEX($F$977:$F$1029,MATCH(Paramètres!N25,Paramètres!$G$5:$G$57,0)),INDEX($E$977:$E$1029,MATCH(Paramètres!N25,Paramètres!$G$5:$G$57,0)))+IF(RIGHT(TRIM(Paramètres!O25),3)="Fin",1-$H997,IF(LEFT(TRIM(Paramètres!O25),1)="F",1,0)))))))</f>
        <v/>
      </c>
      <c r="F997" s="19">
        <f>IF($A997="","",E997+$H997-1)</f>
        <v/>
      </c>
      <c r="G997" s="18" t="n"/>
      <c r="H997" s="18">
        <f>IF($A997="","",IF(I997&lt;&gt;"",I997,Paramètres!B25))</f>
        <v/>
      </c>
      <c r="I997" s="18" t="n"/>
    </row>
    <row r="998">
      <c r="A998" s="18">
        <f>IF(ISNUMBER(Dossiers!$D$22),Dossiers!$A$22&amp;" · "&amp;Dossiers!$B$22,"")</f>
        <v/>
      </c>
      <c r="B998" s="18">
        <f>IF($A998="","",Paramètres!G26)</f>
        <v/>
      </c>
      <c r="C998" s="18">
        <f>IF($A998="","",IF(Paramètres!H26="","",Paramètres!H26))</f>
        <v/>
      </c>
      <c r="D998" s="18">
        <f>IF($A998="","",IF(Paramètres!I26="","",Paramètres!I26))</f>
        <v/>
      </c>
      <c r="E998" s="19">
        <f>IF($A998="","",IF(Paramètres!J26&amp;Paramètres!L26&amp;Paramètres!N26="",Dossiers!$D$22,MAX(IF(Paramètres!J26="",0,IF(Paramètres!K26="",NA(),IF(LEFT(TRIM(Paramètres!K26),1)="F",INDEX($F$977:$F$1029,MATCH(Paramètres!J26,Paramètres!$G$5:$G$57,0)),INDEX($E$977:$E$1029,MATCH(Paramètres!J26,Paramètres!$G$5:$G$57,0)))+IF(RIGHT(TRIM(Paramètres!K26),3)="Fin",1-$H998,IF(LEFT(TRIM(Paramètres!K26),1)="F",1,0)))),IF(Paramètres!L26="",0,IF(Paramètres!M26="",NA(),IF(LEFT(TRIM(Paramètres!M26),1)="F",INDEX($F$977:$F$1029,MATCH(Paramètres!L26,Paramètres!$G$5:$G$57,0)),INDEX($E$977:$E$1029,MATCH(Paramètres!L26,Paramètres!$G$5:$G$57,0)))+IF(RIGHT(TRIM(Paramètres!M26),3)="Fin",1-$H998,IF(LEFT(TRIM(Paramètres!M26),1)="F",1,0)))),IF(Paramètres!N26="",0,IF(Paramètres!O26="",NA(),IF(LEFT(TRIM(Paramètres!O26),1)="F",INDEX($F$977:$F$1029,MATCH(Paramètres!N26,Paramètres!$G$5:$G$57,0)),INDEX($E$977:$E$1029,MATCH(Paramètres!N26,Paramètres!$G$5:$G$57,0)))+IF(RIGHT(TRIM(Paramètres!O26),3)="Fin",1-$H998,IF(LEFT(TRIM(Paramètres!O26),1)="F",1,0)))))))</f>
        <v/>
      </c>
      <c r="F998" s="19">
        <f>IF($A998="","",E998+$H998-1)</f>
        <v/>
      </c>
      <c r="G998" s="18" t="n"/>
      <c r="H998" s="18">
        <f>IF($A998="","",IF(I998&lt;&gt;"",I998,Paramètres!B26))</f>
        <v/>
      </c>
      <c r="I998" s="18" t="n"/>
    </row>
    <row r="999">
      <c r="A999" s="18">
        <f>IF(ISNUMBER(Dossiers!$D$22),Dossiers!$A$22&amp;" · "&amp;Dossiers!$B$22,"")</f>
        <v/>
      </c>
      <c r="B999" s="18">
        <f>IF($A999="","",Paramètres!G27)</f>
        <v/>
      </c>
      <c r="C999" s="18">
        <f>IF($A999="","",IF(Paramètres!H27="","",Paramètres!H27))</f>
        <v/>
      </c>
      <c r="D999" s="18">
        <f>IF($A999="","",IF(Paramètres!I27="","",Paramètres!I27))</f>
        <v/>
      </c>
      <c r="E999" s="19">
        <f>IF($A999="","",IF(Paramètres!J27&amp;Paramètres!L27&amp;Paramètres!N27="",Dossiers!$D$22,MAX(IF(Paramètres!J27="",0,IF(Paramètres!K27="",NA(),IF(LEFT(TRIM(Paramètres!K27),1)="F",INDEX($F$977:$F$1029,MATCH(Paramètres!J27,Paramètres!$G$5:$G$57,0)),INDEX($E$977:$E$1029,MATCH(Paramètres!J27,Paramètres!$G$5:$G$57,0)))+IF(RIGHT(TRIM(Paramètres!K27),3)="Fin",1-$H999,IF(LEFT(TRIM(Paramètres!K27),1)="F",1,0)))),IF(Paramètres!L27="",0,IF(Paramètres!M27="",NA(),IF(LEFT(TRIM(Paramètres!M27),1)="F",INDEX($F$977:$F$1029,MATCH(Paramètres!L27,Paramètres!$G$5:$G$57,0)),INDEX($E$977:$E$1029,MATCH(Paramètres!L27,Paramètres!$G$5:$G$57,0)))+IF(RIGHT(TRIM(Paramètres!M27),3)="Fin",1-$H999,IF(LEFT(TRIM(Paramètres!M27),1)="F",1,0)))),IF(Paramètres!N27="",0,IF(Paramètres!O27="",NA(),IF(LEFT(TRIM(Paramètres!O27),1)="F",INDEX($F$977:$F$1029,MATCH(Paramètres!N27,Paramètres!$G$5:$G$57,0)),INDEX($E$977:$E$1029,MATCH(Paramètres!N27,Paramètres!$G$5:$G$57,0)))+IF(RIGHT(TRIM(Paramètres!O27),3)="Fin",1-$H999,IF(LEFT(TRIM(Paramètres!O27),1)="F",1,0)))))))</f>
        <v/>
      </c>
      <c r="F999" s="19">
        <f>IF($A999="","",E999+$H999-1)</f>
        <v/>
      </c>
      <c r="G999" s="18" t="n"/>
      <c r="H999" s="18">
        <f>IF($A999="","",IF(I999&lt;&gt;"",I999,Paramètres!B27))</f>
        <v/>
      </c>
      <c r="I999" s="18" t="n"/>
    </row>
    <row r="1000">
      <c r="A1000" s="18">
        <f>IF(ISNUMBER(Dossiers!$D$22),Dossiers!$A$22&amp;" · "&amp;Dossiers!$B$22,"")</f>
        <v/>
      </c>
      <c r="B1000" s="18">
        <f>IF($A1000="","",Paramètres!G28)</f>
        <v/>
      </c>
      <c r="C1000" s="18">
        <f>IF($A1000="","",IF(Paramètres!H28="","",Paramètres!H28))</f>
        <v/>
      </c>
      <c r="D1000" s="18">
        <f>IF($A1000="","",IF(Paramètres!I28="","",Paramètres!I28))</f>
        <v/>
      </c>
      <c r="E1000" s="19">
        <f>IF($A1000="","",IF(Paramètres!J28&amp;Paramètres!L28&amp;Paramètres!N28="",Dossiers!$D$22,MAX(IF(Paramètres!J28="",0,IF(Paramètres!K28="",NA(),IF(LEFT(TRIM(Paramètres!K28),1)="F",INDEX($F$977:$F$1029,MATCH(Paramètres!J28,Paramètres!$G$5:$G$57,0)),INDEX($E$977:$E$1029,MATCH(Paramètres!J28,Paramètres!$G$5:$G$57,0)))+IF(RIGHT(TRIM(Paramètres!K28),3)="Fin",1-$H1000,IF(LEFT(TRIM(Paramètres!K28),1)="F",1,0)))),IF(Paramètres!L28="",0,IF(Paramètres!M28="",NA(),IF(LEFT(TRIM(Paramètres!M28),1)="F",INDEX($F$977:$F$1029,MATCH(Paramètres!L28,Paramètres!$G$5:$G$57,0)),INDEX($E$977:$E$1029,MATCH(Paramètres!L28,Paramètres!$G$5:$G$57,0)))+IF(RIGHT(TRIM(Paramètres!M28),3)="Fin",1-$H1000,IF(LEFT(TRIM(Paramètres!M28),1)="F",1,0)))),IF(Paramètres!N28="",0,IF(Paramètres!O28="",NA(),IF(LEFT(TRIM(Paramètres!O28),1)="F",INDEX($F$977:$F$1029,MATCH(Paramètres!N28,Paramètres!$G$5:$G$57,0)),INDEX($E$977:$E$1029,MATCH(Paramètres!N28,Paramètres!$G$5:$G$57,0)))+IF(RIGHT(TRIM(Paramètres!O28),3)="Fin",1-$H1000,IF(LEFT(TRIM(Paramètres!O28),1)="F",1,0)))))))</f>
        <v/>
      </c>
      <c r="F1000" s="19">
        <f>IF($A1000="","",E1000+$H1000-1)</f>
        <v/>
      </c>
      <c r="G1000" s="18" t="n"/>
      <c r="H1000" s="18">
        <f>IF($A1000="","",IF(I1000&lt;&gt;"",I1000,Paramètres!B28))</f>
        <v/>
      </c>
      <c r="I1000" s="18" t="n"/>
    </row>
    <row r="1001">
      <c r="A1001" s="18">
        <f>IF(ISNUMBER(Dossiers!$D$22),Dossiers!$A$22&amp;" · "&amp;Dossiers!$B$22,"")</f>
        <v/>
      </c>
      <c r="B1001" s="18">
        <f>IF($A1001="","",Paramètres!G29)</f>
        <v/>
      </c>
      <c r="C1001" s="18">
        <f>IF($A1001="","",IF(Paramètres!H29="","",Paramètres!H29))</f>
        <v/>
      </c>
      <c r="D1001" s="18">
        <f>IF($A1001="","",IF(Paramètres!I29="","",Paramètres!I29))</f>
        <v/>
      </c>
      <c r="E1001" s="19">
        <f>IF($A1001="","",IF(Paramètres!J29&amp;Paramètres!L29&amp;Paramètres!N29="",Dossiers!$D$22,MAX(IF(Paramètres!J29="",0,IF(Paramètres!K29="",NA(),IF(LEFT(TRIM(Paramètres!K29),1)="F",INDEX($F$977:$F$1029,MATCH(Paramètres!J29,Paramètres!$G$5:$G$57,0)),INDEX($E$977:$E$1029,MATCH(Paramètres!J29,Paramètres!$G$5:$G$57,0)))+IF(RIGHT(TRIM(Paramètres!K29),3)="Fin",1-$H1001,IF(LEFT(TRIM(Paramètres!K29),1)="F",1,0)))),IF(Paramètres!L29="",0,IF(Paramètres!M29="",NA(),IF(LEFT(TRIM(Paramètres!M29),1)="F",INDEX($F$977:$F$1029,MATCH(Paramètres!L29,Paramètres!$G$5:$G$57,0)),INDEX($E$977:$E$1029,MATCH(Paramètres!L29,Paramètres!$G$5:$G$57,0)))+IF(RIGHT(TRIM(Paramètres!M29),3)="Fin",1-$H1001,IF(LEFT(TRIM(Paramètres!M29),1)="F",1,0)))),IF(Paramètres!N29="",0,IF(Paramètres!O29="",NA(),IF(LEFT(TRIM(Paramètres!O29),1)="F",INDEX($F$977:$F$1029,MATCH(Paramètres!N29,Paramètres!$G$5:$G$57,0)),INDEX($E$977:$E$1029,MATCH(Paramètres!N29,Paramètres!$G$5:$G$57,0)))+IF(RIGHT(TRIM(Paramètres!O29),3)="Fin",1-$H1001,IF(LEFT(TRIM(Paramètres!O29),1)="F",1,0)))))))</f>
        <v/>
      </c>
      <c r="F1001" s="19">
        <f>IF($A1001="","",E1001+$H1001-1)</f>
        <v/>
      </c>
      <c r="G1001" s="18" t="n"/>
      <c r="H1001" s="18">
        <f>IF($A1001="","",IF(I1001&lt;&gt;"",I1001,Paramètres!B29))</f>
        <v/>
      </c>
      <c r="I1001" s="18" t="n"/>
    </row>
    <row r="1002">
      <c r="A1002" s="18">
        <f>IF(ISNUMBER(Dossiers!$D$22),Dossiers!$A$22&amp;" · "&amp;Dossiers!$B$22,"")</f>
        <v/>
      </c>
      <c r="B1002" s="18">
        <f>IF($A1002="","",Paramètres!G30)</f>
        <v/>
      </c>
      <c r="C1002" s="18">
        <f>IF($A1002="","",IF(Paramètres!H30="","",Paramètres!H30))</f>
        <v/>
      </c>
      <c r="D1002" s="18">
        <f>IF($A1002="","",IF(Paramètres!I30="","",Paramètres!I30))</f>
        <v/>
      </c>
      <c r="E1002" s="19">
        <f>IF($A1002="","",IF(Paramètres!J30&amp;Paramètres!L30&amp;Paramètres!N30="",Dossiers!$D$22,MAX(IF(Paramètres!J30="",0,IF(Paramètres!K30="",NA(),IF(LEFT(TRIM(Paramètres!K30),1)="F",INDEX($F$977:$F$1029,MATCH(Paramètres!J30,Paramètres!$G$5:$G$57,0)),INDEX($E$977:$E$1029,MATCH(Paramètres!J30,Paramètres!$G$5:$G$57,0)))+IF(RIGHT(TRIM(Paramètres!K30),3)="Fin",1-$H1002,IF(LEFT(TRIM(Paramètres!K30),1)="F",1,0)))),IF(Paramètres!L30="",0,IF(Paramètres!M30="",NA(),IF(LEFT(TRIM(Paramètres!M30),1)="F",INDEX($F$977:$F$1029,MATCH(Paramètres!L30,Paramètres!$G$5:$G$57,0)),INDEX($E$977:$E$1029,MATCH(Paramètres!L30,Paramètres!$G$5:$G$57,0)))+IF(RIGHT(TRIM(Paramètres!M30),3)="Fin",1-$H1002,IF(LEFT(TRIM(Paramètres!M30),1)="F",1,0)))),IF(Paramètres!N30="",0,IF(Paramètres!O30="",NA(),IF(LEFT(TRIM(Paramètres!O30),1)="F",INDEX($F$977:$F$1029,MATCH(Paramètres!N30,Paramètres!$G$5:$G$57,0)),INDEX($E$977:$E$1029,MATCH(Paramètres!N30,Paramètres!$G$5:$G$57,0)))+IF(RIGHT(TRIM(Paramètres!O30),3)="Fin",1-$H1002,IF(LEFT(TRIM(Paramètres!O30),1)="F",1,0)))))))</f>
        <v/>
      </c>
      <c r="F1002" s="19">
        <f>IF($A1002="","",E1002+$H1002-1)</f>
        <v/>
      </c>
      <c r="G1002" s="18" t="n"/>
      <c r="H1002" s="18">
        <f>IF($A1002="","",IF(I1002&lt;&gt;"",I1002,Paramètres!B30))</f>
        <v/>
      </c>
      <c r="I1002" s="18" t="n"/>
    </row>
    <row r="1003">
      <c r="A1003" s="18">
        <f>IF(ISNUMBER(Dossiers!$D$22),Dossiers!$A$22&amp;" · "&amp;Dossiers!$B$22,"")</f>
        <v/>
      </c>
      <c r="B1003" s="18">
        <f>IF($A1003="","",Paramètres!G31)</f>
        <v/>
      </c>
      <c r="C1003" s="20">
        <f>IF($A1003="","",IF(Dossiers!$F$22="","",Dossiers!$F$22))</f>
        <v/>
      </c>
      <c r="D1003" s="18">
        <f>IF($A1003="","",IF(Paramètres!I31="","",Paramètres!I31))</f>
        <v/>
      </c>
      <c r="E1003" s="19">
        <f>IF($A1003="","",IF(Paramètres!J31&amp;Paramètres!L31&amp;Paramètres!N31="",Dossiers!$D$22,MAX(IF(Paramètres!J31="",0,IF(Paramètres!K31="",NA(),IF(LEFT(TRIM(Paramètres!K31),1)="F",INDEX($F$977:$F$1029,MATCH(Paramètres!J31,Paramètres!$G$5:$G$57,0)),INDEX($E$977:$E$1029,MATCH(Paramètres!J31,Paramètres!$G$5:$G$57,0)))+IF(RIGHT(TRIM(Paramètres!K31),3)="Fin",1-$H1003,IF(LEFT(TRIM(Paramètres!K31),1)="F",1,0)))),IF(Paramètres!L31="",0,IF(Paramètres!M31="",NA(),IF(LEFT(TRIM(Paramètres!M31),1)="F",INDEX($F$977:$F$1029,MATCH(Paramètres!L31,Paramètres!$G$5:$G$57,0)),INDEX($E$977:$E$1029,MATCH(Paramètres!L31,Paramètres!$G$5:$G$57,0)))+IF(RIGHT(TRIM(Paramètres!M31),3)="Fin",1-$H1003,IF(LEFT(TRIM(Paramètres!M31),1)="F",1,0)))),IF(Paramètres!N31="",0,IF(Paramètres!O31="",NA(),IF(LEFT(TRIM(Paramètres!O31),1)="F",INDEX($F$977:$F$1029,MATCH(Paramètres!N31,Paramètres!$G$5:$G$57,0)),INDEX($E$977:$E$1029,MATCH(Paramètres!N31,Paramètres!$G$5:$G$57,0)))+IF(RIGHT(TRIM(Paramètres!O31),3)="Fin",1-$H1003,IF(LEFT(TRIM(Paramètres!O31),1)="F",1,0)))))))</f>
        <v/>
      </c>
      <c r="F1003" s="19">
        <f>IF($A1003="","",E1003+$H1003-1)</f>
        <v/>
      </c>
      <c r="G1003" s="18" t="n"/>
      <c r="H1003" s="18">
        <f>IF($A1003="","",IF(I1003&lt;&gt;"",I1003,Paramètres!B31))</f>
        <v/>
      </c>
      <c r="I1003" s="18" t="n"/>
    </row>
    <row r="1004">
      <c r="A1004" s="18">
        <f>IF(ISNUMBER(Dossiers!$D$22),Dossiers!$A$22&amp;" · "&amp;Dossiers!$B$22,"")</f>
        <v/>
      </c>
      <c r="B1004" s="18">
        <f>IF($A1004="","",Paramètres!G32)</f>
        <v/>
      </c>
      <c r="C1004" s="18">
        <f>IF($A1004="","",IF(Paramètres!H32="","",Paramètres!H32))</f>
        <v/>
      </c>
      <c r="D1004" s="18">
        <f>IF($A1004="","",IF(Paramètres!I32="","",Paramètres!I32))</f>
        <v/>
      </c>
      <c r="E1004" s="19">
        <f>IF($A1004="","",MIN(E1005:E1008))</f>
        <v/>
      </c>
      <c r="F1004" s="19">
        <f>IF($A1004="","",MAX(F1005:F1008))</f>
        <v/>
      </c>
      <c r="G1004" s="18" t="n"/>
      <c r="H1004" s="18">
        <f>IF($A1004="","",F1004-E1004+1)</f>
        <v/>
      </c>
      <c r="I1004" s="18" t="n"/>
    </row>
    <row r="1005">
      <c r="A1005" s="18">
        <f>IF(ISNUMBER(Dossiers!$D$22),Dossiers!$A$22&amp;" · "&amp;Dossiers!$B$22,"")</f>
        <v/>
      </c>
      <c r="B1005" s="18">
        <f>IF($A1005="","",Paramètres!G33)</f>
        <v/>
      </c>
      <c r="C1005" s="18">
        <f>IF($A1005="","",IF(Paramètres!H33="","",Paramètres!H33))</f>
        <v/>
      </c>
      <c r="D1005" s="18">
        <f>IF($A1005="","",IF(Paramètres!I33="","",Paramètres!I33))</f>
        <v/>
      </c>
      <c r="E1005" s="19">
        <f>IF($A1005="","",IF(Paramètres!J33&amp;Paramètres!L33&amp;Paramètres!N33="",Dossiers!$D$22,MAX(IF(Paramètres!J33="",0,IF(Paramètres!K33="",NA(),IF(LEFT(TRIM(Paramètres!K33),1)="F",INDEX($F$977:$F$1029,MATCH(Paramètres!J33,Paramètres!$G$5:$G$57,0)),INDEX($E$977:$E$1029,MATCH(Paramètres!J33,Paramètres!$G$5:$G$57,0)))+IF(RIGHT(TRIM(Paramètres!K33),3)="Fin",1-$H1005,IF(LEFT(TRIM(Paramètres!K33),1)="F",1,0)))),IF(Paramètres!L33="",0,IF(Paramètres!M33="",NA(),IF(LEFT(TRIM(Paramètres!M33),1)="F",INDEX($F$977:$F$1029,MATCH(Paramètres!L33,Paramètres!$G$5:$G$57,0)),INDEX($E$977:$E$1029,MATCH(Paramètres!L33,Paramètres!$G$5:$G$57,0)))+IF(RIGHT(TRIM(Paramètres!M33),3)="Fin",1-$H1005,IF(LEFT(TRIM(Paramètres!M33),1)="F",1,0)))),IF(Paramètres!N33="",0,IF(Paramètres!O33="",NA(),IF(LEFT(TRIM(Paramètres!O33),1)="F",INDEX($F$977:$F$1029,MATCH(Paramètres!N33,Paramètres!$G$5:$G$57,0)),INDEX($E$977:$E$1029,MATCH(Paramètres!N33,Paramètres!$G$5:$G$57,0)))+IF(RIGHT(TRIM(Paramètres!O33),3)="Fin",1-$H1005,IF(LEFT(TRIM(Paramètres!O33),1)="F",1,0)))))))</f>
        <v/>
      </c>
      <c r="F1005" s="19">
        <f>IF($A1005="","",E1005+$H1005-1)</f>
        <v/>
      </c>
      <c r="G1005" s="18" t="n"/>
      <c r="H1005" s="18">
        <f>IF($A1005="","",IF(I1005&lt;&gt;"",I1005,Paramètres!B33))</f>
        <v/>
      </c>
      <c r="I1005" s="18" t="n"/>
    </row>
    <row r="1006">
      <c r="A1006" s="18">
        <f>IF(ISNUMBER(Dossiers!$D$22),Dossiers!$A$22&amp;" · "&amp;Dossiers!$B$22,"")</f>
        <v/>
      </c>
      <c r="B1006" s="18">
        <f>IF($A1006="","",Paramètres!G34)</f>
        <v/>
      </c>
      <c r="C1006" s="18">
        <f>IF($A1006="","",IF(Paramètres!H34="","",Paramètres!H34))</f>
        <v/>
      </c>
      <c r="D1006" s="18">
        <f>IF($A1006="","",IF(Paramètres!I34="","",Paramètres!I34))</f>
        <v/>
      </c>
      <c r="E1006" s="19">
        <f>IF($A1006="","",IF(Paramètres!J34&amp;Paramètres!L34&amp;Paramètres!N34="",Dossiers!$D$22,MAX(IF(Paramètres!J34="",0,IF(Paramètres!K34="",NA(),IF(LEFT(TRIM(Paramètres!K34),1)="F",INDEX($F$977:$F$1029,MATCH(Paramètres!J34,Paramètres!$G$5:$G$57,0)),INDEX($E$977:$E$1029,MATCH(Paramètres!J34,Paramètres!$G$5:$G$57,0)))+IF(RIGHT(TRIM(Paramètres!K34),3)="Fin",1-$H1006,IF(LEFT(TRIM(Paramètres!K34),1)="F",1,0)))),IF(Paramètres!L34="",0,IF(Paramètres!M34="",NA(),IF(LEFT(TRIM(Paramètres!M34),1)="F",INDEX($F$977:$F$1029,MATCH(Paramètres!L34,Paramètres!$G$5:$G$57,0)),INDEX($E$977:$E$1029,MATCH(Paramètres!L34,Paramètres!$G$5:$G$57,0)))+IF(RIGHT(TRIM(Paramètres!M34),3)="Fin",1-$H1006,IF(LEFT(TRIM(Paramètres!M34),1)="F",1,0)))),IF(Paramètres!N34="",0,IF(Paramètres!O34="",NA(),IF(LEFT(TRIM(Paramètres!O34),1)="F",INDEX($F$977:$F$1029,MATCH(Paramètres!N34,Paramètres!$G$5:$G$57,0)),INDEX($E$977:$E$1029,MATCH(Paramètres!N34,Paramètres!$G$5:$G$57,0)))+IF(RIGHT(TRIM(Paramètres!O34),3)="Fin",1-$H1006,IF(LEFT(TRIM(Paramètres!O34),1)="F",1,0)))))))</f>
        <v/>
      </c>
      <c r="F1006" s="19">
        <f>IF($A1006="","",E1006+$H1006-1)</f>
        <v/>
      </c>
      <c r="G1006" s="18" t="n"/>
      <c r="H1006" s="18">
        <f>IF($A1006="","",IF(I1006&lt;&gt;"",I1006,Paramètres!B34))</f>
        <v/>
      </c>
      <c r="I1006" s="18" t="n"/>
    </row>
    <row r="1007">
      <c r="A1007" s="18">
        <f>IF(ISNUMBER(Dossiers!$D$22),Dossiers!$A$22&amp;" · "&amp;Dossiers!$B$22,"")</f>
        <v/>
      </c>
      <c r="B1007" s="18">
        <f>IF($A1007="","",Paramètres!G35)</f>
        <v/>
      </c>
      <c r="C1007" s="18">
        <f>IF($A1007="","",IF(Paramètres!H35="","",Paramètres!H35))</f>
        <v/>
      </c>
      <c r="D1007" s="18">
        <f>IF($A1007="","",IF(Paramètres!I35="","",Paramètres!I35))</f>
        <v/>
      </c>
      <c r="E1007" s="19">
        <f>IF($A1007="","",IF(Paramètres!J35&amp;Paramètres!L35&amp;Paramètres!N35="",Dossiers!$D$22,MAX(IF(Paramètres!J35="",0,IF(Paramètres!K35="",NA(),IF(LEFT(TRIM(Paramètres!K35),1)="F",INDEX($F$977:$F$1029,MATCH(Paramètres!J35,Paramètres!$G$5:$G$57,0)),INDEX($E$977:$E$1029,MATCH(Paramètres!J35,Paramètres!$G$5:$G$57,0)))+IF(RIGHT(TRIM(Paramètres!K35),3)="Fin",1-$H1007,IF(LEFT(TRIM(Paramètres!K35),1)="F",1,0)))),IF(Paramètres!L35="",0,IF(Paramètres!M35="",NA(),IF(LEFT(TRIM(Paramètres!M35),1)="F",INDEX($F$977:$F$1029,MATCH(Paramètres!L35,Paramètres!$G$5:$G$57,0)),INDEX($E$977:$E$1029,MATCH(Paramètres!L35,Paramètres!$G$5:$G$57,0)))+IF(RIGHT(TRIM(Paramètres!M35),3)="Fin",1-$H1007,IF(LEFT(TRIM(Paramètres!M35),1)="F",1,0)))),IF(Paramètres!N35="",0,IF(Paramètres!O35="",NA(),IF(LEFT(TRIM(Paramètres!O35),1)="F",INDEX($F$977:$F$1029,MATCH(Paramètres!N35,Paramètres!$G$5:$G$57,0)),INDEX($E$977:$E$1029,MATCH(Paramètres!N35,Paramètres!$G$5:$G$57,0)))+IF(RIGHT(TRIM(Paramètres!O35),3)="Fin",1-$H1007,IF(LEFT(TRIM(Paramètres!O35),1)="F",1,0)))))))</f>
        <v/>
      </c>
      <c r="F1007" s="19">
        <f>IF($A1007="","",E1007+$H1007-1)</f>
        <v/>
      </c>
      <c r="G1007" s="18" t="n"/>
      <c r="H1007" s="18">
        <f>IF($A1007="","",IF(I1007&lt;&gt;"",I1007,Paramètres!B35))</f>
        <v/>
      </c>
      <c r="I1007" s="18" t="n"/>
    </row>
    <row r="1008">
      <c r="A1008" s="18">
        <f>IF(ISNUMBER(Dossiers!$D$22),Dossiers!$A$22&amp;" · "&amp;Dossiers!$B$22,"")</f>
        <v/>
      </c>
      <c r="B1008" s="18">
        <f>IF($A1008="","",Paramètres!G36)</f>
        <v/>
      </c>
      <c r="C1008" s="18">
        <f>IF($A1008="","",IF(Paramètres!H36="","",Paramètres!H36))</f>
        <v/>
      </c>
      <c r="D1008" s="18">
        <f>IF($A1008="","",IF(Paramètres!I36="","",Paramètres!I36))</f>
        <v/>
      </c>
      <c r="E1008" s="19">
        <f>IF($A1008="","",IF(Paramètres!J36&amp;Paramètres!L36&amp;Paramètres!N36="",Dossiers!$D$22,MAX(IF(Paramètres!J36="",0,IF(Paramètres!K36="",NA(),IF(LEFT(TRIM(Paramètres!K36),1)="F",INDEX($F$977:$F$1029,MATCH(Paramètres!J36,Paramètres!$G$5:$G$57,0)),INDEX($E$977:$E$1029,MATCH(Paramètres!J36,Paramètres!$G$5:$G$57,0)))+IF(RIGHT(TRIM(Paramètres!K36),3)="Fin",1-$H1008,IF(LEFT(TRIM(Paramètres!K36),1)="F",1,0)))),IF(Paramètres!L36="",0,IF(Paramètres!M36="",NA(),IF(LEFT(TRIM(Paramètres!M36),1)="F",INDEX($F$977:$F$1029,MATCH(Paramètres!L36,Paramètres!$G$5:$G$57,0)),INDEX($E$977:$E$1029,MATCH(Paramètres!L36,Paramètres!$G$5:$G$57,0)))+IF(RIGHT(TRIM(Paramètres!M36),3)="Fin",1-$H1008,IF(LEFT(TRIM(Paramètres!M36),1)="F",1,0)))),IF(Paramètres!N36="",0,IF(Paramètres!O36="",NA(),IF(LEFT(TRIM(Paramètres!O36),1)="F",INDEX($F$977:$F$1029,MATCH(Paramètres!N36,Paramètres!$G$5:$G$57,0)),INDEX($E$977:$E$1029,MATCH(Paramètres!N36,Paramètres!$G$5:$G$57,0)))+IF(RIGHT(TRIM(Paramètres!O36),3)="Fin",1-$H1008,IF(LEFT(TRIM(Paramètres!O36),1)="F",1,0)))))))</f>
        <v/>
      </c>
      <c r="F1008" s="19">
        <f>IF($A1008="","",E1008+$H1008-1)</f>
        <v/>
      </c>
      <c r="G1008" s="18" t="n"/>
      <c r="H1008" s="18">
        <f>IF($A1008="","",IF(I1008&lt;&gt;"",I1008,Paramètres!B36))</f>
        <v/>
      </c>
      <c r="I1008" s="18" t="n"/>
    </row>
    <row r="1009">
      <c r="A1009" s="18">
        <f>IF(ISNUMBER(Dossiers!$D$22),Dossiers!$A$22&amp;" · "&amp;Dossiers!$B$22,"")</f>
        <v/>
      </c>
      <c r="B1009" s="18">
        <f>IF($A1009="","",Paramètres!G37)</f>
        <v/>
      </c>
      <c r="C1009" s="18">
        <f>IF($A1009="","",IF(Paramètres!H37="","",Paramètres!H37))</f>
        <v/>
      </c>
      <c r="D1009" s="18">
        <f>IF($A1009="","",IF(Paramètres!I37="","",Paramètres!I37))</f>
        <v/>
      </c>
      <c r="E1009" s="19">
        <f>IF($A1009="","",MIN(E1010:E1027))</f>
        <v/>
      </c>
      <c r="F1009" s="19">
        <f>IF($A1009="","",MAX(F1010:F1027))</f>
        <v/>
      </c>
      <c r="G1009" s="18" t="n"/>
      <c r="H1009" s="18">
        <f>IF($A1009="","",F1009-E1009+1)</f>
        <v/>
      </c>
      <c r="I1009" s="18" t="n"/>
    </row>
    <row r="1010">
      <c r="A1010" s="18">
        <f>IF(ISNUMBER(Dossiers!$D$22),Dossiers!$A$22&amp;" · "&amp;Dossiers!$B$22,"")</f>
        <v/>
      </c>
      <c r="B1010" s="18">
        <f>IF($A1010="","",Paramètres!G38)</f>
        <v/>
      </c>
      <c r="C1010" s="18">
        <f>IF($A1010="","",IF(Paramètres!H38="","",Paramètres!H38))</f>
        <v/>
      </c>
      <c r="D1010" s="18">
        <f>IF($A1010="","",IF(Paramètres!I38="","",Paramètres!I38))</f>
        <v/>
      </c>
      <c r="E1010" s="19">
        <f>IF($A1010="","",IF(Paramètres!J38&amp;Paramètres!L38&amp;Paramètres!N38="",Dossiers!$D$22,MAX(IF(Paramètres!J38="",0,IF(Paramètres!K38="",NA(),IF(LEFT(TRIM(Paramètres!K38),1)="F",INDEX($F$977:$F$1029,MATCH(Paramètres!J38,Paramètres!$G$5:$G$57,0)),INDEX($E$977:$E$1029,MATCH(Paramètres!J38,Paramètres!$G$5:$G$57,0)))+IF(RIGHT(TRIM(Paramètres!K38),3)="Fin",1-$H1010,IF(LEFT(TRIM(Paramètres!K38),1)="F",1,0)))),IF(Paramètres!L38="",0,IF(Paramètres!M38="",NA(),IF(LEFT(TRIM(Paramètres!M38),1)="F",INDEX($F$977:$F$1029,MATCH(Paramètres!L38,Paramètres!$G$5:$G$57,0)),INDEX($E$977:$E$1029,MATCH(Paramètres!L38,Paramètres!$G$5:$G$57,0)))+IF(RIGHT(TRIM(Paramètres!M38),3)="Fin",1-$H1010,IF(LEFT(TRIM(Paramètres!M38),1)="F",1,0)))),IF(Paramètres!N38="",0,IF(Paramètres!O38="",NA(),IF(LEFT(TRIM(Paramètres!O38),1)="F",INDEX($F$977:$F$1029,MATCH(Paramètres!N38,Paramètres!$G$5:$G$57,0)),INDEX($E$977:$E$1029,MATCH(Paramètres!N38,Paramètres!$G$5:$G$57,0)))+IF(RIGHT(TRIM(Paramètres!O38),3)="Fin",1-$H1010,IF(LEFT(TRIM(Paramètres!O38),1)="F",1,0)))))))</f>
        <v/>
      </c>
      <c r="F1010" s="19">
        <f>IF($A1010="","",E1010+$H1010-1)</f>
        <v/>
      </c>
      <c r="G1010" s="18" t="n"/>
      <c r="H1010" s="18">
        <f>IF($A1010="","",IF(I1010&lt;&gt;"",I1010,Paramètres!B38))</f>
        <v/>
      </c>
      <c r="I1010" s="18" t="n"/>
    </row>
    <row r="1011">
      <c r="A1011" s="18">
        <f>IF(ISNUMBER(Dossiers!$D$22),Dossiers!$A$22&amp;" · "&amp;Dossiers!$B$22,"")</f>
        <v/>
      </c>
      <c r="B1011" s="18">
        <f>IF($A1011="","",Paramètres!G39)</f>
        <v/>
      </c>
      <c r="C1011" s="18">
        <f>IF($A1011="","",IF(Paramètres!H39="","",Paramètres!H39))</f>
        <v/>
      </c>
      <c r="D1011" s="18">
        <f>IF($A1011="","",IF(Paramètres!I39="","",Paramètres!I39))</f>
        <v/>
      </c>
      <c r="E1011" s="19">
        <f>IF($A1011="","",IF(Paramètres!J39&amp;Paramètres!L39&amp;Paramètres!N39="",Dossiers!$D$22,MAX(IF(Paramètres!J39="",0,IF(Paramètres!K39="",NA(),IF(LEFT(TRIM(Paramètres!K39),1)="F",INDEX($F$977:$F$1029,MATCH(Paramètres!J39,Paramètres!$G$5:$G$57,0)),INDEX($E$977:$E$1029,MATCH(Paramètres!J39,Paramètres!$G$5:$G$57,0)))+IF(RIGHT(TRIM(Paramètres!K39),3)="Fin",1-$H1011,IF(LEFT(TRIM(Paramètres!K39),1)="F",1,0)))),IF(Paramètres!L39="",0,IF(Paramètres!M39="",NA(),IF(LEFT(TRIM(Paramètres!M39),1)="F",INDEX($F$977:$F$1029,MATCH(Paramètres!L39,Paramètres!$G$5:$G$57,0)),INDEX($E$977:$E$1029,MATCH(Paramètres!L39,Paramètres!$G$5:$G$57,0)))+IF(RIGHT(TRIM(Paramètres!M39),3)="Fin",1-$H1011,IF(LEFT(TRIM(Paramètres!M39),1)="F",1,0)))),IF(Paramètres!N39="",0,IF(Paramètres!O39="",NA(),IF(LEFT(TRIM(Paramètres!O39),1)="F",INDEX($F$977:$F$1029,MATCH(Paramètres!N39,Paramètres!$G$5:$G$57,0)),INDEX($E$977:$E$1029,MATCH(Paramètres!N39,Paramètres!$G$5:$G$57,0)))+IF(RIGHT(TRIM(Paramètres!O39),3)="Fin",1-$H1011,IF(LEFT(TRIM(Paramètres!O39),1)="F",1,0)))))))</f>
        <v/>
      </c>
      <c r="F1011" s="19">
        <f>IF($A1011="","",E1011+$H1011-1)</f>
        <v/>
      </c>
      <c r="G1011" s="18" t="n"/>
      <c r="H1011" s="18">
        <f>IF($A1011="","",IF(I1011&lt;&gt;"",I1011,Paramètres!B39))</f>
        <v/>
      </c>
      <c r="I1011" s="18" t="n"/>
    </row>
    <row r="1012">
      <c r="A1012" s="18">
        <f>IF(ISNUMBER(Dossiers!$D$22),Dossiers!$A$22&amp;" · "&amp;Dossiers!$B$22,"")</f>
        <v/>
      </c>
      <c r="B1012" s="18">
        <f>IF($A1012="","",Paramètres!G40)</f>
        <v/>
      </c>
      <c r="C1012" s="18">
        <f>IF($A1012="","",IF(Paramètres!H40="","",Paramètres!H40))</f>
        <v/>
      </c>
      <c r="D1012" s="18">
        <f>IF($A1012="","",IF(Paramètres!I40="","",Paramètres!I40))</f>
        <v/>
      </c>
      <c r="E1012" s="19">
        <f>IF($A1012="","",IF(Paramètres!J40&amp;Paramètres!L40&amp;Paramètres!N40="",Dossiers!$D$22,MAX(IF(Paramètres!J40="",0,IF(Paramètres!K40="",NA(),IF(LEFT(TRIM(Paramètres!K40),1)="F",INDEX($F$977:$F$1029,MATCH(Paramètres!J40,Paramètres!$G$5:$G$57,0)),INDEX($E$977:$E$1029,MATCH(Paramètres!J40,Paramètres!$G$5:$G$57,0)))+IF(RIGHT(TRIM(Paramètres!K40),3)="Fin",1-$H1012,IF(LEFT(TRIM(Paramètres!K40),1)="F",1,0)))),IF(Paramètres!L40="",0,IF(Paramètres!M40="",NA(),IF(LEFT(TRIM(Paramètres!M40),1)="F",INDEX($F$977:$F$1029,MATCH(Paramètres!L40,Paramètres!$G$5:$G$57,0)),INDEX($E$977:$E$1029,MATCH(Paramètres!L40,Paramètres!$G$5:$G$57,0)))+IF(RIGHT(TRIM(Paramètres!M40),3)="Fin",1-$H1012,IF(LEFT(TRIM(Paramètres!M40),1)="F",1,0)))),IF(Paramètres!N40="",0,IF(Paramètres!O40="",NA(),IF(LEFT(TRIM(Paramètres!O40),1)="F",INDEX($F$977:$F$1029,MATCH(Paramètres!N40,Paramètres!$G$5:$G$57,0)),INDEX($E$977:$E$1029,MATCH(Paramètres!N40,Paramètres!$G$5:$G$57,0)))+IF(RIGHT(TRIM(Paramètres!O40),3)="Fin",1-$H1012,IF(LEFT(TRIM(Paramètres!O40),1)="F",1,0)))))))</f>
        <v/>
      </c>
      <c r="F1012" s="19">
        <f>IF($A1012="","",E1012+$H1012-1)</f>
        <v/>
      </c>
      <c r="G1012" s="18" t="n"/>
      <c r="H1012" s="18">
        <f>IF($A1012="","",IF(I1012&lt;&gt;"",I1012,Paramètres!B40))</f>
        <v/>
      </c>
      <c r="I1012" s="18" t="n"/>
    </row>
    <row r="1013">
      <c r="A1013" s="18">
        <f>IF(ISNUMBER(Dossiers!$D$22),Dossiers!$A$22&amp;" · "&amp;Dossiers!$B$22,"")</f>
        <v/>
      </c>
      <c r="B1013" s="18">
        <f>IF($A1013="","",Paramètres!G41)</f>
        <v/>
      </c>
      <c r="C1013" s="18">
        <f>IF($A1013="","",IF(Paramètres!H41="","",Paramètres!H41))</f>
        <v/>
      </c>
      <c r="D1013" s="18">
        <f>IF($A1013="","",IF(Paramètres!I41="","",Paramètres!I41))</f>
        <v/>
      </c>
      <c r="E1013" s="19">
        <f>IF($A1013="","",IF(Paramètres!J41&amp;Paramètres!L41&amp;Paramètres!N41="",Dossiers!$D$22,MAX(IF(Paramètres!J41="",0,IF(Paramètres!K41="",NA(),IF(LEFT(TRIM(Paramètres!K41),1)="F",INDEX($F$977:$F$1029,MATCH(Paramètres!J41,Paramètres!$G$5:$G$57,0)),INDEX($E$977:$E$1029,MATCH(Paramètres!J41,Paramètres!$G$5:$G$57,0)))+IF(RIGHT(TRIM(Paramètres!K41),3)="Fin",1-$H1013,IF(LEFT(TRIM(Paramètres!K41),1)="F",1,0)))),IF(Paramètres!L41="",0,IF(Paramètres!M41="",NA(),IF(LEFT(TRIM(Paramètres!M41),1)="F",INDEX($F$977:$F$1029,MATCH(Paramètres!L41,Paramètres!$G$5:$G$57,0)),INDEX($E$977:$E$1029,MATCH(Paramètres!L41,Paramètres!$G$5:$G$57,0)))+IF(RIGHT(TRIM(Paramètres!M41),3)="Fin",1-$H1013,IF(LEFT(TRIM(Paramètres!M41),1)="F",1,0)))),IF(Paramètres!N41="",0,IF(Paramètres!O41="",NA(),IF(LEFT(TRIM(Paramètres!O41),1)="F",INDEX($F$977:$F$1029,MATCH(Paramètres!N41,Paramètres!$G$5:$G$57,0)),INDEX($E$977:$E$1029,MATCH(Paramètres!N41,Paramètres!$G$5:$G$57,0)))+IF(RIGHT(TRIM(Paramètres!O41),3)="Fin",1-$H1013,IF(LEFT(TRIM(Paramètres!O41),1)="F",1,0)))))))</f>
        <v/>
      </c>
      <c r="F1013" s="19">
        <f>IF($A1013="","",E1013+$H1013-1)</f>
        <v/>
      </c>
      <c r="G1013" s="18" t="n"/>
      <c r="H1013" s="18">
        <f>IF($A1013="","",IF(I1013&lt;&gt;"",I1013,Paramètres!B41))</f>
        <v/>
      </c>
      <c r="I1013" s="18" t="n"/>
    </row>
    <row r="1014">
      <c r="A1014" s="18">
        <f>IF(ISNUMBER(Dossiers!$D$22),Dossiers!$A$22&amp;" · "&amp;Dossiers!$B$22,"")</f>
        <v/>
      </c>
      <c r="B1014" s="18">
        <f>IF($A1014="","",Paramètres!G42)</f>
        <v/>
      </c>
      <c r="C1014" s="18">
        <f>IF($A1014="","",IF(Paramètres!H42="","",Paramètres!H42))</f>
        <v/>
      </c>
      <c r="D1014" s="18">
        <f>IF($A1014="","",IF(Paramètres!I42="","",Paramètres!I42))</f>
        <v/>
      </c>
      <c r="E1014" s="19">
        <f>IF($A1014="","",IF(Paramètres!J42&amp;Paramètres!L42&amp;Paramètres!N42="",Dossiers!$D$22,MAX(IF(Paramètres!J42="",0,IF(Paramètres!K42="",NA(),IF(LEFT(TRIM(Paramètres!K42),1)="F",INDEX($F$977:$F$1029,MATCH(Paramètres!J42,Paramètres!$G$5:$G$57,0)),INDEX($E$977:$E$1029,MATCH(Paramètres!J42,Paramètres!$G$5:$G$57,0)))+IF(RIGHT(TRIM(Paramètres!K42),3)="Fin",1-$H1014,IF(LEFT(TRIM(Paramètres!K42),1)="F",1,0)))),IF(Paramètres!L42="",0,IF(Paramètres!M42="",NA(),IF(LEFT(TRIM(Paramètres!M42),1)="F",INDEX($F$977:$F$1029,MATCH(Paramètres!L42,Paramètres!$G$5:$G$57,0)),INDEX($E$977:$E$1029,MATCH(Paramètres!L42,Paramètres!$G$5:$G$57,0)))+IF(RIGHT(TRIM(Paramètres!M42),3)="Fin",1-$H1014,IF(LEFT(TRIM(Paramètres!M42),1)="F",1,0)))),IF(Paramètres!N42="",0,IF(Paramètres!O42="",NA(),IF(LEFT(TRIM(Paramètres!O42),1)="F",INDEX($F$977:$F$1029,MATCH(Paramètres!N42,Paramètres!$G$5:$G$57,0)),INDEX($E$977:$E$1029,MATCH(Paramètres!N42,Paramètres!$G$5:$G$57,0)))+IF(RIGHT(TRIM(Paramètres!O42),3)="Fin",1-$H1014,IF(LEFT(TRIM(Paramètres!O42),1)="F",1,0)))))))</f>
        <v/>
      </c>
      <c r="F1014" s="19">
        <f>IF($A1014="","",E1014+$H1014-1)</f>
        <v/>
      </c>
      <c r="G1014" s="18" t="n"/>
      <c r="H1014" s="18">
        <f>IF($A1014="","",IF(I1014&lt;&gt;"",I1014,Paramètres!B42))</f>
        <v/>
      </c>
      <c r="I1014" s="18" t="n"/>
    </row>
    <row r="1015">
      <c r="A1015" s="18">
        <f>IF(ISNUMBER(Dossiers!$D$22),Dossiers!$A$22&amp;" · "&amp;Dossiers!$B$22,"")</f>
        <v/>
      </c>
      <c r="B1015" s="18">
        <f>IF($A1015="","",Paramètres!G43)</f>
        <v/>
      </c>
      <c r="C1015" s="18">
        <f>IF($A1015="","",IF(Paramètres!H43="","",Paramètres!H43))</f>
        <v/>
      </c>
      <c r="D1015" s="18">
        <f>IF($A1015="","",IF(Paramètres!I43="","",Paramètres!I43))</f>
        <v/>
      </c>
      <c r="E1015" s="19">
        <f>IF($A1015="","",IF(Paramètres!J43&amp;Paramètres!L43&amp;Paramètres!N43="",Dossiers!$D$22,MAX(IF(Paramètres!J43="",0,IF(Paramètres!K43="",NA(),IF(LEFT(TRIM(Paramètres!K43),1)="F",INDEX($F$977:$F$1029,MATCH(Paramètres!J43,Paramètres!$G$5:$G$57,0)),INDEX($E$977:$E$1029,MATCH(Paramètres!J43,Paramètres!$G$5:$G$57,0)))+IF(RIGHT(TRIM(Paramètres!K43),3)="Fin",1-$H1015,IF(LEFT(TRIM(Paramètres!K43),1)="F",1,0)))),IF(Paramètres!L43="",0,IF(Paramètres!M43="",NA(),IF(LEFT(TRIM(Paramètres!M43),1)="F",INDEX($F$977:$F$1029,MATCH(Paramètres!L43,Paramètres!$G$5:$G$57,0)),INDEX($E$977:$E$1029,MATCH(Paramètres!L43,Paramètres!$G$5:$G$57,0)))+IF(RIGHT(TRIM(Paramètres!M43),3)="Fin",1-$H1015,IF(LEFT(TRIM(Paramètres!M43),1)="F",1,0)))),IF(Paramètres!N43="",0,IF(Paramètres!O43="",NA(),IF(LEFT(TRIM(Paramètres!O43),1)="F",INDEX($F$977:$F$1029,MATCH(Paramètres!N43,Paramètres!$G$5:$G$57,0)),INDEX($E$977:$E$1029,MATCH(Paramètres!N43,Paramètres!$G$5:$G$57,0)))+IF(RIGHT(TRIM(Paramètres!O43),3)="Fin",1-$H1015,IF(LEFT(TRIM(Paramètres!O43),1)="F",1,0)))))))</f>
        <v/>
      </c>
      <c r="F1015" s="19">
        <f>IF($A1015="","",E1015+$H1015-1)</f>
        <v/>
      </c>
      <c r="G1015" s="18" t="n"/>
      <c r="H1015" s="18">
        <f>IF($A1015="","",IF(I1015&lt;&gt;"",I1015,Paramètres!B43))</f>
        <v/>
      </c>
      <c r="I1015" s="18" t="n"/>
    </row>
    <row r="1016">
      <c r="A1016" s="18">
        <f>IF(ISNUMBER(Dossiers!$D$22),Dossiers!$A$22&amp;" · "&amp;Dossiers!$B$22,"")</f>
        <v/>
      </c>
      <c r="B1016" s="18">
        <f>IF($A1016="","",Paramètres!G44)</f>
        <v/>
      </c>
      <c r="C1016" s="18">
        <f>IF($A1016="","",IF(Paramètres!H44="","",Paramètres!H44))</f>
        <v/>
      </c>
      <c r="D1016" s="18">
        <f>IF($A1016="","",IF(Paramètres!I44="","",Paramètres!I44))</f>
        <v/>
      </c>
      <c r="E1016" s="19">
        <f>IF($A1016="","",IF(Paramètres!J44&amp;Paramètres!L44&amp;Paramètres!N44="",Dossiers!$D$22,MAX(IF(Paramètres!J44="",0,IF(Paramètres!K44="",NA(),IF(LEFT(TRIM(Paramètres!K44),1)="F",INDEX($F$977:$F$1029,MATCH(Paramètres!J44,Paramètres!$G$5:$G$57,0)),INDEX($E$977:$E$1029,MATCH(Paramètres!J44,Paramètres!$G$5:$G$57,0)))+IF(RIGHT(TRIM(Paramètres!K44),3)="Fin",1-$H1016,IF(LEFT(TRIM(Paramètres!K44),1)="F",1,0)))),IF(Paramètres!L44="",0,IF(Paramètres!M44="",NA(),IF(LEFT(TRIM(Paramètres!M44),1)="F",INDEX($F$977:$F$1029,MATCH(Paramètres!L44,Paramètres!$G$5:$G$57,0)),INDEX($E$977:$E$1029,MATCH(Paramètres!L44,Paramètres!$G$5:$G$57,0)))+IF(RIGHT(TRIM(Paramètres!M44),3)="Fin",1-$H1016,IF(LEFT(TRIM(Paramètres!M44),1)="F",1,0)))),IF(Paramètres!N44="",0,IF(Paramètres!O44="",NA(),IF(LEFT(TRIM(Paramètres!O44),1)="F",INDEX($F$977:$F$1029,MATCH(Paramètres!N44,Paramètres!$G$5:$G$57,0)),INDEX($E$977:$E$1029,MATCH(Paramètres!N44,Paramètres!$G$5:$G$57,0)))+IF(RIGHT(TRIM(Paramètres!O44),3)="Fin",1-$H1016,IF(LEFT(TRIM(Paramètres!O44),1)="F",1,0)))))))</f>
        <v/>
      </c>
      <c r="F1016" s="19">
        <f>IF($A1016="","",E1016+$H1016-1)</f>
        <v/>
      </c>
      <c r="G1016" s="18" t="n"/>
      <c r="H1016" s="18">
        <f>IF($A1016="","",IF(I1016&lt;&gt;"",I1016,Paramètres!B44))</f>
        <v/>
      </c>
      <c r="I1016" s="18" t="n"/>
    </row>
    <row r="1017">
      <c r="A1017" s="18">
        <f>IF(ISNUMBER(Dossiers!$D$22),Dossiers!$A$22&amp;" · "&amp;Dossiers!$B$22,"")</f>
        <v/>
      </c>
      <c r="B1017" s="18">
        <f>IF($A1017="","",Paramètres!G45)</f>
        <v/>
      </c>
      <c r="C1017" s="20">
        <f>IF($A1017="","",IF(Dossiers!$G$22="","",Dossiers!$G$22))</f>
        <v/>
      </c>
      <c r="D1017" s="18">
        <f>IF($A1017="","",IF(Paramètres!I45="","",Paramètres!I45))</f>
        <v/>
      </c>
      <c r="E1017" s="19">
        <f>IF($A1017="","",IF(Paramètres!J45&amp;Paramètres!L45&amp;Paramètres!N45="",Dossiers!$D$22,MAX(IF(Paramètres!J45="",0,IF(Paramètres!K45="",NA(),IF(LEFT(TRIM(Paramètres!K45),1)="F",INDEX($F$977:$F$1029,MATCH(Paramètres!J45,Paramètres!$G$5:$G$57,0)),INDEX($E$977:$E$1029,MATCH(Paramètres!J45,Paramètres!$G$5:$G$57,0)))+IF(RIGHT(TRIM(Paramètres!K45),3)="Fin",1-$H1017,IF(LEFT(TRIM(Paramètres!K45),1)="F",1,0)))),IF(Paramètres!L45="",0,IF(Paramètres!M45="",NA(),IF(LEFT(TRIM(Paramètres!M45),1)="F",INDEX($F$977:$F$1029,MATCH(Paramètres!L45,Paramètres!$G$5:$G$57,0)),INDEX($E$977:$E$1029,MATCH(Paramètres!L45,Paramètres!$G$5:$G$57,0)))+IF(RIGHT(TRIM(Paramètres!M45),3)="Fin",1-$H1017,IF(LEFT(TRIM(Paramètres!M45),1)="F",1,0)))),IF(Paramètres!N45="",0,IF(Paramètres!O45="",NA(),IF(LEFT(TRIM(Paramètres!O45),1)="F",INDEX($F$977:$F$1029,MATCH(Paramètres!N45,Paramètres!$G$5:$G$57,0)),INDEX($E$977:$E$1029,MATCH(Paramètres!N45,Paramètres!$G$5:$G$57,0)))+IF(RIGHT(TRIM(Paramètres!O45),3)="Fin",1-$H1017,IF(LEFT(TRIM(Paramètres!O45),1)="F",1,0)))))))</f>
        <v/>
      </c>
      <c r="F1017" s="19">
        <f>IF($A1017="","",E1017+$H1017-1)</f>
        <v/>
      </c>
      <c r="G1017" s="18" t="n"/>
      <c r="H1017" s="18">
        <f>IF($A1017="","",IF(I1017&lt;&gt;"",I1017,Paramètres!B45))</f>
        <v/>
      </c>
      <c r="I1017" s="18" t="n"/>
    </row>
    <row r="1018">
      <c r="A1018" s="18">
        <f>IF(ISNUMBER(Dossiers!$D$22),Dossiers!$A$22&amp;" · "&amp;Dossiers!$B$22,"")</f>
        <v/>
      </c>
      <c r="B1018" s="18">
        <f>IF($A1018="","",Paramètres!G46)</f>
        <v/>
      </c>
      <c r="C1018" s="18">
        <f>IF($A1018="","",IF(Paramètres!H46="","",Paramètres!H46))</f>
        <v/>
      </c>
      <c r="D1018" s="18">
        <f>IF($A1018="","",IF(Paramètres!I46="","",Paramètres!I46))</f>
        <v/>
      </c>
      <c r="E1018" s="19">
        <f>IF($A1018="","",IF(Paramètres!J46&amp;Paramètres!L46&amp;Paramètres!N46="",Dossiers!$D$22,MAX(IF(Paramètres!J46="",0,IF(Paramètres!K46="",NA(),IF(LEFT(TRIM(Paramètres!K46),1)="F",INDEX($F$977:$F$1029,MATCH(Paramètres!J46,Paramètres!$G$5:$G$57,0)),INDEX($E$977:$E$1029,MATCH(Paramètres!J46,Paramètres!$G$5:$G$57,0)))+IF(RIGHT(TRIM(Paramètres!K46),3)="Fin",1-$H1018,IF(LEFT(TRIM(Paramètres!K46),1)="F",1,0)))),IF(Paramètres!L46="",0,IF(Paramètres!M46="",NA(),IF(LEFT(TRIM(Paramètres!M46),1)="F",INDEX($F$977:$F$1029,MATCH(Paramètres!L46,Paramètres!$G$5:$G$57,0)),INDEX($E$977:$E$1029,MATCH(Paramètres!L46,Paramètres!$G$5:$G$57,0)))+IF(RIGHT(TRIM(Paramètres!M46),3)="Fin",1-$H1018,IF(LEFT(TRIM(Paramètres!M46),1)="F",1,0)))),IF(Paramètres!N46="",0,IF(Paramètres!O46="",NA(),IF(LEFT(TRIM(Paramètres!O46),1)="F",INDEX($F$977:$F$1029,MATCH(Paramètres!N46,Paramètres!$G$5:$G$57,0)),INDEX($E$977:$E$1029,MATCH(Paramètres!N46,Paramètres!$G$5:$G$57,0)))+IF(RIGHT(TRIM(Paramètres!O46),3)="Fin",1-$H1018,IF(LEFT(TRIM(Paramètres!O46),1)="F",1,0)))))))</f>
        <v/>
      </c>
      <c r="F1018" s="19">
        <f>IF($A1018="","",E1018+$H1018-1)</f>
        <v/>
      </c>
      <c r="G1018" s="18" t="n"/>
      <c r="H1018" s="18">
        <f>IF($A1018="","",IF(I1018&lt;&gt;"",I1018,Paramètres!B46))</f>
        <v/>
      </c>
      <c r="I1018" s="18" t="n"/>
    </row>
    <row r="1019">
      <c r="A1019" s="18">
        <f>IF(ISNUMBER(Dossiers!$D$22),Dossiers!$A$22&amp;" · "&amp;Dossiers!$B$22,"")</f>
        <v/>
      </c>
      <c r="B1019" s="18">
        <f>IF($A1019="","",Paramètres!G47)</f>
        <v/>
      </c>
      <c r="C1019" s="18">
        <f>IF($A1019="","",IF(Paramètres!H47="","",Paramètres!H47))</f>
        <v/>
      </c>
      <c r="D1019" s="18">
        <f>IF($A1019="","",IF(Paramètres!I47="","",Paramètres!I47))</f>
        <v/>
      </c>
      <c r="E1019" s="19">
        <f>IF($A1019="","",IF(Paramètres!J47&amp;Paramètres!L47&amp;Paramètres!N47="",Dossiers!$D$22,MAX(IF(Paramètres!J47="",0,IF(Paramètres!K47="",NA(),IF(LEFT(TRIM(Paramètres!K47),1)="F",INDEX($F$977:$F$1029,MATCH(Paramètres!J47,Paramètres!$G$5:$G$57,0)),INDEX($E$977:$E$1029,MATCH(Paramètres!J47,Paramètres!$G$5:$G$57,0)))+IF(RIGHT(TRIM(Paramètres!K47),3)="Fin",1-$H1019,IF(LEFT(TRIM(Paramètres!K47),1)="F",1,0)))),IF(Paramètres!L47="",0,IF(Paramètres!M47="",NA(),IF(LEFT(TRIM(Paramètres!M47),1)="F",INDEX($F$977:$F$1029,MATCH(Paramètres!L47,Paramètres!$G$5:$G$57,0)),INDEX($E$977:$E$1029,MATCH(Paramètres!L47,Paramètres!$G$5:$G$57,0)))+IF(RIGHT(TRIM(Paramètres!M47),3)="Fin",1-$H1019,IF(LEFT(TRIM(Paramètres!M47),1)="F",1,0)))),IF(Paramètres!N47="",0,IF(Paramètres!O47="",NA(),IF(LEFT(TRIM(Paramètres!O47),1)="F",INDEX($F$977:$F$1029,MATCH(Paramètres!N47,Paramètres!$G$5:$G$57,0)),INDEX($E$977:$E$1029,MATCH(Paramètres!N47,Paramètres!$G$5:$G$57,0)))+IF(RIGHT(TRIM(Paramètres!O47),3)="Fin",1-$H1019,IF(LEFT(TRIM(Paramètres!O47),1)="F",1,0)))))))</f>
        <v/>
      </c>
      <c r="F1019" s="19">
        <f>IF($A1019="","",E1019+$H1019-1)</f>
        <v/>
      </c>
      <c r="G1019" s="18" t="n"/>
      <c r="H1019" s="18">
        <f>IF($A1019="","",IF(I1019&lt;&gt;"",I1019,Paramètres!B47))</f>
        <v/>
      </c>
      <c r="I1019" s="18" t="n"/>
    </row>
    <row r="1020">
      <c r="A1020" s="18">
        <f>IF(ISNUMBER(Dossiers!$D$22),Dossiers!$A$22&amp;" · "&amp;Dossiers!$B$22,"")</f>
        <v/>
      </c>
      <c r="B1020" s="18">
        <f>IF($A1020="","",Paramètres!G48)</f>
        <v/>
      </c>
      <c r="C1020" s="18">
        <f>IF($A1020="","",IF(Paramètres!H48="","",Paramètres!H48))</f>
        <v/>
      </c>
      <c r="D1020" s="18">
        <f>IF($A1020="","",IF(Paramètres!I48="","",Paramètres!I48))</f>
        <v/>
      </c>
      <c r="E1020" s="19">
        <f>IF($A1020="","",IF(Paramètres!J48&amp;Paramètres!L48&amp;Paramètres!N48="",Dossiers!$D$22,MAX(IF(Paramètres!J48="",0,IF(Paramètres!K48="",NA(),IF(LEFT(TRIM(Paramètres!K48),1)="F",INDEX($F$977:$F$1029,MATCH(Paramètres!J48,Paramètres!$G$5:$G$57,0)),INDEX($E$977:$E$1029,MATCH(Paramètres!J48,Paramètres!$G$5:$G$57,0)))+IF(RIGHT(TRIM(Paramètres!K48),3)="Fin",1-$H1020,IF(LEFT(TRIM(Paramètres!K48),1)="F",1,0)))),IF(Paramètres!L48="",0,IF(Paramètres!M48="",NA(),IF(LEFT(TRIM(Paramètres!M48),1)="F",INDEX($F$977:$F$1029,MATCH(Paramètres!L48,Paramètres!$G$5:$G$57,0)),INDEX($E$977:$E$1029,MATCH(Paramètres!L48,Paramètres!$G$5:$G$57,0)))+IF(RIGHT(TRIM(Paramètres!M48),3)="Fin",1-$H1020,IF(LEFT(TRIM(Paramètres!M48),1)="F",1,0)))),IF(Paramètres!N48="",0,IF(Paramètres!O48="",NA(),IF(LEFT(TRIM(Paramètres!O48),1)="F",INDEX($F$977:$F$1029,MATCH(Paramètres!N48,Paramètres!$G$5:$G$57,0)),INDEX($E$977:$E$1029,MATCH(Paramètres!N48,Paramètres!$G$5:$G$57,0)))+IF(RIGHT(TRIM(Paramètres!O48),3)="Fin",1-$H1020,IF(LEFT(TRIM(Paramètres!O48),1)="F",1,0)))))))</f>
        <v/>
      </c>
      <c r="F1020" s="19">
        <f>IF($A1020="","",E1020+$H1020-1)</f>
        <v/>
      </c>
      <c r="G1020" s="18" t="n"/>
      <c r="H1020" s="18">
        <f>IF($A1020="","",IF(I1020&lt;&gt;"",I1020,Paramètres!B48))</f>
        <v/>
      </c>
      <c r="I1020" s="18" t="n"/>
    </row>
    <row r="1021">
      <c r="A1021" s="18">
        <f>IF(ISNUMBER(Dossiers!$D$22),Dossiers!$A$22&amp;" · "&amp;Dossiers!$B$22,"")</f>
        <v/>
      </c>
      <c r="B1021" s="18">
        <f>IF($A1021="","",Paramètres!G49)</f>
        <v/>
      </c>
      <c r="C1021" s="18">
        <f>IF($A1021="","",IF(Paramètres!H49="","",Paramètres!H49))</f>
        <v/>
      </c>
      <c r="D1021" s="18">
        <f>IF($A1021="","",IF(Paramètres!I49="","",Paramètres!I49))</f>
        <v/>
      </c>
      <c r="E1021" s="19">
        <f>IF($A1021="","",IF(Paramètres!J49&amp;Paramètres!L49&amp;Paramètres!N49="",Dossiers!$D$22,MAX(IF(Paramètres!J49="",0,IF(Paramètres!K49="",NA(),IF(LEFT(TRIM(Paramètres!K49),1)="F",INDEX($F$977:$F$1029,MATCH(Paramètres!J49,Paramètres!$G$5:$G$57,0)),INDEX($E$977:$E$1029,MATCH(Paramètres!J49,Paramètres!$G$5:$G$57,0)))+IF(RIGHT(TRIM(Paramètres!K49),3)="Fin",1-$H1021,IF(LEFT(TRIM(Paramètres!K49),1)="F",1,0)))),IF(Paramètres!L49="",0,IF(Paramètres!M49="",NA(),IF(LEFT(TRIM(Paramètres!M49),1)="F",INDEX($F$977:$F$1029,MATCH(Paramètres!L49,Paramètres!$G$5:$G$57,0)),INDEX($E$977:$E$1029,MATCH(Paramètres!L49,Paramètres!$G$5:$G$57,0)))+IF(RIGHT(TRIM(Paramètres!M49),3)="Fin",1-$H1021,IF(LEFT(TRIM(Paramètres!M49),1)="F",1,0)))),IF(Paramètres!N49="",0,IF(Paramètres!O49="",NA(),IF(LEFT(TRIM(Paramètres!O49),1)="F",INDEX($F$977:$F$1029,MATCH(Paramètres!N49,Paramètres!$G$5:$G$57,0)),INDEX($E$977:$E$1029,MATCH(Paramètres!N49,Paramètres!$G$5:$G$57,0)))+IF(RIGHT(TRIM(Paramètres!O49),3)="Fin",1-$H1021,IF(LEFT(TRIM(Paramètres!O49),1)="F",1,0)))))))</f>
        <v/>
      </c>
      <c r="F1021" s="19">
        <f>IF($A1021="","",E1021+$H1021-1)</f>
        <v/>
      </c>
      <c r="G1021" s="18" t="n"/>
      <c r="H1021" s="18">
        <f>IF($A1021="","",IF(I1021&lt;&gt;"",I1021,Paramètres!B49))</f>
        <v/>
      </c>
      <c r="I1021" s="18" t="n"/>
    </row>
    <row r="1022">
      <c r="A1022" s="18">
        <f>IF(ISNUMBER(Dossiers!$D$22),Dossiers!$A$22&amp;" · "&amp;Dossiers!$B$22,"")</f>
        <v/>
      </c>
      <c r="B1022" s="18">
        <f>IF($A1022="","",Paramètres!G50)</f>
        <v/>
      </c>
      <c r="C1022" s="18">
        <f>IF($A1022="","",IF(Paramètres!H50="","",Paramètres!H50))</f>
        <v/>
      </c>
      <c r="D1022" s="18">
        <f>IF($A1022="","",IF(Paramètres!I50="","",Paramètres!I50))</f>
        <v/>
      </c>
      <c r="E1022" s="19">
        <f>IF($A1022="","",IF(Paramètres!J50&amp;Paramètres!L50&amp;Paramètres!N50="",Dossiers!$D$22,MAX(IF(Paramètres!J50="",0,IF(Paramètres!K50="",NA(),IF(LEFT(TRIM(Paramètres!K50),1)="F",INDEX($F$977:$F$1029,MATCH(Paramètres!J50,Paramètres!$G$5:$G$57,0)),INDEX($E$977:$E$1029,MATCH(Paramètres!J50,Paramètres!$G$5:$G$57,0)))+IF(RIGHT(TRIM(Paramètres!K50),3)="Fin",1-$H1022,IF(LEFT(TRIM(Paramètres!K50),1)="F",1,0)))),IF(Paramètres!L50="",0,IF(Paramètres!M50="",NA(),IF(LEFT(TRIM(Paramètres!M50),1)="F",INDEX($F$977:$F$1029,MATCH(Paramètres!L50,Paramètres!$G$5:$G$57,0)),INDEX($E$977:$E$1029,MATCH(Paramètres!L50,Paramètres!$G$5:$G$57,0)))+IF(RIGHT(TRIM(Paramètres!M50),3)="Fin",1-$H1022,IF(LEFT(TRIM(Paramètres!M50),1)="F",1,0)))),IF(Paramètres!N50="",0,IF(Paramètres!O50="",NA(),IF(LEFT(TRIM(Paramètres!O50),1)="F",INDEX($F$977:$F$1029,MATCH(Paramètres!N50,Paramètres!$G$5:$G$57,0)),INDEX($E$977:$E$1029,MATCH(Paramètres!N50,Paramètres!$G$5:$G$57,0)))+IF(RIGHT(TRIM(Paramètres!O50),3)="Fin",1-$H1022,IF(LEFT(TRIM(Paramètres!O50),1)="F",1,0)))))))</f>
        <v/>
      </c>
      <c r="F1022" s="19">
        <f>IF($A1022="","",E1022+$H1022-1)</f>
        <v/>
      </c>
      <c r="G1022" s="18" t="n"/>
      <c r="H1022" s="18">
        <f>IF($A1022="","",IF(I1022&lt;&gt;"",I1022,Paramètres!B50))</f>
        <v/>
      </c>
      <c r="I1022" s="18" t="n"/>
    </row>
    <row r="1023">
      <c r="A1023" s="18">
        <f>IF(ISNUMBER(Dossiers!$D$22),Dossiers!$A$22&amp;" · "&amp;Dossiers!$B$22,"")</f>
        <v/>
      </c>
      <c r="B1023" s="18">
        <f>IF($A1023="","",Paramètres!G51)</f>
        <v/>
      </c>
      <c r="C1023" s="18">
        <f>IF($A1023="","",IF(Paramètres!H51="","",Paramètres!H51))</f>
        <v/>
      </c>
      <c r="D1023" s="18">
        <f>IF($A1023="","",IF(Paramètres!I51="","",Paramètres!I51))</f>
        <v/>
      </c>
      <c r="E1023" s="19">
        <f>IF($A1023="","",IF(Paramètres!J51&amp;Paramètres!L51&amp;Paramètres!N51="",Dossiers!$D$22,MAX(IF(Paramètres!J51="",0,IF(Paramètres!K51="",NA(),IF(LEFT(TRIM(Paramètres!K51),1)="F",INDEX($F$977:$F$1029,MATCH(Paramètres!J51,Paramètres!$G$5:$G$57,0)),INDEX($E$977:$E$1029,MATCH(Paramètres!J51,Paramètres!$G$5:$G$57,0)))+IF(RIGHT(TRIM(Paramètres!K51),3)="Fin",1-$H1023,IF(LEFT(TRIM(Paramètres!K51),1)="F",1,0)))),IF(Paramètres!L51="",0,IF(Paramètres!M51="",NA(),IF(LEFT(TRIM(Paramètres!M51),1)="F",INDEX($F$977:$F$1029,MATCH(Paramètres!L51,Paramètres!$G$5:$G$57,0)),INDEX($E$977:$E$1029,MATCH(Paramètres!L51,Paramètres!$G$5:$G$57,0)))+IF(RIGHT(TRIM(Paramètres!M51),3)="Fin",1-$H1023,IF(LEFT(TRIM(Paramètres!M51),1)="F",1,0)))),IF(Paramètres!N51="",0,IF(Paramètres!O51="",NA(),IF(LEFT(TRIM(Paramètres!O51),1)="F",INDEX($F$977:$F$1029,MATCH(Paramètres!N51,Paramètres!$G$5:$G$57,0)),INDEX($E$977:$E$1029,MATCH(Paramètres!N51,Paramètres!$G$5:$G$57,0)))+IF(RIGHT(TRIM(Paramètres!O51),3)="Fin",1-$H1023,IF(LEFT(TRIM(Paramètres!O51),1)="F",1,0)))))))</f>
        <v/>
      </c>
      <c r="F1023" s="19">
        <f>IF($A1023="","",E1023+$H1023-1)</f>
        <v/>
      </c>
      <c r="G1023" s="18" t="n"/>
      <c r="H1023" s="18">
        <f>IF($A1023="","",IF(I1023&lt;&gt;"",I1023,Paramètres!B51))</f>
        <v/>
      </c>
      <c r="I1023" s="18" t="n"/>
    </row>
    <row r="1024">
      <c r="A1024" s="18">
        <f>IF(ISNUMBER(Dossiers!$D$22),Dossiers!$A$22&amp;" · "&amp;Dossiers!$B$22,"")</f>
        <v/>
      </c>
      <c r="B1024" s="18">
        <f>IF($A1024="","",Paramètres!G52)</f>
        <v/>
      </c>
      <c r="C1024" s="18">
        <f>IF($A1024="","",IF(Paramètres!H52="","",Paramètres!H52))</f>
        <v/>
      </c>
      <c r="D1024" s="18">
        <f>IF($A1024="","",IF(Paramètres!I52="","",Paramètres!I52))</f>
        <v/>
      </c>
      <c r="E1024" s="19">
        <f>IF($A1024="","",IF(Paramètres!J52&amp;Paramètres!L52&amp;Paramètres!N52="",Dossiers!$D$22,MAX(IF(Paramètres!J52="",0,IF(Paramètres!K52="",NA(),IF(LEFT(TRIM(Paramètres!K52),1)="F",INDEX($F$977:$F$1029,MATCH(Paramètres!J52,Paramètres!$G$5:$G$57,0)),INDEX($E$977:$E$1029,MATCH(Paramètres!J52,Paramètres!$G$5:$G$57,0)))+IF(RIGHT(TRIM(Paramètres!K52),3)="Fin",1-$H1024,IF(LEFT(TRIM(Paramètres!K52),1)="F",1,0)))),IF(Paramètres!L52="",0,IF(Paramètres!M52="",NA(),IF(LEFT(TRIM(Paramètres!M52),1)="F",INDEX($F$977:$F$1029,MATCH(Paramètres!L52,Paramètres!$G$5:$G$57,0)),INDEX($E$977:$E$1029,MATCH(Paramètres!L52,Paramètres!$G$5:$G$57,0)))+IF(RIGHT(TRIM(Paramètres!M52),3)="Fin",1-$H1024,IF(LEFT(TRIM(Paramètres!M52),1)="F",1,0)))),IF(Paramètres!N52="",0,IF(Paramètres!O52="",NA(),IF(LEFT(TRIM(Paramètres!O52),1)="F",INDEX($F$977:$F$1029,MATCH(Paramètres!N52,Paramètres!$G$5:$G$57,0)),INDEX($E$977:$E$1029,MATCH(Paramètres!N52,Paramètres!$G$5:$G$57,0)))+IF(RIGHT(TRIM(Paramètres!O52),3)="Fin",1-$H1024,IF(LEFT(TRIM(Paramètres!O52),1)="F",1,0)))))))</f>
        <v/>
      </c>
      <c r="F1024" s="19">
        <f>IF($A1024="","",E1024+$H1024-1)</f>
        <v/>
      </c>
      <c r="G1024" s="18" t="n"/>
      <c r="H1024" s="18">
        <f>IF($A1024="","",IF(I1024&lt;&gt;"",I1024,Paramètres!B52))</f>
        <v/>
      </c>
      <c r="I1024" s="18" t="n"/>
    </row>
    <row r="1025">
      <c r="A1025" s="18">
        <f>IF(ISNUMBER(Dossiers!$D$22),Dossiers!$A$22&amp;" · "&amp;Dossiers!$B$22,"")</f>
        <v/>
      </c>
      <c r="B1025" s="18">
        <f>IF($A1025="","",Paramètres!G53)</f>
        <v/>
      </c>
      <c r="C1025" s="18">
        <f>IF($A1025="","",IF(Paramètres!H53="","",Paramètres!H53))</f>
        <v/>
      </c>
      <c r="D1025" s="18">
        <f>IF($A1025="","",IF(Paramètres!I53="","",Paramètres!I53))</f>
        <v/>
      </c>
      <c r="E1025" s="19">
        <f>IF($A1025="","",IF(Paramètres!J53&amp;Paramètres!L53&amp;Paramètres!N53="",Dossiers!$D$22,MAX(IF(Paramètres!J53="",0,IF(Paramètres!K53="",NA(),IF(LEFT(TRIM(Paramètres!K53),1)="F",INDEX($F$977:$F$1029,MATCH(Paramètres!J53,Paramètres!$G$5:$G$57,0)),INDEX($E$977:$E$1029,MATCH(Paramètres!J53,Paramètres!$G$5:$G$57,0)))+IF(RIGHT(TRIM(Paramètres!K53),3)="Fin",1-$H1025,IF(LEFT(TRIM(Paramètres!K53),1)="F",1,0)))),IF(Paramètres!L53="",0,IF(Paramètres!M53="",NA(),IF(LEFT(TRIM(Paramètres!M53),1)="F",INDEX($F$977:$F$1029,MATCH(Paramètres!L53,Paramètres!$G$5:$G$57,0)),INDEX($E$977:$E$1029,MATCH(Paramètres!L53,Paramètres!$G$5:$G$57,0)))+IF(RIGHT(TRIM(Paramètres!M53),3)="Fin",1-$H1025,IF(LEFT(TRIM(Paramètres!M53),1)="F",1,0)))),IF(Paramètres!N53="",0,IF(Paramètres!O53="",NA(),IF(LEFT(TRIM(Paramètres!O53),1)="F",INDEX($F$977:$F$1029,MATCH(Paramètres!N53,Paramètres!$G$5:$G$57,0)),INDEX($E$977:$E$1029,MATCH(Paramètres!N53,Paramètres!$G$5:$G$57,0)))+IF(RIGHT(TRIM(Paramètres!O53),3)="Fin",1-$H1025,IF(LEFT(TRIM(Paramètres!O53),1)="F",1,0)))))))</f>
        <v/>
      </c>
      <c r="F1025" s="19">
        <f>IF($A1025="","",E1025+$H1025-1)</f>
        <v/>
      </c>
      <c r="G1025" s="18" t="n"/>
      <c r="H1025" s="18">
        <f>IF($A1025="","",IF(I1025&lt;&gt;"",I1025,Paramètres!B53))</f>
        <v/>
      </c>
      <c r="I1025" s="18" t="n"/>
    </row>
    <row r="1026">
      <c r="A1026" s="18">
        <f>IF(ISNUMBER(Dossiers!$D$22),Dossiers!$A$22&amp;" · "&amp;Dossiers!$B$22,"")</f>
        <v/>
      </c>
      <c r="B1026" s="18">
        <f>IF($A1026="","",Paramètres!G54)</f>
        <v/>
      </c>
      <c r="C1026" s="18">
        <f>IF($A1026="","",IF(Paramètres!H54="","",Paramètres!H54))</f>
        <v/>
      </c>
      <c r="D1026" s="18">
        <f>IF($A1026="","",IF(Paramètres!I54="","",Paramètres!I54))</f>
        <v/>
      </c>
      <c r="E1026" s="19">
        <f>IF($A1026="","",IF(Paramètres!J54&amp;Paramètres!L54&amp;Paramètres!N54="",Dossiers!$D$22,MAX(IF(Paramètres!J54="",0,IF(Paramètres!K54="",NA(),IF(LEFT(TRIM(Paramètres!K54),1)="F",INDEX($F$977:$F$1029,MATCH(Paramètres!J54,Paramètres!$G$5:$G$57,0)),INDEX($E$977:$E$1029,MATCH(Paramètres!J54,Paramètres!$G$5:$G$57,0)))+IF(RIGHT(TRIM(Paramètres!K54),3)="Fin",1-$H1026,IF(LEFT(TRIM(Paramètres!K54),1)="F",1,0)))),IF(Paramètres!L54="",0,IF(Paramètres!M54="",NA(),IF(LEFT(TRIM(Paramètres!M54),1)="F",INDEX($F$977:$F$1029,MATCH(Paramètres!L54,Paramètres!$G$5:$G$57,0)),INDEX($E$977:$E$1029,MATCH(Paramètres!L54,Paramètres!$G$5:$G$57,0)))+IF(RIGHT(TRIM(Paramètres!M54),3)="Fin",1-$H1026,IF(LEFT(TRIM(Paramètres!M54),1)="F",1,0)))),IF(Paramètres!N54="",0,IF(Paramètres!O54="",NA(),IF(LEFT(TRIM(Paramètres!O54),1)="F",INDEX($F$977:$F$1029,MATCH(Paramètres!N54,Paramètres!$G$5:$G$57,0)),INDEX($E$977:$E$1029,MATCH(Paramètres!N54,Paramètres!$G$5:$G$57,0)))+IF(RIGHT(TRIM(Paramètres!O54),3)="Fin",1-$H1026,IF(LEFT(TRIM(Paramètres!O54),1)="F",1,0)))))))</f>
        <v/>
      </c>
      <c r="F1026" s="19">
        <f>IF($A1026="","",E1026+$H1026-1)</f>
        <v/>
      </c>
      <c r="G1026" s="18" t="n"/>
      <c r="H1026" s="18">
        <f>IF($A1026="","",IF(I1026&lt;&gt;"",I1026,Paramètres!B54))</f>
        <v/>
      </c>
      <c r="I1026" s="18" t="n"/>
    </row>
    <row r="1027">
      <c r="A1027" s="18">
        <f>IF(ISNUMBER(Dossiers!$D$22),Dossiers!$A$22&amp;" · "&amp;Dossiers!$B$22,"")</f>
        <v/>
      </c>
      <c r="B1027" s="18">
        <f>IF($A1027="","",Paramètres!G55)</f>
        <v/>
      </c>
      <c r="C1027" s="18">
        <f>IF($A1027="","",IF(Paramètres!H55="","",Paramètres!H55))</f>
        <v/>
      </c>
      <c r="D1027" s="18">
        <f>IF($A1027="","",IF(Paramètres!I55="","",Paramètres!I55))</f>
        <v/>
      </c>
      <c r="E1027" s="19">
        <f>IF($A1027="","",IF(Paramètres!J55&amp;Paramètres!L55&amp;Paramètres!N55="",Dossiers!$D$22,MAX(IF(Paramètres!J55="",0,IF(Paramètres!K55="",NA(),IF(LEFT(TRIM(Paramètres!K55),1)="F",INDEX($F$977:$F$1029,MATCH(Paramètres!J55,Paramètres!$G$5:$G$57,0)),INDEX($E$977:$E$1029,MATCH(Paramètres!J55,Paramètres!$G$5:$G$57,0)))+IF(RIGHT(TRIM(Paramètres!K55),3)="Fin",1-$H1027,IF(LEFT(TRIM(Paramètres!K55),1)="F",1,0)))),IF(Paramètres!L55="",0,IF(Paramètres!M55="",NA(),IF(LEFT(TRIM(Paramètres!M55),1)="F",INDEX($F$977:$F$1029,MATCH(Paramètres!L55,Paramètres!$G$5:$G$57,0)),INDEX($E$977:$E$1029,MATCH(Paramètres!L55,Paramètres!$G$5:$G$57,0)))+IF(RIGHT(TRIM(Paramètres!M55),3)="Fin",1-$H1027,IF(LEFT(TRIM(Paramètres!M55),1)="F",1,0)))),IF(Paramètres!N55="",0,IF(Paramètres!O55="",NA(),IF(LEFT(TRIM(Paramètres!O55),1)="F",INDEX($F$977:$F$1029,MATCH(Paramètres!N55,Paramètres!$G$5:$G$57,0)),INDEX($E$977:$E$1029,MATCH(Paramètres!N55,Paramètres!$G$5:$G$57,0)))+IF(RIGHT(TRIM(Paramètres!O55),3)="Fin",1-$H1027,IF(LEFT(TRIM(Paramètres!O55),1)="F",1,0)))))))</f>
        <v/>
      </c>
      <c r="F1027" s="19">
        <f>IF($A1027="","",E1027+$H1027-1)</f>
        <v/>
      </c>
      <c r="G1027" s="18" t="n"/>
      <c r="H1027" s="18">
        <f>IF($A1027="","",IF(I1027&lt;&gt;"",I1027,Paramètres!B55))</f>
        <v/>
      </c>
      <c r="I1027" s="18" t="n"/>
    </row>
    <row r="1028">
      <c r="A1028" s="18">
        <f>IF(ISNUMBER(Dossiers!$D$22),Dossiers!$A$22&amp;" · "&amp;Dossiers!$B$22,"")</f>
        <v/>
      </c>
      <c r="B1028" s="18">
        <f>IF($A1028="","",Paramètres!G56)</f>
        <v/>
      </c>
      <c r="C1028" s="18">
        <f>IF($A1028="","",IF(Paramètres!H56="","",Paramètres!H56))</f>
        <v/>
      </c>
      <c r="D1028" s="18">
        <f>IF($A1028="","",IF(Paramètres!I56="","",Paramètres!I56))</f>
        <v/>
      </c>
      <c r="E1028" s="19">
        <f>IF($A1028="","",MIN(E1029:E1029))</f>
        <v/>
      </c>
      <c r="F1028" s="19">
        <f>IF($A1028="","",MAX(F1029:F1029))</f>
        <v/>
      </c>
      <c r="G1028" s="18" t="n"/>
      <c r="H1028" s="18">
        <f>IF($A1028="","",F1028-E1028+1)</f>
        <v/>
      </c>
      <c r="I1028" s="18" t="n"/>
    </row>
    <row r="1029">
      <c r="A1029" s="18">
        <f>IF(ISNUMBER(Dossiers!$D$22),Dossiers!$A$22&amp;" · "&amp;Dossiers!$B$22,"")</f>
        <v/>
      </c>
      <c r="B1029" s="18">
        <f>IF($A1029="","",Paramètres!G57)</f>
        <v/>
      </c>
      <c r="C1029" s="18">
        <f>IF($A1029="","",IF(Paramètres!H57="","",Paramètres!H57))</f>
        <v/>
      </c>
      <c r="D1029" s="18">
        <f>IF($A1029="","",IF(Paramètres!I57="","",Paramètres!I57))</f>
        <v/>
      </c>
      <c r="E1029" s="19">
        <f>IF($A1029="","",IF(Paramètres!J57&amp;Paramètres!L57&amp;Paramètres!N57="",Dossiers!$D$22,MAX(IF(Paramètres!J57="",0,IF(Paramètres!K57="",NA(),IF(LEFT(TRIM(Paramètres!K57),1)="F",INDEX($F$977:$F$1029,MATCH(Paramètres!J57,Paramètres!$G$5:$G$57,0)),INDEX($E$977:$E$1029,MATCH(Paramètres!J57,Paramètres!$G$5:$G$57,0)))+IF(RIGHT(TRIM(Paramètres!K57),3)="Fin",1-$H1029,IF(LEFT(TRIM(Paramètres!K57),1)="F",1,0)))),IF(Paramètres!L57="",0,IF(Paramètres!M57="",NA(),IF(LEFT(TRIM(Paramètres!M57),1)="F",INDEX($F$977:$F$1029,MATCH(Paramètres!L57,Paramètres!$G$5:$G$57,0)),INDEX($E$977:$E$1029,MATCH(Paramètres!L57,Paramètres!$G$5:$G$57,0)))+IF(RIGHT(TRIM(Paramètres!M57),3)="Fin",1-$H1029,IF(LEFT(TRIM(Paramètres!M57),1)="F",1,0)))),IF(Paramètres!N57="",0,IF(Paramètres!O57="",NA(),IF(LEFT(TRIM(Paramètres!O57),1)="F",INDEX($F$977:$F$1029,MATCH(Paramètres!N57,Paramètres!$G$5:$G$57,0)),INDEX($E$977:$E$1029,MATCH(Paramètres!N57,Paramètres!$G$5:$G$57,0)))+IF(RIGHT(TRIM(Paramètres!O57),3)="Fin",1-$H1029,IF(LEFT(TRIM(Paramètres!O57),1)="F",1,0)))))))</f>
        <v/>
      </c>
      <c r="F1029" s="19">
        <f>IF($A1029="","",E1029+$H1029-1)</f>
        <v/>
      </c>
      <c r="G1029" s="18" t="n"/>
      <c r="H1029" s="18">
        <f>IF($A1029="","",IF(I1029&lt;&gt;"",I1029,Paramètres!B57))</f>
        <v/>
      </c>
      <c r="I1029" s="18" t="n"/>
    </row>
    <row r="1030">
      <c r="A1030" s="16">
        <f>IF(ISNUMBER(Dossiers!$D$23),Dossiers!$E$23,"")</f>
        <v/>
      </c>
      <c r="B1030" s="16">
        <f>IF($A1030="","","Identifiant")</f>
        <v/>
      </c>
      <c r="C1030" s="16">
        <f>IF($A1030="","","Macro Etape")</f>
        <v/>
      </c>
      <c r="D1030" s="16">
        <f>IF($A1030="","","Etape")</f>
        <v/>
      </c>
      <c r="E1030" s="17">
        <f>IF($A1030="","","Début le")</f>
        <v/>
      </c>
      <c r="F1030" s="17">
        <f>IF($A1030="","","Fin prévue le")</f>
        <v/>
      </c>
      <c r="G1030" s="16">
        <f>IF($A1030="","","Statut")</f>
        <v/>
      </c>
      <c r="H1030" s="16">
        <f>IF($A1030="","","Durée (jours)")</f>
        <v/>
      </c>
      <c r="I1030" s="16">
        <f>IF($A1030="","","Durée particulière")</f>
        <v/>
      </c>
      <c r="J1030" s="10">
        <f>IF($A1030="","",HYPERLINK("#'Tableau de bord'!A1","↑ Tableau de bord"))</f>
        <v/>
      </c>
    </row>
    <row r="1031">
      <c r="A1031" s="18">
        <f>IF(ISNUMBER(Dossiers!$D$23),Dossiers!$A$23&amp;" · "&amp;Dossiers!$B$23,"")</f>
        <v/>
      </c>
      <c r="B1031" s="18">
        <f>IF($A1031="","",Paramètres!G5)</f>
        <v/>
      </c>
      <c r="C1031" s="18">
        <f>IF($A1031="","",IF(Paramètres!H5="","",Paramètres!H5))</f>
        <v/>
      </c>
      <c r="D1031" s="18">
        <f>IF($A1031="","",IF(Paramètres!I5="","",Paramètres!I5))</f>
        <v/>
      </c>
      <c r="E1031" s="19">
        <f>IF($A1031="","",MIN(E1032:E1035))</f>
        <v/>
      </c>
      <c r="F1031" s="19">
        <f>IF($A1031="","",MAX(F1032:F1035))</f>
        <v/>
      </c>
      <c r="G1031" s="18" t="n"/>
      <c r="H1031" s="18">
        <f>IF($A1031="","",F1031-E1031+1)</f>
        <v/>
      </c>
      <c r="I1031" s="18" t="n"/>
    </row>
    <row r="1032">
      <c r="A1032" s="18">
        <f>IF(ISNUMBER(Dossiers!$D$23),Dossiers!$A$23&amp;" · "&amp;Dossiers!$B$23,"")</f>
        <v/>
      </c>
      <c r="B1032" s="18">
        <f>IF($A1032="","",Paramètres!G6)</f>
        <v/>
      </c>
      <c r="C1032" s="18">
        <f>IF($A1032="","",IF(Paramètres!H6="","",Paramètres!H6))</f>
        <v/>
      </c>
      <c r="D1032" s="18">
        <f>IF($A1032="","",IF(Paramètres!I6="","",Paramètres!I6))</f>
        <v/>
      </c>
      <c r="E1032" s="19">
        <f>IF($A1032="","",IF(Paramètres!J6&amp;Paramètres!L6&amp;Paramètres!N6="",Dossiers!$D$23,MAX(IF(Paramètres!J6="",0,IF(Paramètres!K6="",NA(),IF(LEFT(TRIM(Paramètres!K6),1)="F",INDEX($F$1031:$F$1083,MATCH(Paramètres!J6,Paramètres!$G$5:$G$57,0)),INDEX($E$1031:$E$1083,MATCH(Paramètres!J6,Paramètres!$G$5:$G$57,0)))+IF(RIGHT(TRIM(Paramètres!K6),3)="Fin",1-$H1032,IF(LEFT(TRIM(Paramètres!K6),1)="F",1,0)))),IF(Paramètres!L6="",0,IF(Paramètres!M6="",NA(),IF(LEFT(TRIM(Paramètres!M6),1)="F",INDEX($F$1031:$F$1083,MATCH(Paramètres!L6,Paramètres!$G$5:$G$57,0)),INDEX($E$1031:$E$1083,MATCH(Paramètres!L6,Paramètres!$G$5:$G$57,0)))+IF(RIGHT(TRIM(Paramètres!M6),3)="Fin",1-$H1032,IF(LEFT(TRIM(Paramètres!M6),1)="F",1,0)))),IF(Paramètres!N6="",0,IF(Paramètres!O6="",NA(),IF(LEFT(TRIM(Paramètres!O6),1)="F",INDEX($F$1031:$F$1083,MATCH(Paramètres!N6,Paramètres!$G$5:$G$57,0)),INDEX($E$1031:$E$1083,MATCH(Paramètres!N6,Paramètres!$G$5:$G$57,0)))+IF(RIGHT(TRIM(Paramètres!O6),3)="Fin",1-$H1032,IF(LEFT(TRIM(Paramètres!O6),1)="F",1,0)))))))</f>
        <v/>
      </c>
      <c r="F1032" s="19">
        <f>IF($A1032="","",E1032+$H1032-1)</f>
        <v/>
      </c>
      <c r="G1032" s="18" t="n"/>
      <c r="H1032" s="18">
        <f>IF($A1032="","",IF(I1032&lt;&gt;"",I1032,Paramètres!B6))</f>
        <v/>
      </c>
      <c r="I1032" s="18" t="n"/>
    </row>
    <row r="1033">
      <c r="A1033" s="18">
        <f>IF(ISNUMBER(Dossiers!$D$23),Dossiers!$A$23&amp;" · "&amp;Dossiers!$B$23,"")</f>
        <v/>
      </c>
      <c r="B1033" s="18">
        <f>IF($A1033="","",Paramètres!G7)</f>
        <v/>
      </c>
      <c r="C1033" s="18">
        <f>IF($A1033="","",IF(Paramètres!H7="","",Paramètres!H7))</f>
        <v/>
      </c>
      <c r="D1033" s="18">
        <f>IF($A1033="","",IF(Paramètres!I7="","",Paramètres!I7))</f>
        <v/>
      </c>
      <c r="E1033" s="19">
        <f>IF($A1033="","",IF(Paramètres!J7&amp;Paramètres!L7&amp;Paramètres!N7="",Dossiers!$D$23,MAX(IF(Paramètres!J7="",0,IF(Paramètres!K7="",NA(),IF(LEFT(TRIM(Paramètres!K7),1)="F",INDEX($F$1031:$F$1083,MATCH(Paramètres!J7,Paramètres!$G$5:$G$57,0)),INDEX($E$1031:$E$1083,MATCH(Paramètres!J7,Paramètres!$G$5:$G$57,0)))+IF(RIGHT(TRIM(Paramètres!K7),3)="Fin",1-$H1033,IF(LEFT(TRIM(Paramètres!K7),1)="F",1,0)))),IF(Paramètres!L7="",0,IF(Paramètres!M7="",NA(),IF(LEFT(TRIM(Paramètres!M7),1)="F",INDEX($F$1031:$F$1083,MATCH(Paramètres!L7,Paramètres!$G$5:$G$57,0)),INDEX($E$1031:$E$1083,MATCH(Paramètres!L7,Paramètres!$G$5:$G$57,0)))+IF(RIGHT(TRIM(Paramètres!M7),3)="Fin",1-$H1033,IF(LEFT(TRIM(Paramètres!M7),1)="F",1,0)))),IF(Paramètres!N7="",0,IF(Paramètres!O7="",NA(),IF(LEFT(TRIM(Paramètres!O7),1)="F",INDEX($F$1031:$F$1083,MATCH(Paramètres!N7,Paramètres!$G$5:$G$57,0)),INDEX($E$1031:$E$1083,MATCH(Paramètres!N7,Paramètres!$G$5:$G$57,0)))+IF(RIGHT(TRIM(Paramètres!O7),3)="Fin",1-$H1033,IF(LEFT(TRIM(Paramètres!O7),1)="F",1,0)))))))</f>
        <v/>
      </c>
      <c r="F1033" s="19">
        <f>IF($A1033="","",E1033+$H1033-1)</f>
        <v/>
      </c>
      <c r="G1033" s="18" t="n"/>
      <c r="H1033" s="18">
        <f>IF($A1033="","",IF(I1033&lt;&gt;"",I1033,Paramètres!B7))</f>
        <v/>
      </c>
      <c r="I1033" s="18" t="n"/>
    </row>
    <row r="1034">
      <c r="A1034" s="18">
        <f>IF(ISNUMBER(Dossiers!$D$23),Dossiers!$A$23&amp;" · "&amp;Dossiers!$B$23,"")</f>
        <v/>
      </c>
      <c r="B1034" s="18">
        <f>IF($A1034="","",Paramètres!G8)</f>
        <v/>
      </c>
      <c r="C1034" s="18">
        <f>IF($A1034="","",IF(Paramètres!H8="","",Paramètres!H8))</f>
        <v/>
      </c>
      <c r="D1034" s="18">
        <f>IF($A1034="","",IF(Paramètres!I8="","",Paramètres!I8))</f>
        <v/>
      </c>
      <c r="E1034" s="19">
        <f>IF($A1034="","",IF(Paramètres!J8&amp;Paramètres!L8&amp;Paramètres!N8="",Dossiers!$D$23,MAX(IF(Paramètres!J8="",0,IF(Paramètres!K8="",NA(),IF(LEFT(TRIM(Paramètres!K8),1)="F",INDEX($F$1031:$F$1083,MATCH(Paramètres!J8,Paramètres!$G$5:$G$57,0)),INDEX($E$1031:$E$1083,MATCH(Paramètres!J8,Paramètres!$G$5:$G$57,0)))+IF(RIGHT(TRIM(Paramètres!K8),3)="Fin",1-$H1034,IF(LEFT(TRIM(Paramètres!K8),1)="F",1,0)))),IF(Paramètres!L8="",0,IF(Paramètres!M8="",NA(),IF(LEFT(TRIM(Paramètres!M8),1)="F",INDEX($F$1031:$F$1083,MATCH(Paramètres!L8,Paramètres!$G$5:$G$57,0)),INDEX($E$1031:$E$1083,MATCH(Paramètres!L8,Paramètres!$G$5:$G$57,0)))+IF(RIGHT(TRIM(Paramètres!M8),3)="Fin",1-$H1034,IF(LEFT(TRIM(Paramètres!M8),1)="F",1,0)))),IF(Paramètres!N8="",0,IF(Paramètres!O8="",NA(),IF(LEFT(TRIM(Paramètres!O8),1)="F",INDEX($F$1031:$F$1083,MATCH(Paramètres!N8,Paramètres!$G$5:$G$57,0)),INDEX($E$1031:$E$1083,MATCH(Paramètres!N8,Paramètres!$G$5:$G$57,0)))+IF(RIGHT(TRIM(Paramètres!O8),3)="Fin",1-$H1034,IF(LEFT(TRIM(Paramètres!O8),1)="F",1,0)))))))</f>
        <v/>
      </c>
      <c r="F1034" s="19">
        <f>IF($A1034="","",E1034+$H1034-1)</f>
        <v/>
      </c>
      <c r="G1034" s="18" t="n"/>
      <c r="H1034" s="18">
        <f>IF($A1034="","",IF(I1034&lt;&gt;"",I1034,Paramètres!B8))</f>
        <v/>
      </c>
      <c r="I1034" s="18" t="n"/>
    </row>
    <row r="1035">
      <c r="A1035" s="18">
        <f>IF(ISNUMBER(Dossiers!$D$23),Dossiers!$A$23&amp;" · "&amp;Dossiers!$B$23,"")</f>
        <v/>
      </c>
      <c r="B1035" s="18">
        <f>IF($A1035="","",Paramètres!G9)</f>
        <v/>
      </c>
      <c r="C1035" s="18">
        <f>IF($A1035="","",IF(Paramètres!H9="","",Paramètres!H9))</f>
        <v/>
      </c>
      <c r="D1035" s="18">
        <f>IF($A1035="","",IF(Paramètres!I9="","",Paramètres!I9))</f>
        <v/>
      </c>
      <c r="E1035" s="19">
        <f>IF($A1035="","",IF(Paramètres!J9&amp;Paramètres!L9&amp;Paramètres!N9="",Dossiers!$D$23,MAX(IF(Paramètres!J9="",0,IF(Paramètres!K9="",NA(),IF(LEFT(TRIM(Paramètres!K9),1)="F",INDEX($F$1031:$F$1083,MATCH(Paramètres!J9,Paramètres!$G$5:$G$57,0)),INDEX($E$1031:$E$1083,MATCH(Paramètres!J9,Paramètres!$G$5:$G$57,0)))+IF(RIGHT(TRIM(Paramètres!K9),3)="Fin",1-$H1035,IF(LEFT(TRIM(Paramètres!K9),1)="F",1,0)))),IF(Paramètres!L9="",0,IF(Paramètres!M9="",NA(),IF(LEFT(TRIM(Paramètres!M9),1)="F",INDEX($F$1031:$F$1083,MATCH(Paramètres!L9,Paramètres!$G$5:$G$57,0)),INDEX($E$1031:$E$1083,MATCH(Paramètres!L9,Paramètres!$G$5:$G$57,0)))+IF(RIGHT(TRIM(Paramètres!M9),3)="Fin",1-$H1035,IF(LEFT(TRIM(Paramètres!M9),1)="F",1,0)))),IF(Paramètres!N9="",0,IF(Paramètres!O9="",NA(),IF(LEFT(TRIM(Paramètres!O9),1)="F",INDEX($F$1031:$F$1083,MATCH(Paramètres!N9,Paramètres!$G$5:$G$57,0)),INDEX($E$1031:$E$1083,MATCH(Paramètres!N9,Paramètres!$G$5:$G$57,0)))+IF(RIGHT(TRIM(Paramètres!O9),3)="Fin",1-$H1035,IF(LEFT(TRIM(Paramètres!O9),1)="F",1,0)))))))</f>
        <v/>
      </c>
      <c r="F1035" s="19">
        <f>IF($A1035="","",E1035+$H1035-1)</f>
        <v/>
      </c>
      <c r="G1035" s="18" t="n"/>
      <c r="H1035" s="18">
        <f>IF($A1035="","",IF(I1035&lt;&gt;"",I1035,Paramètres!B9))</f>
        <v/>
      </c>
      <c r="I1035" s="18" t="n"/>
    </row>
    <row r="1036">
      <c r="A1036" s="18">
        <f>IF(ISNUMBER(Dossiers!$D$23),Dossiers!$A$23&amp;" · "&amp;Dossiers!$B$23,"")</f>
        <v/>
      </c>
      <c r="B1036" s="18">
        <f>IF($A1036="","",Paramètres!G10)</f>
        <v/>
      </c>
      <c r="C1036" s="18">
        <f>IF($A1036="","",IF(Paramètres!H10="","",Paramètres!H10))</f>
        <v/>
      </c>
      <c r="D1036" s="18">
        <f>IF($A1036="","",IF(Paramètres!I10="","",Paramètres!I10))</f>
        <v/>
      </c>
      <c r="E1036" s="19">
        <f>IF($A1036="","",MIN(E1037:E1040))</f>
        <v/>
      </c>
      <c r="F1036" s="19">
        <f>IF($A1036="","",MAX(F1037:F1040))</f>
        <v/>
      </c>
      <c r="G1036" s="18" t="n"/>
      <c r="H1036" s="18">
        <f>IF($A1036="","",F1036-E1036+1)</f>
        <v/>
      </c>
      <c r="I1036" s="18" t="n"/>
    </row>
    <row r="1037">
      <c r="A1037" s="18">
        <f>IF(ISNUMBER(Dossiers!$D$23),Dossiers!$A$23&amp;" · "&amp;Dossiers!$B$23,"")</f>
        <v/>
      </c>
      <c r="B1037" s="18">
        <f>IF($A1037="","",Paramètres!G11)</f>
        <v/>
      </c>
      <c r="C1037" s="18">
        <f>IF($A1037="","",IF(Paramètres!H11="","",Paramètres!H11))</f>
        <v/>
      </c>
      <c r="D1037" s="18">
        <f>IF($A1037="","",IF(Paramètres!I11="","",Paramètres!I11))</f>
        <v/>
      </c>
      <c r="E1037" s="19">
        <f>IF($A1037="","",IF(Paramètres!J11&amp;Paramètres!L11&amp;Paramètres!N11="",Dossiers!$D$23,MAX(IF(Paramètres!J11="",0,IF(Paramètres!K11="",NA(),IF(LEFT(TRIM(Paramètres!K11),1)="F",INDEX($F$1031:$F$1083,MATCH(Paramètres!J11,Paramètres!$G$5:$G$57,0)),INDEX($E$1031:$E$1083,MATCH(Paramètres!J11,Paramètres!$G$5:$G$57,0)))+IF(RIGHT(TRIM(Paramètres!K11),3)="Fin",1-$H1037,IF(LEFT(TRIM(Paramètres!K11),1)="F",1,0)))),IF(Paramètres!L11="",0,IF(Paramètres!M11="",NA(),IF(LEFT(TRIM(Paramètres!M11),1)="F",INDEX($F$1031:$F$1083,MATCH(Paramètres!L11,Paramètres!$G$5:$G$57,0)),INDEX($E$1031:$E$1083,MATCH(Paramètres!L11,Paramètres!$G$5:$G$57,0)))+IF(RIGHT(TRIM(Paramètres!M11),3)="Fin",1-$H1037,IF(LEFT(TRIM(Paramètres!M11),1)="F",1,0)))),IF(Paramètres!N11="",0,IF(Paramètres!O11="",NA(),IF(LEFT(TRIM(Paramètres!O11),1)="F",INDEX($F$1031:$F$1083,MATCH(Paramètres!N11,Paramètres!$G$5:$G$57,0)),INDEX($E$1031:$E$1083,MATCH(Paramètres!N11,Paramètres!$G$5:$G$57,0)))+IF(RIGHT(TRIM(Paramètres!O11),3)="Fin",1-$H1037,IF(LEFT(TRIM(Paramètres!O11),1)="F",1,0)))))))</f>
        <v/>
      </c>
      <c r="F1037" s="19">
        <f>IF($A1037="","",E1037+$H1037-1)</f>
        <v/>
      </c>
      <c r="G1037" s="18" t="n"/>
      <c r="H1037" s="18">
        <f>IF($A1037="","",IF(I1037&lt;&gt;"",I1037,Paramètres!B11))</f>
        <v/>
      </c>
      <c r="I1037" s="18" t="n"/>
    </row>
    <row r="1038">
      <c r="A1038" s="18">
        <f>IF(ISNUMBER(Dossiers!$D$23),Dossiers!$A$23&amp;" · "&amp;Dossiers!$B$23,"")</f>
        <v/>
      </c>
      <c r="B1038" s="18">
        <f>IF($A1038="","",Paramètres!G12)</f>
        <v/>
      </c>
      <c r="C1038" s="18">
        <f>IF($A1038="","",IF(Paramètres!H12="","",Paramètres!H12))</f>
        <v/>
      </c>
      <c r="D1038" s="18">
        <f>IF($A1038="","",IF(Paramètres!I12="","",Paramètres!I12))</f>
        <v/>
      </c>
      <c r="E1038" s="19">
        <f>IF($A1038="","",IF(Paramètres!J12&amp;Paramètres!L12&amp;Paramètres!N12="",Dossiers!$D$23,MAX(IF(Paramètres!J12="",0,IF(Paramètres!K12="",NA(),IF(LEFT(TRIM(Paramètres!K12),1)="F",INDEX($F$1031:$F$1083,MATCH(Paramètres!J12,Paramètres!$G$5:$G$57,0)),INDEX($E$1031:$E$1083,MATCH(Paramètres!J12,Paramètres!$G$5:$G$57,0)))+IF(RIGHT(TRIM(Paramètres!K12),3)="Fin",1-$H1038,IF(LEFT(TRIM(Paramètres!K12),1)="F",1,0)))),IF(Paramètres!L12="",0,IF(Paramètres!M12="",NA(),IF(LEFT(TRIM(Paramètres!M12),1)="F",INDEX($F$1031:$F$1083,MATCH(Paramètres!L12,Paramètres!$G$5:$G$57,0)),INDEX($E$1031:$E$1083,MATCH(Paramètres!L12,Paramètres!$G$5:$G$57,0)))+IF(RIGHT(TRIM(Paramètres!M12),3)="Fin",1-$H1038,IF(LEFT(TRIM(Paramètres!M12),1)="F",1,0)))),IF(Paramètres!N12="",0,IF(Paramètres!O12="",NA(),IF(LEFT(TRIM(Paramètres!O12),1)="F",INDEX($F$1031:$F$1083,MATCH(Paramètres!N12,Paramètres!$G$5:$G$57,0)),INDEX($E$1031:$E$1083,MATCH(Paramètres!N12,Paramètres!$G$5:$G$57,0)))+IF(RIGHT(TRIM(Paramètres!O12),3)="Fin",1-$H1038,IF(LEFT(TRIM(Paramètres!O12),1)="F",1,0)))))))</f>
        <v/>
      </c>
      <c r="F1038" s="19">
        <f>IF($A1038="","",E1038+$H1038-1)</f>
        <v/>
      </c>
      <c r="G1038" s="18" t="n"/>
      <c r="H1038" s="18">
        <f>IF($A1038="","",IF(I1038&lt;&gt;"",I1038,Paramètres!B12))</f>
        <v/>
      </c>
      <c r="I1038" s="18" t="n"/>
    </row>
    <row r="1039">
      <c r="A1039" s="18">
        <f>IF(ISNUMBER(Dossiers!$D$23),Dossiers!$A$23&amp;" · "&amp;Dossiers!$B$23,"")</f>
        <v/>
      </c>
      <c r="B1039" s="18">
        <f>IF($A1039="","",Paramètres!G13)</f>
        <v/>
      </c>
      <c r="C1039" s="18">
        <f>IF($A1039="","",IF(Paramètres!H13="","",Paramètres!H13))</f>
        <v/>
      </c>
      <c r="D1039" s="18">
        <f>IF($A1039="","",IF(Paramètres!I13="","",Paramètres!I13))</f>
        <v/>
      </c>
      <c r="E1039" s="19">
        <f>IF($A1039="","",IF(Paramètres!J13&amp;Paramètres!L13&amp;Paramètres!N13="",Dossiers!$D$23,MAX(IF(Paramètres!J13="",0,IF(Paramètres!K13="",NA(),IF(LEFT(TRIM(Paramètres!K13),1)="F",INDEX($F$1031:$F$1083,MATCH(Paramètres!J13,Paramètres!$G$5:$G$57,0)),INDEX($E$1031:$E$1083,MATCH(Paramètres!J13,Paramètres!$G$5:$G$57,0)))+IF(RIGHT(TRIM(Paramètres!K13),3)="Fin",1-$H1039,IF(LEFT(TRIM(Paramètres!K13),1)="F",1,0)))),IF(Paramètres!L13="",0,IF(Paramètres!M13="",NA(),IF(LEFT(TRIM(Paramètres!M13),1)="F",INDEX($F$1031:$F$1083,MATCH(Paramètres!L13,Paramètres!$G$5:$G$57,0)),INDEX($E$1031:$E$1083,MATCH(Paramètres!L13,Paramètres!$G$5:$G$57,0)))+IF(RIGHT(TRIM(Paramètres!M13),3)="Fin",1-$H1039,IF(LEFT(TRIM(Paramètres!M13),1)="F",1,0)))),IF(Paramètres!N13="",0,IF(Paramètres!O13="",NA(),IF(LEFT(TRIM(Paramètres!O13),1)="F",INDEX($F$1031:$F$1083,MATCH(Paramètres!N13,Paramètres!$G$5:$G$57,0)),INDEX($E$1031:$E$1083,MATCH(Paramètres!N13,Paramètres!$G$5:$G$57,0)))+IF(RIGHT(TRIM(Paramètres!O13),3)="Fin",1-$H1039,IF(LEFT(TRIM(Paramètres!O13),1)="F",1,0)))))))</f>
        <v/>
      </c>
      <c r="F1039" s="19">
        <f>IF($A1039="","",E1039+$H1039-1)</f>
        <v/>
      </c>
      <c r="G1039" s="18" t="n"/>
      <c r="H1039" s="18">
        <f>IF($A1039="","",IF(I1039&lt;&gt;"",I1039,Paramètres!B13))</f>
        <v/>
      </c>
      <c r="I1039" s="18" t="n"/>
    </row>
    <row r="1040">
      <c r="A1040" s="18">
        <f>IF(ISNUMBER(Dossiers!$D$23),Dossiers!$A$23&amp;" · "&amp;Dossiers!$B$23,"")</f>
        <v/>
      </c>
      <c r="B1040" s="18">
        <f>IF($A1040="","",Paramètres!G14)</f>
        <v/>
      </c>
      <c r="C1040" s="18">
        <f>IF($A1040="","",IF(Paramètres!H14="","",Paramètres!H14))</f>
        <v/>
      </c>
      <c r="D1040" s="18">
        <f>IF($A1040="","",IF(Paramètres!I14="","",Paramètres!I14))</f>
        <v/>
      </c>
      <c r="E1040" s="19">
        <f>IF($A1040="","",IF(Paramètres!J14&amp;Paramètres!L14&amp;Paramètres!N14="",Dossiers!$D$23,MAX(IF(Paramètres!J14="",0,IF(Paramètres!K14="",NA(),IF(LEFT(TRIM(Paramètres!K14),1)="F",INDEX($F$1031:$F$1083,MATCH(Paramètres!J14,Paramètres!$G$5:$G$57,0)),INDEX($E$1031:$E$1083,MATCH(Paramètres!J14,Paramètres!$G$5:$G$57,0)))+IF(RIGHT(TRIM(Paramètres!K14),3)="Fin",1-$H1040,IF(LEFT(TRIM(Paramètres!K14),1)="F",1,0)))),IF(Paramètres!L14="",0,IF(Paramètres!M14="",NA(),IF(LEFT(TRIM(Paramètres!M14),1)="F",INDEX($F$1031:$F$1083,MATCH(Paramètres!L14,Paramètres!$G$5:$G$57,0)),INDEX($E$1031:$E$1083,MATCH(Paramètres!L14,Paramètres!$G$5:$G$57,0)))+IF(RIGHT(TRIM(Paramètres!M14),3)="Fin",1-$H1040,IF(LEFT(TRIM(Paramètres!M14),1)="F",1,0)))),IF(Paramètres!N14="",0,IF(Paramètres!O14="",NA(),IF(LEFT(TRIM(Paramètres!O14),1)="F",INDEX($F$1031:$F$1083,MATCH(Paramètres!N14,Paramètres!$G$5:$G$57,0)),INDEX($E$1031:$E$1083,MATCH(Paramètres!N14,Paramètres!$G$5:$G$57,0)))+IF(RIGHT(TRIM(Paramètres!O14),3)="Fin",1-$H1040,IF(LEFT(TRIM(Paramètres!O14),1)="F",1,0)))))))</f>
        <v/>
      </c>
      <c r="F1040" s="19">
        <f>IF($A1040="","",E1040+$H1040-1)</f>
        <v/>
      </c>
      <c r="G1040" s="18" t="n"/>
      <c r="H1040" s="18">
        <f>IF($A1040="","",IF(I1040&lt;&gt;"",I1040,Paramètres!B14))</f>
        <v/>
      </c>
      <c r="I1040" s="18" t="n"/>
    </row>
    <row r="1041">
      <c r="A1041" s="18">
        <f>IF(ISNUMBER(Dossiers!$D$23),Dossiers!$A$23&amp;" · "&amp;Dossiers!$B$23,"")</f>
        <v/>
      </c>
      <c r="B1041" s="18">
        <f>IF($A1041="","",Paramètres!G15)</f>
        <v/>
      </c>
      <c r="C1041" s="18">
        <f>IF($A1041="","",IF(Paramètres!H15="","",Paramètres!H15))</f>
        <v/>
      </c>
      <c r="D1041" s="18">
        <f>IF($A1041="","",IF(Paramètres!I15="","",Paramètres!I15))</f>
        <v/>
      </c>
      <c r="E1041" s="19">
        <f>IF($A1041="","",MIN(E1042:E1057))</f>
        <v/>
      </c>
      <c r="F1041" s="19">
        <f>IF($A1041="","",MAX(F1042:F1057))</f>
        <v/>
      </c>
      <c r="G1041" s="18" t="n"/>
      <c r="H1041" s="18">
        <f>IF($A1041="","",F1041-E1041+1)</f>
        <v/>
      </c>
      <c r="I1041" s="18" t="n"/>
    </row>
    <row r="1042">
      <c r="A1042" s="18">
        <f>IF(ISNUMBER(Dossiers!$D$23),Dossiers!$A$23&amp;" · "&amp;Dossiers!$B$23,"")</f>
        <v/>
      </c>
      <c r="B1042" s="18">
        <f>IF($A1042="","",Paramètres!G16)</f>
        <v/>
      </c>
      <c r="C1042" s="18">
        <f>IF($A1042="","",IF(Paramètres!H16="","",Paramètres!H16))</f>
        <v/>
      </c>
      <c r="D1042" s="18">
        <f>IF($A1042="","",IF(Paramètres!I16="","",Paramètres!I16))</f>
        <v/>
      </c>
      <c r="E1042" s="19">
        <f>IF($A1042="","",IF(Paramètres!J16&amp;Paramètres!L16&amp;Paramètres!N16="",Dossiers!$D$23,MAX(IF(Paramètres!J16="",0,IF(Paramètres!K16="",NA(),IF(LEFT(TRIM(Paramètres!K16),1)="F",INDEX($F$1031:$F$1083,MATCH(Paramètres!J16,Paramètres!$G$5:$G$57,0)),INDEX($E$1031:$E$1083,MATCH(Paramètres!J16,Paramètres!$G$5:$G$57,0)))+IF(RIGHT(TRIM(Paramètres!K16),3)="Fin",1-$H1042,IF(LEFT(TRIM(Paramètres!K16),1)="F",1,0)))),IF(Paramètres!L16="",0,IF(Paramètres!M16="",NA(),IF(LEFT(TRIM(Paramètres!M16),1)="F",INDEX($F$1031:$F$1083,MATCH(Paramètres!L16,Paramètres!$G$5:$G$57,0)),INDEX($E$1031:$E$1083,MATCH(Paramètres!L16,Paramètres!$G$5:$G$57,0)))+IF(RIGHT(TRIM(Paramètres!M16),3)="Fin",1-$H1042,IF(LEFT(TRIM(Paramètres!M16),1)="F",1,0)))),IF(Paramètres!N16="",0,IF(Paramètres!O16="",NA(),IF(LEFT(TRIM(Paramètres!O16),1)="F",INDEX($F$1031:$F$1083,MATCH(Paramètres!N16,Paramètres!$G$5:$G$57,0)),INDEX($E$1031:$E$1083,MATCH(Paramètres!N16,Paramètres!$G$5:$G$57,0)))+IF(RIGHT(TRIM(Paramètres!O16),3)="Fin",1-$H1042,IF(LEFT(TRIM(Paramètres!O16),1)="F",1,0)))))))</f>
        <v/>
      </c>
      <c r="F1042" s="19">
        <f>IF($A1042="","",E1042+$H1042-1)</f>
        <v/>
      </c>
      <c r="G1042" s="18" t="n"/>
      <c r="H1042" s="18">
        <f>IF($A1042="","",IF(I1042&lt;&gt;"",I1042,Paramètres!B16))</f>
        <v/>
      </c>
      <c r="I1042" s="18" t="n"/>
    </row>
    <row r="1043">
      <c r="A1043" s="18">
        <f>IF(ISNUMBER(Dossiers!$D$23),Dossiers!$A$23&amp;" · "&amp;Dossiers!$B$23,"")</f>
        <v/>
      </c>
      <c r="B1043" s="18">
        <f>IF($A1043="","",Paramètres!G17)</f>
        <v/>
      </c>
      <c r="C1043" s="18">
        <f>IF($A1043="","",IF(Paramètres!H17="","",Paramètres!H17))</f>
        <v/>
      </c>
      <c r="D1043" s="18">
        <f>IF($A1043="","",IF(Paramètres!I17="","",Paramètres!I17))</f>
        <v/>
      </c>
      <c r="E1043" s="19">
        <f>IF($A1043="","",IF(Paramètres!J17&amp;Paramètres!L17&amp;Paramètres!N17="",Dossiers!$D$23,MAX(IF(Paramètres!J17="",0,IF(Paramètres!K17="",NA(),IF(LEFT(TRIM(Paramètres!K17),1)="F",INDEX($F$1031:$F$1083,MATCH(Paramètres!J17,Paramètres!$G$5:$G$57,0)),INDEX($E$1031:$E$1083,MATCH(Paramètres!J17,Paramètres!$G$5:$G$57,0)))+IF(RIGHT(TRIM(Paramètres!K17),3)="Fin",1-$H1043,IF(LEFT(TRIM(Paramètres!K17),1)="F",1,0)))),IF(Paramètres!L17="",0,IF(Paramètres!M17="",NA(),IF(LEFT(TRIM(Paramètres!M17),1)="F",INDEX($F$1031:$F$1083,MATCH(Paramètres!L17,Paramètres!$G$5:$G$57,0)),INDEX($E$1031:$E$1083,MATCH(Paramètres!L17,Paramètres!$G$5:$G$57,0)))+IF(RIGHT(TRIM(Paramètres!M17),3)="Fin",1-$H1043,IF(LEFT(TRIM(Paramètres!M17),1)="F",1,0)))),IF(Paramètres!N17="",0,IF(Paramètres!O17="",NA(),IF(LEFT(TRIM(Paramètres!O17),1)="F",INDEX($F$1031:$F$1083,MATCH(Paramètres!N17,Paramètres!$G$5:$G$57,0)),INDEX($E$1031:$E$1083,MATCH(Paramètres!N17,Paramètres!$G$5:$G$57,0)))+IF(RIGHT(TRIM(Paramètres!O17),3)="Fin",1-$H1043,IF(LEFT(TRIM(Paramètres!O17),1)="F",1,0)))))))</f>
        <v/>
      </c>
      <c r="F1043" s="19">
        <f>IF($A1043="","",E1043+$H1043-1)</f>
        <v/>
      </c>
      <c r="G1043" s="18" t="n"/>
      <c r="H1043" s="18">
        <f>IF($A1043="","",IF(I1043&lt;&gt;"",I1043,Paramètres!B17))</f>
        <v/>
      </c>
      <c r="I1043" s="18" t="n"/>
    </row>
    <row r="1044">
      <c r="A1044" s="18">
        <f>IF(ISNUMBER(Dossiers!$D$23),Dossiers!$A$23&amp;" · "&amp;Dossiers!$B$23,"")</f>
        <v/>
      </c>
      <c r="B1044" s="18">
        <f>IF($A1044="","",Paramètres!G18)</f>
        <v/>
      </c>
      <c r="C1044" s="18">
        <f>IF($A1044="","",IF(Paramètres!H18="","",Paramètres!H18))</f>
        <v/>
      </c>
      <c r="D1044" s="18">
        <f>IF($A1044="","",IF(Paramètres!I18="","",Paramètres!I18))</f>
        <v/>
      </c>
      <c r="E1044" s="19">
        <f>IF($A1044="","",IF(Paramètres!J18&amp;Paramètres!L18&amp;Paramètres!N18="",Dossiers!$D$23,MAX(IF(Paramètres!J18="",0,IF(Paramètres!K18="",NA(),IF(LEFT(TRIM(Paramètres!K18),1)="F",INDEX($F$1031:$F$1083,MATCH(Paramètres!J18,Paramètres!$G$5:$G$57,0)),INDEX($E$1031:$E$1083,MATCH(Paramètres!J18,Paramètres!$G$5:$G$57,0)))+IF(RIGHT(TRIM(Paramètres!K18),3)="Fin",1-$H1044,IF(LEFT(TRIM(Paramètres!K18),1)="F",1,0)))),IF(Paramètres!L18="",0,IF(Paramètres!M18="",NA(),IF(LEFT(TRIM(Paramètres!M18),1)="F",INDEX($F$1031:$F$1083,MATCH(Paramètres!L18,Paramètres!$G$5:$G$57,0)),INDEX($E$1031:$E$1083,MATCH(Paramètres!L18,Paramètres!$G$5:$G$57,0)))+IF(RIGHT(TRIM(Paramètres!M18),3)="Fin",1-$H1044,IF(LEFT(TRIM(Paramètres!M18),1)="F",1,0)))),IF(Paramètres!N18="",0,IF(Paramètres!O18="",NA(),IF(LEFT(TRIM(Paramètres!O18),1)="F",INDEX($F$1031:$F$1083,MATCH(Paramètres!N18,Paramètres!$G$5:$G$57,0)),INDEX($E$1031:$E$1083,MATCH(Paramètres!N18,Paramètres!$G$5:$G$57,0)))+IF(RIGHT(TRIM(Paramètres!O18),3)="Fin",1-$H1044,IF(LEFT(TRIM(Paramètres!O18),1)="F",1,0)))))))</f>
        <v/>
      </c>
      <c r="F1044" s="19">
        <f>IF($A1044="","",E1044+$H1044-1)</f>
        <v/>
      </c>
      <c r="G1044" s="18" t="n"/>
      <c r="H1044" s="18">
        <f>IF($A1044="","",IF(I1044&lt;&gt;"",I1044,Paramètres!B18))</f>
        <v/>
      </c>
      <c r="I1044" s="18" t="n"/>
    </row>
    <row r="1045">
      <c r="A1045" s="18">
        <f>IF(ISNUMBER(Dossiers!$D$23),Dossiers!$A$23&amp;" · "&amp;Dossiers!$B$23,"")</f>
        <v/>
      </c>
      <c r="B1045" s="18">
        <f>IF($A1045="","",Paramètres!G19)</f>
        <v/>
      </c>
      <c r="C1045" s="18">
        <f>IF($A1045="","",IF(Paramètres!H19="","",Paramètres!H19))</f>
        <v/>
      </c>
      <c r="D1045" s="18">
        <f>IF($A1045="","",IF(Paramètres!I19="","",Paramètres!I19))</f>
        <v/>
      </c>
      <c r="E1045" s="19">
        <f>IF($A1045="","",IF(Paramètres!J19&amp;Paramètres!L19&amp;Paramètres!N19="",Dossiers!$D$23,MAX(IF(Paramètres!J19="",0,IF(Paramètres!K19="",NA(),IF(LEFT(TRIM(Paramètres!K19),1)="F",INDEX($F$1031:$F$1083,MATCH(Paramètres!J19,Paramètres!$G$5:$G$57,0)),INDEX($E$1031:$E$1083,MATCH(Paramètres!J19,Paramètres!$G$5:$G$57,0)))+IF(RIGHT(TRIM(Paramètres!K19),3)="Fin",1-$H1045,IF(LEFT(TRIM(Paramètres!K19),1)="F",1,0)))),IF(Paramètres!L19="",0,IF(Paramètres!M19="",NA(),IF(LEFT(TRIM(Paramètres!M19),1)="F",INDEX($F$1031:$F$1083,MATCH(Paramètres!L19,Paramètres!$G$5:$G$57,0)),INDEX($E$1031:$E$1083,MATCH(Paramètres!L19,Paramètres!$G$5:$G$57,0)))+IF(RIGHT(TRIM(Paramètres!M19),3)="Fin",1-$H1045,IF(LEFT(TRIM(Paramètres!M19),1)="F",1,0)))),IF(Paramètres!N19="",0,IF(Paramètres!O19="",NA(),IF(LEFT(TRIM(Paramètres!O19),1)="F",INDEX($F$1031:$F$1083,MATCH(Paramètres!N19,Paramètres!$G$5:$G$57,0)),INDEX($E$1031:$E$1083,MATCH(Paramètres!N19,Paramètres!$G$5:$G$57,0)))+IF(RIGHT(TRIM(Paramètres!O19),3)="Fin",1-$H1045,IF(LEFT(TRIM(Paramètres!O19),1)="F",1,0)))))))</f>
        <v/>
      </c>
      <c r="F1045" s="19">
        <f>IF($A1045="","",E1045+$H1045-1)</f>
        <v/>
      </c>
      <c r="G1045" s="18" t="n"/>
      <c r="H1045" s="18">
        <f>IF($A1045="","",IF(I1045&lt;&gt;"",I1045,Paramètres!B19))</f>
        <v/>
      </c>
      <c r="I1045" s="18" t="n"/>
    </row>
    <row r="1046">
      <c r="A1046" s="18">
        <f>IF(ISNUMBER(Dossiers!$D$23),Dossiers!$A$23&amp;" · "&amp;Dossiers!$B$23,"")</f>
        <v/>
      </c>
      <c r="B1046" s="18">
        <f>IF($A1046="","",Paramètres!G20)</f>
        <v/>
      </c>
      <c r="C1046" s="18">
        <f>IF($A1046="","",IF(Paramètres!H20="","",Paramètres!H20))</f>
        <v/>
      </c>
      <c r="D1046" s="18">
        <f>IF($A1046="","",IF(Paramètres!I20="","",Paramètres!I20))</f>
        <v/>
      </c>
      <c r="E1046" s="19">
        <f>IF($A1046="","",IF(Paramètres!J20&amp;Paramètres!L20&amp;Paramètres!N20="",Dossiers!$D$23,MAX(IF(Paramètres!J20="",0,IF(Paramètres!K20="",NA(),IF(LEFT(TRIM(Paramètres!K20),1)="F",INDEX($F$1031:$F$1083,MATCH(Paramètres!J20,Paramètres!$G$5:$G$57,0)),INDEX($E$1031:$E$1083,MATCH(Paramètres!J20,Paramètres!$G$5:$G$57,0)))+IF(RIGHT(TRIM(Paramètres!K20),3)="Fin",1-$H1046,IF(LEFT(TRIM(Paramètres!K20),1)="F",1,0)))),IF(Paramètres!L20="",0,IF(Paramètres!M20="",NA(),IF(LEFT(TRIM(Paramètres!M20),1)="F",INDEX($F$1031:$F$1083,MATCH(Paramètres!L20,Paramètres!$G$5:$G$57,0)),INDEX($E$1031:$E$1083,MATCH(Paramètres!L20,Paramètres!$G$5:$G$57,0)))+IF(RIGHT(TRIM(Paramètres!M20),3)="Fin",1-$H1046,IF(LEFT(TRIM(Paramètres!M20),1)="F",1,0)))),IF(Paramètres!N20="",0,IF(Paramètres!O20="",NA(),IF(LEFT(TRIM(Paramètres!O20),1)="F",INDEX($F$1031:$F$1083,MATCH(Paramètres!N20,Paramètres!$G$5:$G$57,0)),INDEX($E$1031:$E$1083,MATCH(Paramètres!N20,Paramètres!$G$5:$G$57,0)))+IF(RIGHT(TRIM(Paramètres!O20),3)="Fin",1-$H1046,IF(LEFT(TRIM(Paramètres!O20),1)="F",1,0)))))))</f>
        <v/>
      </c>
      <c r="F1046" s="19">
        <f>IF($A1046="","",E1046+$H1046-1)</f>
        <v/>
      </c>
      <c r="G1046" s="18" t="n"/>
      <c r="H1046" s="18">
        <f>IF($A1046="","",IF(I1046&lt;&gt;"",I1046,Paramètres!B20))</f>
        <v/>
      </c>
      <c r="I1046" s="18" t="n"/>
    </row>
    <row r="1047">
      <c r="A1047" s="18">
        <f>IF(ISNUMBER(Dossiers!$D$23),Dossiers!$A$23&amp;" · "&amp;Dossiers!$B$23,"")</f>
        <v/>
      </c>
      <c r="B1047" s="18">
        <f>IF($A1047="","",Paramètres!G21)</f>
        <v/>
      </c>
      <c r="C1047" s="18">
        <f>IF($A1047="","",IF(Paramètres!H21="","",Paramètres!H21))</f>
        <v/>
      </c>
      <c r="D1047" s="18">
        <f>IF($A1047="","",IF(Paramètres!I21="","",Paramètres!I21))</f>
        <v/>
      </c>
      <c r="E1047" s="19">
        <f>IF($A1047="","",IF(Paramètres!J21&amp;Paramètres!L21&amp;Paramètres!N21="",Dossiers!$D$23,MAX(IF(Paramètres!J21="",0,IF(Paramètres!K21="",NA(),IF(LEFT(TRIM(Paramètres!K21),1)="F",INDEX($F$1031:$F$1083,MATCH(Paramètres!J21,Paramètres!$G$5:$G$57,0)),INDEX($E$1031:$E$1083,MATCH(Paramètres!J21,Paramètres!$G$5:$G$57,0)))+IF(RIGHT(TRIM(Paramètres!K21),3)="Fin",1-$H1047,IF(LEFT(TRIM(Paramètres!K21),1)="F",1,0)))),IF(Paramètres!L21="",0,IF(Paramètres!M21="",NA(),IF(LEFT(TRIM(Paramètres!M21),1)="F",INDEX($F$1031:$F$1083,MATCH(Paramètres!L21,Paramètres!$G$5:$G$57,0)),INDEX($E$1031:$E$1083,MATCH(Paramètres!L21,Paramètres!$G$5:$G$57,0)))+IF(RIGHT(TRIM(Paramètres!M21),3)="Fin",1-$H1047,IF(LEFT(TRIM(Paramètres!M21),1)="F",1,0)))),IF(Paramètres!N21="",0,IF(Paramètres!O21="",NA(),IF(LEFT(TRIM(Paramètres!O21),1)="F",INDEX($F$1031:$F$1083,MATCH(Paramètres!N21,Paramètres!$G$5:$G$57,0)),INDEX($E$1031:$E$1083,MATCH(Paramètres!N21,Paramètres!$G$5:$G$57,0)))+IF(RIGHT(TRIM(Paramètres!O21),3)="Fin",1-$H1047,IF(LEFT(TRIM(Paramètres!O21),1)="F",1,0)))))))</f>
        <v/>
      </c>
      <c r="F1047" s="19">
        <f>IF($A1047="","",E1047+$H1047-1)</f>
        <v/>
      </c>
      <c r="G1047" s="18" t="n"/>
      <c r="H1047" s="18">
        <f>IF($A1047="","",IF(I1047&lt;&gt;"",I1047,Paramètres!B21))</f>
        <v/>
      </c>
      <c r="I1047" s="18" t="n"/>
    </row>
    <row r="1048">
      <c r="A1048" s="18">
        <f>IF(ISNUMBER(Dossiers!$D$23),Dossiers!$A$23&amp;" · "&amp;Dossiers!$B$23,"")</f>
        <v/>
      </c>
      <c r="B1048" s="18">
        <f>IF($A1048="","",Paramètres!G22)</f>
        <v/>
      </c>
      <c r="C1048" s="18">
        <f>IF($A1048="","",IF(Paramètres!H22="","",Paramètres!H22))</f>
        <v/>
      </c>
      <c r="D1048" s="18">
        <f>IF($A1048="","",IF(Paramètres!I22="","",Paramètres!I22))</f>
        <v/>
      </c>
      <c r="E1048" s="19">
        <f>IF($A1048="","",IF(Paramètres!J22&amp;Paramètres!L22&amp;Paramètres!N22="",Dossiers!$D$23,MAX(IF(Paramètres!J22="",0,IF(Paramètres!K22="",NA(),IF(LEFT(TRIM(Paramètres!K22),1)="F",INDEX($F$1031:$F$1083,MATCH(Paramètres!J22,Paramètres!$G$5:$G$57,0)),INDEX($E$1031:$E$1083,MATCH(Paramètres!J22,Paramètres!$G$5:$G$57,0)))+IF(RIGHT(TRIM(Paramètres!K22),3)="Fin",1-$H1048,IF(LEFT(TRIM(Paramètres!K22),1)="F",1,0)))),IF(Paramètres!L22="",0,IF(Paramètres!M22="",NA(),IF(LEFT(TRIM(Paramètres!M22),1)="F",INDEX($F$1031:$F$1083,MATCH(Paramètres!L22,Paramètres!$G$5:$G$57,0)),INDEX($E$1031:$E$1083,MATCH(Paramètres!L22,Paramètres!$G$5:$G$57,0)))+IF(RIGHT(TRIM(Paramètres!M22),3)="Fin",1-$H1048,IF(LEFT(TRIM(Paramètres!M22),1)="F",1,0)))),IF(Paramètres!N22="",0,IF(Paramètres!O22="",NA(),IF(LEFT(TRIM(Paramètres!O22),1)="F",INDEX($F$1031:$F$1083,MATCH(Paramètres!N22,Paramètres!$G$5:$G$57,0)),INDEX($E$1031:$E$1083,MATCH(Paramètres!N22,Paramètres!$G$5:$G$57,0)))+IF(RIGHT(TRIM(Paramètres!O22),3)="Fin",1-$H1048,IF(LEFT(TRIM(Paramètres!O22),1)="F",1,0)))))))</f>
        <v/>
      </c>
      <c r="F1048" s="19">
        <f>IF($A1048="","",E1048+$H1048-1)</f>
        <v/>
      </c>
      <c r="G1048" s="18" t="n"/>
      <c r="H1048" s="18">
        <f>IF($A1048="","",IF(I1048&lt;&gt;"",I1048,Paramètres!B22))</f>
        <v/>
      </c>
      <c r="I1048" s="18" t="n"/>
    </row>
    <row r="1049">
      <c r="A1049" s="18">
        <f>IF(ISNUMBER(Dossiers!$D$23),Dossiers!$A$23&amp;" · "&amp;Dossiers!$B$23,"")</f>
        <v/>
      </c>
      <c r="B1049" s="18">
        <f>IF($A1049="","",Paramètres!G23)</f>
        <v/>
      </c>
      <c r="C1049" s="18">
        <f>IF($A1049="","",IF(Paramètres!H23="","",Paramètres!H23))</f>
        <v/>
      </c>
      <c r="D1049" s="18">
        <f>IF($A1049="","",IF(Paramètres!I23="","",Paramètres!I23))</f>
        <v/>
      </c>
      <c r="E1049" s="19">
        <f>IF($A1049="","",IF(Paramètres!J23&amp;Paramètres!L23&amp;Paramètres!N23="",Dossiers!$D$23,MAX(IF(Paramètres!J23="",0,IF(Paramètres!K23="",NA(),IF(LEFT(TRIM(Paramètres!K23),1)="F",INDEX($F$1031:$F$1083,MATCH(Paramètres!J23,Paramètres!$G$5:$G$57,0)),INDEX($E$1031:$E$1083,MATCH(Paramètres!J23,Paramètres!$G$5:$G$57,0)))+IF(RIGHT(TRIM(Paramètres!K23),3)="Fin",1-$H1049,IF(LEFT(TRIM(Paramètres!K23),1)="F",1,0)))),IF(Paramètres!L23="",0,IF(Paramètres!M23="",NA(),IF(LEFT(TRIM(Paramètres!M23),1)="F",INDEX($F$1031:$F$1083,MATCH(Paramètres!L23,Paramètres!$G$5:$G$57,0)),INDEX($E$1031:$E$1083,MATCH(Paramètres!L23,Paramètres!$G$5:$G$57,0)))+IF(RIGHT(TRIM(Paramètres!M23),3)="Fin",1-$H1049,IF(LEFT(TRIM(Paramètres!M23),1)="F",1,0)))),IF(Paramètres!N23="",0,IF(Paramètres!O23="",NA(),IF(LEFT(TRIM(Paramètres!O23),1)="F",INDEX($F$1031:$F$1083,MATCH(Paramètres!N23,Paramètres!$G$5:$G$57,0)),INDEX($E$1031:$E$1083,MATCH(Paramètres!N23,Paramètres!$G$5:$G$57,0)))+IF(RIGHT(TRIM(Paramètres!O23),3)="Fin",1-$H1049,IF(LEFT(TRIM(Paramètres!O23),1)="F",1,0)))))))</f>
        <v/>
      </c>
      <c r="F1049" s="19">
        <f>IF($A1049="","",E1049+$H1049-1)</f>
        <v/>
      </c>
      <c r="G1049" s="18" t="n"/>
      <c r="H1049" s="18">
        <f>IF($A1049="","",IF(I1049&lt;&gt;"",I1049,Paramètres!B23))</f>
        <v/>
      </c>
      <c r="I1049" s="18" t="n"/>
    </row>
    <row r="1050">
      <c r="A1050" s="18">
        <f>IF(ISNUMBER(Dossiers!$D$23),Dossiers!$A$23&amp;" · "&amp;Dossiers!$B$23,"")</f>
        <v/>
      </c>
      <c r="B1050" s="18">
        <f>IF($A1050="","",Paramètres!G24)</f>
        <v/>
      </c>
      <c r="C1050" s="18">
        <f>IF($A1050="","",IF(Paramètres!H24="","",Paramètres!H24))</f>
        <v/>
      </c>
      <c r="D1050" s="18">
        <f>IF($A1050="","",IF(Paramètres!I24="","",Paramètres!I24))</f>
        <v/>
      </c>
      <c r="E1050" s="19">
        <f>IF($A1050="","",IF(Paramètres!J24&amp;Paramètres!L24&amp;Paramètres!N24="",Dossiers!$D$23,MAX(IF(Paramètres!J24="",0,IF(Paramètres!K24="",NA(),IF(LEFT(TRIM(Paramètres!K24),1)="F",INDEX($F$1031:$F$1083,MATCH(Paramètres!J24,Paramètres!$G$5:$G$57,0)),INDEX($E$1031:$E$1083,MATCH(Paramètres!J24,Paramètres!$G$5:$G$57,0)))+IF(RIGHT(TRIM(Paramètres!K24),3)="Fin",1-$H1050,IF(LEFT(TRIM(Paramètres!K24),1)="F",1,0)))),IF(Paramètres!L24="",0,IF(Paramètres!M24="",NA(),IF(LEFT(TRIM(Paramètres!M24),1)="F",INDEX($F$1031:$F$1083,MATCH(Paramètres!L24,Paramètres!$G$5:$G$57,0)),INDEX($E$1031:$E$1083,MATCH(Paramètres!L24,Paramètres!$G$5:$G$57,0)))+IF(RIGHT(TRIM(Paramètres!M24),3)="Fin",1-$H1050,IF(LEFT(TRIM(Paramètres!M24),1)="F",1,0)))),IF(Paramètres!N24="",0,IF(Paramètres!O24="",NA(),IF(LEFT(TRIM(Paramètres!O24),1)="F",INDEX($F$1031:$F$1083,MATCH(Paramètres!N24,Paramètres!$G$5:$G$57,0)),INDEX($E$1031:$E$1083,MATCH(Paramètres!N24,Paramètres!$G$5:$G$57,0)))+IF(RIGHT(TRIM(Paramètres!O24),3)="Fin",1-$H1050,IF(LEFT(TRIM(Paramètres!O24),1)="F",1,0)))))))</f>
        <v/>
      </c>
      <c r="F1050" s="19">
        <f>IF($A1050="","",E1050+$H1050-1)</f>
        <v/>
      </c>
      <c r="G1050" s="18" t="n"/>
      <c r="H1050" s="18">
        <f>IF($A1050="","",IF(I1050&lt;&gt;"",I1050,Paramètres!B24))</f>
        <v/>
      </c>
      <c r="I1050" s="18" t="n"/>
    </row>
    <row r="1051">
      <c r="A1051" s="18">
        <f>IF(ISNUMBER(Dossiers!$D$23),Dossiers!$A$23&amp;" · "&amp;Dossiers!$B$23,"")</f>
        <v/>
      </c>
      <c r="B1051" s="18">
        <f>IF($A1051="","",Paramètres!G25)</f>
        <v/>
      </c>
      <c r="C1051" s="18">
        <f>IF($A1051="","",IF(Paramètres!H25="","",Paramètres!H25))</f>
        <v/>
      </c>
      <c r="D1051" s="18">
        <f>IF($A1051="","",IF(Paramètres!I25="","",Paramètres!I25))</f>
        <v/>
      </c>
      <c r="E1051" s="19">
        <f>IF($A1051="","",IF(Paramètres!J25&amp;Paramètres!L25&amp;Paramètres!N25="",Dossiers!$D$23,MAX(IF(Paramètres!J25="",0,IF(Paramètres!K25="",NA(),IF(LEFT(TRIM(Paramètres!K25),1)="F",INDEX($F$1031:$F$1083,MATCH(Paramètres!J25,Paramètres!$G$5:$G$57,0)),INDEX($E$1031:$E$1083,MATCH(Paramètres!J25,Paramètres!$G$5:$G$57,0)))+IF(RIGHT(TRIM(Paramètres!K25),3)="Fin",1-$H1051,IF(LEFT(TRIM(Paramètres!K25),1)="F",1,0)))),IF(Paramètres!L25="",0,IF(Paramètres!M25="",NA(),IF(LEFT(TRIM(Paramètres!M25),1)="F",INDEX($F$1031:$F$1083,MATCH(Paramètres!L25,Paramètres!$G$5:$G$57,0)),INDEX($E$1031:$E$1083,MATCH(Paramètres!L25,Paramètres!$G$5:$G$57,0)))+IF(RIGHT(TRIM(Paramètres!M25),3)="Fin",1-$H1051,IF(LEFT(TRIM(Paramètres!M25),1)="F",1,0)))),IF(Paramètres!N25="",0,IF(Paramètres!O25="",NA(),IF(LEFT(TRIM(Paramètres!O25),1)="F",INDEX($F$1031:$F$1083,MATCH(Paramètres!N25,Paramètres!$G$5:$G$57,0)),INDEX($E$1031:$E$1083,MATCH(Paramètres!N25,Paramètres!$G$5:$G$57,0)))+IF(RIGHT(TRIM(Paramètres!O25),3)="Fin",1-$H1051,IF(LEFT(TRIM(Paramètres!O25),1)="F",1,0)))))))</f>
        <v/>
      </c>
      <c r="F1051" s="19">
        <f>IF($A1051="","",E1051+$H1051-1)</f>
        <v/>
      </c>
      <c r="G1051" s="18" t="n"/>
      <c r="H1051" s="18">
        <f>IF($A1051="","",IF(I1051&lt;&gt;"",I1051,Paramètres!B25))</f>
        <v/>
      </c>
      <c r="I1051" s="18" t="n"/>
    </row>
    <row r="1052">
      <c r="A1052" s="18">
        <f>IF(ISNUMBER(Dossiers!$D$23),Dossiers!$A$23&amp;" · "&amp;Dossiers!$B$23,"")</f>
        <v/>
      </c>
      <c r="B1052" s="18">
        <f>IF($A1052="","",Paramètres!G26)</f>
        <v/>
      </c>
      <c r="C1052" s="18">
        <f>IF($A1052="","",IF(Paramètres!H26="","",Paramètres!H26))</f>
        <v/>
      </c>
      <c r="D1052" s="18">
        <f>IF($A1052="","",IF(Paramètres!I26="","",Paramètres!I26))</f>
        <v/>
      </c>
      <c r="E1052" s="19">
        <f>IF($A1052="","",IF(Paramètres!J26&amp;Paramètres!L26&amp;Paramètres!N26="",Dossiers!$D$23,MAX(IF(Paramètres!J26="",0,IF(Paramètres!K26="",NA(),IF(LEFT(TRIM(Paramètres!K26),1)="F",INDEX($F$1031:$F$1083,MATCH(Paramètres!J26,Paramètres!$G$5:$G$57,0)),INDEX($E$1031:$E$1083,MATCH(Paramètres!J26,Paramètres!$G$5:$G$57,0)))+IF(RIGHT(TRIM(Paramètres!K26),3)="Fin",1-$H1052,IF(LEFT(TRIM(Paramètres!K26),1)="F",1,0)))),IF(Paramètres!L26="",0,IF(Paramètres!M26="",NA(),IF(LEFT(TRIM(Paramètres!M26),1)="F",INDEX($F$1031:$F$1083,MATCH(Paramètres!L26,Paramètres!$G$5:$G$57,0)),INDEX($E$1031:$E$1083,MATCH(Paramètres!L26,Paramètres!$G$5:$G$57,0)))+IF(RIGHT(TRIM(Paramètres!M26),3)="Fin",1-$H1052,IF(LEFT(TRIM(Paramètres!M26),1)="F",1,0)))),IF(Paramètres!N26="",0,IF(Paramètres!O26="",NA(),IF(LEFT(TRIM(Paramètres!O26),1)="F",INDEX($F$1031:$F$1083,MATCH(Paramètres!N26,Paramètres!$G$5:$G$57,0)),INDEX($E$1031:$E$1083,MATCH(Paramètres!N26,Paramètres!$G$5:$G$57,0)))+IF(RIGHT(TRIM(Paramètres!O26),3)="Fin",1-$H1052,IF(LEFT(TRIM(Paramètres!O26),1)="F",1,0)))))))</f>
        <v/>
      </c>
      <c r="F1052" s="19">
        <f>IF($A1052="","",E1052+$H1052-1)</f>
        <v/>
      </c>
      <c r="G1052" s="18" t="n"/>
      <c r="H1052" s="18">
        <f>IF($A1052="","",IF(I1052&lt;&gt;"",I1052,Paramètres!B26))</f>
        <v/>
      </c>
      <c r="I1052" s="18" t="n"/>
    </row>
    <row r="1053">
      <c r="A1053" s="18">
        <f>IF(ISNUMBER(Dossiers!$D$23),Dossiers!$A$23&amp;" · "&amp;Dossiers!$B$23,"")</f>
        <v/>
      </c>
      <c r="B1053" s="18">
        <f>IF($A1053="","",Paramètres!G27)</f>
        <v/>
      </c>
      <c r="C1053" s="18">
        <f>IF($A1053="","",IF(Paramètres!H27="","",Paramètres!H27))</f>
        <v/>
      </c>
      <c r="D1053" s="18">
        <f>IF($A1053="","",IF(Paramètres!I27="","",Paramètres!I27))</f>
        <v/>
      </c>
      <c r="E1053" s="19">
        <f>IF($A1053="","",IF(Paramètres!J27&amp;Paramètres!L27&amp;Paramètres!N27="",Dossiers!$D$23,MAX(IF(Paramètres!J27="",0,IF(Paramètres!K27="",NA(),IF(LEFT(TRIM(Paramètres!K27),1)="F",INDEX($F$1031:$F$1083,MATCH(Paramètres!J27,Paramètres!$G$5:$G$57,0)),INDEX($E$1031:$E$1083,MATCH(Paramètres!J27,Paramètres!$G$5:$G$57,0)))+IF(RIGHT(TRIM(Paramètres!K27),3)="Fin",1-$H1053,IF(LEFT(TRIM(Paramètres!K27),1)="F",1,0)))),IF(Paramètres!L27="",0,IF(Paramètres!M27="",NA(),IF(LEFT(TRIM(Paramètres!M27),1)="F",INDEX($F$1031:$F$1083,MATCH(Paramètres!L27,Paramètres!$G$5:$G$57,0)),INDEX($E$1031:$E$1083,MATCH(Paramètres!L27,Paramètres!$G$5:$G$57,0)))+IF(RIGHT(TRIM(Paramètres!M27),3)="Fin",1-$H1053,IF(LEFT(TRIM(Paramètres!M27),1)="F",1,0)))),IF(Paramètres!N27="",0,IF(Paramètres!O27="",NA(),IF(LEFT(TRIM(Paramètres!O27),1)="F",INDEX($F$1031:$F$1083,MATCH(Paramètres!N27,Paramètres!$G$5:$G$57,0)),INDEX($E$1031:$E$1083,MATCH(Paramètres!N27,Paramètres!$G$5:$G$57,0)))+IF(RIGHT(TRIM(Paramètres!O27),3)="Fin",1-$H1053,IF(LEFT(TRIM(Paramètres!O27),1)="F",1,0)))))))</f>
        <v/>
      </c>
      <c r="F1053" s="19">
        <f>IF($A1053="","",E1053+$H1053-1)</f>
        <v/>
      </c>
      <c r="G1053" s="18" t="n"/>
      <c r="H1053" s="18">
        <f>IF($A1053="","",IF(I1053&lt;&gt;"",I1053,Paramètres!B27))</f>
        <v/>
      </c>
      <c r="I1053" s="18" t="n"/>
    </row>
    <row r="1054">
      <c r="A1054" s="18">
        <f>IF(ISNUMBER(Dossiers!$D$23),Dossiers!$A$23&amp;" · "&amp;Dossiers!$B$23,"")</f>
        <v/>
      </c>
      <c r="B1054" s="18">
        <f>IF($A1054="","",Paramètres!G28)</f>
        <v/>
      </c>
      <c r="C1054" s="18">
        <f>IF($A1054="","",IF(Paramètres!H28="","",Paramètres!H28))</f>
        <v/>
      </c>
      <c r="D1054" s="18">
        <f>IF($A1054="","",IF(Paramètres!I28="","",Paramètres!I28))</f>
        <v/>
      </c>
      <c r="E1054" s="19">
        <f>IF($A1054="","",IF(Paramètres!J28&amp;Paramètres!L28&amp;Paramètres!N28="",Dossiers!$D$23,MAX(IF(Paramètres!J28="",0,IF(Paramètres!K28="",NA(),IF(LEFT(TRIM(Paramètres!K28),1)="F",INDEX($F$1031:$F$1083,MATCH(Paramètres!J28,Paramètres!$G$5:$G$57,0)),INDEX($E$1031:$E$1083,MATCH(Paramètres!J28,Paramètres!$G$5:$G$57,0)))+IF(RIGHT(TRIM(Paramètres!K28),3)="Fin",1-$H1054,IF(LEFT(TRIM(Paramètres!K28),1)="F",1,0)))),IF(Paramètres!L28="",0,IF(Paramètres!M28="",NA(),IF(LEFT(TRIM(Paramètres!M28),1)="F",INDEX($F$1031:$F$1083,MATCH(Paramètres!L28,Paramètres!$G$5:$G$57,0)),INDEX($E$1031:$E$1083,MATCH(Paramètres!L28,Paramètres!$G$5:$G$57,0)))+IF(RIGHT(TRIM(Paramètres!M28),3)="Fin",1-$H1054,IF(LEFT(TRIM(Paramètres!M28),1)="F",1,0)))),IF(Paramètres!N28="",0,IF(Paramètres!O28="",NA(),IF(LEFT(TRIM(Paramètres!O28),1)="F",INDEX($F$1031:$F$1083,MATCH(Paramètres!N28,Paramètres!$G$5:$G$57,0)),INDEX($E$1031:$E$1083,MATCH(Paramètres!N28,Paramètres!$G$5:$G$57,0)))+IF(RIGHT(TRIM(Paramètres!O28),3)="Fin",1-$H1054,IF(LEFT(TRIM(Paramètres!O28),1)="F",1,0)))))))</f>
        <v/>
      </c>
      <c r="F1054" s="19">
        <f>IF($A1054="","",E1054+$H1054-1)</f>
        <v/>
      </c>
      <c r="G1054" s="18" t="n"/>
      <c r="H1054" s="18">
        <f>IF($A1054="","",IF(I1054&lt;&gt;"",I1054,Paramètres!B28))</f>
        <v/>
      </c>
      <c r="I1054" s="18" t="n"/>
    </row>
    <row r="1055">
      <c r="A1055" s="18">
        <f>IF(ISNUMBER(Dossiers!$D$23),Dossiers!$A$23&amp;" · "&amp;Dossiers!$B$23,"")</f>
        <v/>
      </c>
      <c r="B1055" s="18">
        <f>IF($A1055="","",Paramètres!G29)</f>
        <v/>
      </c>
      <c r="C1055" s="18">
        <f>IF($A1055="","",IF(Paramètres!H29="","",Paramètres!H29))</f>
        <v/>
      </c>
      <c r="D1055" s="18">
        <f>IF($A1055="","",IF(Paramètres!I29="","",Paramètres!I29))</f>
        <v/>
      </c>
      <c r="E1055" s="19">
        <f>IF($A1055="","",IF(Paramètres!J29&amp;Paramètres!L29&amp;Paramètres!N29="",Dossiers!$D$23,MAX(IF(Paramètres!J29="",0,IF(Paramètres!K29="",NA(),IF(LEFT(TRIM(Paramètres!K29),1)="F",INDEX($F$1031:$F$1083,MATCH(Paramètres!J29,Paramètres!$G$5:$G$57,0)),INDEX($E$1031:$E$1083,MATCH(Paramètres!J29,Paramètres!$G$5:$G$57,0)))+IF(RIGHT(TRIM(Paramètres!K29),3)="Fin",1-$H1055,IF(LEFT(TRIM(Paramètres!K29),1)="F",1,0)))),IF(Paramètres!L29="",0,IF(Paramètres!M29="",NA(),IF(LEFT(TRIM(Paramètres!M29),1)="F",INDEX($F$1031:$F$1083,MATCH(Paramètres!L29,Paramètres!$G$5:$G$57,0)),INDEX($E$1031:$E$1083,MATCH(Paramètres!L29,Paramètres!$G$5:$G$57,0)))+IF(RIGHT(TRIM(Paramètres!M29),3)="Fin",1-$H1055,IF(LEFT(TRIM(Paramètres!M29),1)="F",1,0)))),IF(Paramètres!N29="",0,IF(Paramètres!O29="",NA(),IF(LEFT(TRIM(Paramètres!O29),1)="F",INDEX($F$1031:$F$1083,MATCH(Paramètres!N29,Paramètres!$G$5:$G$57,0)),INDEX($E$1031:$E$1083,MATCH(Paramètres!N29,Paramètres!$G$5:$G$57,0)))+IF(RIGHT(TRIM(Paramètres!O29),3)="Fin",1-$H1055,IF(LEFT(TRIM(Paramètres!O29),1)="F",1,0)))))))</f>
        <v/>
      </c>
      <c r="F1055" s="19">
        <f>IF($A1055="","",E1055+$H1055-1)</f>
        <v/>
      </c>
      <c r="G1055" s="18" t="n"/>
      <c r="H1055" s="18">
        <f>IF($A1055="","",IF(I1055&lt;&gt;"",I1055,Paramètres!B29))</f>
        <v/>
      </c>
      <c r="I1055" s="18" t="n"/>
    </row>
    <row r="1056">
      <c r="A1056" s="18">
        <f>IF(ISNUMBER(Dossiers!$D$23),Dossiers!$A$23&amp;" · "&amp;Dossiers!$B$23,"")</f>
        <v/>
      </c>
      <c r="B1056" s="18">
        <f>IF($A1056="","",Paramètres!G30)</f>
        <v/>
      </c>
      <c r="C1056" s="18">
        <f>IF($A1056="","",IF(Paramètres!H30="","",Paramètres!H30))</f>
        <v/>
      </c>
      <c r="D1056" s="18">
        <f>IF($A1056="","",IF(Paramètres!I30="","",Paramètres!I30))</f>
        <v/>
      </c>
      <c r="E1056" s="19">
        <f>IF($A1056="","",IF(Paramètres!J30&amp;Paramètres!L30&amp;Paramètres!N30="",Dossiers!$D$23,MAX(IF(Paramètres!J30="",0,IF(Paramètres!K30="",NA(),IF(LEFT(TRIM(Paramètres!K30),1)="F",INDEX($F$1031:$F$1083,MATCH(Paramètres!J30,Paramètres!$G$5:$G$57,0)),INDEX($E$1031:$E$1083,MATCH(Paramètres!J30,Paramètres!$G$5:$G$57,0)))+IF(RIGHT(TRIM(Paramètres!K30),3)="Fin",1-$H1056,IF(LEFT(TRIM(Paramètres!K30),1)="F",1,0)))),IF(Paramètres!L30="",0,IF(Paramètres!M30="",NA(),IF(LEFT(TRIM(Paramètres!M30),1)="F",INDEX($F$1031:$F$1083,MATCH(Paramètres!L30,Paramètres!$G$5:$G$57,0)),INDEX($E$1031:$E$1083,MATCH(Paramètres!L30,Paramètres!$G$5:$G$57,0)))+IF(RIGHT(TRIM(Paramètres!M30),3)="Fin",1-$H1056,IF(LEFT(TRIM(Paramètres!M30),1)="F",1,0)))),IF(Paramètres!N30="",0,IF(Paramètres!O30="",NA(),IF(LEFT(TRIM(Paramètres!O30),1)="F",INDEX($F$1031:$F$1083,MATCH(Paramètres!N30,Paramètres!$G$5:$G$57,0)),INDEX($E$1031:$E$1083,MATCH(Paramètres!N30,Paramètres!$G$5:$G$57,0)))+IF(RIGHT(TRIM(Paramètres!O30),3)="Fin",1-$H1056,IF(LEFT(TRIM(Paramètres!O30),1)="F",1,0)))))))</f>
        <v/>
      </c>
      <c r="F1056" s="19">
        <f>IF($A1056="","",E1056+$H1056-1)</f>
        <v/>
      </c>
      <c r="G1056" s="18" t="n"/>
      <c r="H1056" s="18">
        <f>IF($A1056="","",IF(I1056&lt;&gt;"",I1056,Paramètres!B30))</f>
        <v/>
      </c>
      <c r="I1056" s="18" t="n"/>
    </row>
    <row r="1057">
      <c r="A1057" s="18">
        <f>IF(ISNUMBER(Dossiers!$D$23),Dossiers!$A$23&amp;" · "&amp;Dossiers!$B$23,"")</f>
        <v/>
      </c>
      <c r="B1057" s="18">
        <f>IF($A1057="","",Paramètres!G31)</f>
        <v/>
      </c>
      <c r="C1057" s="20">
        <f>IF($A1057="","",IF(Dossiers!$F$23="","",Dossiers!$F$23))</f>
        <v/>
      </c>
      <c r="D1057" s="18">
        <f>IF($A1057="","",IF(Paramètres!I31="","",Paramètres!I31))</f>
        <v/>
      </c>
      <c r="E1057" s="19">
        <f>IF($A1057="","",IF(Paramètres!J31&amp;Paramètres!L31&amp;Paramètres!N31="",Dossiers!$D$23,MAX(IF(Paramètres!J31="",0,IF(Paramètres!K31="",NA(),IF(LEFT(TRIM(Paramètres!K31),1)="F",INDEX($F$1031:$F$1083,MATCH(Paramètres!J31,Paramètres!$G$5:$G$57,0)),INDEX($E$1031:$E$1083,MATCH(Paramètres!J31,Paramètres!$G$5:$G$57,0)))+IF(RIGHT(TRIM(Paramètres!K31),3)="Fin",1-$H1057,IF(LEFT(TRIM(Paramètres!K31),1)="F",1,0)))),IF(Paramètres!L31="",0,IF(Paramètres!M31="",NA(),IF(LEFT(TRIM(Paramètres!M31),1)="F",INDEX($F$1031:$F$1083,MATCH(Paramètres!L31,Paramètres!$G$5:$G$57,0)),INDEX($E$1031:$E$1083,MATCH(Paramètres!L31,Paramètres!$G$5:$G$57,0)))+IF(RIGHT(TRIM(Paramètres!M31),3)="Fin",1-$H1057,IF(LEFT(TRIM(Paramètres!M31),1)="F",1,0)))),IF(Paramètres!N31="",0,IF(Paramètres!O31="",NA(),IF(LEFT(TRIM(Paramètres!O31),1)="F",INDEX($F$1031:$F$1083,MATCH(Paramètres!N31,Paramètres!$G$5:$G$57,0)),INDEX($E$1031:$E$1083,MATCH(Paramètres!N31,Paramètres!$G$5:$G$57,0)))+IF(RIGHT(TRIM(Paramètres!O31),3)="Fin",1-$H1057,IF(LEFT(TRIM(Paramètres!O31),1)="F",1,0)))))))</f>
        <v/>
      </c>
      <c r="F1057" s="19">
        <f>IF($A1057="","",E1057+$H1057-1)</f>
        <v/>
      </c>
      <c r="G1057" s="18" t="n"/>
      <c r="H1057" s="18">
        <f>IF($A1057="","",IF(I1057&lt;&gt;"",I1057,Paramètres!B31))</f>
        <v/>
      </c>
      <c r="I1057" s="18" t="n"/>
    </row>
    <row r="1058">
      <c r="A1058" s="18">
        <f>IF(ISNUMBER(Dossiers!$D$23),Dossiers!$A$23&amp;" · "&amp;Dossiers!$B$23,"")</f>
        <v/>
      </c>
      <c r="B1058" s="18">
        <f>IF($A1058="","",Paramètres!G32)</f>
        <v/>
      </c>
      <c r="C1058" s="18">
        <f>IF($A1058="","",IF(Paramètres!H32="","",Paramètres!H32))</f>
        <v/>
      </c>
      <c r="D1058" s="18">
        <f>IF($A1058="","",IF(Paramètres!I32="","",Paramètres!I32))</f>
        <v/>
      </c>
      <c r="E1058" s="19">
        <f>IF($A1058="","",MIN(E1059:E1062))</f>
        <v/>
      </c>
      <c r="F1058" s="19">
        <f>IF($A1058="","",MAX(F1059:F1062))</f>
        <v/>
      </c>
      <c r="G1058" s="18" t="n"/>
      <c r="H1058" s="18">
        <f>IF($A1058="","",F1058-E1058+1)</f>
        <v/>
      </c>
      <c r="I1058" s="18" t="n"/>
    </row>
    <row r="1059">
      <c r="A1059" s="18">
        <f>IF(ISNUMBER(Dossiers!$D$23),Dossiers!$A$23&amp;" · "&amp;Dossiers!$B$23,"")</f>
        <v/>
      </c>
      <c r="B1059" s="18">
        <f>IF($A1059="","",Paramètres!G33)</f>
        <v/>
      </c>
      <c r="C1059" s="18">
        <f>IF($A1059="","",IF(Paramètres!H33="","",Paramètres!H33))</f>
        <v/>
      </c>
      <c r="D1059" s="18">
        <f>IF($A1059="","",IF(Paramètres!I33="","",Paramètres!I33))</f>
        <v/>
      </c>
      <c r="E1059" s="19">
        <f>IF($A1059="","",IF(Paramètres!J33&amp;Paramètres!L33&amp;Paramètres!N33="",Dossiers!$D$23,MAX(IF(Paramètres!J33="",0,IF(Paramètres!K33="",NA(),IF(LEFT(TRIM(Paramètres!K33),1)="F",INDEX($F$1031:$F$1083,MATCH(Paramètres!J33,Paramètres!$G$5:$G$57,0)),INDEX($E$1031:$E$1083,MATCH(Paramètres!J33,Paramètres!$G$5:$G$57,0)))+IF(RIGHT(TRIM(Paramètres!K33),3)="Fin",1-$H1059,IF(LEFT(TRIM(Paramètres!K33),1)="F",1,0)))),IF(Paramètres!L33="",0,IF(Paramètres!M33="",NA(),IF(LEFT(TRIM(Paramètres!M33),1)="F",INDEX($F$1031:$F$1083,MATCH(Paramètres!L33,Paramètres!$G$5:$G$57,0)),INDEX($E$1031:$E$1083,MATCH(Paramètres!L33,Paramètres!$G$5:$G$57,0)))+IF(RIGHT(TRIM(Paramètres!M33),3)="Fin",1-$H1059,IF(LEFT(TRIM(Paramètres!M33),1)="F",1,0)))),IF(Paramètres!N33="",0,IF(Paramètres!O33="",NA(),IF(LEFT(TRIM(Paramètres!O33),1)="F",INDEX($F$1031:$F$1083,MATCH(Paramètres!N33,Paramètres!$G$5:$G$57,0)),INDEX($E$1031:$E$1083,MATCH(Paramètres!N33,Paramètres!$G$5:$G$57,0)))+IF(RIGHT(TRIM(Paramètres!O33),3)="Fin",1-$H1059,IF(LEFT(TRIM(Paramètres!O33),1)="F",1,0)))))))</f>
        <v/>
      </c>
      <c r="F1059" s="19">
        <f>IF($A1059="","",E1059+$H1059-1)</f>
        <v/>
      </c>
      <c r="G1059" s="18" t="n"/>
      <c r="H1059" s="18">
        <f>IF($A1059="","",IF(I1059&lt;&gt;"",I1059,Paramètres!B33))</f>
        <v/>
      </c>
      <c r="I1059" s="18" t="n"/>
    </row>
    <row r="1060">
      <c r="A1060" s="18">
        <f>IF(ISNUMBER(Dossiers!$D$23),Dossiers!$A$23&amp;" · "&amp;Dossiers!$B$23,"")</f>
        <v/>
      </c>
      <c r="B1060" s="18">
        <f>IF($A1060="","",Paramètres!G34)</f>
        <v/>
      </c>
      <c r="C1060" s="18">
        <f>IF($A1060="","",IF(Paramètres!H34="","",Paramètres!H34))</f>
        <v/>
      </c>
      <c r="D1060" s="18">
        <f>IF($A1060="","",IF(Paramètres!I34="","",Paramètres!I34))</f>
        <v/>
      </c>
      <c r="E1060" s="19">
        <f>IF($A1060="","",IF(Paramètres!J34&amp;Paramètres!L34&amp;Paramètres!N34="",Dossiers!$D$23,MAX(IF(Paramètres!J34="",0,IF(Paramètres!K34="",NA(),IF(LEFT(TRIM(Paramètres!K34),1)="F",INDEX($F$1031:$F$1083,MATCH(Paramètres!J34,Paramètres!$G$5:$G$57,0)),INDEX($E$1031:$E$1083,MATCH(Paramètres!J34,Paramètres!$G$5:$G$57,0)))+IF(RIGHT(TRIM(Paramètres!K34),3)="Fin",1-$H1060,IF(LEFT(TRIM(Paramètres!K34),1)="F",1,0)))),IF(Paramètres!L34="",0,IF(Paramètres!M34="",NA(),IF(LEFT(TRIM(Paramètres!M34),1)="F",INDEX($F$1031:$F$1083,MATCH(Paramètres!L34,Paramètres!$G$5:$G$57,0)),INDEX($E$1031:$E$1083,MATCH(Paramètres!L34,Paramètres!$G$5:$G$57,0)))+IF(RIGHT(TRIM(Paramètres!M34),3)="Fin",1-$H1060,IF(LEFT(TRIM(Paramètres!M34),1)="F",1,0)))),IF(Paramètres!N34="",0,IF(Paramètres!O34="",NA(),IF(LEFT(TRIM(Paramètres!O34),1)="F",INDEX($F$1031:$F$1083,MATCH(Paramètres!N34,Paramètres!$G$5:$G$57,0)),INDEX($E$1031:$E$1083,MATCH(Paramètres!N34,Paramètres!$G$5:$G$57,0)))+IF(RIGHT(TRIM(Paramètres!O34),3)="Fin",1-$H1060,IF(LEFT(TRIM(Paramètres!O34),1)="F",1,0)))))))</f>
        <v/>
      </c>
      <c r="F1060" s="19">
        <f>IF($A1060="","",E1060+$H1060-1)</f>
        <v/>
      </c>
      <c r="G1060" s="18" t="n"/>
      <c r="H1060" s="18">
        <f>IF($A1060="","",IF(I1060&lt;&gt;"",I1060,Paramètres!B34))</f>
        <v/>
      </c>
      <c r="I1060" s="18" t="n"/>
    </row>
    <row r="1061">
      <c r="A1061" s="18">
        <f>IF(ISNUMBER(Dossiers!$D$23),Dossiers!$A$23&amp;" · "&amp;Dossiers!$B$23,"")</f>
        <v/>
      </c>
      <c r="B1061" s="18">
        <f>IF($A1061="","",Paramètres!G35)</f>
        <v/>
      </c>
      <c r="C1061" s="18">
        <f>IF($A1061="","",IF(Paramètres!H35="","",Paramètres!H35))</f>
        <v/>
      </c>
      <c r="D1061" s="18">
        <f>IF($A1061="","",IF(Paramètres!I35="","",Paramètres!I35))</f>
        <v/>
      </c>
      <c r="E1061" s="19">
        <f>IF($A1061="","",IF(Paramètres!J35&amp;Paramètres!L35&amp;Paramètres!N35="",Dossiers!$D$23,MAX(IF(Paramètres!J35="",0,IF(Paramètres!K35="",NA(),IF(LEFT(TRIM(Paramètres!K35),1)="F",INDEX($F$1031:$F$1083,MATCH(Paramètres!J35,Paramètres!$G$5:$G$57,0)),INDEX($E$1031:$E$1083,MATCH(Paramètres!J35,Paramètres!$G$5:$G$57,0)))+IF(RIGHT(TRIM(Paramètres!K35),3)="Fin",1-$H1061,IF(LEFT(TRIM(Paramètres!K35),1)="F",1,0)))),IF(Paramètres!L35="",0,IF(Paramètres!M35="",NA(),IF(LEFT(TRIM(Paramètres!M35),1)="F",INDEX($F$1031:$F$1083,MATCH(Paramètres!L35,Paramètres!$G$5:$G$57,0)),INDEX($E$1031:$E$1083,MATCH(Paramètres!L35,Paramètres!$G$5:$G$57,0)))+IF(RIGHT(TRIM(Paramètres!M35),3)="Fin",1-$H1061,IF(LEFT(TRIM(Paramètres!M35),1)="F",1,0)))),IF(Paramètres!N35="",0,IF(Paramètres!O35="",NA(),IF(LEFT(TRIM(Paramètres!O35),1)="F",INDEX($F$1031:$F$1083,MATCH(Paramètres!N35,Paramètres!$G$5:$G$57,0)),INDEX($E$1031:$E$1083,MATCH(Paramètres!N35,Paramètres!$G$5:$G$57,0)))+IF(RIGHT(TRIM(Paramètres!O35),3)="Fin",1-$H1061,IF(LEFT(TRIM(Paramètres!O35),1)="F",1,0)))))))</f>
        <v/>
      </c>
      <c r="F1061" s="19">
        <f>IF($A1061="","",E1061+$H1061-1)</f>
        <v/>
      </c>
      <c r="G1061" s="18" t="n"/>
      <c r="H1061" s="18">
        <f>IF($A1061="","",IF(I1061&lt;&gt;"",I1061,Paramètres!B35))</f>
        <v/>
      </c>
      <c r="I1061" s="18" t="n"/>
    </row>
    <row r="1062">
      <c r="A1062" s="18">
        <f>IF(ISNUMBER(Dossiers!$D$23),Dossiers!$A$23&amp;" · "&amp;Dossiers!$B$23,"")</f>
        <v/>
      </c>
      <c r="B1062" s="18">
        <f>IF($A1062="","",Paramètres!G36)</f>
        <v/>
      </c>
      <c r="C1062" s="18">
        <f>IF($A1062="","",IF(Paramètres!H36="","",Paramètres!H36))</f>
        <v/>
      </c>
      <c r="D1062" s="18">
        <f>IF($A1062="","",IF(Paramètres!I36="","",Paramètres!I36))</f>
        <v/>
      </c>
      <c r="E1062" s="19">
        <f>IF($A1062="","",IF(Paramètres!J36&amp;Paramètres!L36&amp;Paramètres!N36="",Dossiers!$D$23,MAX(IF(Paramètres!J36="",0,IF(Paramètres!K36="",NA(),IF(LEFT(TRIM(Paramètres!K36),1)="F",INDEX($F$1031:$F$1083,MATCH(Paramètres!J36,Paramètres!$G$5:$G$57,0)),INDEX($E$1031:$E$1083,MATCH(Paramètres!J36,Paramètres!$G$5:$G$57,0)))+IF(RIGHT(TRIM(Paramètres!K36),3)="Fin",1-$H1062,IF(LEFT(TRIM(Paramètres!K36),1)="F",1,0)))),IF(Paramètres!L36="",0,IF(Paramètres!M36="",NA(),IF(LEFT(TRIM(Paramètres!M36),1)="F",INDEX($F$1031:$F$1083,MATCH(Paramètres!L36,Paramètres!$G$5:$G$57,0)),INDEX($E$1031:$E$1083,MATCH(Paramètres!L36,Paramètres!$G$5:$G$57,0)))+IF(RIGHT(TRIM(Paramètres!M36),3)="Fin",1-$H1062,IF(LEFT(TRIM(Paramètres!M36),1)="F",1,0)))),IF(Paramètres!N36="",0,IF(Paramètres!O36="",NA(),IF(LEFT(TRIM(Paramètres!O36),1)="F",INDEX($F$1031:$F$1083,MATCH(Paramètres!N36,Paramètres!$G$5:$G$57,0)),INDEX($E$1031:$E$1083,MATCH(Paramètres!N36,Paramètres!$G$5:$G$57,0)))+IF(RIGHT(TRIM(Paramètres!O36),3)="Fin",1-$H1062,IF(LEFT(TRIM(Paramètres!O36),1)="F",1,0)))))))</f>
        <v/>
      </c>
      <c r="F1062" s="19">
        <f>IF($A1062="","",E1062+$H1062-1)</f>
        <v/>
      </c>
      <c r="G1062" s="18" t="n"/>
      <c r="H1062" s="18">
        <f>IF($A1062="","",IF(I1062&lt;&gt;"",I1062,Paramètres!B36))</f>
        <v/>
      </c>
      <c r="I1062" s="18" t="n"/>
    </row>
    <row r="1063">
      <c r="A1063" s="18">
        <f>IF(ISNUMBER(Dossiers!$D$23),Dossiers!$A$23&amp;" · "&amp;Dossiers!$B$23,"")</f>
        <v/>
      </c>
      <c r="B1063" s="18">
        <f>IF($A1063="","",Paramètres!G37)</f>
        <v/>
      </c>
      <c r="C1063" s="18">
        <f>IF($A1063="","",IF(Paramètres!H37="","",Paramètres!H37))</f>
        <v/>
      </c>
      <c r="D1063" s="18">
        <f>IF($A1063="","",IF(Paramètres!I37="","",Paramètres!I37))</f>
        <v/>
      </c>
      <c r="E1063" s="19">
        <f>IF($A1063="","",MIN(E1064:E1081))</f>
        <v/>
      </c>
      <c r="F1063" s="19">
        <f>IF($A1063="","",MAX(F1064:F1081))</f>
        <v/>
      </c>
      <c r="G1063" s="18" t="n"/>
      <c r="H1063" s="18">
        <f>IF($A1063="","",F1063-E1063+1)</f>
        <v/>
      </c>
      <c r="I1063" s="18" t="n"/>
    </row>
    <row r="1064">
      <c r="A1064" s="18">
        <f>IF(ISNUMBER(Dossiers!$D$23),Dossiers!$A$23&amp;" · "&amp;Dossiers!$B$23,"")</f>
        <v/>
      </c>
      <c r="B1064" s="18">
        <f>IF($A1064="","",Paramètres!G38)</f>
        <v/>
      </c>
      <c r="C1064" s="18">
        <f>IF($A1064="","",IF(Paramètres!H38="","",Paramètres!H38))</f>
        <v/>
      </c>
      <c r="D1064" s="18">
        <f>IF($A1064="","",IF(Paramètres!I38="","",Paramètres!I38))</f>
        <v/>
      </c>
      <c r="E1064" s="19">
        <f>IF($A1064="","",IF(Paramètres!J38&amp;Paramètres!L38&amp;Paramètres!N38="",Dossiers!$D$23,MAX(IF(Paramètres!J38="",0,IF(Paramètres!K38="",NA(),IF(LEFT(TRIM(Paramètres!K38),1)="F",INDEX($F$1031:$F$1083,MATCH(Paramètres!J38,Paramètres!$G$5:$G$57,0)),INDEX($E$1031:$E$1083,MATCH(Paramètres!J38,Paramètres!$G$5:$G$57,0)))+IF(RIGHT(TRIM(Paramètres!K38),3)="Fin",1-$H1064,IF(LEFT(TRIM(Paramètres!K38),1)="F",1,0)))),IF(Paramètres!L38="",0,IF(Paramètres!M38="",NA(),IF(LEFT(TRIM(Paramètres!M38),1)="F",INDEX($F$1031:$F$1083,MATCH(Paramètres!L38,Paramètres!$G$5:$G$57,0)),INDEX($E$1031:$E$1083,MATCH(Paramètres!L38,Paramètres!$G$5:$G$57,0)))+IF(RIGHT(TRIM(Paramètres!M38),3)="Fin",1-$H1064,IF(LEFT(TRIM(Paramètres!M38),1)="F",1,0)))),IF(Paramètres!N38="",0,IF(Paramètres!O38="",NA(),IF(LEFT(TRIM(Paramètres!O38),1)="F",INDEX($F$1031:$F$1083,MATCH(Paramètres!N38,Paramètres!$G$5:$G$57,0)),INDEX($E$1031:$E$1083,MATCH(Paramètres!N38,Paramètres!$G$5:$G$57,0)))+IF(RIGHT(TRIM(Paramètres!O38),3)="Fin",1-$H1064,IF(LEFT(TRIM(Paramètres!O38),1)="F",1,0)))))))</f>
        <v/>
      </c>
      <c r="F1064" s="19">
        <f>IF($A1064="","",E1064+$H1064-1)</f>
        <v/>
      </c>
      <c r="G1064" s="18" t="n"/>
      <c r="H1064" s="18">
        <f>IF($A1064="","",IF(I1064&lt;&gt;"",I1064,Paramètres!B38))</f>
        <v/>
      </c>
      <c r="I1064" s="18" t="n"/>
    </row>
    <row r="1065">
      <c r="A1065" s="18">
        <f>IF(ISNUMBER(Dossiers!$D$23),Dossiers!$A$23&amp;" · "&amp;Dossiers!$B$23,"")</f>
        <v/>
      </c>
      <c r="B1065" s="18">
        <f>IF($A1065="","",Paramètres!G39)</f>
        <v/>
      </c>
      <c r="C1065" s="18">
        <f>IF($A1065="","",IF(Paramètres!H39="","",Paramètres!H39))</f>
        <v/>
      </c>
      <c r="D1065" s="18">
        <f>IF($A1065="","",IF(Paramètres!I39="","",Paramètres!I39))</f>
        <v/>
      </c>
      <c r="E1065" s="19">
        <f>IF($A1065="","",IF(Paramètres!J39&amp;Paramètres!L39&amp;Paramètres!N39="",Dossiers!$D$23,MAX(IF(Paramètres!J39="",0,IF(Paramètres!K39="",NA(),IF(LEFT(TRIM(Paramètres!K39),1)="F",INDEX($F$1031:$F$1083,MATCH(Paramètres!J39,Paramètres!$G$5:$G$57,0)),INDEX($E$1031:$E$1083,MATCH(Paramètres!J39,Paramètres!$G$5:$G$57,0)))+IF(RIGHT(TRIM(Paramètres!K39),3)="Fin",1-$H1065,IF(LEFT(TRIM(Paramètres!K39),1)="F",1,0)))),IF(Paramètres!L39="",0,IF(Paramètres!M39="",NA(),IF(LEFT(TRIM(Paramètres!M39),1)="F",INDEX($F$1031:$F$1083,MATCH(Paramètres!L39,Paramètres!$G$5:$G$57,0)),INDEX($E$1031:$E$1083,MATCH(Paramètres!L39,Paramètres!$G$5:$G$57,0)))+IF(RIGHT(TRIM(Paramètres!M39),3)="Fin",1-$H1065,IF(LEFT(TRIM(Paramètres!M39),1)="F",1,0)))),IF(Paramètres!N39="",0,IF(Paramètres!O39="",NA(),IF(LEFT(TRIM(Paramètres!O39),1)="F",INDEX($F$1031:$F$1083,MATCH(Paramètres!N39,Paramètres!$G$5:$G$57,0)),INDEX($E$1031:$E$1083,MATCH(Paramètres!N39,Paramètres!$G$5:$G$57,0)))+IF(RIGHT(TRIM(Paramètres!O39),3)="Fin",1-$H1065,IF(LEFT(TRIM(Paramètres!O39),1)="F",1,0)))))))</f>
        <v/>
      </c>
      <c r="F1065" s="19">
        <f>IF($A1065="","",E1065+$H1065-1)</f>
        <v/>
      </c>
      <c r="G1065" s="18" t="n"/>
      <c r="H1065" s="18">
        <f>IF($A1065="","",IF(I1065&lt;&gt;"",I1065,Paramètres!B39))</f>
        <v/>
      </c>
      <c r="I1065" s="18" t="n"/>
    </row>
    <row r="1066">
      <c r="A1066" s="18">
        <f>IF(ISNUMBER(Dossiers!$D$23),Dossiers!$A$23&amp;" · "&amp;Dossiers!$B$23,"")</f>
        <v/>
      </c>
      <c r="B1066" s="18">
        <f>IF($A1066="","",Paramètres!G40)</f>
        <v/>
      </c>
      <c r="C1066" s="18">
        <f>IF($A1066="","",IF(Paramètres!H40="","",Paramètres!H40))</f>
        <v/>
      </c>
      <c r="D1066" s="18">
        <f>IF($A1066="","",IF(Paramètres!I40="","",Paramètres!I40))</f>
        <v/>
      </c>
      <c r="E1066" s="19">
        <f>IF($A1066="","",IF(Paramètres!J40&amp;Paramètres!L40&amp;Paramètres!N40="",Dossiers!$D$23,MAX(IF(Paramètres!J40="",0,IF(Paramètres!K40="",NA(),IF(LEFT(TRIM(Paramètres!K40),1)="F",INDEX($F$1031:$F$1083,MATCH(Paramètres!J40,Paramètres!$G$5:$G$57,0)),INDEX($E$1031:$E$1083,MATCH(Paramètres!J40,Paramètres!$G$5:$G$57,0)))+IF(RIGHT(TRIM(Paramètres!K40),3)="Fin",1-$H1066,IF(LEFT(TRIM(Paramètres!K40),1)="F",1,0)))),IF(Paramètres!L40="",0,IF(Paramètres!M40="",NA(),IF(LEFT(TRIM(Paramètres!M40),1)="F",INDEX($F$1031:$F$1083,MATCH(Paramètres!L40,Paramètres!$G$5:$G$57,0)),INDEX($E$1031:$E$1083,MATCH(Paramètres!L40,Paramètres!$G$5:$G$57,0)))+IF(RIGHT(TRIM(Paramètres!M40),3)="Fin",1-$H1066,IF(LEFT(TRIM(Paramètres!M40),1)="F",1,0)))),IF(Paramètres!N40="",0,IF(Paramètres!O40="",NA(),IF(LEFT(TRIM(Paramètres!O40),1)="F",INDEX($F$1031:$F$1083,MATCH(Paramètres!N40,Paramètres!$G$5:$G$57,0)),INDEX($E$1031:$E$1083,MATCH(Paramètres!N40,Paramètres!$G$5:$G$57,0)))+IF(RIGHT(TRIM(Paramètres!O40),3)="Fin",1-$H1066,IF(LEFT(TRIM(Paramètres!O40),1)="F",1,0)))))))</f>
        <v/>
      </c>
      <c r="F1066" s="19">
        <f>IF($A1066="","",E1066+$H1066-1)</f>
        <v/>
      </c>
      <c r="G1066" s="18" t="n"/>
      <c r="H1066" s="18">
        <f>IF($A1066="","",IF(I1066&lt;&gt;"",I1066,Paramètres!B40))</f>
        <v/>
      </c>
      <c r="I1066" s="18" t="n"/>
    </row>
    <row r="1067">
      <c r="A1067" s="18">
        <f>IF(ISNUMBER(Dossiers!$D$23),Dossiers!$A$23&amp;" · "&amp;Dossiers!$B$23,"")</f>
        <v/>
      </c>
      <c r="B1067" s="18">
        <f>IF($A1067="","",Paramètres!G41)</f>
        <v/>
      </c>
      <c r="C1067" s="18">
        <f>IF($A1067="","",IF(Paramètres!H41="","",Paramètres!H41))</f>
        <v/>
      </c>
      <c r="D1067" s="18">
        <f>IF($A1067="","",IF(Paramètres!I41="","",Paramètres!I41))</f>
        <v/>
      </c>
      <c r="E1067" s="19">
        <f>IF($A1067="","",IF(Paramètres!J41&amp;Paramètres!L41&amp;Paramètres!N41="",Dossiers!$D$23,MAX(IF(Paramètres!J41="",0,IF(Paramètres!K41="",NA(),IF(LEFT(TRIM(Paramètres!K41),1)="F",INDEX($F$1031:$F$1083,MATCH(Paramètres!J41,Paramètres!$G$5:$G$57,0)),INDEX($E$1031:$E$1083,MATCH(Paramètres!J41,Paramètres!$G$5:$G$57,0)))+IF(RIGHT(TRIM(Paramètres!K41),3)="Fin",1-$H1067,IF(LEFT(TRIM(Paramètres!K41),1)="F",1,0)))),IF(Paramètres!L41="",0,IF(Paramètres!M41="",NA(),IF(LEFT(TRIM(Paramètres!M41),1)="F",INDEX($F$1031:$F$1083,MATCH(Paramètres!L41,Paramètres!$G$5:$G$57,0)),INDEX($E$1031:$E$1083,MATCH(Paramètres!L41,Paramètres!$G$5:$G$57,0)))+IF(RIGHT(TRIM(Paramètres!M41),3)="Fin",1-$H1067,IF(LEFT(TRIM(Paramètres!M41),1)="F",1,0)))),IF(Paramètres!N41="",0,IF(Paramètres!O41="",NA(),IF(LEFT(TRIM(Paramètres!O41),1)="F",INDEX($F$1031:$F$1083,MATCH(Paramètres!N41,Paramètres!$G$5:$G$57,0)),INDEX($E$1031:$E$1083,MATCH(Paramètres!N41,Paramètres!$G$5:$G$57,0)))+IF(RIGHT(TRIM(Paramètres!O41),3)="Fin",1-$H1067,IF(LEFT(TRIM(Paramètres!O41),1)="F",1,0)))))))</f>
        <v/>
      </c>
      <c r="F1067" s="19">
        <f>IF($A1067="","",E1067+$H1067-1)</f>
        <v/>
      </c>
      <c r="G1067" s="18" t="n"/>
      <c r="H1067" s="18">
        <f>IF($A1067="","",IF(I1067&lt;&gt;"",I1067,Paramètres!B41))</f>
        <v/>
      </c>
      <c r="I1067" s="18" t="n"/>
    </row>
    <row r="1068">
      <c r="A1068" s="18">
        <f>IF(ISNUMBER(Dossiers!$D$23),Dossiers!$A$23&amp;" · "&amp;Dossiers!$B$23,"")</f>
        <v/>
      </c>
      <c r="B1068" s="18">
        <f>IF($A1068="","",Paramètres!G42)</f>
        <v/>
      </c>
      <c r="C1068" s="18">
        <f>IF($A1068="","",IF(Paramètres!H42="","",Paramètres!H42))</f>
        <v/>
      </c>
      <c r="D1068" s="18">
        <f>IF($A1068="","",IF(Paramètres!I42="","",Paramètres!I42))</f>
        <v/>
      </c>
      <c r="E1068" s="19">
        <f>IF($A1068="","",IF(Paramètres!J42&amp;Paramètres!L42&amp;Paramètres!N42="",Dossiers!$D$23,MAX(IF(Paramètres!J42="",0,IF(Paramètres!K42="",NA(),IF(LEFT(TRIM(Paramètres!K42),1)="F",INDEX($F$1031:$F$1083,MATCH(Paramètres!J42,Paramètres!$G$5:$G$57,0)),INDEX($E$1031:$E$1083,MATCH(Paramètres!J42,Paramètres!$G$5:$G$57,0)))+IF(RIGHT(TRIM(Paramètres!K42),3)="Fin",1-$H1068,IF(LEFT(TRIM(Paramètres!K42),1)="F",1,0)))),IF(Paramètres!L42="",0,IF(Paramètres!M42="",NA(),IF(LEFT(TRIM(Paramètres!M42),1)="F",INDEX($F$1031:$F$1083,MATCH(Paramètres!L42,Paramètres!$G$5:$G$57,0)),INDEX($E$1031:$E$1083,MATCH(Paramètres!L42,Paramètres!$G$5:$G$57,0)))+IF(RIGHT(TRIM(Paramètres!M42),3)="Fin",1-$H1068,IF(LEFT(TRIM(Paramètres!M42),1)="F",1,0)))),IF(Paramètres!N42="",0,IF(Paramètres!O42="",NA(),IF(LEFT(TRIM(Paramètres!O42),1)="F",INDEX($F$1031:$F$1083,MATCH(Paramètres!N42,Paramètres!$G$5:$G$57,0)),INDEX($E$1031:$E$1083,MATCH(Paramètres!N42,Paramètres!$G$5:$G$57,0)))+IF(RIGHT(TRIM(Paramètres!O42),3)="Fin",1-$H1068,IF(LEFT(TRIM(Paramètres!O42),1)="F",1,0)))))))</f>
        <v/>
      </c>
      <c r="F1068" s="19">
        <f>IF($A1068="","",E1068+$H1068-1)</f>
        <v/>
      </c>
      <c r="G1068" s="18" t="n"/>
      <c r="H1068" s="18">
        <f>IF($A1068="","",IF(I1068&lt;&gt;"",I1068,Paramètres!B42))</f>
        <v/>
      </c>
      <c r="I1068" s="18" t="n"/>
    </row>
    <row r="1069">
      <c r="A1069" s="18">
        <f>IF(ISNUMBER(Dossiers!$D$23),Dossiers!$A$23&amp;" · "&amp;Dossiers!$B$23,"")</f>
        <v/>
      </c>
      <c r="B1069" s="18">
        <f>IF($A1069="","",Paramètres!G43)</f>
        <v/>
      </c>
      <c r="C1069" s="18">
        <f>IF($A1069="","",IF(Paramètres!H43="","",Paramètres!H43))</f>
        <v/>
      </c>
      <c r="D1069" s="18">
        <f>IF($A1069="","",IF(Paramètres!I43="","",Paramètres!I43))</f>
        <v/>
      </c>
      <c r="E1069" s="19">
        <f>IF($A1069="","",IF(Paramètres!J43&amp;Paramètres!L43&amp;Paramètres!N43="",Dossiers!$D$23,MAX(IF(Paramètres!J43="",0,IF(Paramètres!K43="",NA(),IF(LEFT(TRIM(Paramètres!K43),1)="F",INDEX($F$1031:$F$1083,MATCH(Paramètres!J43,Paramètres!$G$5:$G$57,0)),INDEX($E$1031:$E$1083,MATCH(Paramètres!J43,Paramètres!$G$5:$G$57,0)))+IF(RIGHT(TRIM(Paramètres!K43),3)="Fin",1-$H1069,IF(LEFT(TRIM(Paramètres!K43),1)="F",1,0)))),IF(Paramètres!L43="",0,IF(Paramètres!M43="",NA(),IF(LEFT(TRIM(Paramètres!M43),1)="F",INDEX($F$1031:$F$1083,MATCH(Paramètres!L43,Paramètres!$G$5:$G$57,0)),INDEX($E$1031:$E$1083,MATCH(Paramètres!L43,Paramètres!$G$5:$G$57,0)))+IF(RIGHT(TRIM(Paramètres!M43),3)="Fin",1-$H1069,IF(LEFT(TRIM(Paramètres!M43),1)="F",1,0)))),IF(Paramètres!N43="",0,IF(Paramètres!O43="",NA(),IF(LEFT(TRIM(Paramètres!O43),1)="F",INDEX($F$1031:$F$1083,MATCH(Paramètres!N43,Paramètres!$G$5:$G$57,0)),INDEX($E$1031:$E$1083,MATCH(Paramètres!N43,Paramètres!$G$5:$G$57,0)))+IF(RIGHT(TRIM(Paramètres!O43),3)="Fin",1-$H1069,IF(LEFT(TRIM(Paramètres!O43),1)="F",1,0)))))))</f>
        <v/>
      </c>
      <c r="F1069" s="19">
        <f>IF($A1069="","",E1069+$H1069-1)</f>
        <v/>
      </c>
      <c r="G1069" s="18" t="n"/>
      <c r="H1069" s="18">
        <f>IF($A1069="","",IF(I1069&lt;&gt;"",I1069,Paramètres!B43))</f>
        <v/>
      </c>
      <c r="I1069" s="18" t="n"/>
    </row>
    <row r="1070">
      <c r="A1070" s="18">
        <f>IF(ISNUMBER(Dossiers!$D$23),Dossiers!$A$23&amp;" · "&amp;Dossiers!$B$23,"")</f>
        <v/>
      </c>
      <c r="B1070" s="18">
        <f>IF($A1070="","",Paramètres!G44)</f>
        <v/>
      </c>
      <c r="C1070" s="18">
        <f>IF($A1070="","",IF(Paramètres!H44="","",Paramètres!H44))</f>
        <v/>
      </c>
      <c r="D1070" s="18">
        <f>IF($A1070="","",IF(Paramètres!I44="","",Paramètres!I44))</f>
        <v/>
      </c>
      <c r="E1070" s="19">
        <f>IF($A1070="","",IF(Paramètres!J44&amp;Paramètres!L44&amp;Paramètres!N44="",Dossiers!$D$23,MAX(IF(Paramètres!J44="",0,IF(Paramètres!K44="",NA(),IF(LEFT(TRIM(Paramètres!K44),1)="F",INDEX($F$1031:$F$1083,MATCH(Paramètres!J44,Paramètres!$G$5:$G$57,0)),INDEX($E$1031:$E$1083,MATCH(Paramètres!J44,Paramètres!$G$5:$G$57,0)))+IF(RIGHT(TRIM(Paramètres!K44),3)="Fin",1-$H1070,IF(LEFT(TRIM(Paramètres!K44),1)="F",1,0)))),IF(Paramètres!L44="",0,IF(Paramètres!M44="",NA(),IF(LEFT(TRIM(Paramètres!M44),1)="F",INDEX($F$1031:$F$1083,MATCH(Paramètres!L44,Paramètres!$G$5:$G$57,0)),INDEX($E$1031:$E$1083,MATCH(Paramètres!L44,Paramètres!$G$5:$G$57,0)))+IF(RIGHT(TRIM(Paramètres!M44),3)="Fin",1-$H1070,IF(LEFT(TRIM(Paramètres!M44),1)="F",1,0)))),IF(Paramètres!N44="",0,IF(Paramètres!O44="",NA(),IF(LEFT(TRIM(Paramètres!O44),1)="F",INDEX($F$1031:$F$1083,MATCH(Paramètres!N44,Paramètres!$G$5:$G$57,0)),INDEX($E$1031:$E$1083,MATCH(Paramètres!N44,Paramètres!$G$5:$G$57,0)))+IF(RIGHT(TRIM(Paramètres!O44),3)="Fin",1-$H1070,IF(LEFT(TRIM(Paramètres!O44),1)="F",1,0)))))))</f>
        <v/>
      </c>
      <c r="F1070" s="19">
        <f>IF($A1070="","",E1070+$H1070-1)</f>
        <v/>
      </c>
      <c r="G1070" s="18" t="n"/>
      <c r="H1070" s="18">
        <f>IF($A1070="","",IF(I1070&lt;&gt;"",I1070,Paramètres!B44))</f>
        <v/>
      </c>
      <c r="I1070" s="18" t="n"/>
    </row>
    <row r="1071">
      <c r="A1071" s="18">
        <f>IF(ISNUMBER(Dossiers!$D$23),Dossiers!$A$23&amp;" · "&amp;Dossiers!$B$23,"")</f>
        <v/>
      </c>
      <c r="B1071" s="18">
        <f>IF($A1071="","",Paramètres!G45)</f>
        <v/>
      </c>
      <c r="C1071" s="20">
        <f>IF($A1071="","",IF(Dossiers!$G$23="","",Dossiers!$G$23))</f>
        <v/>
      </c>
      <c r="D1071" s="18">
        <f>IF($A1071="","",IF(Paramètres!I45="","",Paramètres!I45))</f>
        <v/>
      </c>
      <c r="E1071" s="19">
        <f>IF($A1071="","",IF(Paramètres!J45&amp;Paramètres!L45&amp;Paramètres!N45="",Dossiers!$D$23,MAX(IF(Paramètres!J45="",0,IF(Paramètres!K45="",NA(),IF(LEFT(TRIM(Paramètres!K45),1)="F",INDEX($F$1031:$F$1083,MATCH(Paramètres!J45,Paramètres!$G$5:$G$57,0)),INDEX($E$1031:$E$1083,MATCH(Paramètres!J45,Paramètres!$G$5:$G$57,0)))+IF(RIGHT(TRIM(Paramètres!K45),3)="Fin",1-$H1071,IF(LEFT(TRIM(Paramètres!K45),1)="F",1,0)))),IF(Paramètres!L45="",0,IF(Paramètres!M45="",NA(),IF(LEFT(TRIM(Paramètres!M45),1)="F",INDEX($F$1031:$F$1083,MATCH(Paramètres!L45,Paramètres!$G$5:$G$57,0)),INDEX($E$1031:$E$1083,MATCH(Paramètres!L45,Paramètres!$G$5:$G$57,0)))+IF(RIGHT(TRIM(Paramètres!M45),3)="Fin",1-$H1071,IF(LEFT(TRIM(Paramètres!M45),1)="F",1,0)))),IF(Paramètres!N45="",0,IF(Paramètres!O45="",NA(),IF(LEFT(TRIM(Paramètres!O45),1)="F",INDEX($F$1031:$F$1083,MATCH(Paramètres!N45,Paramètres!$G$5:$G$57,0)),INDEX($E$1031:$E$1083,MATCH(Paramètres!N45,Paramètres!$G$5:$G$57,0)))+IF(RIGHT(TRIM(Paramètres!O45),3)="Fin",1-$H1071,IF(LEFT(TRIM(Paramètres!O45),1)="F",1,0)))))))</f>
        <v/>
      </c>
      <c r="F1071" s="19">
        <f>IF($A1071="","",E1071+$H1071-1)</f>
        <v/>
      </c>
      <c r="G1071" s="18" t="n"/>
      <c r="H1071" s="18">
        <f>IF($A1071="","",IF(I1071&lt;&gt;"",I1071,Paramètres!B45))</f>
        <v/>
      </c>
      <c r="I1071" s="18" t="n"/>
    </row>
    <row r="1072">
      <c r="A1072" s="18">
        <f>IF(ISNUMBER(Dossiers!$D$23),Dossiers!$A$23&amp;" · "&amp;Dossiers!$B$23,"")</f>
        <v/>
      </c>
      <c r="B1072" s="18">
        <f>IF($A1072="","",Paramètres!G46)</f>
        <v/>
      </c>
      <c r="C1072" s="18">
        <f>IF($A1072="","",IF(Paramètres!H46="","",Paramètres!H46))</f>
        <v/>
      </c>
      <c r="D1072" s="18">
        <f>IF($A1072="","",IF(Paramètres!I46="","",Paramètres!I46))</f>
        <v/>
      </c>
      <c r="E1072" s="19">
        <f>IF($A1072="","",IF(Paramètres!J46&amp;Paramètres!L46&amp;Paramètres!N46="",Dossiers!$D$23,MAX(IF(Paramètres!J46="",0,IF(Paramètres!K46="",NA(),IF(LEFT(TRIM(Paramètres!K46),1)="F",INDEX($F$1031:$F$1083,MATCH(Paramètres!J46,Paramètres!$G$5:$G$57,0)),INDEX($E$1031:$E$1083,MATCH(Paramètres!J46,Paramètres!$G$5:$G$57,0)))+IF(RIGHT(TRIM(Paramètres!K46),3)="Fin",1-$H1072,IF(LEFT(TRIM(Paramètres!K46),1)="F",1,0)))),IF(Paramètres!L46="",0,IF(Paramètres!M46="",NA(),IF(LEFT(TRIM(Paramètres!M46),1)="F",INDEX($F$1031:$F$1083,MATCH(Paramètres!L46,Paramètres!$G$5:$G$57,0)),INDEX($E$1031:$E$1083,MATCH(Paramètres!L46,Paramètres!$G$5:$G$57,0)))+IF(RIGHT(TRIM(Paramètres!M46),3)="Fin",1-$H1072,IF(LEFT(TRIM(Paramètres!M46),1)="F",1,0)))),IF(Paramètres!N46="",0,IF(Paramètres!O46="",NA(),IF(LEFT(TRIM(Paramètres!O46),1)="F",INDEX($F$1031:$F$1083,MATCH(Paramètres!N46,Paramètres!$G$5:$G$57,0)),INDEX($E$1031:$E$1083,MATCH(Paramètres!N46,Paramètres!$G$5:$G$57,0)))+IF(RIGHT(TRIM(Paramètres!O46),3)="Fin",1-$H1072,IF(LEFT(TRIM(Paramètres!O46),1)="F",1,0)))))))</f>
        <v/>
      </c>
      <c r="F1072" s="19">
        <f>IF($A1072="","",E1072+$H1072-1)</f>
        <v/>
      </c>
      <c r="G1072" s="18" t="n"/>
      <c r="H1072" s="18">
        <f>IF($A1072="","",IF(I1072&lt;&gt;"",I1072,Paramètres!B46))</f>
        <v/>
      </c>
      <c r="I1072" s="18" t="n"/>
    </row>
    <row r="1073">
      <c r="A1073" s="18">
        <f>IF(ISNUMBER(Dossiers!$D$23),Dossiers!$A$23&amp;" · "&amp;Dossiers!$B$23,"")</f>
        <v/>
      </c>
      <c r="B1073" s="18">
        <f>IF($A1073="","",Paramètres!G47)</f>
        <v/>
      </c>
      <c r="C1073" s="18">
        <f>IF($A1073="","",IF(Paramètres!H47="","",Paramètres!H47))</f>
        <v/>
      </c>
      <c r="D1073" s="18">
        <f>IF($A1073="","",IF(Paramètres!I47="","",Paramètres!I47))</f>
        <v/>
      </c>
      <c r="E1073" s="19">
        <f>IF($A1073="","",IF(Paramètres!J47&amp;Paramètres!L47&amp;Paramètres!N47="",Dossiers!$D$23,MAX(IF(Paramètres!J47="",0,IF(Paramètres!K47="",NA(),IF(LEFT(TRIM(Paramètres!K47),1)="F",INDEX($F$1031:$F$1083,MATCH(Paramètres!J47,Paramètres!$G$5:$G$57,0)),INDEX($E$1031:$E$1083,MATCH(Paramètres!J47,Paramètres!$G$5:$G$57,0)))+IF(RIGHT(TRIM(Paramètres!K47),3)="Fin",1-$H1073,IF(LEFT(TRIM(Paramètres!K47),1)="F",1,0)))),IF(Paramètres!L47="",0,IF(Paramètres!M47="",NA(),IF(LEFT(TRIM(Paramètres!M47),1)="F",INDEX($F$1031:$F$1083,MATCH(Paramètres!L47,Paramètres!$G$5:$G$57,0)),INDEX($E$1031:$E$1083,MATCH(Paramètres!L47,Paramètres!$G$5:$G$57,0)))+IF(RIGHT(TRIM(Paramètres!M47),3)="Fin",1-$H1073,IF(LEFT(TRIM(Paramètres!M47),1)="F",1,0)))),IF(Paramètres!N47="",0,IF(Paramètres!O47="",NA(),IF(LEFT(TRIM(Paramètres!O47),1)="F",INDEX($F$1031:$F$1083,MATCH(Paramètres!N47,Paramètres!$G$5:$G$57,0)),INDEX($E$1031:$E$1083,MATCH(Paramètres!N47,Paramètres!$G$5:$G$57,0)))+IF(RIGHT(TRIM(Paramètres!O47),3)="Fin",1-$H1073,IF(LEFT(TRIM(Paramètres!O47),1)="F",1,0)))))))</f>
        <v/>
      </c>
      <c r="F1073" s="19">
        <f>IF($A1073="","",E1073+$H1073-1)</f>
        <v/>
      </c>
      <c r="G1073" s="18" t="n"/>
      <c r="H1073" s="18">
        <f>IF($A1073="","",IF(I1073&lt;&gt;"",I1073,Paramètres!B47))</f>
        <v/>
      </c>
      <c r="I1073" s="18" t="n"/>
    </row>
    <row r="1074">
      <c r="A1074" s="18">
        <f>IF(ISNUMBER(Dossiers!$D$23),Dossiers!$A$23&amp;" · "&amp;Dossiers!$B$23,"")</f>
        <v/>
      </c>
      <c r="B1074" s="18">
        <f>IF($A1074="","",Paramètres!G48)</f>
        <v/>
      </c>
      <c r="C1074" s="18">
        <f>IF($A1074="","",IF(Paramètres!H48="","",Paramètres!H48))</f>
        <v/>
      </c>
      <c r="D1074" s="18">
        <f>IF($A1074="","",IF(Paramètres!I48="","",Paramètres!I48))</f>
        <v/>
      </c>
      <c r="E1074" s="19">
        <f>IF($A1074="","",IF(Paramètres!J48&amp;Paramètres!L48&amp;Paramètres!N48="",Dossiers!$D$23,MAX(IF(Paramètres!J48="",0,IF(Paramètres!K48="",NA(),IF(LEFT(TRIM(Paramètres!K48),1)="F",INDEX($F$1031:$F$1083,MATCH(Paramètres!J48,Paramètres!$G$5:$G$57,0)),INDEX($E$1031:$E$1083,MATCH(Paramètres!J48,Paramètres!$G$5:$G$57,0)))+IF(RIGHT(TRIM(Paramètres!K48),3)="Fin",1-$H1074,IF(LEFT(TRIM(Paramètres!K48),1)="F",1,0)))),IF(Paramètres!L48="",0,IF(Paramètres!M48="",NA(),IF(LEFT(TRIM(Paramètres!M48),1)="F",INDEX($F$1031:$F$1083,MATCH(Paramètres!L48,Paramètres!$G$5:$G$57,0)),INDEX($E$1031:$E$1083,MATCH(Paramètres!L48,Paramètres!$G$5:$G$57,0)))+IF(RIGHT(TRIM(Paramètres!M48),3)="Fin",1-$H1074,IF(LEFT(TRIM(Paramètres!M48),1)="F",1,0)))),IF(Paramètres!N48="",0,IF(Paramètres!O48="",NA(),IF(LEFT(TRIM(Paramètres!O48),1)="F",INDEX($F$1031:$F$1083,MATCH(Paramètres!N48,Paramètres!$G$5:$G$57,0)),INDEX($E$1031:$E$1083,MATCH(Paramètres!N48,Paramètres!$G$5:$G$57,0)))+IF(RIGHT(TRIM(Paramètres!O48),3)="Fin",1-$H1074,IF(LEFT(TRIM(Paramètres!O48),1)="F",1,0)))))))</f>
        <v/>
      </c>
      <c r="F1074" s="19">
        <f>IF($A1074="","",E1074+$H1074-1)</f>
        <v/>
      </c>
      <c r="G1074" s="18" t="n"/>
      <c r="H1074" s="18">
        <f>IF($A1074="","",IF(I1074&lt;&gt;"",I1074,Paramètres!B48))</f>
        <v/>
      </c>
      <c r="I1074" s="18" t="n"/>
    </row>
    <row r="1075">
      <c r="A1075" s="18">
        <f>IF(ISNUMBER(Dossiers!$D$23),Dossiers!$A$23&amp;" · "&amp;Dossiers!$B$23,"")</f>
        <v/>
      </c>
      <c r="B1075" s="18">
        <f>IF($A1075="","",Paramètres!G49)</f>
        <v/>
      </c>
      <c r="C1075" s="18">
        <f>IF($A1075="","",IF(Paramètres!H49="","",Paramètres!H49))</f>
        <v/>
      </c>
      <c r="D1075" s="18">
        <f>IF($A1075="","",IF(Paramètres!I49="","",Paramètres!I49))</f>
        <v/>
      </c>
      <c r="E1075" s="19">
        <f>IF($A1075="","",IF(Paramètres!J49&amp;Paramètres!L49&amp;Paramètres!N49="",Dossiers!$D$23,MAX(IF(Paramètres!J49="",0,IF(Paramètres!K49="",NA(),IF(LEFT(TRIM(Paramètres!K49),1)="F",INDEX($F$1031:$F$1083,MATCH(Paramètres!J49,Paramètres!$G$5:$G$57,0)),INDEX($E$1031:$E$1083,MATCH(Paramètres!J49,Paramètres!$G$5:$G$57,0)))+IF(RIGHT(TRIM(Paramètres!K49),3)="Fin",1-$H1075,IF(LEFT(TRIM(Paramètres!K49),1)="F",1,0)))),IF(Paramètres!L49="",0,IF(Paramètres!M49="",NA(),IF(LEFT(TRIM(Paramètres!M49),1)="F",INDEX($F$1031:$F$1083,MATCH(Paramètres!L49,Paramètres!$G$5:$G$57,0)),INDEX($E$1031:$E$1083,MATCH(Paramètres!L49,Paramètres!$G$5:$G$57,0)))+IF(RIGHT(TRIM(Paramètres!M49),3)="Fin",1-$H1075,IF(LEFT(TRIM(Paramètres!M49),1)="F",1,0)))),IF(Paramètres!N49="",0,IF(Paramètres!O49="",NA(),IF(LEFT(TRIM(Paramètres!O49),1)="F",INDEX($F$1031:$F$1083,MATCH(Paramètres!N49,Paramètres!$G$5:$G$57,0)),INDEX($E$1031:$E$1083,MATCH(Paramètres!N49,Paramètres!$G$5:$G$57,0)))+IF(RIGHT(TRIM(Paramètres!O49),3)="Fin",1-$H1075,IF(LEFT(TRIM(Paramètres!O49),1)="F",1,0)))))))</f>
        <v/>
      </c>
      <c r="F1075" s="19">
        <f>IF($A1075="","",E1075+$H1075-1)</f>
        <v/>
      </c>
      <c r="G1075" s="18" t="n"/>
      <c r="H1075" s="18">
        <f>IF($A1075="","",IF(I1075&lt;&gt;"",I1075,Paramètres!B49))</f>
        <v/>
      </c>
      <c r="I1075" s="18" t="n"/>
    </row>
    <row r="1076">
      <c r="A1076" s="18">
        <f>IF(ISNUMBER(Dossiers!$D$23),Dossiers!$A$23&amp;" · "&amp;Dossiers!$B$23,"")</f>
        <v/>
      </c>
      <c r="B1076" s="18">
        <f>IF($A1076="","",Paramètres!G50)</f>
        <v/>
      </c>
      <c r="C1076" s="18">
        <f>IF($A1076="","",IF(Paramètres!H50="","",Paramètres!H50))</f>
        <v/>
      </c>
      <c r="D1076" s="18">
        <f>IF($A1076="","",IF(Paramètres!I50="","",Paramètres!I50))</f>
        <v/>
      </c>
      <c r="E1076" s="19">
        <f>IF($A1076="","",IF(Paramètres!J50&amp;Paramètres!L50&amp;Paramètres!N50="",Dossiers!$D$23,MAX(IF(Paramètres!J50="",0,IF(Paramètres!K50="",NA(),IF(LEFT(TRIM(Paramètres!K50),1)="F",INDEX($F$1031:$F$1083,MATCH(Paramètres!J50,Paramètres!$G$5:$G$57,0)),INDEX($E$1031:$E$1083,MATCH(Paramètres!J50,Paramètres!$G$5:$G$57,0)))+IF(RIGHT(TRIM(Paramètres!K50),3)="Fin",1-$H1076,IF(LEFT(TRIM(Paramètres!K50),1)="F",1,0)))),IF(Paramètres!L50="",0,IF(Paramètres!M50="",NA(),IF(LEFT(TRIM(Paramètres!M50),1)="F",INDEX($F$1031:$F$1083,MATCH(Paramètres!L50,Paramètres!$G$5:$G$57,0)),INDEX($E$1031:$E$1083,MATCH(Paramètres!L50,Paramètres!$G$5:$G$57,0)))+IF(RIGHT(TRIM(Paramètres!M50),3)="Fin",1-$H1076,IF(LEFT(TRIM(Paramètres!M50),1)="F",1,0)))),IF(Paramètres!N50="",0,IF(Paramètres!O50="",NA(),IF(LEFT(TRIM(Paramètres!O50),1)="F",INDEX($F$1031:$F$1083,MATCH(Paramètres!N50,Paramètres!$G$5:$G$57,0)),INDEX($E$1031:$E$1083,MATCH(Paramètres!N50,Paramètres!$G$5:$G$57,0)))+IF(RIGHT(TRIM(Paramètres!O50),3)="Fin",1-$H1076,IF(LEFT(TRIM(Paramètres!O50),1)="F",1,0)))))))</f>
        <v/>
      </c>
      <c r="F1076" s="19">
        <f>IF($A1076="","",E1076+$H1076-1)</f>
        <v/>
      </c>
      <c r="G1076" s="18" t="n"/>
      <c r="H1076" s="18">
        <f>IF($A1076="","",IF(I1076&lt;&gt;"",I1076,Paramètres!B50))</f>
        <v/>
      </c>
      <c r="I1076" s="18" t="n"/>
    </row>
    <row r="1077">
      <c r="A1077" s="18">
        <f>IF(ISNUMBER(Dossiers!$D$23),Dossiers!$A$23&amp;" · "&amp;Dossiers!$B$23,"")</f>
        <v/>
      </c>
      <c r="B1077" s="18">
        <f>IF($A1077="","",Paramètres!G51)</f>
        <v/>
      </c>
      <c r="C1077" s="18">
        <f>IF($A1077="","",IF(Paramètres!H51="","",Paramètres!H51))</f>
        <v/>
      </c>
      <c r="D1077" s="18">
        <f>IF($A1077="","",IF(Paramètres!I51="","",Paramètres!I51))</f>
        <v/>
      </c>
      <c r="E1077" s="19">
        <f>IF($A1077="","",IF(Paramètres!J51&amp;Paramètres!L51&amp;Paramètres!N51="",Dossiers!$D$23,MAX(IF(Paramètres!J51="",0,IF(Paramètres!K51="",NA(),IF(LEFT(TRIM(Paramètres!K51),1)="F",INDEX($F$1031:$F$1083,MATCH(Paramètres!J51,Paramètres!$G$5:$G$57,0)),INDEX($E$1031:$E$1083,MATCH(Paramètres!J51,Paramètres!$G$5:$G$57,0)))+IF(RIGHT(TRIM(Paramètres!K51),3)="Fin",1-$H1077,IF(LEFT(TRIM(Paramètres!K51),1)="F",1,0)))),IF(Paramètres!L51="",0,IF(Paramètres!M51="",NA(),IF(LEFT(TRIM(Paramètres!M51),1)="F",INDEX($F$1031:$F$1083,MATCH(Paramètres!L51,Paramètres!$G$5:$G$57,0)),INDEX($E$1031:$E$1083,MATCH(Paramètres!L51,Paramètres!$G$5:$G$57,0)))+IF(RIGHT(TRIM(Paramètres!M51),3)="Fin",1-$H1077,IF(LEFT(TRIM(Paramètres!M51),1)="F",1,0)))),IF(Paramètres!N51="",0,IF(Paramètres!O51="",NA(),IF(LEFT(TRIM(Paramètres!O51),1)="F",INDEX($F$1031:$F$1083,MATCH(Paramètres!N51,Paramètres!$G$5:$G$57,0)),INDEX($E$1031:$E$1083,MATCH(Paramètres!N51,Paramètres!$G$5:$G$57,0)))+IF(RIGHT(TRIM(Paramètres!O51),3)="Fin",1-$H1077,IF(LEFT(TRIM(Paramètres!O51),1)="F",1,0)))))))</f>
        <v/>
      </c>
      <c r="F1077" s="19">
        <f>IF($A1077="","",E1077+$H1077-1)</f>
        <v/>
      </c>
      <c r="G1077" s="18" t="n"/>
      <c r="H1077" s="18">
        <f>IF($A1077="","",IF(I1077&lt;&gt;"",I1077,Paramètres!B51))</f>
        <v/>
      </c>
      <c r="I1077" s="18" t="n"/>
    </row>
    <row r="1078">
      <c r="A1078" s="18">
        <f>IF(ISNUMBER(Dossiers!$D$23),Dossiers!$A$23&amp;" · "&amp;Dossiers!$B$23,"")</f>
        <v/>
      </c>
      <c r="B1078" s="18">
        <f>IF($A1078="","",Paramètres!G52)</f>
        <v/>
      </c>
      <c r="C1078" s="18">
        <f>IF($A1078="","",IF(Paramètres!H52="","",Paramètres!H52))</f>
        <v/>
      </c>
      <c r="D1078" s="18">
        <f>IF($A1078="","",IF(Paramètres!I52="","",Paramètres!I52))</f>
        <v/>
      </c>
      <c r="E1078" s="19">
        <f>IF($A1078="","",IF(Paramètres!J52&amp;Paramètres!L52&amp;Paramètres!N52="",Dossiers!$D$23,MAX(IF(Paramètres!J52="",0,IF(Paramètres!K52="",NA(),IF(LEFT(TRIM(Paramètres!K52),1)="F",INDEX($F$1031:$F$1083,MATCH(Paramètres!J52,Paramètres!$G$5:$G$57,0)),INDEX($E$1031:$E$1083,MATCH(Paramètres!J52,Paramètres!$G$5:$G$57,0)))+IF(RIGHT(TRIM(Paramètres!K52),3)="Fin",1-$H1078,IF(LEFT(TRIM(Paramètres!K52),1)="F",1,0)))),IF(Paramètres!L52="",0,IF(Paramètres!M52="",NA(),IF(LEFT(TRIM(Paramètres!M52),1)="F",INDEX($F$1031:$F$1083,MATCH(Paramètres!L52,Paramètres!$G$5:$G$57,0)),INDEX($E$1031:$E$1083,MATCH(Paramètres!L52,Paramètres!$G$5:$G$57,0)))+IF(RIGHT(TRIM(Paramètres!M52),3)="Fin",1-$H1078,IF(LEFT(TRIM(Paramètres!M52),1)="F",1,0)))),IF(Paramètres!N52="",0,IF(Paramètres!O52="",NA(),IF(LEFT(TRIM(Paramètres!O52),1)="F",INDEX($F$1031:$F$1083,MATCH(Paramètres!N52,Paramètres!$G$5:$G$57,0)),INDEX($E$1031:$E$1083,MATCH(Paramètres!N52,Paramètres!$G$5:$G$57,0)))+IF(RIGHT(TRIM(Paramètres!O52),3)="Fin",1-$H1078,IF(LEFT(TRIM(Paramètres!O52),1)="F",1,0)))))))</f>
        <v/>
      </c>
      <c r="F1078" s="19">
        <f>IF($A1078="","",E1078+$H1078-1)</f>
        <v/>
      </c>
      <c r="G1078" s="18" t="n"/>
      <c r="H1078" s="18">
        <f>IF($A1078="","",IF(I1078&lt;&gt;"",I1078,Paramètres!B52))</f>
        <v/>
      </c>
      <c r="I1078" s="18" t="n"/>
    </row>
    <row r="1079">
      <c r="A1079" s="18">
        <f>IF(ISNUMBER(Dossiers!$D$23),Dossiers!$A$23&amp;" · "&amp;Dossiers!$B$23,"")</f>
        <v/>
      </c>
      <c r="B1079" s="18">
        <f>IF($A1079="","",Paramètres!G53)</f>
        <v/>
      </c>
      <c r="C1079" s="18">
        <f>IF($A1079="","",IF(Paramètres!H53="","",Paramètres!H53))</f>
        <v/>
      </c>
      <c r="D1079" s="18">
        <f>IF($A1079="","",IF(Paramètres!I53="","",Paramètres!I53))</f>
        <v/>
      </c>
      <c r="E1079" s="19">
        <f>IF($A1079="","",IF(Paramètres!J53&amp;Paramètres!L53&amp;Paramètres!N53="",Dossiers!$D$23,MAX(IF(Paramètres!J53="",0,IF(Paramètres!K53="",NA(),IF(LEFT(TRIM(Paramètres!K53),1)="F",INDEX($F$1031:$F$1083,MATCH(Paramètres!J53,Paramètres!$G$5:$G$57,0)),INDEX($E$1031:$E$1083,MATCH(Paramètres!J53,Paramètres!$G$5:$G$57,0)))+IF(RIGHT(TRIM(Paramètres!K53),3)="Fin",1-$H1079,IF(LEFT(TRIM(Paramètres!K53),1)="F",1,0)))),IF(Paramètres!L53="",0,IF(Paramètres!M53="",NA(),IF(LEFT(TRIM(Paramètres!M53),1)="F",INDEX($F$1031:$F$1083,MATCH(Paramètres!L53,Paramètres!$G$5:$G$57,0)),INDEX($E$1031:$E$1083,MATCH(Paramètres!L53,Paramètres!$G$5:$G$57,0)))+IF(RIGHT(TRIM(Paramètres!M53),3)="Fin",1-$H1079,IF(LEFT(TRIM(Paramètres!M53),1)="F",1,0)))),IF(Paramètres!N53="",0,IF(Paramètres!O53="",NA(),IF(LEFT(TRIM(Paramètres!O53),1)="F",INDEX($F$1031:$F$1083,MATCH(Paramètres!N53,Paramètres!$G$5:$G$57,0)),INDEX($E$1031:$E$1083,MATCH(Paramètres!N53,Paramètres!$G$5:$G$57,0)))+IF(RIGHT(TRIM(Paramètres!O53),3)="Fin",1-$H1079,IF(LEFT(TRIM(Paramètres!O53),1)="F",1,0)))))))</f>
        <v/>
      </c>
      <c r="F1079" s="19">
        <f>IF($A1079="","",E1079+$H1079-1)</f>
        <v/>
      </c>
      <c r="G1079" s="18" t="n"/>
      <c r="H1079" s="18">
        <f>IF($A1079="","",IF(I1079&lt;&gt;"",I1079,Paramètres!B53))</f>
        <v/>
      </c>
      <c r="I1079" s="18" t="n"/>
    </row>
    <row r="1080">
      <c r="A1080" s="18">
        <f>IF(ISNUMBER(Dossiers!$D$23),Dossiers!$A$23&amp;" · "&amp;Dossiers!$B$23,"")</f>
        <v/>
      </c>
      <c r="B1080" s="18">
        <f>IF($A1080="","",Paramètres!G54)</f>
        <v/>
      </c>
      <c r="C1080" s="18">
        <f>IF($A1080="","",IF(Paramètres!H54="","",Paramètres!H54))</f>
        <v/>
      </c>
      <c r="D1080" s="18">
        <f>IF($A1080="","",IF(Paramètres!I54="","",Paramètres!I54))</f>
        <v/>
      </c>
      <c r="E1080" s="19">
        <f>IF($A1080="","",IF(Paramètres!J54&amp;Paramètres!L54&amp;Paramètres!N54="",Dossiers!$D$23,MAX(IF(Paramètres!J54="",0,IF(Paramètres!K54="",NA(),IF(LEFT(TRIM(Paramètres!K54),1)="F",INDEX($F$1031:$F$1083,MATCH(Paramètres!J54,Paramètres!$G$5:$G$57,0)),INDEX($E$1031:$E$1083,MATCH(Paramètres!J54,Paramètres!$G$5:$G$57,0)))+IF(RIGHT(TRIM(Paramètres!K54),3)="Fin",1-$H1080,IF(LEFT(TRIM(Paramètres!K54),1)="F",1,0)))),IF(Paramètres!L54="",0,IF(Paramètres!M54="",NA(),IF(LEFT(TRIM(Paramètres!M54),1)="F",INDEX($F$1031:$F$1083,MATCH(Paramètres!L54,Paramètres!$G$5:$G$57,0)),INDEX($E$1031:$E$1083,MATCH(Paramètres!L54,Paramètres!$G$5:$G$57,0)))+IF(RIGHT(TRIM(Paramètres!M54),3)="Fin",1-$H1080,IF(LEFT(TRIM(Paramètres!M54),1)="F",1,0)))),IF(Paramètres!N54="",0,IF(Paramètres!O54="",NA(),IF(LEFT(TRIM(Paramètres!O54),1)="F",INDEX($F$1031:$F$1083,MATCH(Paramètres!N54,Paramètres!$G$5:$G$57,0)),INDEX($E$1031:$E$1083,MATCH(Paramètres!N54,Paramètres!$G$5:$G$57,0)))+IF(RIGHT(TRIM(Paramètres!O54),3)="Fin",1-$H1080,IF(LEFT(TRIM(Paramètres!O54),1)="F",1,0)))))))</f>
        <v/>
      </c>
      <c r="F1080" s="19">
        <f>IF($A1080="","",E1080+$H1080-1)</f>
        <v/>
      </c>
      <c r="G1080" s="18" t="n"/>
      <c r="H1080" s="18">
        <f>IF($A1080="","",IF(I1080&lt;&gt;"",I1080,Paramètres!B54))</f>
        <v/>
      </c>
      <c r="I1080" s="18" t="n"/>
    </row>
    <row r="1081">
      <c r="A1081" s="18">
        <f>IF(ISNUMBER(Dossiers!$D$23),Dossiers!$A$23&amp;" · "&amp;Dossiers!$B$23,"")</f>
        <v/>
      </c>
      <c r="B1081" s="18">
        <f>IF($A1081="","",Paramètres!G55)</f>
        <v/>
      </c>
      <c r="C1081" s="18">
        <f>IF($A1081="","",IF(Paramètres!H55="","",Paramètres!H55))</f>
        <v/>
      </c>
      <c r="D1081" s="18">
        <f>IF($A1081="","",IF(Paramètres!I55="","",Paramètres!I55))</f>
        <v/>
      </c>
      <c r="E1081" s="19">
        <f>IF($A1081="","",IF(Paramètres!J55&amp;Paramètres!L55&amp;Paramètres!N55="",Dossiers!$D$23,MAX(IF(Paramètres!J55="",0,IF(Paramètres!K55="",NA(),IF(LEFT(TRIM(Paramètres!K55),1)="F",INDEX($F$1031:$F$1083,MATCH(Paramètres!J55,Paramètres!$G$5:$G$57,0)),INDEX($E$1031:$E$1083,MATCH(Paramètres!J55,Paramètres!$G$5:$G$57,0)))+IF(RIGHT(TRIM(Paramètres!K55),3)="Fin",1-$H1081,IF(LEFT(TRIM(Paramètres!K55),1)="F",1,0)))),IF(Paramètres!L55="",0,IF(Paramètres!M55="",NA(),IF(LEFT(TRIM(Paramètres!M55),1)="F",INDEX($F$1031:$F$1083,MATCH(Paramètres!L55,Paramètres!$G$5:$G$57,0)),INDEX($E$1031:$E$1083,MATCH(Paramètres!L55,Paramètres!$G$5:$G$57,0)))+IF(RIGHT(TRIM(Paramètres!M55),3)="Fin",1-$H1081,IF(LEFT(TRIM(Paramètres!M55),1)="F",1,0)))),IF(Paramètres!N55="",0,IF(Paramètres!O55="",NA(),IF(LEFT(TRIM(Paramètres!O55),1)="F",INDEX($F$1031:$F$1083,MATCH(Paramètres!N55,Paramètres!$G$5:$G$57,0)),INDEX($E$1031:$E$1083,MATCH(Paramètres!N55,Paramètres!$G$5:$G$57,0)))+IF(RIGHT(TRIM(Paramètres!O55),3)="Fin",1-$H1081,IF(LEFT(TRIM(Paramètres!O55),1)="F",1,0)))))))</f>
        <v/>
      </c>
      <c r="F1081" s="19">
        <f>IF($A1081="","",E1081+$H1081-1)</f>
        <v/>
      </c>
      <c r="G1081" s="18" t="n"/>
      <c r="H1081" s="18">
        <f>IF($A1081="","",IF(I1081&lt;&gt;"",I1081,Paramètres!B55))</f>
        <v/>
      </c>
      <c r="I1081" s="18" t="n"/>
    </row>
    <row r="1082">
      <c r="A1082" s="18">
        <f>IF(ISNUMBER(Dossiers!$D$23),Dossiers!$A$23&amp;" · "&amp;Dossiers!$B$23,"")</f>
        <v/>
      </c>
      <c r="B1082" s="18">
        <f>IF($A1082="","",Paramètres!G56)</f>
        <v/>
      </c>
      <c r="C1082" s="18">
        <f>IF($A1082="","",IF(Paramètres!H56="","",Paramètres!H56))</f>
        <v/>
      </c>
      <c r="D1082" s="18">
        <f>IF($A1082="","",IF(Paramètres!I56="","",Paramètres!I56))</f>
        <v/>
      </c>
      <c r="E1082" s="19">
        <f>IF($A1082="","",MIN(E1083:E1083))</f>
        <v/>
      </c>
      <c r="F1082" s="19">
        <f>IF($A1082="","",MAX(F1083:F1083))</f>
        <v/>
      </c>
      <c r="G1082" s="18" t="n"/>
      <c r="H1082" s="18">
        <f>IF($A1082="","",F1082-E1082+1)</f>
        <v/>
      </c>
      <c r="I1082" s="18" t="n"/>
    </row>
    <row r="1083">
      <c r="A1083" s="18">
        <f>IF(ISNUMBER(Dossiers!$D$23),Dossiers!$A$23&amp;" · "&amp;Dossiers!$B$23,"")</f>
        <v/>
      </c>
      <c r="B1083" s="18">
        <f>IF($A1083="","",Paramètres!G57)</f>
        <v/>
      </c>
      <c r="C1083" s="18">
        <f>IF($A1083="","",IF(Paramètres!H57="","",Paramètres!H57))</f>
        <v/>
      </c>
      <c r="D1083" s="18">
        <f>IF($A1083="","",IF(Paramètres!I57="","",Paramètres!I57))</f>
        <v/>
      </c>
      <c r="E1083" s="19">
        <f>IF($A1083="","",IF(Paramètres!J57&amp;Paramètres!L57&amp;Paramètres!N57="",Dossiers!$D$23,MAX(IF(Paramètres!J57="",0,IF(Paramètres!K57="",NA(),IF(LEFT(TRIM(Paramètres!K57),1)="F",INDEX($F$1031:$F$1083,MATCH(Paramètres!J57,Paramètres!$G$5:$G$57,0)),INDEX($E$1031:$E$1083,MATCH(Paramètres!J57,Paramètres!$G$5:$G$57,0)))+IF(RIGHT(TRIM(Paramètres!K57),3)="Fin",1-$H1083,IF(LEFT(TRIM(Paramètres!K57),1)="F",1,0)))),IF(Paramètres!L57="",0,IF(Paramètres!M57="",NA(),IF(LEFT(TRIM(Paramètres!M57),1)="F",INDEX($F$1031:$F$1083,MATCH(Paramètres!L57,Paramètres!$G$5:$G$57,0)),INDEX($E$1031:$E$1083,MATCH(Paramètres!L57,Paramètres!$G$5:$G$57,0)))+IF(RIGHT(TRIM(Paramètres!M57),3)="Fin",1-$H1083,IF(LEFT(TRIM(Paramètres!M57),1)="F",1,0)))),IF(Paramètres!N57="",0,IF(Paramètres!O57="",NA(),IF(LEFT(TRIM(Paramètres!O57),1)="F",INDEX($F$1031:$F$1083,MATCH(Paramètres!N57,Paramètres!$G$5:$G$57,0)),INDEX($E$1031:$E$1083,MATCH(Paramètres!N57,Paramètres!$G$5:$G$57,0)))+IF(RIGHT(TRIM(Paramètres!O57),3)="Fin",1-$H1083,IF(LEFT(TRIM(Paramètres!O57),1)="F",1,0)))))))</f>
        <v/>
      </c>
      <c r="F1083" s="19">
        <f>IF($A1083="","",E1083+$H1083-1)</f>
        <v/>
      </c>
      <c r="G1083" s="18" t="n"/>
      <c r="H1083" s="18">
        <f>IF($A1083="","",IF(I1083&lt;&gt;"",I1083,Paramètres!B57))</f>
        <v/>
      </c>
      <c r="I1083" s="18" t="n"/>
    </row>
    <row r="1084">
      <c r="A1084" s="16">
        <f>IF(ISNUMBER(Dossiers!$D$24),Dossiers!$E$24,"")</f>
        <v/>
      </c>
      <c r="B1084" s="16">
        <f>IF($A1084="","","Identifiant")</f>
        <v/>
      </c>
      <c r="C1084" s="16">
        <f>IF($A1084="","","Macro Etape")</f>
        <v/>
      </c>
      <c r="D1084" s="16">
        <f>IF($A1084="","","Etape")</f>
        <v/>
      </c>
      <c r="E1084" s="17">
        <f>IF($A1084="","","Début le")</f>
        <v/>
      </c>
      <c r="F1084" s="17">
        <f>IF($A1084="","","Fin prévue le")</f>
        <v/>
      </c>
      <c r="G1084" s="16">
        <f>IF($A1084="","","Statut")</f>
        <v/>
      </c>
      <c r="H1084" s="16">
        <f>IF($A1084="","","Durée (jours)")</f>
        <v/>
      </c>
      <c r="I1084" s="16">
        <f>IF($A1084="","","Durée particulière")</f>
        <v/>
      </c>
      <c r="J1084" s="10">
        <f>IF($A1084="","",HYPERLINK("#'Tableau de bord'!A1","↑ Tableau de bord"))</f>
        <v/>
      </c>
    </row>
    <row r="1085">
      <c r="A1085" s="18">
        <f>IF(ISNUMBER(Dossiers!$D$24),Dossiers!$A$24&amp;" · "&amp;Dossiers!$B$24,"")</f>
        <v/>
      </c>
      <c r="B1085" s="18">
        <f>IF($A1085="","",Paramètres!G5)</f>
        <v/>
      </c>
      <c r="C1085" s="18">
        <f>IF($A1085="","",IF(Paramètres!H5="","",Paramètres!H5))</f>
        <v/>
      </c>
      <c r="D1085" s="18">
        <f>IF($A1085="","",IF(Paramètres!I5="","",Paramètres!I5))</f>
        <v/>
      </c>
      <c r="E1085" s="19">
        <f>IF($A1085="","",MIN(E1086:E1089))</f>
        <v/>
      </c>
      <c r="F1085" s="19">
        <f>IF($A1085="","",MAX(F1086:F1089))</f>
        <v/>
      </c>
      <c r="G1085" s="18" t="n"/>
      <c r="H1085" s="18">
        <f>IF($A1085="","",F1085-E1085+1)</f>
        <v/>
      </c>
      <c r="I1085" s="18" t="n"/>
    </row>
    <row r="1086">
      <c r="A1086" s="18">
        <f>IF(ISNUMBER(Dossiers!$D$24),Dossiers!$A$24&amp;" · "&amp;Dossiers!$B$24,"")</f>
        <v/>
      </c>
      <c r="B1086" s="18">
        <f>IF($A1086="","",Paramètres!G6)</f>
        <v/>
      </c>
      <c r="C1086" s="18">
        <f>IF($A1086="","",IF(Paramètres!H6="","",Paramètres!H6))</f>
        <v/>
      </c>
      <c r="D1086" s="18">
        <f>IF($A1086="","",IF(Paramètres!I6="","",Paramètres!I6))</f>
        <v/>
      </c>
      <c r="E1086" s="19">
        <f>IF($A1086="","",IF(Paramètres!J6&amp;Paramètres!L6&amp;Paramètres!N6="",Dossiers!$D$24,MAX(IF(Paramètres!J6="",0,IF(Paramètres!K6="",NA(),IF(LEFT(TRIM(Paramètres!K6),1)="F",INDEX($F$1085:$F$1137,MATCH(Paramètres!J6,Paramètres!$G$5:$G$57,0)),INDEX($E$1085:$E$1137,MATCH(Paramètres!J6,Paramètres!$G$5:$G$57,0)))+IF(RIGHT(TRIM(Paramètres!K6),3)="Fin",1-$H1086,IF(LEFT(TRIM(Paramètres!K6),1)="F",1,0)))),IF(Paramètres!L6="",0,IF(Paramètres!M6="",NA(),IF(LEFT(TRIM(Paramètres!M6),1)="F",INDEX($F$1085:$F$1137,MATCH(Paramètres!L6,Paramètres!$G$5:$G$57,0)),INDEX($E$1085:$E$1137,MATCH(Paramètres!L6,Paramètres!$G$5:$G$57,0)))+IF(RIGHT(TRIM(Paramètres!M6),3)="Fin",1-$H1086,IF(LEFT(TRIM(Paramètres!M6),1)="F",1,0)))),IF(Paramètres!N6="",0,IF(Paramètres!O6="",NA(),IF(LEFT(TRIM(Paramètres!O6),1)="F",INDEX($F$1085:$F$1137,MATCH(Paramètres!N6,Paramètres!$G$5:$G$57,0)),INDEX($E$1085:$E$1137,MATCH(Paramètres!N6,Paramètres!$G$5:$G$57,0)))+IF(RIGHT(TRIM(Paramètres!O6),3)="Fin",1-$H1086,IF(LEFT(TRIM(Paramètres!O6),1)="F",1,0)))))))</f>
        <v/>
      </c>
      <c r="F1086" s="19">
        <f>IF($A1086="","",E1086+$H1086-1)</f>
        <v/>
      </c>
      <c r="G1086" s="18" t="n"/>
      <c r="H1086" s="18">
        <f>IF($A1086="","",IF(I1086&lt;&gt;"",I1086,Paramètres!B6))</f>
        <v/>
      </c>
      <c r="I1086" s="18" t="n"/>
    </row>
    <row r="1087">
      <c r="A1087" s="18">
        <f>IF(ISNUMBER(Dossiers!$D$24),Dossiers!$A$24&amp;" · "&amp;Dossiers!$B$24,"")</f>
        <v/>
      </c>
      <c r="B1087" s="18">
        <f>IF($A1087="","",Paramètres!G7)</f>
        <v/>
      </c>
      <c r="C1087" s="18">
        <f>IF($A1087="","",IF(Paramètres!H7="","",Paramètres!H7))</f>
        <v/>
      </c>
      <c r="D1087" s="18">
        <f>IF($A1087="","",IF(Paramètres!I7="","",Paramètres!I7))</f>
        <v/>
      </c>
      <c r="E1087" s="19">
        <f>IF($A1087="","",IF(Paramètres!J7&amp;Paramètres!L7&amp;Paramètres!N7="",Dossiers!$D$24,MAX(IF(Paramètres!J7="",0,IF(Paramètres!K7="",NA(),IF(LEFT(TRIM(Paramètres!K7),1)="F",INDEX($F$1085:$F$1137,MATCH(Paramètres!J7,Paramètres!$G$5:$G$57,0)),INDEX($E$1085:$E$1137,MATCH(Paramètres!J7,Paramètres!$G$5:$G$57,0)))+IF(RIGHT(TRIM(Paramètres!K7),3)="Fin",1-$H1087,IF(LEFT(TRIM(Paramètres!K7),1)="F",1,0)))),IF(Paramètres!L7="",0,IF(Paramètres!M7="",NA(),IF(LEFT(TRIM(Paramètres!M7),1)="F",INDEX($F$1085:$F$1137,MATCH(Paramètres!L7,Paramètres!$G$5:$G$57,0)),INDEX($E$1085:$E$1137,MATCH(Paramètres!L7,Paramètres!$G$5:$G$57,0)))+IF(RIGHT(TRIM(Paramètres!M7),3)="Fin",1-$H1087,IF(LEFT(TRIM(Paramètres!M7),1)="F",1,0)))),IF(Paramètres!N7="",0,IF(Paramètres!O7="",NA(),IF(LEFT(TRIM(Paramètres!O7),1)="F",INDEX($F$1085:$F$1137,MATCH(Paramètres!N7,Paramètres!$G$5:$G$57,0)),INDEX($E$1085:$E$1137,MATCH(Paramètres!N7,Paramètres!$G$5:$G$57,0)))+IF(RIGHT(TRIM(Paramètres!O7),3)="Fin",1-$H1087,IF(LEFT(TRIM(Paramètres!O7),1)="F",1,0)))))))</f>
        <v/>
      </c>
      <c r="F1087" s="19">
        <f>IF($A1087="","",E1087+$H1087-1)</f>
        <v/>
      </c>
      <c r="G1087" s="18" t="n"/>
      <c r="H1087" s="18">
        <f>IF($A1087="","",IF(I1087&lt;&gt;"",I1087,Paramètres!B7))</f>
        <v/>
      </c>
      <c r="I1087" s="18" t="n"/>
    </row>
    <row r="1088">
      <c r="A1088" s="18">
        <f>IF(ISNUMBER(Dossiers!$D$24),Dossiers!$A$24&amp;" · "&amp;Dossiers!$B$24,"")</f>
        <v/>
      </c>
      <c r="B1088" s="18">
        <f>IF($A1088="","",Paramètres!G8)</f>
        <v/>
      </c>
      <c r="C1088" s="18">
        <f>IF($A1088="","",IF(Paramètres!H8="","",Paramètres!H8))</f>
        <v/>
      </c>
      <c r="D1088" s="18">
        <f>IF($A1088="","",IF(Paramètres!I8="","",Paramètres!I8))</f>
        <v/>
      </c>
      <c r="E1088" s="19">
        <f>IF($A1088="","",IF(Paramètres!J8&amp;Paramètres!L8&amp;Paramètres!N8="",Dossiers!$D$24,MAX(IF(Paramètres!J8="",0,IF(Paramètres!K8="",NA(),IF(LEFT(TRIM(Paramètres!K8),1)="F",INDEX($F$1085:$F$1137,MATCH(Paramètres!J8,Paramètres!$G$5:$G$57,0)),INDEX($E$1085:$E$1137,MATCH(Paramètres!J8,Paramètres!$G$5:$G$57,0)))+IF(RIGHT(TRIM(Paramètres!K8),3)="Fin",1-$H1088,IF(LEFT(TRIM(Paramètres!K8),1)="F",1,0)))),IF(Paramètres!L8="",0,IF(Paramètres!M8="",NA(),IF(LEFT(TRIM(Paramètres!M8),1)="F",INDEX($F$1085:$F$1137,MATCH(Paramètres!L8,Paramètres!$G$5:$G$57,0)),INDEX($E$1085:$E$1137,MATCH(Paramètres!L8,Paramètres!$G$5:$G$57,0)))+IF(RIGHT(TRIM(Paramètres!M8),3)="Fin",1-$H1088,IF(LEFT(TRIM(Paramètres!M8),1)="F",1,0)))),IF(Paramètres!N8="",0,IF(Paramètres!O8="",NA(),IF(LEFT(TRIM(Paramètres!O8),1)="F",INDEX($F$1085:$F$1137,MATCH(Paramètres!N8,Paramètres!$G$5:$G$57,0)),INDEX($E$1085:$E$1137,MATCH(Paramètres!N8,Paramètres!$G$5:$G$57,0)))+IF(RIGHT(TRIM(Paramètres!O8),3)="Fin",1-$H1088,IF(LEFT(TRIM(Paramètres!O8),1)="F",1,0)))))))</f>
        <v/>
      </c>
      <c r="F1088" s="19">
        <f>IF($A1088="","",E1088+$H1088-1)</f>
        <v/>
      </c>
      <c r="G1088" s="18" t="n"/>
      <c r="H1088" s="18">
        <f>IF($A1088="","",IF(I1088&lt;&gt;"",I1088,Paramètres!B8))</f>
        <v/>
      </c>
      <c r="I1088" s="18" t="n"/>
    </row>
    <row r="1089">
      <c r="A1089" s="18">
        <f>IF(ISNUMBER(Dossiers!$D$24),Dossiers!$A$24&amp;" · "&amp;Dossiers!$B$24,"")</f>
        <v/>
      </c>
      <c r="B1089" s="18">
        <f>IF($A1089="","",Paramètres!G9)</f>
        <v/>
      </c>
      <c r="C1089" s="18">
        <f>IF($A1089="","",IF(Paramètres!H9="","",Paramètres!H9))</f>
        <v/>
      </c>
      <c r="D1089" s="18">
        <f>IF($A1089="","",IF(Paramètres!I9="","",Paramètres!I9))</f>
        <v/>
      </c>
      <c r="E1089" s="19">
        <f>IF($A1089="","",IF(Paramètres!J9&amp;Paramètres!L9&amp;Paramètres!N9="",Dossiers!$D$24,MAX(IF(Paramètres!J9="",0,IF(Paramètres!K9="",NA(),IF(LEFT(TRIM(Paramètres!K9),1)="F",INDEX($F$1085:$F$1137,MATCH(Paramètres!J9,Paramètres!$G$5:$G$57,0)),INDEX($E$1085:$E$1137,MATCH(Paramètres!J9,Paramètres!$G$5:$G$57,0)))+IF(RIGHT(TRIM(Paramètres!K9),3)="Fin",1-$H1089,IF(LEFT(TRIM(Paramètres!K9),1)="F",1,0)))),IF(Paramètres!L9="",0,IF(Paramètres!M9="",NA(),IF(LEFT(TRIM(Paramètres!M9),1)="F",INDEX($F$1085:$F$1137,MATCH(Paramètres!L9,Paramètres!$G$5:$G$57,0)),INDEX($E$1085:$E$1137,MATCH(Paramètres!L9,Paramètres!$G$5:$G$57,0)))+IF(RIGHT(TRIM(Paramètres!M9),3)="Fin",1-$H1089,IF(LEFT(TRIM(Paramètres!M9),1)="F",1,0)))),IF(Paramètres!N9="",0,IF(Paramètres!O9="",NA(),IF(LEFT(TRIM(Paramètres!O9),1)="F",INDEX($F$1085:$F$1137,MATCH(Paramètres!N9,Paramètres!$G$5:$G$57,0)),INDEX($E$1085:$E$1137,MATCH(Paramètres!N9,Paramètres!$G$5:$G$57,0)))+IF(RIGHT(TRIM(Paramètres!O9),3)="Fin",1-$H1089,IF(LEFT(TRIM(Paramètres!O9),1)="F",1,0)))))))</f>
        <v/>
      </c>
      <c r="F1089" s="19">
        <f>IF($A1089="","",E1089+$H1089-1)</f>
        <v/>
      </c>
      <c r="G1089" s="18" t="n"/>
      <c r="H1089" s="18">
        <f>IF($A1089="","",IF(I1089&lt;&gt;"",I1089,Paramètres!B9))</f>
        <v/>
      </c>
      <c r="I1089" s="18" t="n"/>
    </row>
    <row r="1090">
      <c r="A1090" s="18">
        <f>IF(ISNUMBER(Dossiers!$D$24),Dossiers!$A$24&amp;" · "&amp;Dossiers!$B$24,"")</f>
        <v/>
      </c>
      <c r="B1090" s="18">
        <f>IF($A1090="","",Paramètres!G10)</f>
        <v/>
      </c>
      <c r="C1090" s="18">
        <f>IF($A1090="","",IF(Paramètres!H10="","",Paramètres!H10))</f>
        <v/>
      </c>
      <c r="D1090" s="18">
        <f>IF($A1090="","",IF(Paramètres!I10="","",Paramètres!I10))</f>
        <v/>
      </c>
      <c r="E1090" s="19">
        <f>IF($A1090="","",MIN(E1091:E1094))</f>
        <v/>
      </c>
      <c r="F1090" s="19">
        <f>IF($A1090="","",MAX(F1091:F1094))</f>
        <v/>
      </c>
      <c r="G1090" s="18" t="n"/>
      <c r="H1090" s="18">
        <f>IF($A1090="","",F1090-E1090+1)</f>
        <v/>
      </c>
      <c r="I1090" s="18" t="n"/>
    </row>
    <row r="1091">
      <c r="A1091" s="18">
        <f>IF(ISNUMBER(Dossiers!$D$24),Dossiers!$A$24&amp;" · "&amp;Dossiers!$B$24,"")</f>
        <v/>
      </c>
      <c r="B1091" s="18">
        <f>IF($A1091="","",Paramètres!G11)</f>
        <v/>
      </c>
      <c r="C1091" s="18">
        <f>IF($A1091="","",IF(Paramètres!H11="","",Paramètres!H11))</f>
        <v/>
      </c>
      <c r="D1091" s="18">
        <f>IF($A1091="","",IF(Paramètres!I11="","",Paramètres!I11))</f>
        <v/>
      </c>
      <c r="E1091" s="19">
        <f>IF($A1091="","",IF(Paramètres!J11&amp;Paramètres!L11&amp;Paramètres!N11="",Dossiers!$D$24,MAX(IF(Paramètres!J11="",0,IF(Paramètres!K11="",NA(),IF(LEFT(TRIM(Paramètres!K11),1)="F",INDEX($F$1085:$F$1137,MATCH(Paramètres!J11,Paramètres!$G$5:$G$57,0)),INDEX($E$1085:$E$1137,MATCH(Paramètres!J11,Paramètres!$G$5:$G$57,0)))+IF(RIGHT(TRIM(Paramètres!K11),3)="Fin",1-$H1091,IF(LEFT(TRIM(Paramètres!K11),1)="F",1,0)))),IF(Paramètres!L11="",0,IF(Paramètres!M11="",NA(),IF(LEFT(TRIM(Paramètres!M11),1)="F",INDEX($F$1085:$F$1137,MATCH(Paramètres!L11,Paramètres!$G$5:$G$57,0)),INDEX($E$1085:$E$1137,MATCH(Paramètres!L11,Paramètres!$G$5:$G$57,0)))+IF(RIGHT(TRIM(Paramètres!M11),3)="Fin",1-$H1091,IF(LEFT(TRIM(Paramètres!M11),1)="F",1,0)))),IF(Paramètres!N11="",0,IF(Paramètres!O11="",NA(),IF(LEFT(TRIM(Paramètres!O11),1)="F",INDEX($F$1085:$F$1137,MATCH(Paramètres!N11,Paramètres!$G$5:$G$57,0)),INDEX($E$1085:$E$1137,MATCH(Paramètres!N11,Paramètres!$G$5:$G$57,0)))+IF(RIGHT(TRIM(Paramètres!O11),3)="Fin",1-$H1091,IF(LEFT(TRIM(Paramètres!O11),1)="F",1,0)))))))</f>
        <v/>
      </c>
      <c r="F1091" s="19">
        <f>IF($A1091="","",E1091+$H1091-1)</f>
        <v/>
      </c>
      <c r="G1091" s="18" t="n"/>
      <c r="H1091" s="18">
        <f>IF($A1091="","",IF(I1091&lt;&gt;"",I1091,Paramètres!B11))</f>
        <v/>
      </c>
      <c r="I1091" s="18" t="n"/>
    </row>
    <row r="1092">
      <c r="A1092" s="18">
        <f>IF(ISNUMBER(Dossiers!$D$24),Dossiers!$A$24&amp;" · "&amp;Dossiers!$B$24,"")</f>
        <v/>
      </c>
      <c r="B1092" s="18">
        <f>IF($A1092="","",Paramètres!G12)</f>
        <v/>
      </c>
      <c r="C1092" s="18">
        <f>IF($A1092="","",IF(Paramètres!H12="","",Paramètres!H12))</f>
        <v/>
      </c>
      <c r="D1092" s="18">
        <f>IF($A1092="","",IF(Paramètres!I12="","",Paramètres!I12))</f>
        <v/>
      </c>
      <c r="E1092" s="19">
        <f>IF($A1092="","",IF(Paramètres!J12&amp;Paramètres!L12&amp;Paramètres!N12="",Dossiers!$D$24,MAX(IF(Paramètres!J12="",0,IF(Paramètres!K12="",NA(),IF(LEFT(TRIM(Paramètres!K12),1)="F",INDEX($F$1085:$F$1137,MATCH(Paramètres!J12,Paramètres!$G$5:$G$57,0)),INDEX($E$1085:$E$1137,MATCH(Paramètres!J12,Paramètres!$G$5:$G$57,0)))+IF(RIGHT(TRIM(Paramètres!K12),3)="Fin",1-$H1092,IF(LEFT(TRIM(Paramètres!K12),1)="F",1,0)))),IF(Paramètres!L12="",0,IF(Paramètres!M12="",NA(),IF(LEFT(TRIM(Paramètres!M12),1)="F",INDEX($F$1085:$F$1137,MATCH(Paramètres!L12,Paramètres!$G$5:$G$57,0)),INDEX($E$1085:$E$1137,MATCH(Paramètres!L12,Paramètres!$G$5:$G$57,0)))+IF(RIGHT(TRIM(Paramètres!M12),3)="Fin",1-$H1092,IF(LEFT(TRIM(Paramètres!M12),1)="F",1,0)))),IF(Paramètres!N12="",0,IF(Paramètres!O12="",NA(),IF(LEFT(TRIM(Paramètres!O12),1)="F",INDEX($F$1085:$F$1137,MATCH(Paramètres!N12,Paramètres!$G$5:$G$57,0)),INDEX($E$1085:$E$1137,MATCH(Paramètres!N12,Paramètres!$G$5:$G$57,0)))+IF(RIGHT(TRIM(Paramètres!O12),3)="Fin",1-$H1092,IF(LEFT(TRIM(Paramètres!O12),1)="F",1,0)))))))</f>
        <v/>
      </c>
      <c r="F1092" s="19">
        <f>IF($A1092="","",E1092+$H1092-1)</f>
        <v/>
      </c>
      <c r="G1092" s="18" t="n"/>
      <c r="H1092" s="18">
        <f>IF($A1092="","",IF(I1092&lt;&gt;"",I1092,Paramètres!B12))</f>
        <v/>
      </c>
      <c r="I1092" s="18" t="n"/>
    </row>
    <row r="1093">
      <c r="A1093" s="18">
        <f>IF(ISNUMBER(Dossiers!$D$24),Dossiers!$A$24&amp;" · "&amp;Dossiers!$B$24,"")</f>
        <v/>
      </c>
      <c r="B1093" s="18">
        <f>IF($A1093="","",Paramètres!G13)</f>
        <v/>
      </c>
      <c r="C1093" s="18">
        <f>IF($A1093="","",IF(Paramètres!H13="","",Paramètres!H13))</f>
        <v/>
      </c>
      <c r="D1093" s="18">
        <f>IF($A1093="","",IF(Paramètres!I13="","",Paramètres!I13))</f>
        <v/>
      </c>
      <c r="E1093" s="19">
        <f>IF($A1093="","",IF(Paramètres!J13&amp;Paramètres!L13&amp;Paramètres!N13="",Dossiers!$D$24,MAX(IF(Paramètres!J13="",0,IF(Paramètres!K13="",NA(),IF(LEFT(TRIM(Paramètres!K13),1)="F",INDEX($F$1085:$F$1137,MATCH(Paramètres!J13,Paramètres!$G$5:$G$57,0)),INDEX($E$1085:$E$1137,MATCH(Paramètres!J13,Paramètres!$G$5:$G$57,0)))+IF(RIGHT(TRIM(Paramètres!K13),3)="Fin",1-$H1093,IF(LEFT(TRIM(Paramètres!K13),1)="F",1,0)))),IF(Paramètres!L13="",0,IF(Paramètres!M13="",NA(),IF(LEFT(TRIM(Paramètres!M13),1)="F",INDEX($F$1085:$F$1137,MATCH(Paramètres!L13,Paramètres!$G$5:$G$57,0)),INDEX($E$1085:$E$1137,MATCH(Paramètres!L13,Paramètres!$G$5:$G$57,0)))+IF(RIGHT(TRIM(Paramètres!M13),3)="Fin",1-$H1093,IF(LEFT(TRIM(Paramètres!M13),1)="F",1,0)))),IF(Paramètres!N13="",0,IF(Paramètres!O13="",NA(),IF(LEFT(TRIM(Paramètres!O13),1)="F",INDEX($F$1085:$F$1137,MATCH(Paramètres!N13,Paramètres!$G$5:$G$57,0)),INDEX($E$1085:$E$1137,MATCH(Paramètres!N13,Paramètres!$G$5:$G$57,0)))+IF(RIGHT(TRIM(Paramètres!O13),3)="Fin",1-$H1093,IF(LEFT(TRIM(Paramètres!O13),1)="F",1,0)))))))</f>
        <v/>
      </c>
      <c r="F1093" s="19">
        <f>IF($A1093="","",E1093+$H1093-1)</f>
        <v/>
      </c>
      <c r="G1093" s="18" t="n"/>
      <c r="H1093" s="18">
        <f>IF($A1093="","",IF(I1093&lt;&gt;"",I1093,Paramètres!B13))</f>
        <v/>
      </c>
      <c r="I1093" s="18" t="n"/>
    </row>
    <row r="1094">
      <c r="A1094" s="18">
        <f>IF(ISNUMBER(Dossiers!$D$24),Dossiers!$A$24&amp;" · "&amp;Dossiers!$B$24,"")</f>
        <v/>
      </c>
      <c r="B1094" s="18">
        <f>IF($A1094="","",Paramètres!G14)</f>
        <v/>
      </c>
      <c r="C1094" s="18">
        <f>IF($A1094="","",IF(Paramètres!H14="","",Paramètres!H14))</f>
        <v/>
      </c>
      <c r="D1094" s="18">
        <f>IF($A1094="","",IF(Paramètres!I14="","",Paramètres!I14))</f>
        <v/>
      </c>
      <c r="E1094" s="19">
        <f>IF($A1094="","",IF(Paramètres!J14&amp;Paramètres!L14&amp;Paramètres!N14="",Dossiers!$D$24,MAX(IF(Paramètres!J14="",0,IF(Paramètres!K14="",NA(),IF(LEFT(TRIM(Paramètres!K14),1)="F",INDEX($F$1085:$F$1137,MATCH(Paramètres!J14,Paramètres!$G$5:$G$57,0)),INDEX($E$1085:$E$1137,MATCH(Paramètres!J14,Paramètres!$G$5:$G$57,0)))+IF(RIGHT(TRIM(Paramètres!K14),3)="Fin",1-$H1094,IF(LEFT(TRIM(Paramètres!K14),1)="F",1,0)))),IF(Paramètres!L14="",0,IF(Paramètres!M14="",NA(),IF(LEFT(TRIM(Paramètres!M14),1)="F",INDEX($F$1085:$F$1137,MATCH(Paramètres!L14,Paramètres!$G$5:$G$57,0)),INDEX($E$1085:$E$1137,MATCH(Paramètres!L14,Paramètres!$G$5:$G$57,0)))+IF(RIGHT(TRIM(Paramètres!M14),3)="Fin",1-$H1094,IF(LEFT(TRIM(Paramètres!M14),1)="F",1,0)))),IF(Paramètres!N14="",0,IF(Paramètres!O14="",NA(),IF(LEFT(TRIM(Paramètres!O14),1)="F",INDEX($F$1085:$F$1137,MATCH(Paramètres!N14,Paramètres!$G$5:$G$57,0)),INDEX($E$1085:$E$1137,MATCH(Paramètres!N14,Paramètres!$G$5:$G$57,0)))+IF(RIGHT(TRIM(Paramètres!O14),3)="Fin",1-$H1094,IF(LEFT(TRIM(Paramètres!O14),1)="F",1,0)))))))</f>
        <v/>
      </c>
      <c r="F1094" s="19">
        <f>IF($A1094="","",E1094+$H1094-1)</f>
        <v/>
      </c>
      <c r="G1094" s="18" t="n"/>
      <c r="H1094" s="18">
        <f>IF($A1094="","",IF(I1094&lt;&gt;"",I1094,Paramètres!B14))</f>
        <v/>
      </c>
      <c r="I1094" s="18" t="n"/>
    </row>
    <row r="1095">
      <c r="A1095" s="18">
        <f>IF(ISNUMBER(Dossiers!$D$24),Dossiers!$A$24&amp;" · "&amp;Dossiers!$B$24,"")</f>
        <v/>
      </c>
      <c r="B1095" s="18">
        <f>IF($A1095="","",Paramètres!G15)</f>
        <v/>
      </c>
      <c r="C1095" s="18">
        <f>IF($A1095="","",IF(Paramètres!H15="","",Paramètres!H15))</f>
        <v/>
      </c>
      <c r="D1095" s="18">
        <f>IF($A1095="","",IF(Paramètres!I15="","",Paramètres!I15))</f>
        <v/>
      </c>
      <c r="E1095" s="19">
        <f>IF($A1095="","",MIN(E1096:E1111))</f>
        <v/>
      </c>
      <c r="F1095" s="19">
        <f>IF($A1095="","",MAX(F1096:F1111))</f>
        <v/>
      </c>
      <c r="G1095" s="18" t="n"/>
      <c r="H1095" s="18">
        <f>IF($A1095="","",F1095-E1095+1)</f>
        <v/>
      </c>
      <c r="I1095" s="18" t="n"/>
    </row>
    <row r="1096">
      <c r="A1096" s="18">
        <f>IF(ISNUMBER(Dossiers!$D$24),Dossiers!$A$24&amp;" · "&amp;Dossiers!$B$24,"")</f>
        <v/>
      </c>
      <c r="B1096" s="18">
        <f>IF($A1096="","",Paramètres!G16)</f>
        <v/>
      </c>
      <c r="C1096" s="18">
        <f>IF($A1096="","",IF(Paramètres!H16="","",Paramètres!H16))</f>
        <v/>
      </c>
      <c r="D1096" s="18">
        <f>IF($A1096="","",IF(Paramètres!I16="","",Paramètres!I16))</f>
        <v/>
      </c>
      <c r="E1096" s="19">
        <f>IF($A1096="","",IF(Paramètres!J16&amp;Paramètres!L16&amp;Paramètres!N16="",Dossiers!$D$24,MAX(IF(Paramètres!J16="",0,IF(Paramètres!K16="",NA(),IF(LEFT(TRIM(Paramètres!K16),1)="F",INDEX($F$1085:$F$1137,MATCH(Paramètres!J16,Paramètres!$G$5:$G$57,0)),INDEX($E$1085:$E$1137,MATCH(Paramètres!J16,Paramètres!$G$5:$G$57,0)))+IF(RIGHT(TRIM(Paramètres!K16),3)="Fin",1-$H1096,IF(LEFT(TRIM(Paramètres!K16),1)="F",1,0)))),IF(Paramètres!L16="",0,IF(Paramètres!M16="",NA(),IF(LEFT(TRIM(Paramètres!M16),1)="F",INDEX($F$1085:$F$1137,MATCH(Paramètres!L16,Paramètres!$G$5:$G$57,0)),INDEX($E$1085:$E$1137,MATCH(Paramètres!L16,Paramètres!$G$5:$G$57,0)))+IF(RIGHT(TRIM(Paramètres!M16),3)="Fin",1-$H1096,IF(LEFT(TRIM(Paramètres!M16),1)="F",1,0)))),IF(Paramètres!N16="",0,IF(Paramètres!O16="",NA(),IF(LEFT(TRIM(Paramètres!O16),1)="F",INDEX($F$1085:$F$1137,MATCH(Paramètres!N16,Paramètres!$G$5:$G$57,0)),INDEX($E$1085:$E$1137,MATCH(Paramètres!N16,Paramètres!$G$5:$G$57,0)))+IF(RIGHT(TRIM(Paramètres!O16),3)="Fin",1-$H1096,IF(LEFT(TRIM(Paramètres!O16),1)="F",1,0)))))))</f>
        <v/>
      </c>
      <c r="F1096" s="19">
        <f>IF($A1096="","",E1096+$H1096-1)</f>
        <v/>
      </c>
      <c r="G1096" s="18" t="n"/>
      <c r="H1096" s="18">
        <f>IF($A1096="","",IF(I1096&lt;&gt;"",I1096,Paramètres!B16))</f>
        <v/>
      </c>
      <c r="I1096" s="18" t="n"/>
    </row>
    <row r="1097">
      <c r="A1097" s="18">
        <f>IF(ISNUMBER(Dossiers!$D$24),Dossiers!$A$24&amp;" · "&amp;Dossiers!$B$24,"")</f>
        <v/>
      </c>
      <c r="B1097" s="18">
        <f>IF($A1097="","",Paramètres!G17)</f>
        <v/>
      </c>
      <c r="C1097" s="18">
        <f>IF($A1097="","",IF(Paramètres!H17="","",Paramètres!H17))</f>
        <v/>
      </c>
      <c r="D1097" s="18">
        <f>IF($A1097="","",IF(Paramètres!I17="","",Paramètres!I17))</f>
        <v/>
      </c>
      <c r="E1097" s="19">
        <f>IF($A1097="","",IF(Paramètres!J17&amp;Paramètres!L17&amp;Paramètres!N17="",Dossiers!$D$24,MAX(IF(Paramètres!J17="",0,IF(Paramètres!K17="",NA(),IF(LEFT(TRIM(Paramètres!K17),1)="F",INDEX($F$1085:$F$1137,MATCH(Paramètres!J17,Paramètres!$G$5:$G$57,0)),INDEX($E$1085:$E$1137,MATCH(Paramètres!J17,Paramètres!$G$5:$G$57,0)))+IF(RIGHT(TRIM(Paramètres!K17),3)="Fin",1-$H1097,IF(LEFT(TRIM(Paramètres!K17),1)="F",1,0)))),IF(Paramètres!L17="",0,IF(Paramètres!M17="",NA(),IF(LEFT(TRIM(Paramètres!M17),1)="F",INDEX($F$1085:$F$1137,MATCH(Paramètres!L17,Paramètres!$G$5:$G$57,0)),INDEX($E$1085:$E$1137,MATCH(Paramètres!L17,Paramètres!$G$5:$G$57,0)))+IF(RIGHT(TRIM(Paramètres!M17),3)="Fin",1-$H1097,IF(LEFT(TRIM(Paramètres!M17),1)="F",1,0)))),IF(Paramètres!N17="",0,IF(Paramètres!O17="",NA(),IF(LEFT(TRIM(Paramètres!O17),1)="F",INDEX($F$1085:$F$1137,MATCH(Paramètres!N17,Paramètres!$G$5:$G$57,0)),INDEX($E$1085:$E$1137,MATCH(Paramètres!N17,Paramètres!$G$5:$G$57,0)))+IF(RIGHT(TRIM(Paramètres!O17),3)="Fin",1-$H1097,IF(LEFT(TRIM(Paramètres!O17),1)="F",1,0)))))))</f>
        <v/>
      </c>
      <c r="F1097" s="19">
        <f>IF($A1097="","",E1097+$H1097-1)</f>
        <v/>
      </c>
      <c r="G1097" s="18" t="n"/>
      <c r="H1097" s="18">
        <f>IF($A1097="","",IF(I1097&lt;&gt;"",I1097,Paramètres!B17))</f>
        <v/>
      </c>
      <c r="I1097" s="18" t="n"/>
    </row>
    <row r="1098">
      <c r="A1098" s="18">
        <f>IF(ISNUMBER(Dossiers!$D$24),Dossiers!$A$24&amp;" · "&amp;Dossiers!$B$24,"")</f>
        <v/>
      </c>
      <c r="B1098" s="18">
        <f>IF($A1098="","",Paramètres!G18)</f>
        <v/>
      </c>
      <c r="C1098" s="18">
        <f>IF($A1098="","",IF(Paramètres!H18="","",Paramètres!H18))</f>
        <v/>
      </c>
      <c r="D1098" s="18">
        <f>IF($A1098="","",IF(Paramètres!I18="","",Paramètres!I18))</f>
        <v/>
      </c>
      <c r="E1098" s="19">
        <f>IF($A1098="","",IF(Paramètres!J18&amp;Paramètres!L18&amp;Paramètres!N18="",Dossiers!$D$24,MAX(IF(Paramètres!J18="",0,IF(Paramètres!K18="",NA(),IF(LEFT(TRIM(Paramètres!K18),1)="F",INDEX($F$1085:$F$1137,MATCH(Paramètres!J18,Paramètres!$G$5:$G$57,0)),INDEX($E$1085:$E$1137,MATCH(Paramètres!J18,Paramètres!$G$5:$G$57,0)))+IF(RIGHT(TRIM(Paramètres!K18),3)="Fin",1-$H1098,IF(LEFT(TRIM(Paramètres!K18),1)="F",1,0)))),IF(Paramètres!L18="",0,IF(Paramètres!M18="",NA(),IF(LEFT(TRIM(Paramètres!M18),1)="F",INDEX($F$1085:$F$1137,MATCH(Paramètres!L18,Paramètres!$G$5:$G$57,0)),INDEX($E$1085:$E$1137,MATCH(Paramètres!L18,Paramètres!$G$5:$G$57,0)))+IF(RIGHT(TRIM(Paramètres!M18),3)="Fin",1-$H1098,IF(LEFT(TRIM(Paramètres!M18),1)="F",1,0)))),IF(Paramètres!N18="",0,IF(Paramètres!O18="",NA(),IF(LEFT(TRIM(Paramètres!O18),1)="F",INDEX($F$1085:$F$1137,MATCH(Paramètres!N18,Paramètres!$G$5:$G$57,0)),INDEX($E$1085:$E$1137,MATCH(Paramètres!N18,Paramètres!$G$5:$G$57,0)))+IF(RIGHT(TRIM(Paramètres!O18),3)="Fin",1-$H1098,IF(LEFT(TRIM(Paramètres!O18),1)="F",1,0)))))))</f>
        <v/>
      </c>
      <c r="F1098" s="19">
        <f>IF($A1098="","",E1098+$H1098-1)</f>
        <v/>
      </c>
      <c r="G1098" s="18" t="n"/>
      <c r="H1098" s="18">
        <f>IF($A1098="","",IF(I1098&lt;&gt;"",I1098,Paramètres!B18))</f>
        <v/>
      </c>
      <c r="I1098" s="18" t="n"/>
    </row>
    <row r="1099">
      <c r="A1099" s="18">
        <f>IF(ISNUMBER(Dossiers!$D$24),Dossiers!$A$24&amp;" · "&amp;Dossiers!$B$24,"")</f>
        <v/>
      </c>
      <c r="B1099" s="18">
        <f>IF($A1099="","",Paramètres!G19)</f>
        <v/>
      </c>
      <c r="C1099" s="18">
        <f>IF($A1099="","",IF(Paramètres!H19="","",Paramètres!H19))</f>
        <v/>
      </c>
      <c r="D1099" s="18">
        <f>IF($A1099="","",IF(Paramètres!I19="","",Paramètres!I19))</f>
        <v/>
      </c>
      <c r="E1099" s="19">
        <f>IF($A1099="","",IF(Paramètres!J19&amp;Paramètres!L19&amp;Paramètres!N19="",Dossiers!$D$24,MAX(IF(Paramètres!J19="",0,IF(Paramètres!K19="",NA(),IF(LEFT(TRIM(Paramètres!K19),1)="F",INDEX($F$1085:$F$1137,MATCH(Paramètres!J19,Paramètres!$G$5:$G$57,0)),INDEX($E$1085:$E$1137,MATCH(Paramètres!J19,Paramètres!$G$5:$G$57,0)))+IF(RIGHT(TRIM(Paramètres!K19),3)="Fin",1-$H1099,IF(LEFT(TRIM(Paramètres!K19),1)="F",1,0)))),IF(Paramètres!L19="",0,IF(Paramètres!M19="",NA(),IF(LEFT(TRIM(Paramètres!M19),1)="F",INDEX($F$1085:$F$1137,MATCH(Paramètres!L19,Paramètres!$G$5:$G$57,0)),INDEX($E$1085:$E$1137,MATCH(Paramètres!L19,Paramètres!$G$5:$G$57,0)))+IF(RIGHT(TRIM(Paramètres!M19),3)="Fin",1-$H1099,IF(LEFT(TRIM(Paramètres!M19),1)="F",1,0)))),IF(Paramètres!N19="",0,IF(Paramètres!O19="",NA(),IF(LEFT(TRIM(Paramètres!O19),1)="F",INDEX($F$1085:$F$1137,MATCH(Paramètres!N19,Paramètres!$G$5:$G$57,0)),INDEX($E$1085:$E$1137,MATCH(Paramètres!N19,Paramètres!$G$5:$G$57,0)))+IF(RIGHT(TRIM(Paramètres!O19),3)="Fin",1-$H1099,IF(LEFT(TRIM(Paramètres!O19),1)="F",1,0)))))))</f>
        <v/>
      </c>
      <c r="F1099" s="19">
        <f>IF($A1099="","",E1099+$H1099-1)</f>
        <v/>
      </c>
      <c r="G1099" s="18" t="n"/>
      <c r="H1099" s="18">
        <f>IF($A1099="","",IF(I1099&lt;&gt;"",I1099,Paramètres!B19))</f>
        <v/>
      </c>
      <c r="I1099" s="18" t="n"/>
    </row>
    <row r="1100">
      <c r="A1100" s="18">
        <f>IF(ISNUMBER(Dossiers!$D$24),Dossiers!$A$24&amp;" · "&amp;Dossiers!$B$24,"")</f>
        <v/>
      </c>
      <c r="B1100" s="18">
        <f>IF($A1100="","",Paramètres!G20)</f>
        <v/>
      </c>
      <c r="C1100" s="18">
        <f>IF($A1100="","",IF(Paramètres!H20="","",Paramètres!H20))</f>
        <v/>
      </c>
      <c r="D1100" s="18">
        <f>IF($A1100="","",IF(Paramètres!I20="","",Paramètres!I20))</f>
        <v/>
      </c>
      <c r="E1100" s="19">
        <f>IF($A1100="","",IF(Paramètres!J20&amp;Paramètres!L20&amp;Paramètres!N20="",Dossiers!$D$24,MAX(IF(Paramètres!J20="",0,IF(Paramètres!K20="",NA(),IF(LEFT(TRIM(Paramètres!K20),1)="F",INDEX($F$1085:$F$1137,MATCH(Paramètres!J20,Paramètres!$G$5:$G$57,0)),INDEX($E$1085:$E$1137,MATCH(Paramètres!J20,Paramètres!$G$5:$G$57,0)))+IF(RIGHT(TRIM(Paramètres!K20),3)="Fin",1-$H1100,IF(LEFT(TRIM(Paramètres!K20),1)="F",1,0)))),IF(Paramètres!L20="",0,IF(Paramètres!M20="",NA(),IF(LEFT(TRIM(Paramètres!M20),1)="F",INDEX($F$1085:$F$1137,MATCH(Paramètres!L20,Paramètres!$G$5:$G$57,0)),INDEX($E$1085:$E$1137,MATCH(Paramètres!L20,Paramètres!$G$5:$G$57,0)))+IF(RIGHT(TRIM(Paramètres!M20),3)="Fin",1-$H1100,IF(LEFT(TRIM(Paramètres!M20),1)="F",1,0)))),IF(Paramètres!N20="",0,IF(Paramètres!O20="",NA(),IF(LEFT(TRIM(Paramètres!O20),1)="F",INDEX($F$1085:$F$1137,MATCH(Paramètres!N20,Paramètres!$G$5:$G$57,0)),INDEX($E$1085:$E$1137,MATCH(Paramètres!N20,Paramètres!$G$5:$G$57,0)))+IF(RIGHT(TRIM(Paramètres!O20),3)="Fin",1-$H1100,IF(LEFT(TRIM(Paramètres!O20),1)="F",1,0)))))))</f>
        <v/>
      </c>
      <c r="F1100" s="19">
        <f>IF($A1100="","",E1100+$H1100-1)</f>
        <v/>
      </c>
      <c r="G1100" s="18" t="n"/>
      <c r="H1100" s="18">
        <f>IF($A1100="","",IF(I1100&lt;&gt;"",I1100,Paramètres!B20))</f>
        <v/>
      </c>
      <c r="I1100" s="18" t="n"/>
    </row>
    <row r="1101">
      <c r="A1101" s="18">
        <f>IF(ISNUMBER(Dossiers!$D$24),Dossiers!$A$24&amp;" · "&amp;Dossiers!$B$24,"")</f>
        <v/>
      </c>
      <c r="B1101" s="18">
        <f>IF($A1101="","",Paramètres!G21)</f>
        <v/>
      </c>
      <c r="C1101" s="18">
        <f>IF($A1101="","",IF(Paramètres!H21="","",Paramètres!H21))</f>
        <v/>
      </c>
      <c r="D1101" s="18">
        <f>IF($A1101="","",IF(Paramètres!I21="","",Paramètres!I21))</f>
        <v/>
      </c>
      <c r="E1101" s="19">
        <f>IF($A1101="","",IF(Paramètres!J21&amp;Paramètres!L21&amp;Paramètres!N21="",Dossiers!$D$24,MAX(IF(Paramètres!J21="",0,IF(Paramètres!K21="",NA(),IF(LEFT(TRIM(Paramètres!K21),1)="F",INDEX($F$1085:$F$1137,MATCH(Paramètres!J21,Paramètres!$G$5:$G$57,0)),INDEX($E$1085:$E$1137,MATCH(Paramètres!J21,Paramètres!$G$5:$G$57,0)))+IF(RIGHT(TRIM(Paramètres!K21),3)="Fin",1-$H1101,IF(LEFT(TRIM(Paramètres!K21),1)="F",1,0)))),IF(Paramètres!L21="",0,IF(Paramètres!M21="",NA(),IF(LEFT(TRIM(Paramètres!M21),1)="F",INDEX($F$1085:$F$1137,MATCH(Paramètres!L21,Paramètres!$G$5:$G$57,0)),INDEX($E$1085:$E$1137,MATCH(Paramètres!L21,Paramètres!$G$5:$G$57,0)))+IF(RIGHT(TRIM(Paramètres!M21),3)="Fin",1-$H1101,IF(LEFT(TRIM(Paramètres!M21),1)="F",1,0)))),IF(Paramètres!N21="",0,IF(Paramètres!O21="",NA(),IF(LEFT(TRIM(Paramètres!O21),1)="F",INDEX($F$1085:$F$1137,MATCH(Paramètres!N21,Paramètres!$G$5:$G$57,0)),INDEX($E$1085:$E$1137,MATCH(Paramètres!N21,Paramètres!$G$5:$G$57,0)))+IF(RIGHT(TRIM(Paramètres!O21),3)="Fin",1-$H1101,IF(LEFT(TRIM(Paramètres!O21),1)="F",1,0)))))))</f>
        <v/>
      </c>
      <c r="F1101" s="19">
        <f>IF($A1101="","",E1101+$H1101-1)</f>
        <v/>
      </c>
      <c r="G1101" s="18" t="n"/>
      <c r="H1101" s="18">
        <f>IF($A1101="","",IF(I1101&lt;&gt;"",I1101,Paramètres!B21))</f>
        <v/>
      </c>
      <c r="I1101" s="18" t="n"/>
    </row>
    <row r="1102">
      <c r="A1102" s="18">
        <f>IF(ISNUMBER(Dossiers!$D$24),Dossiers!$A$24&amp;" · "&amp;Dossiers!$B$24,"")</f>
        <v/>
      </c>
      <c r="B1102" s="18">
        <f>IF($A1102="","",Paramètres!G22)</f>
        <v/>
      </c>
      <c r="C1102" s="18">
        <f>IF($A1102="","",IF(Paramètres!H22="","",Paramètres!H22))</f>
        <v/>
      </c>
      <c r="D1102" s="18">
        <f>IF($A1102="","",IF(Paramètres!I22="","",Paramètres!I22))</f>
        <v/>
      </c>
      <c r="E1102" s="19">
        <f>IF($A1102="","",IF(Paramètres!J22&amp;Paramètres!L22&amp;Paramètres!N22="",Dossiers!$D$24,MAX(IF(Paramètres!J22="",0,IF(Paramètres!K22="",NA(),IF(LEFT(TRIM(Paramètres!K22),1)="F",INDEX($F$1085:$F$1137,MATCH(Paramètres!J22,Paramètres!$G$5:$G$57,0)),INDEX($E$1085:$E$1137,MATCH(Paramètres!J22,Paramètres!$G$5:$G$57,0)))+IF(RIGHT(TRIM(Paramètres!K22),3)="Fin",1-$H1102,IF(LEFT(TRIM(Paramètres!K22),1)="F",1,0)))),IF(Paramètres!L22="",0,IF(Paramètres!M22="",NA(),IF(LEFT(TRIM(Paramètres!M22),1)="F",INDEX($F$1085:$F$1137,MATCH(Paramètres!L22,Paramètres!$G$5:$G$57,0)),INDEX($E$1085:$E$1137,MATCH(Paramètres!L22,Paramètres!$G$5:$G$57,0)))+IF(RIGHT(TRIM(Paramètres!M22),3)="Fin",1-$H1102,IF(LEFT(TRIM(Paramètres!M22),1)="F",1,0)))),IF(Paramètres!N22="",0,IF(Paramètres!O22="",NA(),IF(LEFT(TRIM(Paramètres!O22),1)="F",INDEX($F$1085:$F$1137,MATCH(Paramètres!N22,Paramètres!$G$5:$G$57,0)),INDEX($E$1085:$E$1137,MATCH(Paramètres!N22,Paramètres!$G$5:$G$57,0)))+IF(RIGHT(TRIM(Paramètres!O22),3)="Fin",1-$H1102,IF(LEFT(TRIM(Paramètres!O22),1)="F",1,0)))))))</f>
        <v/>
      </c>
      <c r="F1102" s="19">
        <f>IF($A1102="","",E1102+$H1102-1)</f>
        <v/>
      </c>
      <c r="G1102" s="18" t="n"/>
      <c r="H1102" s="18">
        <f>IF($A1102="","",IF(I1102&lt;&gt;"",I1102,Paramètres!B22))</f>
        <v/>
      </c>
      <c r="I1102" s="18" t="n"/>
    </row>
    <row r="1103">
      <c r="A1103" s="18">
        <f>IF(ISNUMBER(Dossiers!$D$24),Dossiers!$A$24&amp;" · "&amp;Dossiers!$B$24,"")</f>
        <v/>
      </c>
      <c r="B1103" s="18">
        <f>IF($A1103="","",Paramètres!G23)</f>
        <v/>
      </c>
      <c r="C1103" s="18">
        <f>IF($A1103="","",IF(Paramètres!H23="","",Paramètres!H23))</f>
        <v/>
      </c>
      <c r="D1103" s="18">
        <f>IF($A1103="","",IF(Paramètres!I23="","",Paramètres!I23))</f>
        <v/>
      </c>
      <c r="E1103" s="19">
        <f>IF($A1103="","",IF(Paramètres!J23&amp;Paramètres!L23&amp;Paramètres!N23="",Dossiers!$D$24,MAX(IF(Paramètres!J23="",0,IF(Paramètres!K23="",NA(),IF(LEFT(TRIM(Paramètres!K23),1)="F",INDEX($F$1085:$F$1137,MATCH(Paramètres!J23,Paramètres!$G$5:$G$57,0)),INDEX($E$1085:$E$1137,MATCH(Paramètres!J23,Paramètres!$G$5:$G$57,0)))+IF(RIGHT(TRIM(Paramètres!K23),3)="Fin",1-$H1103,IF(LEFT(TRIM(Paramètres!K23),1)="F",1,0)))),IF(Paramètres!L23="",0,IF(Paramètres!M23="",NA(),IF(LEFT(TRIM(Paramètres!M23),1)="F",INDEX($F$1085:$F$1137,MATCH(Paramètres!L23,Paramètres!$G$5:$G$57,0)),INDEX($E$1085:$E$1137,MATCH(Paramètres!L23,Paramètres!$G$5:$G$57,0)))+IF(RIGHT(TRIM(Paramètres!M23),3)="Fin",1-$H1103,IF(LEFT(TRIM(Paramètres!M23),1)="F",1,0)))),IF(Paramètres!N23="",0,IF(Paramètres!O23="",NA(),IF(LEFT(TRIM(Paramètres!O23),1)="F",INDEX($F$1085:$F$1137,MATCH(Paramètres!N23,Paramètres!$G$5:$G$57,0)),INDEX($E$1085:$E$1137,MATCH(Paramètres!N23,Paramètres!$G$5:$G$57,0)))+IF(RIGHT(TRIM(Paramètres!O23),3)="Fin",1-$H1103,IF(LEFT(TRIM(Paramètres!O23),1)="F",1,0)))))))</f>
        <v/>
      </c>
      <c r="F1103" s="19">
        <f>IF($A1103="","",E1103+$H1103-1)</f>
        <v/>
      </c>
      <c r="G1103" s="18" t="n"/>
      <c r="H1103" s="18">
        <f>IF($A1103="","",IF(I1103&lt;&gt;"",I1103,Paramètres!B23))</f>
        <v/>
      </c>
      <c r="I1103" s="18" t="n"/>
    </row>
    <row r="1104">
      <c r="A1104" s="18">
        <f>IF(ISNUMBER(Dossiers!$D$24),Dossiers!$A$24&amp;" · "&amp;Dossiers!$B$24,"")</f>
        <v/>
      </c>
      <c r="B1104" s="18">
        <f>IF($A1104="","",Paramètres!G24)</f>
        <v/>
      </c>
      <c r="C1104" s="18">
        <f>IF($A1104="","",IF(Paramètres!H24="","",Paramètres!H24))</f>
        <v/>
      </c>
      <c r="D1104" s="18">
        <f>IF($A1104="","",IF(Paramètres!I24="","",Paramètres!I24))</f>
        <v/>
      </c>
      <c r="E1104" s="19">
        <f>IF($A1104="","",IF(Paramètres!J24&amp;Paramètres!L24&amp;Paramètres!N24="",Dossiers!$D$24,MAX(IF(Paramètres!J24="",0,IF(Paramètres!K24="",NA(),IF(LEFT(TRIM(Paramètres!K24),1)="F",INDEX($F$1085:$F$1137,MATCH(Paramètres!J24,Paramètres!$G$5:$G$57,0)),INDEX($E$1085:$E$1137,MATCH(Paramètres!J24,Paramètres!$G$5:$G$57,0)))+IF(RIGHT(TRIM(Paramètres!K24),3)="Fin",1-$H1104,IF(LEFT(TRIM(Paramètres!K24),1)="F",1,0)))),IF(Paramètres!L24="",0,IF(Paramètres!M24="",NA(),IF(LEFT(TRIM(Paramètres!M24),1)="F",INDEX($F$1085:$F$1137,MATCH(Paramètres!L24,Paramètres!$G$5:$G$57,0)),INDEX($E$1085:$E$1137,MATCH(Paramètres!L24,Paramètres!$G$5:$G$57,0)))+IF(RIGHT(TRIM(Paramètres!M24),3)="Fin",1-$H1104,IF(LEFT(TRIM(Paramètres!M24),1)="F",1,0)))),IF(Paramètres!N24="",0,IF(Paramètres!O24="",NA(),IF(LEFT(TRIM(Paramètres!O24),1)="F",INDEX($F$1085:$F$1137,MATCH(Paramètres!N24,Paramètres!$G$5:$G$57,0)),INDEX($E$1085:$E$1137,MATCH(Paramètres!N24,Paramètres!$G$5:$G$57,0)))+IF(RIGHT(TRIM(Paramètres!O24),3)="Fin",1-$H1104,IF(LEFT(TRIM(Paramètres!O24),1)="F",1,0)))))))</f>
        <v/>
      </c>
      <c r="F1104" s="19">
        <f>IF($A1104="","",E1104+$H1104-1)</f>
        <v/>
      </c>
      <c r="G1104" s="18" t="n"/>
      <c r="H1104" s="18">
        <f>IF($A1104="","",IF(I1104&lt;&gt;"",I1104,Paramètres!B24))</f>
        <v/>
      </c>
      <c r="I1104" s="18" t="n"/>
    </row>
    <row r="1105">
      <c r="A1105" s="18">
        <f>IF(ISNUMBER(Dossiers!$D$24),Dossiers!$A$24&amp;" · "&amp;Dossiers!$B$24,"")</f>
        <v/>
      </c>
      <c r="B1105" s="18">
        <f>IF($A1105="","",Paramètres!G25)</f>
        <v/>
      </c>
      <c r="C1105" s="18">
        <f>IF($A1105="","",IF(Paramètres!H25="","",Paramètres!H25))</f>
        <v/>
      </c>
      <c r="D1105" s="18">
        <f>IF($A1105="","",IF(Paramètres!I25="","",Paramètres!I25))</f>
        <v/>
      </c>
      <c r="E1105" s="19">
        <f>IF($A1105="","",IF(Paramètres!J25&amp;Paramètres!L25&amp;Paramètres!N25="",Dossiers!$D$24,MAX(IF(Paramètres!J25="",0,IF(Paramètres!K25="",NA(),IF(LEFT(TRIM(Paramètres!K25),1)="F",INDEX($F$1085:$F$1137,MATCH(Paramètres!J25,Paramètres!$G$5:$G$57,0)),INDEX($E$1085:$E$1137,MATCH(Paramètres!J25,Paramètres!$G$5:$G$57,0)))+IF(RIGHT(TRIM(Paramètres!K25),3)="Fin",1-$H1105,IF(LEFT(TRIM(Paramètres!K25),1)="F",1,0)))),IF(Paramètres!L25="",0,IF(Paramètres!M25="",NA(),IF(LEFT(TRIM(Paramètres!M25),1)="F",INDEX($F$1085:$F$1137,MATCH(Paramètres!L25,Paramètres!$G$5:$G$57,0)),INDEX($E$1085:$E$1137,MATCH(Paramètres!L25,Paramètres!$G$5:$G$57,0)))+IF(RIGHT(TRIM(Paramètres!M25),3)="Fin",1-$H1105,IF(LEFT(TRIM(Paramètres!M25),1)="F",1,0)))),IF(Paramètres!N25="",0,IF(Paramètres!O25="",NA(),IF(LEFT(TRIM(Paramètres!O25),1)="F",INDEX($F$1085:$F$1137,MATCH(Paramètres!N25,Paramètres!$G$5:$G$57,0)),INDEX($E$1085:$E$1137,MATCH(Paramètres!N25,Paramètres!$G$5:$G$57,0)))+IF(RIGHT(TRIM(Paramètres!O25),3)="Fin",1-$H1105,IF(LEFT(TRIM(Paramètres!O25),1)="F",1,0)))))))</f>
        <v/>
      </c>
      <c r="F1105" s="19">
        <f>IF($A1105="","",E1105+$H1105-1)</f>
        <v/>
      </c>
      <c r="G1105" s="18" t="n"/>
      <c r="H1105" s="18">
        <f>IF($A1105="","",IF(I1105&lt;&gt;"",I1105,Paramètres!B25))</f>
        <v/>
      </c>
      <c r="I1105" s="18" t="n"/>
    </row>
    <row r="1106">
      <c r="A1106" s="18">
        <f>IF(ISNUMBER(Dossiers!$D$24),Dossiers!$A$24&amp;" · "&amp;Dossiers!$B$24,"")</f>
        <v/>
      </c>
      <c r="B1106" s="18">
        <f>IF($A1106="","",Paramètres!G26)</f>
        <v/>
      </c>
      <c r="C1106" s="18">
        <f>IF($A1106="","",IF(Paramètres!H26="","",Paramètres!H26))</f>
        <v/>
      </c>
      <c r="D1106" s="18">
        <f>IF($A1106="","",IF(Paramètres!I26="","",Paramètres!I26))</f>
        <v/>
      </c>
      <c r="E1106" s="19">
        <f>IF($A1106="","",IF(Paramètres!J26&amp;Paramètres!L26&amp;Paramètres!N26="",Dossiers!$D$24,MAX(IF(Paramètres!J26="",0,IF(Paramètres!K26="",NA(),IF(LEFT(TRIM(Paramètres!K26),1)="F",INDEX($F$1085:$F$1137,MATCH(Paramètres!J26,Paramètres!$G$5:$G$57,0)),INDEX($E$1085:$E$1137,MATCH(Paramètres!J26,Paramètres!$G$5:$G$57,0)))+IF(RIGHT(TRIM(Paramètres!K26),3)="Fin",1-$H1106,IF(LEFT(TRIM(Paramètres!K26),1)="F",1,0)))),IF(Paramètres!L26="",0,IF(Paramètres!M26="",NA(),IF(LEFT(TRIM(Paramètres!M26),1)="F",INDEX($F$1085:$F$1137,MATCH(Paramètres!L26,Paramètres!$G$5:$G$57,0)),INDEX($E$1085:$E$1137,MATCH(Paramètres!L26,Paramètres!$G$5:$G$57,0)))+IF(RIGHT(TRIM(Paramètres!M26),3)="Fin",1-$H1106,IF(LEFT(TRIM(Paramètres!M26),1)="F",1,0)))),IF(Paramètres!N26="",0,IF(Paramètres!O26="",NA(),IF(LEFT(TRIM(Paramètres!O26),1)="F",INDEX($F$1085:$F$1137,MATCH(Paramètres!N26,Paramètres!$G$5:$G$57,0)),INDEX($E$1085:$E$1137,MATCH(Paramètres!N26,Paramètres!$G$5:$G$57,0)))+IF(RIGHT(TRIM(Paramètres!O26),3)="Fin",1-$H1106,IF(LEFT(TRIM(Paramètres!O26),1)="F",1,0)))))))</f>
        <v/>
      </c>
      <c r="F1106" s="19">
        <f>IF($A1106="","",E1106+$H1106-1)</f>
        <v/>
      </c>
      <c r="G1106" s="18" t="n"/>
      <c r="H1106" s="18">
        <f>IF($A1106="","",IF(I1106&lt;&gt;"",I1106,Paramètres!B26))</f>
        <v/>
      </c>
      <c r="I1106" s="18" t="n"/>
    </row>
    <row r="1107">
      <c r="A1107" s="18">
        <f>IF(ISNUMBER(Dossiers!$D$24),Dossiers!$A$24&amp;" · "&amp;Dossiers!$B$24,"")</f>
        <v/>
      </c>
      <c r="B1107" s="18">
        <f>IF($A1107="","",Paramètres!G27)</f>
        <v/>
      </c>
      <c r="C1107" s="18">
        <f>IF($A1107="","",IF(Paramètres!H27="","",Paramètres!H27))</f>
        <v/>
      </c>
      <c r="D1107" s="18">
        <f>IF($A1107="","",IF(Paramètres!I27="","",Paramètres!I27))</f>
        <v/>
      </c>
      <c r="E1107" s="19">
        <f>IF($A1107="","",IF(Paramètres!J27&amp;Paramètres!L27&amp;Paramètres!N27="",Dossiers!$D$24,MAX(IF(Paramètres!J27="",0,IF(Paramètres!K27="",NA(),IF(LEFT(TRIM(Paramètres!K27),1)="F",INDEX($F$1085:$F$1137,MATCH(Paramètres!J27,Paramètres!$G$5:$G$57,0)),INDEX($E$1085:$E$1137,MATCH(Paramètres!J27,Paramètres!$G$5:$G$57,0)))+IF(RIGHT(TRIM(Paramètres!K27),3)="Fin",1-$H1107,IF(LEFT(TRIM(Paramètres!K27),1)="F",1,0)))),IF(Paramètres!L27="",0,IF(Paramètres!M27="",NA(),IF(LEFT(TRIM(Paramètres!M27),1)="F",INDEX($F$1085:$F$1137,MATCH(Paramètres!L27,Paramètres!$G$5:$G$57,0)),INDEX($E$1085:$E$1137,MATCH(Paramètres!L27,Paramètres!$G$5:$G$57,0)))+IF(RIGHT(TRIM(Paramètres!M27),3)="Fin",1-$H1107,IF(LEFT(TRIM(Paramètres!M27),1)="F",1,0)))),IF(Paramètres!N27="",0,IF(Paramètres!O27="",NA(),IF(LEFT(TRIM(Paramètres!O27),1)="F",INDEX($F$1085:$F$1137,MATCH(Paramètres!N27,Paramètres!$G$5:$G$57,0)),INDEX($E$1085:$E$1137,MATCH(Paramètres!N27,Paramètres!$G$5:$G$57,0)))+IF(RIGHT(TRIM(Paramètres!O27),3)="Fin",1-$H1107,IF(LEFT(TRIM(Paramètres!O27),1)="F",1,0)))))))</f>
        <v/>
      </c>
      <c r="F1107" s="19">
        <f>IF($A1107="","",E1107+$H1107-1)</f>
        <v/>
      </c>
      <c r="G1107" s="18" t="n"/>
      <c r="H1107" s="18">
        <f>IF($A1107="","",IF(I1107&lt;&gt;"",I1107,Paramètres!B27))</f>
        <v/>
      </c>
      <c r="I1107" s="18" t="n"/>
    </row>
    <row r="1108">
      <c r="A1108" s="18">
        <f>IF(ISNUMBER(Dossiers!$D$24),Dossiers!$A$24&amp;" · "&amp;Dossiers!$B$24,"")</f>
        <v/>
      </c>
      <c r="B1108" s="18">
        <f>IF($A1108="","",Paramètres!G28)</f>
        <v/>
      </c>
      <c r="C1108" s="18">
        <f>IF($A1108="","",IF(Paramètres!H28="","",Paramètres!H28))</f>
        <v/>
      </c>
      <c r="D1108" s="18">
        <f>IF($A1108="","",IF(Paramètres!I28="","",Paramètres!I28))</f>
        <v/>
      </c>
      <c r="E1108" s="19">
        <f>IF($A1108="","",IF(Paramètres!J28&amp;Paramètres!L28&amp;Paramètres!N28="",Dossiers!$D$24,MAX(IF(Paramètres!J28="",0,IF(Paramètres!K28="",NA(),IF(LEFT(TRIM(Paramètres!K28),1)="F",INDEX($F$1085:$F$1137,MATCH(Paramètres!J28,Paramètres!$G$5:$G$57,0)),INDEX($E$1085:$E$1137,MATCH(Paramètres!J28,Paramètres!$G$5:$G$57,0)))+IF(RIGHT(TRIM(Paramètres!K28),3)="Fin",1-$H1108,IF(LEFT(TRIM(Paramètres!K28),1)="F",1,0)))),IF(Paramètres!L28="",0,IF(Paramètres!M28="",NA(),IF(LEFT(TRIM(Paramètres!M28),1)="F",INDEX($F$1085:$F$1137,MATCH(Paramètres!L28,Paramètres!$G$5:$G$57,0)),INDEX($E$1085:$E$1137,MATCH(Paramètres!L28,Paramètres!$G$5:$G$57,0)))+IF(RIGHT(TRIM(Paramètres!M28),3)="Fin",1-$H1108,IF(LEFT(TRIM(Paramètres!M28),1)="F",1,0)))),IF(Paramètres!N28="",0,IF(Paramètres!O28="",NA(),IF(LEFT(TRIM(Paramètres!O28),1)="F",INDEX($F$1085:$F$1137,MATCH(Paramètres!N28,Paramètres!$G$5:$G$57,0)),INDEX($E$1085:$E$1137,MATCH(Paramètres!N28,Paramètres!$G$5:$G$57,0)))+IF(RIGHT(TRIM(Paramètres!O28),3)="Fin",1-$H1108,IF(LEFT(TRIM(Paramètres!O28),1)="F",1,0)))))))</f>
        <v/>
      </c>
      <c r="F1108" s="19">
        <f>IF($A1108="","",E1108+$H1108-1)</f>
        <v/>
      </c>
      <c r="G1108" s="18" t="n"/>
      <c r="H1108" s="18">
        <f>IF($A1108="","",IF(I1108&lt;&gt;"",I1108,Paramètres!B28))</f>
        <v/>
      </c>
      <c r="I1108" s="18" t="n"/>
    </row>
    <row r="1109">
      <c r="A1109" s="18">
        <f>IF(ISNUMBER(Dossiers!$D$24),Dossiers!$A$24&amp;" · "&amp;Dossiers!$B$24,"")</f>
        <v/>
      </c>
      <c r="B1109" s="18">
        <f>IF($A1109="","",Paramètres!G29)</f>
        <v/>
      </c>
      <c r="C1109" s="18">
        <f>IF($A1109="","",IF(Paramètres!H29="","",Paramètres!H29))</f>
        <v/>
      </c>
      <c r="D1109" s="18">
        <f>IF($A1109="","",IF(Paramètres!I29="","",Paramètres!I29))</f>
        <v/>
      </c>
      <c r="E1109" s="19">
        <f>IF($A1109="","",IF(Paramètres!J29&amp;Paramètres!L29&amp;Paramètres!N29="",Dossiers!$D$24,MAX(IF(Paramètres!J29="",0,IF(Paramètres!K29="",NA(),IF(LEFT(TRIM(Paramètres!K29),1)="F",INDEX($F$1085:$F$1137,MATCH(Paramètres!J29,Paramètres!$G$5:$G$57,0)),INDEX($E$1085:$E$1137,MATCH(Paramètres!J29,Paramètres!$G$5:$G$57,0)))+IF(RIGHT(TRIM(Paramètres!K29),3)="Fin",1-$H1109,IF(LEFT(TRIM(Paramètres!K29),1)="F",1,0)))),IF(Paramètres!L29="",0,IF(Paramètres!M29="",NA(),IF(LEFT(TRIM(Paramètres!M29),1)="F",INDEX($F$1085:$F$1137,MATCH(Paramètres!L29,Paramètres!$G$5:$G$57,0)),INDEX($E$1085:$E$1137,MATCH(Paramètres!L29,Paramètres!$G$5:$G$57,0)))+IF(RIGHT(TRIM(Paramètres!M29),3)="Fin",1-$H1109,IF(LEFT(TRIM(Paramètres!M29),1)="F",1,0)))),IF(Paramètres!N29="",0,IF(Paramètres!O29="",NA(),IF(LEFT(TRIM(Paramètres!O29),1)="F",INDEX($F$1085:$F$1137,MATCH(Paramètres!N29,Paramètres!$G$5:$G$57,0)),INDEX($E$1085:$E$1137,MATCH(Paramètres!N29,Paramètres!$G$5:$G$57,0)))+IF(RIGHT(TRIM(Paramètres!O29),3)="Fin",1-$H1109,IF(LEFT(TRIM(Paramètres!O29),1)="F",1,0)))))))</f>
        <v/>
      </c>
      <c r="F1109" s="19">
        <f>IF($A1109="","",E1109+$H1109-1)</f>
        <v/>
      </c>
      <c r="G1109" s="18" t="n"/>
      <c r="H1109" s="18">
        <f>IF($A1109="","",IF(I1109&lt;&gt;"",I1109,Paramètres!B29))</f>
        <v/>
      </c>
      <c r="I1109" s="18" t="n"/>
    </row>
    <row r="1110">
      <c r="A1110" s="18">
        <f>IF(ISNUMBER(Dossiers!$D$24),Dossiers!$A$24&amp;" · "&amp;Dossiers!$B$24,"")</f>
        <v/>
      </c>
      <c r="B1110" s="18">
        <f>IF($A1110="","",Paramètres!G30)</f>
        <v/>
      </c>
      <c r="C1110" s="18">
        <f>IF($A1110="","",IF(Paramètres!H30="","",Paramètres!H30))</f>
        <v/>
      </c>
      <c r="D1110" s="18">
        <f>IF($A1110="","",IF(Paramètres!I30="","",Paramètres!I30))</f>
        <v/>
      </c>
      <c r="E1110" s="19">
        <f>IF($A1110="","",IF(Paramètres!J30&amp;Paramètres!L30&amp;Paramètres!N30="",Dossiers!$D$24,MAX(IF(Paramètres!J30="",0,IF(Paramètres!K30="",NA(),IF(LEFT(TRIM(Paramètres!K30),1)="F",INDEX($F$1085:$F$1137,MATCH(Paramètres!J30,Paramètres!$G$5:$G$57,0)),INDEX($E$1085:$E$1137,MATCH(Paramètres!J30,Paramètres!$G$5:$G$57,0)))+IF(RIGHT(TRIM(Paramètres!K30),3)="Fin",1-$H1110,IF(LEFT(TRIM(Paramètres!K30),1)="F",1,0)))),IF(Paramètres!L30="",0,IF(Paramètres!M30="",NA(),IF(LEFT(TRIM(Paramètres!M30),1)="F",INDEX($F$1085:$F$1137,MATCH(Paramètres!L30,Paramètres!$G$5:$G$57,0)),INDEX($E$1085:$E$1137,MATCH(Paramètres!L30,Paramètres!$G$5:$G$57,0)))+IF(RIGHT(TRIM(Paramètres!M30),3)="Fin",1-$H1110,IF(LEFT(TRIM(Paramètres!M30),1)="F",1,0)))),IF(Paramètres!N30="",0,IF(Paramètres!O30="",NA(),IF(LEFT(TRIM(Paramètres!O30),1)="F",INDEX($F$1085:$F$1137,MATCH(Paramètres!N30,Paramètres!$G$5:$G$57,0)),INDEX($E$1085:$E$1137,MATCH(Paramètres!N30,Paramètres!$G$5:$G$57,0)))+IF(RIGHT(TRIM(Paramètres!O30),3)="Fin",1-$H1110,IF(LEFT(TRIM(Paramètres!O30),1)="F",1,0)))))))</f>
        <v/>
      </c>
      <c r="F1110" s="19">
        <f>IF($A1110="","",E1110+$H1110-1)</f>
        <v/>
      </c>
      <c r="G1110" s="18" t="n"/>
      <c r="H1110" s="18">
        <f>IF($A1110="","",IF(I1110&lt;&gt;"",I1110,Paramètres!B30))</f>
        <v/>
      </c>
      <c r="I1110" s="18" t="n"/>
    </row>
    <row r="1111">
      <c r="A1111" s="18">
        <f>IF(ISNUMBER(Dossiers!$D$24),Dossiers!$A$24&amp;" · "&amp;Dossiers!$B$24,"")</f>
        <v/>
      </c>
      <c r="B1111" s="18">
        <f>IF($A1111="","",Paramètres!G31)</f>
        <v/>
      </c>
      <c r="C1111" s="20">
        <f>IF($A1111="","",IF(Dossiers!$F$24="","",Dossiers!$F$24))</f>
        <v/>
      </c>
      <c r="D1111" s="18">
        <f>IF($A1111="","",IF(Paramètres!I31="","",Paramètres!I31))</f>
        <v/>
      </c>
      <c r="E1111" s="19">
        <f>IF($A1111="","",IF(Paramètres!J31&amp;Paramètres!L31&amp;Paramètres!N31="",Dossiers!$D$24,MAX(IF(Paramètres!J31="",0,IF(Paramètres!K31="",NA(),IF(LEFT(TRIM(Paramètres!K31),1)="F",INDEX($F$1085:$F$1137,MATCH(Paramètres!J31,Paramètres!$G$5:$G$57,0)),INDEX($E$1085:$E$1137,MATCH(Paramètres!J31,Paramètres!$G$5:$G$57,0)))+IF(RIGHT(TRIM(Paramètres!K31),3)="Fin",1-$H1111,IF(LEFT(TRIM(Paramètres!K31),1)="F",1,0)))),IF(Paramètres!L31="",0,IF(Paramètres!M31="",NA(),IF(LEFT(TRIM(Paramètres!M31),1)="F",INDEX($F$1085:$F$1137,MATCH(Paramètres!L31,Paramètres!$G$5:$G$57,0)),INDEX($E$1085:$E$1137,MATCH(Paramètres!L31,Paramètres!$G$5:$G$57,0)))+IF(RIGHT(TRIM(Paramètres!M31),3)="Fin",1-$H1111,IF(LEFT(TRIM(Paramètres!M31),1)="F",1,0)))),IF(Paramètres!N31="",0,IF(Paramètres!O31="",NA(),IF(LEFT(TRIM(Paramètres!O31),1)="F",INDEX($F$1085:$F$1137,MATCH(Paramètres!N31,Paramètres!$G$5:$G$57,0)),INDEX($E$1085:$E$1137,MATCH(Paramètres!N31,Paramètres!$G$5:$G$57,0)))+IF(RIGHT(TRIM(Paramètres!O31),3)="Fin",1-$H1111,IF(LEFT(TRIM(Paramètres!O31),1)="F",1,0)))))))</f>
        <v/>
      </c>
      <c r="F1111" s="19">
        <f>IF($A1111="","",E1111+$H1111-1)</f>
        <v/>
      </c>
      <c r="G1111" s="18" t="n"/>
      <c r="H1111" s="18">
        <f>IF($A1111="","",IF(I1111&lt;&gt;"",I1111,Paramètres!B31))</f>
        <v/>
      </c>
      <c r="I1111" s="18" t="n"/>
    </row>
    <row r="1112">
      <c r="A1112" s="18">
        <f>IF(ISNUMBER(Dossiers!$D$24),Dossiers!$A$24&amp;" · "&amp;Dossiers!$B$24,"")</f>
        <v/>
      </c>
      <c r="B1112" s="18">
        <f>IF($A1112="","",Paramètres!G32)</f>
        <v/>
      </c>
      <c r="C1112" s="18">
        <f>IF($A1112="","",IF(Paramètres!H32="","",Paramètres!H32))</f>
        <v/>
      </c>
      <c r="D1112" s="18">
        <f>IF($A1112="","",IF(Paramètres!I32="","",Paramètres!I32))</f>
        <v/>
      </c>
      <c r="E1112" s="19">
        <f>IF($A1112="","",MIN(E1113:E1116))</f>
        <v/>
      </c>
      <c r="F1112" s="19">
        <f>IF($A1112="","",MAX(F1113:F1116))</f>
        <v/>
      </c>
      <c r="G1112" s="18" t="n"/>
      <c r="H1112" s="18">
        <f>IF($A1112="","",F1112-E1112+1)</f>
        <v/>
      </c>
      <c r="I1112" s="18" t="n"/>
    </row>
    <row r="1113">
      <c r="A1113" s="18">
        <f>IF(ISNUMBER(Dossiers!$D$24),Dossiers!$A$24&amp;" · "&amp;Dossiers!$B$24,"")</f>
        <v/>
      </c>
      <c r="B1113" s="18">
        <f>IF($A1113="","",Paramètres!G33)</f>
        <v/>
      </c>
      <c r="C1113" s="18">
        <f>IF($A1113="","",IF(Paramètres!H33="","",Paramètres!H33))</f>
        <v/>
      </c>
      <c r="D1113" s="18">
        <f>IF($A1113="","",IF(Paramètres!I33="","",Paramètres!I33))</f>
        <v/>
      </c>
      <c r="E1113" s="19">
        <f>IF($A1113="","",IF(Paramètres!J33&amp;Paramètres!L33&amp;Paramètres!N33="",Dossiers!$D$24,MAX(IF(Paramètres!J33="",0,IF(Paramètres!K33="",NA(),IF(LEFT(TRIM(Paramètres!K33),1)="F",INDEX($F$1085:$F$1137,MATCH(Paramètres!J33,Paramètres!$G$5:$G$57,0)),INDEX($E$1085:$E$1137,MATCH(Paramètres!J33,Paramètres!$G$5:$G$57,0)))+IF(RIGHT(TRIM(Paramètres!K33),3)="Fin",1-$H1113,IF(LEFT(TRIM(Paramètres!K33),1)="F",1,0)))),IF(Paramètres!L33="",0,IF(Paramètres!M33="",NA(),IF(LEFT(TRIM(Paramètres!M33),1)="F",INDEX($F$1085:$F$1137,MATCH(Paramètres!L33,Paramètres!$G$5:$G$57,0)),INDEX($E$1085:$E$1137,MATCH(Paramètres!L33,Paramètres!$G$5:$G$57,0)))+IF(RIGHT(TRIM(Paramètres!M33),3)="Fin",1-$H1113,IF(LEFT(TRIM(Paramètres!M33),1)="F",1,0)))),IF(Paramètres!N33="",0,IF(Paramètres!O33="",NA(),IF(LEFT(TRIM(Paramètres!O33),1)="F",INDEX($F$1085:$F$1137,MATCH(Paramètres!N33,Paramètres!$G$5:$G$57,0)),INDEX($E$1085:$E$1137,MATCH(Paramètres!N33,Paramètres!$G$5:$G$57,0)))+IF(RIGHT(TRIM(Paramètres!O33),3)="Fin",1-$H1113,IF(LEFT(TRIM(Paramètres!O33),1)="F",1,0)))))))</f>
        <v/>
      </c>
      <c r="F1113" s="19">
        <f>IF($A1113="","",E1113+$H1113-1)</f>
        <v/>
      </c>
      <c r="G1113" s="18" t="n"/>
      <c r="H1113" s="18">
        <f>IF($A1113="","",IF(I1113&lt;&gt;"",I1113,Paramètres!B33))</f>
        <v/>
      </c>
      <c r="I1113" s="18" t="n"/>
    </row>
    <row r="1114">
      <c r="A1114" s="18">
        <f>IF(ISNUMBER(Dossiers!$D$24),Dossiers!$A$24&amp;" · "&amp;Dossiers!$B$24,"")</f>
        <v/>
      </c>
      <c r="B1114" s="18">
        <f>IF($A1114="","",Paramètres!G34)</f>
        <v/>
      </c>
      <c r="C1114" s="18">
        <f>IF($A1114="","",IF(Paramètres!H34="","",Paramètres!H34))</f>
        <v/>
      </c>
      <c r="D1114" s="18">
        <f>IF($A1114="","",IF(Paramètres!I34="","",Paramètres!I34))</f>
        <v/>
      </c>
      <c r="E1114" s="19">
        <f>IF($A1114="","",IF(Paramètres!J34&amp;Paramètres!L34&amp;Paramètres!N34="",Dossiers!$D$24,MAX(IF(Paramètres!J34="",0,IF(Paramètres!K34="",NA(),IF(LEFT(TRIM(Paramètres!K34),1)="F",INDEX($F$1085:$F$1137,MATCH(Paramètres!J34,Paramètres!$G$5:$G$57,0)),INDEX($E$1085:$E$1137,MATCH(Paramètres!J34,Paramètres!$G$5:$G$57,0)))+IF(RIGHT(TRIM(Paramètres!K34),3)="Fin",1-$H1114,IF(LEFT(TRIM(Paramètres!K34),1)="F",1,0)))),IF(Paramètres!L34="",0,IF(Paramètres!M34="",NA(),IF(LEFT(TRIM(Paramètres!M34),1)="F",INDEX($F$1085:$F$1137,MATCH(Paramètres!L34,Paramètres!$G$5:$G$57,0)),INDEX($E$1085:$E$1137,MATCH(Paramètres!L34,Paramètres!$G$5:$G$57,0)))+IF(RIGHT(TRIM(Paramètres!M34),3)="Fin",1-$H1114,IF(LEFT(TRIM(Paramètres!M34),1)="F",1,0)))),IF(Paramètres!N34="",0,IF(Paramètres!O34="",NA(),IF(LEFT(TRIM(Paramètres!O34),1)="F",INDEX($F$1085:$F$1137,MATCH(Paramètres!N34,Paramètres!$G$5:$G$57,0)),INDEX($E$1085:$E$1137,MATCH(Paramètres!N34,Paramètres!$G$5:$G$57,0)))+IF(RIGHT(TRIM(Paramètres!O34),3)="Fin",1-$H1114,IF(LEFT(TRIM(Paramètres!O34),1)="F",1,0)))))))</f>
        <v/>
      </c>
      <c r="F1114" s="19">
        <f>IF($A1114="","",E1114+$H1114-1)</f>
        <v/>
      </c>
      <c r="G1114" s="18" t="n"/>
      <c r="H1114" s="18">
        <f>IF($A1114="","",IF(I1114&lt;&gt;"",I1114,Paramètres!B34))</f>
        <v/>
      </c>
      <c r="I1114" s="18" t="n"/>
    </row>
    <row r="1115">
      <c r="A1115" s="18">
        <f>IF(ISNUMBER(Dossiers!$D$24),Dossiers!$A$24&amp;" · "&amp;Dossiers!$B$24,"")</f>
        <v/>
      </c>
      <c r="B1115" s="18">
        <f>IF($A1115="","",Paramètres!G35)</f>
        <v/>
      </c>
      <c r="C1115" s="18">
        <f>IF($A1115="","",IF(Paramètres!H35="","",Paramètres!H35))</f>
        <v/>
      </c>
      <c r="D1115" s="18">
        <f>IF($A1115="","",IF(Paramètres!I35="","",Paramètres!I35))</f>
        <v/>
      </c>
      <c r="E1115" s="19">
        <f>IF($A1115="","",IF(Paramètres!J35&amp;Paramètres!L35&amp;Paramètres!N35="",Dossiers!$D$24,MAX(IF(Paramètres!J35="",0,IF(Paramètres!K35="",NA(),IF(LEFT(TRIM(Paramètres!K35),1)="F",INDEX($F$1085:$F$1137,MATCH(Paramètres!J35,Paramètres!$G$5:$G$57,0)),INDEX($E$1085:$E$1137,MATCH(Paramètres!J35,Paramètres!$G$5:$G$57,0)))+IF(RIGHT(TRIM(Paramètres!K35),3)="Fin",1-$H1115,IF(LEFT(TRIM(Paramètres!K35),1)="F",1,0)))),IF(Paramètres!L35="",0,IF(Paramètres!M35="",NA(),IF(LEFT(TRIM(Paramètres!M35),1)="F",INDEX($F$1085:$F$1137,MATCH(Paramètres!L35,Paramètres!$G$5:$G$57,0)),INDEX($E$1085:$E$1137,MATCH(Paramètres!L35,Paramètres!$G$5:$G$57,0)))+IF(RIGHT(TRIM(Paramètres!M35),3)="Fin",1-$H1115,IF(LEFT(TRIM(Paramètres!M35),1)="F",1,0)))),IF(Paramètres!N35="",0,IF(Paramètres!O35="",NA(),IF(LEFT(TRIM(Paramètres!O35),1)="F",INDEX($F$1085:$F$1137,MATCH(Paramètres!N35,Paramètres!$G$5:$G$57,0)),INDEX($E$1085:$E$1137,MATCH(Paramètres!N35,Paramètres!$G$5:$G$57,0)))+IF(RIGHT(TRIM(Paramètres!O35),3)="Fin",1-$H1115,IF(LEFT(TRIM(Paramètres!O35),1)="F",1,0)))))))</f>
        <v/>
      </c>
      <c r="F1115" s="19">
        <f>IF($A1115="","",E1115+$H1115-1)</f>
        <v/>
      </c>
      <c r="G1115" s="18" t="n"/>
      <c r="H1115" s="18">
        <f>IF($A1115="","",IF(I1115&lt;&gt;"",I1115,Paramètres!B35))</f>
        <v/>
      </c>
      <c r="I1115" s="18" t="n"/>
    </row>
    <row r="1116">
      <c r="A1116" s="18">
        <f>IF(ISNUMBER(Dossiers!$D$24),Dossiers!$A$24&amp;" · "&amp;Dossiers!$B$24,"")</f>
        <v/>
      </c>
      <c r="B1116" s="18">
        <f>IF($A1116="","",Paramètres!G36)</f>
        <v/>
      </c>
      <c r="C1116" s="18">
        <f>IF($A1116="","",IF(Paramètres!H36="","",Paramètres!H36))</f>
        <v/>
      </c>
      <c r="D1116" s="18">
        <f>IF($A1116="","",IF(Paramètres!I36="","",Paramètres!I36))</f>
        <v/>
      </c>
      <c r="E1116" s="19">
        <f>IF($A1116="","",IF(Paramètres!J36&amp;Paramètres!L36&amp;Paramètres!N36="",Dossiers!$D$24,MAX(IF(Paramètres!J36="",0,IF(Paramètres!K36="",NA(),IF(LEFT(TRIM(Paramètres!K36),1)="F",INDEX($F$1085:$F$1137,MATCH(Paramètres!J36,Paramètres!$G$5:$G$57,0)),INDEX($E$1085:$E$1137,MATCH(Paramètres!J36,Paramètres!$G$5:$G$57,0)))+IF(RIGHT(TRIM(Paramètres!K36),3)="Fin",1-$H1116,IF(LEFT(TRIM(Paramètres!K36),1)="F",1,0)))),IF(Paramètres!L36="",0,IF(Paramètres!M36="",NA(),IF(LEFT(TRIM(Paramètres!M36),1)="F",INDEX($F$1085:$F$1137,MATCH(Paramètres!L36,Paramètres!$G$5:$G$57,0)),INDEX($E$1085:$E$1137,MATCH(Paramètres!L36,Paramètres!$G$5:$G$57,0)))+IF(RIGHT(TRIM(Paramètres!M36),3)="Fin",1-$H1116,IF(LEFT(TRIM(Paramètres!M36),1)="F",1,0)))),IF(Paramètres!N36="",0,IF(Paramètres!O36="",NA(),IF(LEFT(TRIM(Paramètres!O36),1)="F",INDEX($F$1085:$F$1137,MATCH(Paramètres!N36,Paramètres!$G$5:$G$57,0)),INDEX($E$1085:$E$1137,MATCH(Paramètres!N36,Paramètres!$G$5:$G$57,0)))+IF(RIGHT(TRIM(Paramètres!O36),3)="Fin",1-$H1116,IF(LEFT(TRIM(Paramètres!O36),1)="F",1,0)))))))</f>
        <v/>
      </c>
      <c r="F1116" s="19">
        <f>IF($A1116="","",E1116+$H1116-1)</f>
        <v/>
      </c>
      <c r="G1116" s="18" t="n"/>
      <c r="H1116" s="18">
        <f>IF($A1116="","",IF(I1116&lt;&gt;"",I1116,Paramètres!B36))</f>
        <v/>
      </c>
      <c r="I1116" s="18" t="n"/>
    </row>
    <row r="1117">
      <c r="A1117" s="18">
        <f>IF(ISNUMBER(Dossiers!$D$24),Dossiers!$A$24&amp;" · "&amp;Dossiers!$B$24,"")</f>
        <v/>
      </c>
      <c r="B1117" s="18">
        <f>IF($A1117="","",Paramètres!G37)</f>
        <v/>
      </c>
      <c r="C1117" s="18">
        <f>IF($A1117="","",IF(Paramètres!H37="","",Paramètres!H37))</f>
        <v/>
      </c>
      <c r="D1117" s="18">
        <f>IF($A1117="","",IF(Paramètres!I37="","",Paramètres!I37))</f>
        <v/>
      </c>
      <c r="E1117" s="19">
        <f>IF($A1117="","",MIN(E1118:E1135))</f>
        <v/>
      </c>
      <c r="F1117" s="19">
        <f>IF($A1117="","",MAX(F1118:F1135))</f>
        <v/>
      </c>
      <c r="G1117" s="18" t="n"/>
      <c r="H1117" s="18">
        <f>IF($A1117="","",F1117-E1117+1)</f>
        <v/>
      </c>
      <c r="I1117" s="18" t="n"/>
    </row>
    <row r="1118">
      <c r="A1118" s="18">
        <f>IF(ISNUMBER(Dossiers!$D$24),Dossiers!$A$24&amp;" · "&amp;Dossiers!$B$24,"")</f>
        <v/>
      </c>
      <c r="B1118" s="18">
        <f>IF($A1118="","",Paramètres!G38)</f>
        <v/>
      </c>
      <c r="C1118" s="18">
        <f>IF($A1118="","",IF(Paramètres!H38="","",Paramètres!H38))</f>
        <v/>
      </c>
      <c r="D1118" s="18">
        <f>IF($A1118="","",IF(Paramètres!I38="","",Paramètres!I38))</f>
        <v/>
      </c>
      <c r="E1118" s="19">
        <f>IF($A1118="","",IF(Paramètres!J38&amp;Paramètres!L38&amp;Paramètres!N38="",Dossiers!$D$24,MAX(IF(Paramètres!J38="",0,IF(Paramètres!K38="",NA(),IF(LEFT(TRIM(Paramètres!K38),1)="F",INDEX($F$1085:$F$1137,MATCH(Paramètres!J38,Paramètres!$G$5:$G$57,0)),INDEX($E$1085:$E$1137,MATCH(Paramètres!J38,Paramètres!$G$5:$G$57,0)))+IF(RIGHT(TRIM(Paramètres!K38),3)="Fin",1-$H1118,IF(LEFT(TRIM(Paramètres!K38),1)="F",1,0)))),IF(Paramètres!L38="",0,IF(Paramètres!M38="",NA(),IF(LEFT(TRIM(Paramètres!M38),1)="F",INDEX($F$1085:$F$1137,MATCH(Paramètres!L38,Paramètres!$G$5:$G$57,0)),INDEX($E$1085:$E$1137,MATCH(Paramètres!L38,Paramètres!$G$5:$G$57,0)))+IF(RIGHT(TRIM(Paramètres!M38),3)="Fin",1-$H1118,IF(LEFT(TRIM(Paramètres!M38),1)="F",1,0)))),IF(Paramètres!N38="",0,IF(Paramètres!O38="",NA(),IF(LEFT(TRIM(Paramètres!O38),1)="F",INDEX($F$1085:$F$1137,MATCH(Paramètres!N38,Paramètres!$G$5:$G$57,0)),INDEX($E$1085:$E$1137,MATCH(Paramètres!N38,Paramètres!$G$5:$G$57,0)))+IF(RIGHT(TRIM(Paramètres!O38),3)="Fin",1-$H1118,IF(LEFT(TRIM(Paramètres!O38),1)="F",1,0)))))))</f>
        <v/>
      </c>
      <c r="F1118" s="19">
        <f>IF($A1118="","",E1118+$H1118-1)</f>
        <v/>
      </c>
      <c r="G1118" s="18" t="n"/>
      <c r="H1118" s="18">
        <f>IF($A1118="","",IF(I1118&lt;&gt;"",I1118,Paramètres!B38))</f>
        <v/>
      </c>
      <c r="I1118" s="18" t="n"/>
    </row>
    <row r="1119">
      <c r="A1119" s="18">
        <f>IF(ISNUMBER(Dossiers!$D$24),Dossiers!$A$24&amp;" · "&amp;Dossiers!$B$24,"")</f>
        <v/>
      </c>
      <c r="B1119" s="18">
        <f>IF($A1119="","",Paramètres!G39)</f>
        <v/>
      </c>
      <c r="C1119" s="18">
        <f>IF($A1119="","",IF(Paramètres!H39="","",Paramètres!H39))</f>
        <v/>
      </c>
      <c r="D1119" s="18">
        <f>IF($A1119="","",IF(Paramètres!I39="","",Paramètres!I39))</f>
        <v/>
      </c>
      <c r="E1119" s="19">
        <f>IF($A1119="","",IF(Paramètres!J39&amp;Paramètres!L39&amp;Paramètres!N39="",Dossiers!$D$24,MAX(IF(Paramètres!J39="",0,IF(Paramètres!K39="",NA(),IF(LEFT(TRIM(Paramètres!K39),1)="F",INDEX($F$1085:$F$1137,MATCH(Paramètres!J39,Paramètres!$G$5:$G$57,0)),INDEX($E$1085:$E$1137,MATCH(Paramètres!J39,Paramètres!$G$5:$G$57,0)))+IF(RIGHT(TRIM(Paramètres!K39),3)="Fin",1-$H1119,IF(LEFT(TRIM(Paramètres!K39),1)="F",1,0)))),IF(Paramètres!L39="",0,IF(Paramètres!M39="",NA(),IF(LEFT(TRIM(Paramètres!M39),1)="F",INDEX($F$1085:$F$1137,MATCH(Paramètres!L39,Paramètres!$G$5:$G$57,0)),INDEX($E$1085:$E$1137,MATCH(Paramètres!L39,Paramètres!$G$5:$G$57,0)))+IF(RIGHT(TRIM(Paramètres!M39),3)="Fin",1-$H1119,IF(LEFT(TRIM(Paramètres!M39),1)="F",1,0)))),IF(Paramètres!N39="",0,IF(Paramètres!O39="",NA(),IF(LEFT(TRIM(Paramètres!O39),1)="F",INDEX($F$1085:$F$1137,MATCH(Paramètres!N39,Paramètres!$G$5:$G$57,0)),INDEX($E$1085:$E$1137,MATCH(Paramètres!N39,Paramètres!$G$5:$G$57,0)))+IF(RIGHT(TRIM(Paramètres!O39),3)="Fin",1-$H1119,IF(LEFT(TRIM(Paramètres!O39),1)="F",1,0)))))))</f>
        <v/>
      </c>
      <c r="F1119" s="19">
        <f>IF($A1119="","",E1119+$H1119-1)</f>
        <v/>
      </c>
      <c r="G1119" s="18" t="n"/>
      <c r="H1119" s="18">
        <f>IF($A1119="","",IF(I1119&lt;&gt;"",I1119,Paramètres!B39))</f>
        <v/>
      </c>
      <c r="I1119" s="18" t="n"/>
    </row>
    <row r="1120">
      <c r="A1120" s="18">
        <f>IF(ISNUMBER(Dossiers!$D$24),Dossiers!$A$24&amp;" · "&amp;Dossiers!$B$24,"")</f>
        <v/>
      </c>
      <c r="B1120" s="18">
        <f>IF($A1120="","",Paramètres!G40)</f>
        <v/>
      </c>
      <c r="C1120" s="18">
        <f>IF($A1120="","",IF(Paramètres!H40="","",Paramètres!H40))</f>
        <v/>
      </c>
      <c r="D1120" s="18">
        <f>IF($A1120="","",IF(Paramètres!I40="","",Paramètres!I40))</f>
        <v/>
      </c>
      <c r="E1120" s="19">
        <f>IF($A1120="","",IF(Paramètres!J40&amp;Paramètres!L40&amp;Paramètres!N40="",Dossiers!$D$24,MAX(IF(Paramètres!J40="",0,IF(Paramètres!K40="",NA(),IF(LEFT(TRIM(Paramètres!K40),1)="F",INDEX($F$1085:$F$1137,MATCH(Paramètres!J40,Paramètres!$G$5:$G$57,0)),INDEX($E$1085:$E$1137,MATCH(Paramètres!J40,Paramètres!$G$5:$G$57,0)))+IF(RIGHT(TRIM(Paramètres!K40),3)="Fin",1-$H1120,IF(LEFT(TRIM(Paramètres!K40),1)="F",1,0)))),IF(Paramètres!L40="",0,IF(Paramètres!M40="",NA(),IF(LEFT(TRIM(Paramètres!M40),1)="F",INDEX($F$1085:$F$1137,MATCH(Paramètres!L40,Paramètres!$G$5:$G$57,0)),INDEX($E$1085:$E$1137,MATCH(Paramètres!L40,Paramètres!$G$5:$G$57,0)))+IF(RIGHT(TRIM(Paramètres!M40),3)="Fin",1-$H1120,IF(LEFT(TRIM(Paramètres!M40),1)="F",1,0)))),IF(Paramètres!N40="",0,IF(Paramètres!O40="",NA(),IF(LEFT(TRIM(Paramètres!O40),1)="F",INDEX($F$1085:$F$1137,MATCH(Paramètres!N40,Paramètres!$G$5:$G$57,0)),INDEX($E$1085:$E$1137,MATCH(Paramètres!N40,Paramètres!$G$5:$G$57,0)))+IF(RIGHT(TRIM(Paramètres!O40),3)="Fin",1-$H1120,IF(LEFT(TRIM(Paramètres!O40),1)="F",1,0)))))))</f>
        <v/>
      </c>
      <c r="F1120" s="19">
        <f>IF($A1120="","",E1120+$H1120-1)</f>
        <v/>
      </c>
      <c r="G1120" s="18" t="n"/>
      <c r="H1120" s="18">
        <f>IF($A1120="","",IF(I1120&lt;&gt;"",I1120,Paramètres!B40))</f>
        <v/>
      </c>
      <c r="I1120" s="18" t="n"/>
    </row>
    <row r="1121">
      <c r="A1121" s="18">
        <f>IF(ISNUMBER(Dossiers!$D$24),Dossiers!$A$24&amp;" · "&amp;Dossiers!$B$24,"")</f>
        <v/>
      </c>
      <c r="B1121" s="18">
        <f>IF($A1121="","",Paramètres!G41)</f>
        <v/>
      </c>
      <c r="C1121" s="18">
        <f>IF($A1121="","",IF(Paramètres!H41="","",Paramètres!H41))</f>
        <v/>
      </c>
      <c r="D1121" s="18">
        <f>IF($A1121="","",IF(Paramètres!I41="","",Paramètres!I41))</f>
        <v/>
      </c>
      <c r="E1121" s="19">
        <f>IF($A1121="","",IF(Paramètres!J41&amp;Paramètres!L41&amp;Paramètres!N41="",Dossiers!$D$24,MAX(IF(Paramètres!J41="",0,IF(Paramètres!K41="",NA(),IF(LEFT(TRIM(Paramètres!K41),1)="F",INDEX($F$1085:$F$1137,MATCH(Paramètres!J41,Paramètres!$G$5:$G$57,0)),INDEX($E$1085:$E$1137,MATCH(Paramètres!J41,Paramètres!$G$5:$G$57,0)))+IF(RIGHT(TRIM(Paramètres!K41),3)="Fin",1-$H1121,IF(LEFT(TRIM(Paramètres!K41),1)="F",1,0)))),IF(Paramètres!L41="",0,IF(Paramètres!M41="",NA(),IF(LEFT(TRIM(Paramètres!M41),1)="F",INDEX($F$1085:$F$1137,MATCH(Paramètres!L41,Paramètres!$G$5:$G$57,0)),INDEX($E$1085:$E$1137,MATCH(Paramètres!L41,Paramètres!$G$5:$G$57,0)))+IF(RIGHT(TRIM(Paramètres!M41),3)="Fin",1-$H1121,IF(LEFT(TRIM(Paramètres!M41),1)="F",1,0)))),IF(Paramètres!N41="",0,IF(Paramètres!O41="",NA(),IF(LEFT(TRIM(Paramètres!O41),1)="F",INDEX($F$1085:$F$1137,MATCH(Paramètres!N41,Paramètres!$G$5:$G$57,0)),INDEX($E$1085:$E$1137,MATCH(Paramètres!N41,Paramètres!$G$5:$G$57,0)))+IF(RIGHT(TRIM(Paramètres!O41),3)="Fin",1-$H1121,IF(LEFT(TRIM(Paramètres!O41),1)="F",1,0)))))))</f>
        <v/>
      </c>
      <c r="F1121" s="19">
        <f>IF($A1121="","",E1121+$H1121-1)</f>
        <v/>
      </c>
      <c r="G1121" s="18" t="n"/>
      <c r="H1121" s="18">
        <f>IF($A1121="","",IF(I1121&lt;&gt;"",I1121,Paramètres!B41))</f>
        <v/>
      </c>
      <c r="I1121" s="18" t="n"/>
    </row>
    <row r="1122">
      <c r="A1122" s="18">
        <f>IF(ISNUMBER(Dossiers!$D$24),Dossiers!$A$24&amp;" · "&amp;Dossiers!$B$24,"")</f>
        <v/>
      </c>
      <c r="B1122" s="18">
        <f>IF($A1122="","",Paramètres!G42)</f>
        <v/>
      </c>
      <c r="C1122" s="18">
        <f>IF($A1122="","",IF(Paramètres!H42="","",Paramètres!H42))</f>
        <v/>
      </c>
      <c r="D1122" s="18">
        <f>IF($A1122="","",IF(Paramètres!I42="","",Paramètres!I42))</f>
        <v/>
      </c>
      <c r="E1122" s="19">
        <f>IF($A1122="","",IF(Paramètres!J42&amp;Paramètres!L42&amp;Paramètres!N42="",Dossiers!$D$24,MAX(IF(Paramètres!J42="",0,IF(Paramètres!K42="",NA(),IF(LEFT(TRIM(Paramètres!K42),1)="F",INDEX($F$1085:$F$1137,MATCH(Paramètres!J42,Paramètres!$G$5:$G$57,0)),INDEX($E$1085:$E$1137,MATCH(Paramètres!J42,Paramètres!$G$5:$G$57,0)))+IF(RIGHT(TRIM(Paramètres!K42),3)="Fin",1-$H1122,IF(LEFT(TRIM(Paramètres!K42),1)="F",1,0)))),IF(Paramètres!L42="",0,IF(Paramètres!M42="",NA(),IF(LEFT(TRIM(Paramètres!M42),1)="F",INDEX($F$1085:$F$1137,MATCH(Paramètres!L42,Paramètres!$G$5:$G$57,0)),INDEX($E$1085:$E$1137,MATCH(Paramètres!L42,Paramètres!$G$5:$G$57,0)))+IF(RIGHT(TRIM(Paramètres!M42),3)="Fin",1-$H1122,IF(LEFT(TRIM(Paramètres!M42),1)="F",1,0)))),IF(Paramètres!N42="",0,IF(Paramètres!O42="",NA(),IF(LEFT(TRIM(Paramètres!O42),1)="F",INDEX($F$1085:$F$1137,MATCH(Paramètres!N42,Paramètres!$G$5:$G$57,0)),INDEX($E$1085:$E$1137,MATCH(Paramètres!N42,Paramètres!$G$5:$G$57,0)))+IF(RIGHT(TRIM(Paramètres!O42),3)="Fin",1-$H1122,IF(LEFT(TRIM(Paramètres!O42),1)="F",1,0)))))))</f>
        <v/>
      </c>
      <c r="F1122" s="19">
        <f>IF($A1122="","",E1122+$H1122-1)</f>
        <v/>
      </c>
      <c r="G1122" s="18" t="n"/>
      <c r="H1122" s="18">
        <f>IF($A1122="","",IF(I1122&lt;&gt;"",I1122,Paramètres!B42))</f>
        <v/>
      </c>
      <c r="I1122" s="18" t="n"/>
    </row>
    <row r="1123">
      <c r="A1123" s="18">
        <f>IF(ISNUMBER(Dossiers!$D$24),Dossiers!$A$24&amp;" · "&amp;Dossiers!$B$24,"")</f>
        <v/>
      </c>
      <c r="B1123" s="18">
        <f>IF($A1123="","",Paramètres!G43)</f>
        <v/>
      </c>
      <c r="C1123" s="18">
        <f>IF($A1123="","",IF(Paramètres!H43="","",Paramètres!H43))</f>
        <v/>
      </c>
      <c r="D1123" s="18">
        <f>IF($A1123="","",IF(Paramètres!I43="","",Paramètres!I43))</f>
        <v/>
      </c>
      <c r="E1123" s="19">
        <f>IF($A1123="","",IF(Paramètres!J43&amp;Paramètres!L43&amp;Paramètres!N43="",Dossiers!$D$24,MAX(IF(Paramètres!J43="",0,IF(Paramètres!K43="",NA(),IF(LEFT(TRIM(Paramètres!K43),1)="F",INDEX($F$1085:$F$1137,MATCH(Paramètres!J43,Paramètres!$G$5:$G$57,0)),INDEX($E$1085:$E$1137,MATCH(Paramètres!J43,Paramètres!$G$5:$G$57,0)))+IF(RIGHT(TRIM(Paramètres!K43),3)="Fin",1-$H1123,IF(LEFT(TRIM(Paramètres!K43),1)="F",1,0)))),IF(Paramètres!L43="",0,IF(Paramètres!M43="",NA(),IF(LEFT(TRIM(Paramètres!M43),1)="F",INDEX($F$1085:$F$1137,MATCH(Paramètres!L43,Paramètres!$G$5:$G$57,0)),INDEX($E$1085:$E$1137,MATCH(Paramètres!L43,Paramètres!$G$5:$G$57,0)))+IF(RIGHT(TRIM(Paramètres!M43),3)="Fin",1-$H1123,IF(LEFT(TRIM(Paramètres!M43),1)="F",1,0)))),IF(Paramètres!N43="",0,IF(Paramètres!O43="",NA(),IF(LEFT(TRIM(Paramètres!O43),1)="F",INDEX($F$1085:$F$1137,MATCH(Paramètres!N43,Paramètres!$G$5:$G$57,0)),INDEX($E$1085:$E$1137,MATCH(Paramètres!N43,Paramètres!$G$5:$G$57,0)))+IF(RIGHT(TRIM(Paramètres!O43),3)="Fin",1-$H1123,IF(LEFT(TRIM(Paramètres!O43),1)="F",1,0)))))))</f>
        <v/>
      </c>
      <c r="F1123" s="19">
        <f>IF($A1123="","",E1123+$H1123-1)</f>
        <v/>
      </c>
      <c r="G1123" s="18" t="n"/>
      <c r="H1123" s="18">
        <f>IF($A1123="","",IF(I1123&lt;&gt;"",I1123,Paramètres!B43))</f>
        <v/>
      </c>
      <c r="I1123" s="18" t="n"/>
    </row>
    <row r="1124">
      <c r="A1124" s="18">
        <f>IF(ISNUMBER(Dossiers!$D$24),Dossiers!$A$24&amp;" · "&amp;Dossiers!$B$24,"")</f>
        <v/>
      </c>
      <c r="B1124" s="18">
        <f>IF($A1124="","",Paramètres!G44)</f>
        <v/>
      </c>
      <c r="C1124" s="18">
        <f>IF($A1124="","",IF(Paramètres!H44="","",Paramètres!H44))</f>
        <v/>
      </c>
      <c r="D1124" s="18">
        <f>IF($A1124="","",IF(Paramètres!I44="","",Paramètres!I44))</f>
        <v/>
      </c>
      <c r="E1124" s="19">
        <f>IF($A1124="","",IF(Paramètres!J44&amp;Paramètres!L44&amp;Paramètres!N44="",Dossiers!$D$24,MAX(IF(Paramètres!J44="",0,IF(Paramètres!K44="",NA(),IF(LEFT(TRIM(Paramètres!K44),1)="F",INDEX($F$1085:$F$1137,MATCH(Paramètres!J44,Paramètres!$G$5:$G$57,0)),INDEX($E$1085:$E$1137,MATCH(Paramètres!J44,Paramètres!$G$5:$G$57,0)))+IF(RIGHT(TRIM(Paramètres!K44),3)="Fin",1-$H1124,IF(LEFT(TRIM(Paramètres!K44),1)="F",1,0)))),IF(Paramètres!L44="",0,IF(Paramètres!M44="",NA(),IF(LEFT(TRIM(Paramètres!M44),1)="F",INDEX($F$1085:$F$1137,MATCH(Paramètres!L44,Paramètres!$G$5:$G$57,0)),INDEX($E$1085:$E$1137,MATCH(Paramètres!L44,Paramètres!$G$5:$G$57,0)))+IF(RIGHT(TRIM(Paramètres!M44),3)="Fin",1-$H1124,IF(LEFT(TRIM(Paramètres!M44),1)="F",1,0)))),IF(Paramètres!N44="",0,IF(Paramètres!O44="",NA(),IF(LEFT(TRIM(Paramètres!O44),1)="F",INDEX($F$1085:$F$1137,MATCH(Paramètres!N44,Paramètres!$G$5:$G$57,0)),INDEX($E$1085:$E$1137,MATCH(Paramètres!N44,Paramètres!$G$5:$G$57,0)))+IF(RIGHT(TRIM(Paramètres!O44),3)="Fin",1-$H1124,IF(LEFT(TRIM(Paramètres!O44),1)="F",1,0)))))))</f>
        <v/>
      </c>
      <c r="F1124" s="19">
        <f>IF($A1124="","",E1124+$H1124-1)</f>
        <v/>
      </c>
      <c r="G1124" s="18" t="n"/>
      <c r="H1124" s="18">
        <f>IF($A1124="","",IF(I1124&lt;&gt;"",I1124,Paramètres!B44))</f>
        <v/>
      </c>
      <c r="I1124" s="18" t="n"/>
    </row>
    <row r="1125">
      <c r="A1125" s="18">
        <f>IF(ISNUMBER(Dossiers!$D$24),Dossiers!$A$24&amp;" · "&amp;Dossiers!$B$24,"")</f>
        <v/>
      </c>
      <c r="B1125" s="18">
        <f>IF($A1125="","",Paramètres!G45)</f>
        <v/>
      </c>
      <c r="C1125" s="20">
        <f>IF($A1125="","",IF(Dossiers!$G$24="","",Dossiers!$G$24))</f>
        <v/>
      </c>
      <c r="D1125" s="18">
        <f>IF($A1125="","",IF(Paramètres!I45="","",Paramètres!I45))</f>
        <v/>
      </c>
      <c r="E1125" s="19">
        <f>IF($A1125="","",IF(Paramètres!J45&amp;Paramètres!L45&amp;Paramètres!N45="",Dossiers!$D$24,MAX(IF(Paramètres!J45="",0,IF(Paramètres!K45="",NA(),IF(LEFT(TRIM(Paramètres!K45),1)="F",INDEX($F$1085:$F$1137,MATCH(Paramètres!J45,Paramètres!$G$5:$G$57,0)),INDEX($E$1085:$E$1137,MATCH(Paramètres!J45,Paramètres!$G$5:$G$57,0)))+IF(RIGHT(TRIM(Paramètres!K45),3)="Fin",1-$H1125,IF(LEFT(TRIM(Paramètres!K45),1)="F",1,0)))),IF(Paramètres!L45="",0,IF(Paramètres!M45="",NA(),IF(LEFT(TRIM(Paramètres!M45),1)="F",INDEX($F$1085:$F$1137,MATCH(Paramètres!L45,Paramètres!$G$5:$G$57,0)),INDEX($E$1085:$E$1137,MATCH(Paramètres!L45,Paramètres!$G$5:$G$57,0)))+IF(RIGHT(TRIM(Paramètres!M45),3)="Fin",1-$H1125,IF(LEFT(TRIM(Paramètres!M45),1)="F",1,0)))),IF(Paramètres!N45="",0,IF(Paramètres!O45="",NA(),IF(LEFT(TRIM(Paramètres!O45),1)="F",INDEX($F$1085:$F$1137,MATCH(Paramètres!N45,Paramètres!$G$5:$G$57,0)),INDEX($E$1085:$E$1137,MATCH(Paramètres!N45,Paramètres!$G$5:$G$57,0)))+IF(RIGHT(TRIM(Paramètres!O45),3)="Fin",1-$H1125,IF(LEFT(TRIM(Paramètres!O45),1)="F",1,0)))))))</f>
        <v/>
      </c>
      <c r="F1125" s="19">
        <f>IF($A1125="","",E1125+$H1125-1)</f>
        <v/>
      </c>
      <c r="G1125" s="18" t="n"/>
      <c r="H1125" s="18">
        <f>IF($A1125="","",IF(I1125&lt;&gt;"",I1125,Paramètres!B45))</f>
        <v/>
      </c>
      <c r="I1125" s="18" t="n"/>
    </row>
    <row r="1126">
      <c r="A1126" s="18">
        <f>IF(ISNUMBER(Dossiers!$D$24),Dossiers!$A$24&amp;" · "&amp;Dossiers!$B$24,"")</f>
        <v/>
      </c>
      <c r="B1126" s="18">
        <f>IF($A1126="","",Paramètres!G46)</f>
        <v/>
      </c>
      <c r="C1126" s="18">
        <f>IF($A1126="","",IF(Paramètres!H46="","",Paramètres!H46))</f>
        <v/>
      </c>
      <c r="D1126" s="18">
        <f>IF($A1126="","",IF(Paramètres!I46="","",Paramètres!I46))</f>
        <v/>
      </c>
      <c r="E1126" s="19">
        <f>IF($A1126="","",IF(Paramètres!J46&amp;Paramètres!L46&amp;Paramètres!N46="",Dossiers!$D$24,MAX(IF(Paramètres!J46="",0,IF(Paramètres!K46="",NA(),IF(LEFT(TRIM(Paramètres!K46),1)="F",INDEX($F$1085:$F$1137,MATCH(Paramètres!J46,Paramètres!$G$5:$G$57,0)),INDEX($E$1085:$E$1137,MATCH(Paramètres!J46,Paramètres!$G$5:$G$57,0)))+IF(RIGHT(TRIM(Paramètres!K46),3)="Fin",1-$H1126,IF(LEFT(TRIM(Paramètres!K46),1)="F",1,0)))),IF(Paramètres!L46="",0,IF(Paramètres!M46="",NA(),IF(LEFT(TRIM(Paramètres!M46),1)="F",INDEX($F$1085:$F$1137,MATCH(Paramètres!L46,Paramètres!$G$5:$G$57,0)),INDEX($E$1085:$E$1137,MATCH(Paramètres!L46,Paramètres!$G$5:$G$57,0)))+IF(RIGHT(TRIM(Paramètres!M46),3)="Fin",1-$H1126,IF(LEFT(TRIM(Paramètres!M46),1)="F",1,0)))),IF(Paramètres!N46="",0,IF(Paramètres!O46="",NA(),IF(LEFT(TRIM(Paramètres!O46),1)="F",INDEX($F$1085:$F$1137,MATCH(Paramètres!N46,Paramètres!$G$5:$G$57,0)),INDEX($E$1085:$E$1137,MATCH(Paramètres!N46,Paramètres!$G$5:$G$57,0)))+IF(RIGHT(TRIM(Paramètres!O46),3)="Fin",1-$H1126,IF(LEFT(TRIM(Paramètres!O46),1)="F",1,0)))))))</f>
        <v/>
      </c>
      <c r="F1126" s="19">
        <f>IF($A1126="","",E1126+$H1126-1)</f>
        <v/>
      </c>
      <c r="G1126" s="18" t="n"/>
      <c r="H1126" s="18">
        <f>IF($A1126="","",IF(I1126&lt;&gt;"",I1126,Paramètres!B46))</f>
        <v/>
      </c>
      <c r="I1126" s="18" t="n"/>
    </row>
    <row r="1127">
      <c r="A1127" s="18">
        <f>IF(ISNUMBER(Dossiers!$D$24),Dossiers!$A$24&amp;" · "&amp;Dossiers!$B$24,"")</f>
        <v/>
      </c>
      <c r="B1127" s="18">
        <f>IF($A1127="","",Paramètres!G47)</f>
        <v/>
      </c>
      <c r="C1127" s="18">
        <f>IF($A1127="","",IF(Paramètres!H47="","",Paramètres!H47))</f>
        <v/>
      </c>
      <c r="D1127" s="18">
        <f>IF($A1127="","",IF(Paramètres!I47="","",Paramètres!I47))</f>
        <v/>
      </c>
      <c r="E1127" s="19">
        <f>IF($A1127="","",IF(Paramètres!J47&amp;Paramètres!L47&amp;Paramètres!N47="",Dossiers!$D$24,MAX(IF(Paramètres!J47="",0,IF(Paramètres!K47="",NA(),IF(LEFT(TRIM(Paramètres!K47),1)="F",INDEX($F$1085:$F$1137,MATCH(Paramètres!J47,Paramètres!$G$5:$G$57,0)),INDEX($E$1085:$E$1137,MATCH(Paramètres!J47,Paramètres!$G$5:$G$57,0)))+IF(RIGHT(TRIM(Paramètres!K47),3)="Fin",1-$H1127,IF(LEFT(TRIM(Paramètres!K47),1)="F",1,0)))),IF(Paramètres!L47="",0,IF(Paramètres!M47="",NA(),IF(LEFT(TRIM(Paramètres!M47),1)="F",INDEX($F$1085:$F$1137,MATCH(Paramètres!L47,Paramètres!$G$5:$G$57,0)),INDEX($E$1085:$E$1137,MATCH(Paramètres!L47,Paramètres!$G$5:$G$57,0)))+IF(RIGHT(TRIM(Paramètres!M47),3)="Fin",1-$H1127,IF(LEFT(TRIM(Paramètres!M47),1)="F",1,0)))),IF(Paramètres!N47="",0,IF(Paramètres!O47="",NA(),IF(LEFT(TRIM(Paramètres!O47),1)="F",INDEX($F$1085:$F$1137,MATCH(Paramètres!N47,Paramètres!$G$5:$G$57,0)),INDEX($E$1085:$E$1137,MATCH(Paramètres!N47,Paramètres!$G$5:$G$57,0)))+IF(RIGHT(TRIM(Paramètres!O47),3)="Fin",1-$H1127,IF(LEFT(TRIM(Paramètres!O47),1)="F",1,0)))))))</f>
        <v/>
      </c>
      <c r="F1127" s="19">
        <f>IF($A1127="","",E1127+$H1127-1)</f>
        <v/>
      </c>
      <c r="G1127" s="18" t="n"/>
      <c r="H1127" s="18">
        <f>IF($A1127="","",IF(I1127&lt;&gt;"",I1127,Paramètres!B47))</f>
        <v/>
      </c>
      <c r="I1127" s="18" t="n"/>
    </row>
    <row r="1128">
      <c r="A1128" s="18">
        <f>IF(ISNUMBER(Dossiers!$D$24),Dossiers!$A$24&amp;" · "&amp;Dossiers!$B$24,"")</f>
        <v/>
      </c>
      <c r="B1128" s="18">
        <f>IF($A1128="","",Paramètres!G48)</f>
        <v/>
      </c>
      <c r="C1128" s="18">
        <f>IF($A1128="","",IF(Paramètres!H48="","",Paramètres!H48))</f>
        <v/>
      </c>
      <c r="D1128" s="18">
        <f>IF($A1128="","",IF(Paramètres!I48="","",Paramètres!I48))</f>
        <v/>
      </c>
      <c r="E1128" s="19">
        <f>IF($A1128="","",IF(Paramètres!J48&amp;Paramètres!L48&amp;Paramètres!N48="",Dossiers!$D$24,MAX(IF(Paramètres!J48="",0,IF(Paramètres!K48="",NA(),IF(LEFT(TRIM(Paramètres!K48),1)="F",INDEX($F$1085:$F$1137,MATCH(Paramètres!J48,Paramètres!$G$5:$G$57,0)),INDEX($E$1085:$E$1137,MATCH(Paramètres!J48,Paramètres!$G$5:$G$57,0)))+IF(RIGHT(TRIM(Paramètres!K48),3)="Fin",1-$H1128,IF(LEFT(TRIM(Paramètres!K48),1)="F",1,0)))),IF(Paramètres!L48="",0,IF(Paramètres!M48="",NA(),IF(LEFT(TRIM(Paramètres!M48),1)="F",INDEX($F$1085:$F$1137,MATCH(Paramètres!L48,Paramètres!$G$5:$G$57,0)),INDEX($E$1085:$E$1137,MATCH(Paramètres!L48,Paramètres!$G$5:$G$57,0)))+IF(RIGHT(TRIM(Paramètres!M48),3)="Fin",1-$H1128,IF(LEFT(TRIM(Paramètres!M48),1)="F",1,0)))),IF(Paramètres!N48="",0,IF(Paramètres!O48="",NA(),IF(LEFT(TRIM(Paramètres!O48),1)="F",INDEX($F$1085:$F$1137,MATCH(Paramètres!N48,Paramètres!$G$5:$G$57,0)),INDEX($E$1085:$E$1137,MATCH(Paramètres!N48,Paramètres!$G$5:$G$57,0)))+IF(RIGHT(TRIM(Paramètres!O48),3)="Fin",1-$H1128,IF(LEFT(TRIM(Paramètres!O48),1)="F",1,0)))))))</f>
        <v/>
      </c>
      <c r="F1128" s="19">
        <f>IF($A1128="","",E1128+$H1128-1)</f>
        <v/>
      </c>
      <c r="G1128" s="18" t="n"/>
      <c r="H1128" s="18">
        <f>IF($A1128="","",IF(I1128&lt;&gt;"",I1128,Paramètres!B48))</f>
        <v/>
      </c>
      <c r="I1128" s="18" t="n"/>
    </row>
    <row r="1129">
      <c r="A1129" s="18">
        <f>IF(ISNUMBER(Dossiers!$D$24),Dossiers!$A$24&amp;" · "&amp;Dossiers!$B$24,"")</f>
        <v/>
      </c>
      <c r="B1129" s="18">
        <f>IF($A1129="","",Paramètres!G49)</f>
        <v/>
      </c>
      <c r="C1129" s="18">
        <f>IF($A1129="","",IF(Paramètres!H49="","",Paramètres!H49))</f>
        <v/>
      </c>
      <c r="D1129" s="18">
        <f>IF($A1129="","",IF(Paramètres!I49="","",Paramètres!I49))</f>
        <v/>
      </c>
      <c r="E1129" s="19">
        <f>IF($A1129="","",IF(Paramètres!J49&amp;Paramètres!L49&amp;Paramètres!N49="",Dossiers!$D$24,MAX(IF(Paramètres!J49="",0,IF(Paramètres!K49="",NA(),IF(LEFT(TRIM(Paramètres!K49),1)="F",INDEX($F$1085:$F$1137,MATCH(Paramètres!J49,Paramètres!$G$5:$G$57,0)),INDEX($E$1085:$E$1137,MATCH(Paramètres!J49,Paramètres!$G$5:$G$57,0)))+IF(RIGHT(TRIM(Paramètres!K49),3)="Fin",1-$H1129,IF(LEFT(TRIM(Paramètres!K49),1)="F",1,0)))),IF(Paramètres!L49="",0,IF(Paramètres!M49="",NA(),IF(LEFT(TRIM(Paramètres!M49),1)="F",INDEX($F$1085:$F$1137,MATCH(Paramètres!L49,Paramètres!$G$5:$G$57,0)),INDEX($E$1085:$E$1137,MATCH(Paramètres!L49,Paramètres!$G$5:$G$57,0)))+IF(RIGHT(TRIM(Paramètres!M49),3)="Fin",1-$H1129,IF(LEFT(TRIM(Paramètres!M49),1)="F",1,0)))),IF(Paramètres!N49="",0,IF(Paramètres!O49="",NA(),IF(LEFT(TRIM(Paramètres!O49),1)="F",INDEX($F$1085:$F$1137,MATCH(Paramètres!N49,Paramètres!$G$5:$G$57,0)),INDEX($E$1085:$E$1137,MATCH(Paramètres!N49,Paramètres!$G$5:$G$57,0)))+IF(RIGHT(TRIM(Paramètres!O49),3)="Fin",1-$H1129,IF(LEFT(TRIM(Paramètres!O49),1)="F",1,0)))))))</f>
        <v/>
      </c>
      <c r="F1129" s="19">
        <f>IF($A1129="","",E1129+$H1129-1)</f>
        <v/>
      </c>
      <c r="G1129" s="18" t="n"/>
      <c r="H1129" s="18">
        <f>IF($A1129="","",IF(I1129&lt;&gt;"",I1129,Paramètres!B49))</f>
        <v/>
      </c>
      <c r="I1129" s="18" t="n"/>
    </row>
    <row r="1130">
      <c r="A1130" s="18">
        <f>IF(ISNUMBER(Dossiers!$D$24),Dossiers!$A$24&amp;" · "&amp;Dossiers!$B$24,"")</f>
        <v/>
      </c>
      <c r="B1130" s="18">
        <f>IF($A1130="","",Paramètres!G50)</f>
        <v/>
      </c>
      <c r="C1130" s="18">
        <f>IF($A1130="","",IF(Paramètres!H50="","",Paramètres!H50))</f>
        <v/>
      </c>
      <c r="D1130" s="18">
        <f>IF($A1130="","",IF(Paramètres!I50="","",Paramètres!I50))</f>
        <v/>
      </c>
      <c r="E1130" s="19">
        <f>IF($A1130="","",IF(Paramètres!J50&amp;Paramètres!L50&amp;Paramètres!N50="",Dossiers!$D$24,MAX(IF(Paramètres!J50="",0,IF(Paramètres!K50="",NA(),IF(LEFT(TRIM(Paramètres!K50),1)="F",INDEX($F$1085:$F$1137,MATCH(Paramètres!J50,Paramètres!$G$5:$G$57,0)),INDEX($E$1085:$E$1137,MATCH(Paramètres!J50,Paramètres!$G$5:$G$57,0)))+IF(RIGHT(TRIM(Paramètres!K50),3)="Fin",1-$H1130,IF(LEFT(TRIM(Paramètres!K50),1)="F",1,0)))),IF(Paramètres!L50="",0,IF(Paramètres!M50="",NA(),IF(LEFT(TRIM(Paramètres!M50),1)="F",INDEX($F$1085:$F$1137,MATCH(Paramètres!L50,Paramètres!$G$5:$G$57,0)),INDEX($E$1085:$E$1137,MATCH(Paramètres!L50,Paramètres!$G$5:$G$57,0)))+IF(RIGHT(TRIM(Paramètres!M50),3)="Fin",1-$H1130,IF(LEFT(TRIM(Paramètres!M50),1)="F",1,0)))),IF(Paramètres!N50="",0,IF(Paramètres!O50="",NA(),IF(LEFT(TRIM(Paramètres!O50),1)="F",INDEX($F$1085:$F$1137,MATCH(Paramètres!N50,Paramètres!$G$5:$G$57,0)),INDEX($E$1085:$E$1137,MATCH(Paramètres!N50,Paramètres!$G$5:$G$57,0)))+IF(RIGHT(TRIM(Paramètres!O50),3)="Fin",1-$H1130,IF(LEFT(TRIM(Paramètres!O50),1)="F",1,0)))))))</f>
        <v/>
      </c>
      <c r="F1130" s="19">
        <f>IF($A1130="","",E1130+$H1130-1)</f>
        <v/>
      </c>
      <c r="G1130" s="18" t="n"/>
      <c r="H1130" s="18">
        <f>IF($A1130="","",IF(I1130&lt;&gt;"",I1130,Paramètres!B50))</f>
        <v/>
      </c>
      <c r="I1130" s="18" t="n"/>
    </row>
    <row r="1131">
      <c r="A1131" s="18">
        <f>IF(ISNUMBER(Dossiers!$D$24),Dossiers!$A$24&amp;" · "&amp;Dossiers!$B$24,"")</f>
        <v/>
      </c>
      <c r="B1131" s="18">
        <f>IF($A1131="","",Paramètres!G51)</f>
        <v/>
      </c>
      <c r="C1131" s="18">
        <f>IF($A1131="","",IF(Paramètres!H51="","",Paramètres!H51))</f>
        <v/>
      </c>
      <c r="D1131" s="18">
        <f>IF($A1131="","",IF(Paramètres!I51="","",Paramètres!I51))</f>
        <v/>
      </c>
      <c r="E1131" s="19">
        <f>IF($A1131="","",IF(Paramètres!J51&amp;Paramètres!L51&amp;Paramètres!N51="",Dossiers!$D$24,MAX(IF(Paramètres!J51="",0,IF(Paramètres!K51="",NA(),IF(LEFT(TRIM(Paramètres!K51),1)="F",INDEX($F$1085:$F$1137,MATCH(Paramètres!J51,Paramètres!$G$5:$G$57,0)),INDEX($E$1085:$E$1137,MATCH(Paramètres!J51,Paramètres!$G$5:$G$57,0)))+IF(RIGHT(TRIM(Paramètres!K51),3)="Fin",1-$H1131,IF(LEFT(TRIM(Paramètres!K51),1)="F",1,0)))),IF(Paramètres!L51="",0,IF(Paramètres!M51="",NA(),IF(LEFT(TRIM(Paramètres!M51),1)="F",INDEX($F$1085:$F$1137,MATCH(Paramètres!L51,Paramètres!$G$5:$G$57,0)),INDEX($E$1085:$E$1137,MATCH(Paramètres!L51,Paramètres!$G$5:$G$57,0)))+IF(RIGHT(TRIM(Paramètres!M51),3)="Fin",1-$H1131,IF(LEFT(TRIM(Paramètres!M51),1)="F",1,0)))),IF(Paramètres!N51="",0,IF(Paramètres!O51="",NA(),IF(LEFT(TRIM(Paramètres!O51),1)="F",INDEX($F$1085:$F$1137,MATCH(Paramètres!N51,Paramètres!$G$5:$G$57,0)),INDEX($E$1085:$E$1137,MATCH(Paramètres!N51,Paramètres!$G$5:$G$57,0)))+IF(RIGHT(TRIM(Paramètres!O51),3)="Fin",1-$H1131,IF(LEFT(TRIM(Paramètres!O51),1)="F",1,0)))))))</f>
        <v/>
      </c>
      <c r="F1131" s="19">
        <f>IF($A1131="","",E1131+$H1131-1)</f>
        <v/>
      </c>
      <c r="G1131" s="18" t="n"/>
      <c r="H1131" s="18">
        <f>IF($A1131="","",IF(I1131&lt;&gt;"",I1131,Paramètres!B51))</f>
        <v/>
      </c>
      <c r="I1131" s="18" t="n"/>
    </row>
    <row r="1132">
      <c r="A1132" s="18">
        <f>IF(ISNUMBER(Dossiers!$D$24),Dossiers!$A$24&amp;" · "&amp;Dossiers!$B$24,"")</f>
        <v/>
      </c>
      <c r="B1132" s="18">
        <f>IF($A1132="","",Paramètres!G52)</f>
        <v/>
      </c>
      <c r="C1132" s="18">
        <f>IF($A1132="","",IF(Paramètres!H52="","",Paramètres!H52))</f>
        <v/>
      </c>
      <c r="D1132" s="18">
        <f>IF($A1132="","",IF(Paramètres!I52="","",Paramètres!I52))</f>
        <v/>
      </c>
      <c r="E1132" s="19">
        <f>IF($A1132="","",IF(Paramètres!J52&amp;Paramètres!L52&amp;Paramètres!N52="",Dossiers!$D$24,MAX(IF(Paramètres!J52="",0,IF(Paramètres!K52="",NA(),IF(LEFT(TRIM(Paramètres!K52),1)="F",INDEX($F$1085:$F$1137,MATCH(Paramètres!J52,Paramètres!$G$5:$G$57,0)),INDEX($E$1085:$E$1137,MATCH(Paramètres!J52,Paramètres!$G$5:$G$57,0)))+IF(RIGHT(TRIM(Paramètres!K52),3)="Fin",1-$H1132,IF(LEFT(TRIM(Paramètres!K52),1)="F",1,0)))),IF(Paramètres!L52="",0,IF(Paramètres!M52="",NA(),IF(LEFT(TRIM(Paramètres!M52),1)="F",INDEX($F$1085:$F$1137,MATCH(Paramètres!L52,Paramètres!$G$5:$G$57,0)),INDEX($E$1085:$E$1137,MATCH(Paramètres!L52,Paramètres!$G$5:$G$57,0)))+IF(RIGHT(TRIM(Paramètres!M52),3)="Fin",1-$H1132,IF(LEFT(TRIM(Paramètres!M52),1)="F",1,0)))),IF(Paramètres!N52="",0,IF(Paramètres!O52="",NA(),IF(LEFT(TRIM(Paramètres!O52),1)="F",INDEX($F$1085:$F$1137,MATCH(Paramètres!N52,Paramètres!$G$5:$G$57,0)),INDEX($E$1085:$E$1137,MATCH(Paramètres!N52,Paramètres!$G$5:$G$57,0)))+IF(RIGHT(TRIM(Paramètres!O52),3)="Fin",1-$H1132,IF(LEFT(TRIM(Paramètres!O52),1)="F",1,0)))))))</f>
        <v/>
      </c>
      <c r="F1132" s="19">
        <f>IF($A1132="","",E1132+$H1132-1)</f>
        <v/>
      </c>
      <c r="G1132" s="18" t="n"/>
      <c r="H1132" s="18">
        <f>IF($A1132="","",IF(I1132&lt;&gt;"",I1132,Paramètres!B52))</f>
        <v/>
      </c>
      <c r="I1132" s="18" t="n"/>
    </row>
    <row r="1133">
      <c r="A1133" s="18">
        <f>IF(ISNUMBER(Dossiers!$D$24),Dossiers!$A$24&amp;" · "&amp;Dossiers!$B$24,"")</f>
        <v/>
      </c>
      <c r="B1133" s="18">
        <f>IF($A1133="","",Paramètres!G53)</f>
        <v/>
      </c>
      <c r="C1133" s="18">
        <f>IF($A1133="","",IF(Paramètres!H53="","",Paramètres!H53))</f>
        <v/>
      </c>
      <c r="D1133" s="18">
        <f>IF($A1133="","",IF(Paramètres!I53="","",Paramètres!I53))</f>
        <v/>
      </c>
      <c r="E1133" s="19">
        <f>IF($A1133="","",IF(Paramètres!J53&amp;Paramètres!L53&amp;Paramètres!N53="",Dossiers!$D$24,MAX(IF(Paramètres!J53="",0,IF(Paramètres!K53="",NA(),IF(LEFT(TRIM(Paramètres!K53),1)="F",INDEX($F$1085:$F$1137,MATCH(Paramètres!J53,Paramètres!$G$5:$G$57,0)),INDEX($E$1085:$E$1137,MATCH(Paramètres!J53,Paramètres!$G$5:$G$57,0)))+IF(RIGHT(TRIM(Paramètres!K53),3)="Fin",1-$H1133,IF(LEFT(TRIM(Paramètres!K53),1)="F",1,0)))),IF(Paramètres!L53="",0,IF(Paramètres!M53="",NA(),IF(LEFT(TRIM(Paramètres!M53),1)="F",INDEX($F$1085:$F$1137,MATCH(Paramètres!L53,Paramètres!$G$5:$G$57,0)),INDEX($E$1085:$E$1137,MATCH(Paramètres!L53,Paramètres!$G$5:$G$57,0)))+IF(RIGHT(TRIM(Paramètres!M53),3)="Fin",1-$H1133,IF(LEFT(TRIM(Paramètres!M53),1)="F",1,0)))),IF(Paramètres!N53="",0,IF(Paramètres!O53="",NA(),IF(LEFT(TRIM(Paramètres!O53),1)="F",INDEX($F$1085:$F$1137,MATCH(Paramètres!N53,Paramètres!$G$5:$G$57,0)),INDEX($E$1085:$E$1137,MATCH(Paramètres!N53,Paramètres!$G$5:$G$57,0)))+IF(RIGHT(TRIM(Paramètres!O53),3)="Fin",1-$H1133,IF(LEFT(TRIM(Paramètres!O53),1)="F",1,0)))))))</f>
        <v/>
      </c>
      <c r="F1133" s="19">
        <f>IF($A1133="","",E1133+$H1133-1)</f>
        <v/>
      </c>
      <c r="G1133" s="18" t="n"/>
      <c r="H1133" s="18">
        <f>IF($A1133="","",IF(I1133&lt;&gt;"",I1133,Paramètres!B53))</f>
        <v/>
      </c>
      <c r="I1133" s="18" t="n"/>
    </row>
    <row r="1134">
      <c r="A1134" s="18">
        <f>IF(ISNUMBER(Dossiers!$D$24),Dossiers!$A$24&amp;" · "&amp;Dossiers!$B$24,"")</f>
        <v/>
      </c>
      <c r="B1134" s="18">
        <f>IF($A1134="","",Paramètres!G54)</f>
        <v/>
      </c>
      <c r="C1134" s="18">
        <f>IF($A1134="","",IF(Paramètres!H54="","",Paramètres!H54))</f>
        <v/>
      </c>
      <c r="D1134" s="18">
        <f>IF($A1134="","",IF(Paramètres!I54="","",Paramètres!I54))</f>
        <v/>
      </c>
      <c r="E1134" s="19">
        <f>IF($A1134="","",IF(Paramètres!J54&amp;Paramètres!L54&amp;Paramètres!N54="",Dossiers!$D$24,MAX(IF(Paramètres!J54="",0,IF(Paramètres!K54="",NA(),IF(LEFT(TRIM(Paramètres!K54),1)="F",INDEX($F$1085:$F$1137,MATCH(Paramètres!J54,Paramètres!$G$5:$G$57,0)),INDEX($E$1085:$E$1137,MATCH(Paramètres!J54,Paramètres!$G$5:$G$57,0)))+IF(RIGHT(TRIM(Paramètres!K54),3)="Fin",1-$H1134,IF(LEFT(TRIM(Paramètres!K54),1)="F",1,0)))),IF(Paramètres!L54="",0,IF(Paramètres!M54="",NA(),IF(LEFT(TRIM(Paramètres!M54),1)="F",INDEX($F$1085:$F$1137,MATCH(Paramètres!L54,Paramètres!$G$5:$G$57,0)),INDEX($E$1085:$E$1137,MATCH(Paramètres!L54,Paramètres!$G$5:$G$57,0)))+IF(RIGHT(TRIM(Paramètres!M54),3)="Fin",1-$H1134,IF(LEFT(TRIM(Paramètres!M54),1)="F",1,0)))),IF(Paramètres!N54="",0,IF(Paramètres!O54="",NA(),IF(LEFT(TRIM(Paramètres!O54),1)="F",INDEX($F$1085:$F$1137,MATCH(Paramètres!N54,Paramètres!$G$5:$G$57,0)),INDEX($E$1085:$E$1137,MATCH(Paramètres!N54,Paramètres!$G$5:$G$57,0)))+IF(RIGHT(TRIM(Paramètres!O54),3)="Fin",1-$H1134,IF(LEFT(TRIM(Paramètres!O54),1)="F",1,0)))))))</f>
        <v/>
      </c>
      <c r="F1134" s="19">
        <f>IF($A1134="","",E1134+$H1134-1)</f>
        <v/>
      </c>
      <c r="G1134" s="18" t="n"/>
      <c r="H1134" s="18">
        <f>IF($A1134="","",IF(I1134&lt;&gt;"",I1134,Paramètres!B54))</f>
        <v/>
      </c>
      <c r="I1134" s="18" t="n"/>
    </row>
    <row r="1135">
      <c r="A1135" s="18">
        <f>IF(ISNUMBER(Dossiers!$D$24),Dossiers!$A$24&amp;" · "&amp;Dossiers!$B$24,"")</f>
        <v/>
      </c>
      <c r="B1135" s="18">
        <f>IF($A1135="","",Paramètres!G55)</f>
        <v/>
      </c>
      <c r="C1135" s="18">
        <f>IF($A1135="","",IF(Paramètres!H55="","",Paramètres!H55))</f>
        <v/>
      </c>
      <c r="D1135" s="18">
        <f>IF($A1135="","",IF(Paramètres!I55="","",Paramètres!I55))</f>
        <v/>
      </c>
      <c r="E1135" s="19">
        <f>IF($A1135="","",IF(Paramètres!J55&amp;Paramètres!L55&amp;Paramètres!N55="",Dossiers!$D$24,MAX(IF(Paramètres!J55="",0,IF(Paramètres!K55="",NA(),IF(LEFT(TRIM(Paramètres!K55),1)="F",INDEX($F$1085:$F$1137,MATCH(Paramètres!J55,Paramètres!$G$5:$G$57,0)),INDEX($E$1085:$E$1137,MATCH(Paramètres!J55,Paramètres!$G$5:$G$57,0)))+IF(RIGHT(TRIM(Paramètres!K55),3)="Fin",1-$H1135,IF(LEFT(TRIM(Paramètres!K55),1)="F",1,0)))),IF(Paramètres!L55="",0,IF(Paramètres!M55="",NA(),IF(LEFT(TRIM(Paramètres!M55),1)="F",INDEX($F$1085:$F$1137,MATCH(Paramètres!L55,Paramètres!$G$5:$G$57,0)),INDEX($E$1085:$E$1137,MATCH(Paramètres!L55,Paramètres!$G$5:$G$57,0)))+IF(RIGHT(TRIM(Paramètres!M55),3)="Fin",1-$H1135,IF(LEFT(TRIM(Paramètres!M55),1)="F",1,0)))),IF(Paramètres!N55="",0,IF(Paramètres!O55="",NA(),IF(LEFT(TRIM(Paramètres!O55),1)="F",INDEX($F$1085:$F$1137,MATCH(Paramètres!N55,Paramètres!$G$5:$G$57,0)),INDEX($E$1085:$E$1137,MATCH(Paramètres!N55,Paramètres!$G$5:$G$57,0)))+IF(RIGHT(TRIM(Paramètres!O55),3)="Fin",1-$H1135,IF(LEFT(TRIM(Paramètres!O55),1)="F",1,0)))))))</f>
        <v/>
      </c>
      <c r="F1135" s="19">
        <f>IF($A1135="","",E1135+$H1135-1)</f>
        <v/>
      </c>
      <c r="G1135" s="18" t="n"/>
      <c r="H1135" s="18">
        <f>IF($A1135="","",IF(I1135&lt;&gt;"",I1135,Paramètres!B55))</f>
        <v/>
      </c>
      <c r="I1135" s="18" t="n"/>
    </row>
    <row r="1136">
      <c r="A1136" s="18">
        <f>IF(ISNUMBER(Dossiers!$D$24),Dossiers!$A$24&amp;" · "&amp;Dossiers!$B$24,"")</f>
        <v/>
      </c>
      <c r="B1136" s="18">
        <f>IF($A1136="","",Paramètres!G56)</f>
        <v/>
      </c>
      <c r="C1136" s="18">
        <f>IF($A1136="","",IF(Paramètres!H56="","",Paramètres!H56))</f>
        <v/>
      </c>
      <c r="D1136" s="18">
        <f>IF($A1136="","",IF(Paramètres!I56="","",Paramètres!I56))</f>
        <v/>
      </c>
      <c r="E1136" s="19">
        <f>IF($A1136="","",MIN(E1137:E1137))</f>
        <v/>
      </c>
      <c r="F1136" s="19">
        <f>IF($A1136="","",MAX(F1137:F1137))</f>
        <v/>
      </c>
      <c r="G1136" s="18" t="n"/>
      <c r="H1136" s="18">
        <f>IF($A1136="","",F1136-E1136+1)</f>
        <v/>
      </c>
      <c r="I1136" s="18" t="n"/>
    </row>
    <row r="1137">
      <c r="A1137" s="18">
        <f>IF(ISNUMBER(Dossiers!$D$24),Dossiers!$A$24&amp;" · "&amp;Dossiers!$B$24,"")</f>
        <v/>
      </c>
      <c r="B1137" s="18">
        <f>IF($A1137="","",Paramètres!G57)</f>
        <v/>
      </c>
      <c r="C1137" s="18">
        <f>IF($A1137="","",IF(Paramètres!H57="","",Paramètres!H57))</f>
        <v/>
      </c>
      <c r="D1137" s="18">
        <f>IF($A1137="","",IF(Paramètres!I57="","",Paramètres!I57))</f>
        <v/>
      </c>
      <c r="E1137" s="19">
        <f>IF($A1137="","",IF(Paramètres!J57&amp;Paramètres!L57&amp;Paramètres!N57="",Dossiers!$D$24,MAX(IF(Paramètres!J57="",0,IF(Paramètres!K57="",NA(),IF(LEFT(TRIM(Paramètres!K57),1)="F",INDEX($F$1085:$F$1137,MATCH(Paramètres!J57,Paramètres!$G$5:$G$57,0)),INDEX($E$1085:$E$1137,MATCH(Paramètres!J57,Paramètres!$G$5:$G$57,0)))+IF(RIGHT(TRIM(Paramètres!K57),3)="Fin",1-$H1137,IF(LEFT(TRIM(Paramètres!K57),1)="F",1,0)))),IF(Paramètres!L57="",0,IF(Paramètres!M57="",NA(),IF(LEFT(TRIM(Paramètres!M57),1)="F",INDEX($F$1085:$F$1137,MATCH(Paramètres!L57,Paramètres!$G$5:$G$57,0)),INDEX($E$1085:$E$1137,MATCH(Paramètres!L57,Paramètres!$G$5:$G$57,0)))+IF(RIGHT(TRIM(Paramètres!M57),3)="Fin",1-$H1137,IF(LEFT(TRIM(Paramètres!M57),1)="F",1,0)))),IF(Paramètres!N57="",0,IF(Paramètres!O57="",NA(),IF(LEFT(TRIM(Paramètres!O57),1)="F",INDEX($F$1085:$F$1137,MATCH(Paramètres!N57,Paramètres!$G$5:$G$57,0)),INDEX($E$1085:$E$1137,MATCH(Paramètres!N57,Paramètres!$G$5:$G$57,0)))+IF(RIGHT(TRIM(Paramètres!O57),3)="Fin",1-$H1137,IF(LEFT(TRIM(Paramètres!O57),1)="F",1,0)))))))</f>
        <v/>
      </c>
      <c r="F1137" s="19">
        <f>IF($A1137="","",E1137+$H1137-1)</f>
        <v/>
      </c>
      <c r="G1137" s="18" t="n"/>
      <c r="H1137" s="18">
        <f>IF($A1137="","",IF(I1137&lt;&gt;"",I1137,Paramètres!B57))</f>
        <v/>
      </c>
      <c r="I1137" s="18" t="n"/>
    </row>
    <row r="1138">
      <c r="A1138" s="16">
        <f>IF(ISNUMBER(Dossiers!$D$25),Dossiers!$E$25,"")</f>
        <v/>
      </c>
      <c r="B1138" s="16">
        <f>IF($A1138="","","Identifiant")</f>
        <v/>
      </c>
      <c r="C1138" s="16">
        <f>IF($A1138="","","Macro Etape")</f>
        <v/>
      </c>
      <c r="D1138" s="16">
        <f>IF($A1138="","","Etape")</f>
        <v/>
      </c>
      <c r="E1138" s="17">
        <f>IF($A1138="","","Début le")</f>
        <v/>
      </c>
      <c r="F1138" s="17">
        <f>IF($A1138="","","Fin prévue le")</f>
        <v/>
      </c>
      <c r="G1138" s="16">
        <f>IF($A1138="","","Statut")</f>
        <v/>
      </c>
      <c r="H1138" s="16">
        <f>IF($A1138="","","Durée (jours)")</f>
        <v/>
      </c>
      <c r="I1138" s="16">
        <f>IF($A1138="","","Durée particulière")</f>
        <v/>
      </c>
      <c r="J1138" s="10">
        <f>IF($A1138="","",HYPERLINK("#'Tableau de bord'!A1","↑ Tableau de bord"))</f>
        <v/>
      </c>
    </row>
    <row r="1139">
      <c r="A1139" s="18">
        <f>IF(ISNUMBER(Dossiers!$D$25),Dossiers!$A$25&amp;" · "&amp;Dossiers!$B$25,"")</f>
        <v/>
      </c>
      <c r="B1139" s="18">
        <f>IF($A1139="","",Paramètres!G5)</f>
        <v/>
      </c>
      <c r="C1139" s="18">
        <f>IF($A1139="","",IF(Paramètres!H5="","",Paramètres!H5))</f>
        <v/>
      </c>
      <c r="D1139" s="18">
        <f>IF($A1139="","",IF(Paramètres!I5="","",Paramètres!I5))</f>
        <v/>
      </c>
      <c r="E1139" s="19">
        <f>IF($A1139="","",MIN(E1140:E1143))</f>
        <v/>
      </c>
      <c r="F1139" s="19">
        <f>IF($A1139="","",MAX(F1140:F1143))</f>
        <v/>
      </c>
      <c r="G1139" s="18" t="n"/>
      <c r="H1139" s="18">
        <f>IF($A1139="","",F1139-E1139+1)</f>
        <v/>
      </c>
      <c r="I1139" s="18" t="n"/>
    </row>
    <row r="1140">
      <c r="A1140" s="18">
        <f>IF(ISNUMBER(Dossiers!$D$25),Dossiers!$A$25&amp;" · "&amp;Dossiers!$B$25,"")</f>
        <v/>
      </c>
      <c r="B1140" s="18">
        <f>IF($A1140="","",Paramètres!G6)</f>
        <v/>
      </c>
      <c r="C1140" s="18">
        <f>IF($A1140="","",IF(Paramètres!H6="","",Paramètres!H6))</f>
        <v/>
      </c>
      <c r="D1140" s="18">
        <f>IF($A1140="","",IF(Paramètres!I6="","",Paramètres!I6))</f>
        <v/>
      </c>
      <c r="E1140" s="19">
        <f>IF($A1140="","",IF(Paramètres!J6&amp;Paramètres!L6&amp;Paramètres!N6="",Dossiers!$D$25,MAX(IF(Paramètres!J6="",0,IF(Paramètres!K6="",NA(),IF(LEFT(TRIM(Paramètres!K6),1)="F",INDEX($F$1139:$F$1191,MATCH(Paramètres!J6,Paramètres!$G$5:$G$57,0)),INDEX($E$1139:$E$1191,MATCH(Paramètres!J6,Paramètres!$G$5:$G$57,0)))+IF(RIGHT(TRIM(Paramètres!K6),3)="Fin",1-$H1140,IF(LEFT(TRIM(Paramètres!K6),1)="F",1,0)))),IF(Paramètres!L6="",0,IF(Paramètres!M6="",NA(),IF(LEFT(TRIM(Paramètres!M6),1)="F",INDEX($F$1139:$F$1191,MATCH(Paramètres!L6,Paramètres!$G$5:$G$57,0)),INDEX($E$1139:$E$1191,MATCH(Paramètres!L6,Paramètres!$G$5:$G$57,0)))+IF(RIGHT(TRIM(Paramètres!M6),3)="Fin",1-$H1140,IF(LEFT(TRIM(Paramètres!M6),1)="F",1,0)))),IF(Paramètres!N6="",0,IF(Paramètres!O6="",NA(),IF(LEFT(TRIM(Paramètres!O6),1)="F",INDEX($F$1139:$F$1191,MATCH(Paramètres!N6,Paramètres!$G$5:$G$57,0)),INDEX($E$1139:$E$1191,MATCH(Paramètres!N6,Paramètres!$G$5:$G$57,0)))+IF(RIGHT(TRIM(Paramètres!O6),3)="Fin",1-$H1140,IF(LEFT(TRIM(Paramètres!O6),1)="F",1,0)))))))</f>
        <v/>
      </c>
      <c r="F1140" s="19">
        <f>IF($A1140="","",E1140+$H1140-1)</f>
        <v/>
      </c>
      <c r="G1140" s="18" t="n"/>
      <c r="H1140" s="18">
        <f>IF($A1140="","",IF(I1140&lt;&gt;"",I1140,Paramètres!B6))</f>
        <v/>
      </c>
      <c r="I1140" s="18" t="n"/>
    </row>
    <row r="1141">
      <c r="A1141" s="18">
        <f>IF(ISNUMBER(Dossiers!$D$25),Dossiers!$A$25&amp;" · "&amp;Dossiers!$B$25,"")</f>
        <v/>
      </c>
      <c r="B1141" s="18">
        <f>IF($A1141="","",Paramètres!G7)</f>
        <v/>
      </c>
      <c r="C1141" s="18">
        <f>IF($A1141="","",IF(Paramètres!H7="","",Paramètres!H7))</f>
        <v/>
      </c>
      <c r="D1141" s="18">
        <f>IF($A1141="","",IF(Paramètres!I7="","",Paramètres!I7))</f>
        <v/>
      </c>
      <c r="E1141" s="19">
        <f>IF($A1141="","",IF(Paramètres!J7&amp;Paramètres!L7&amp;Paramètres!N7="",Dossiers!$D$25,MAX(IF(Paramètres!J7="",0,IF(Paramètres!K7="",NA(),IF(LEFT(TRIM(Paramètres!K7),1)="F",INDEX($F$1139:$F$1191,MATCH(Paramètres!J7,Paramètres!$G$5:$G$57,0)),INDEX($E$1139:$E$1191,MATCH(Paramètres!J7,Paramètres!$G$5:$G$57,0)))+IF(RIGHT(TRIM(Paramètres!K7),3)="Fin",1-$H1141,IF(LEFT(TRIM(Paramètres!K7),1)="F",1,0)))),IF(Paramètres!L7="",0,IF(Paramètres!M7="",NA(),IF(LEFT(TRIM(Paramètres!M7),1)="F",INDEX($F$1139:$F$1191,MATCH(Paramètres!L7,Paramètres!$G$5:$G$57,0)),INDEX($E$1139:$E$1191,MATCH(Paramètres!L7,Paramètres!$G$5:$G$57,0)))+IF(RIGHT(TRIM(Paramètres!M7),3)="Fin",1-$H1141,IF(LEFT(TRIM(Paramètres!M7),1)="F",1,0)))),IF(Paramètres!N7="",0,IF(Paramètres!O7="",NA(),IF(LEFT(TRIM(Paramètres!O7),1)="F",INDEX($F$1139:$F$1191,MATCH(Paramètres!N7,Paramètres!$G$5:$G$57,0)),INDEX($E$1139:$E$1191,MATCH(Paramètres!N7,Paramètres!$G$5:$G$57,0)))+IF(RIGHT(TRIM(Paramètres!O7),3)="Fin",1-$H1141,IF(LEFT(TRIM(Paramètres!O7),1)="F",1,0)))))))</f>
        <v/>
      </c>
      <c r="F1141" s="19">
        <f>IF($A1141="","",E1141+$H1141-1)</f>
        <v/>
      </c>
      <c r="G1141" s="18" t="n"/>
      <c r="H1141" s="18">
        <f>IF($A1141="","",IF(I1141&lt;&gt;"",I1141,Paramètres!B7))</f>
        <v/>
      </c>
      <c r="I1141" s="18" t="n"/>
    </row>
    <row r="1142">
      <c r="A1142" s="18">
        <f>IF(ISNUMBER(Dossiers!$D$25),Dossiers!$A$25&amp;" · "&amp;Dossiers!$B$25,"")</f>
        <v/>
      </c>
      <c r="B1142" s="18">
        <f>IF($A1142="","",Paramètres!G8)</f>
        <v/>
      </c>
      <c r="C1142" s="18">
        <f>IF($A1142="","",IF(Paramètres!H8="","",Paramètres!H8))</f>
        <v/>
      </c>
      <c r="D1142" s="18">
        <f>IF($A1142="","",IF(Paramètres!I8="","",Paramètres!I8))</f>
        <v/>
      </c>
      <c r="E1142" s="19">
        <f>IF($A1142="","",IF(Paramètres!J8&amp;Paramètres!L8&amp;Paramètres!N8="",Dossiers!$D$25,MAX(IF(Paramètres!J8="",0,IF(Paramètres!K8="",NA(),IF(LEFT(TRIM(Paramètres!K8),1)="F",INDEX($F$1139:$F$1191,MATCH(Paramètres!J8,Paramètres!$G$5:$G$57,0)),INDEX($E$1139:$E$1191,MATCH(Paramètres!J8,Paramètres!$G$5:$G$57,0)))+IF(RIGHT(TRIM(Paramètres!K8),3)="Fin",1-$H1142,IF(LEFT(TRIM(Paramètres!K8),1)="F",1,0)))),IF(Paramètres!L8="",0,IF(Paramètres!M8="",NA(),IF(LEFT(TRIM(Paramètres!M8),1)="F",INDEX($F$1139:$F$1191,MATCH(Paramètres!L8,Paramètres!$G$5:$G$57,0)),INDEX($E$1139:$E$1191,MATCH(Paramètres!L8,Paramètres!$G$5:$G$57,0)))+IF(RIGHT(TRIM(Paramètres!M8),3)="Fin",1-$H1142,IF(LEFT(TRIM(Paramètres!M8),1)="F",1,0)))),IF(Paramètres!N8="",0,IF(Paramètres!O8="",NA(),IF(LEFT(TRIM(Paramètres!O8),1)="F",INDEX($F$1139:$F$1191,MATCH(Paramètres!N8,Paramètres!$G$5:$G$57,0)),INDEX($E$1139:$E$1191,MATCH(Paramètres!N8,Paramètres!$G$5:$G$57,0)))+IF(RIGHT(TRIM(Paramètres!O8),3)="Fin",1-$H1142,IF(LEFT(TRIM(Paramètres!O8),1)="F",1,0)))))))</f>
        <v/>
      </c>
      <c r="F1142" s="19">
        <f>IF($A1142="","",E1142+$H1142-1)</f>
        <v/>
      </c>
      <c r="G1142" s="18" t="n"/>
      <c r="H1142" s="18">
        <f>IF($A1142="","",IF(I1142&lt;&gt;"",I1142,Paramètres!B8))</f>
        <v/>
      </c>
      <c r="I1142" s="18" t="n"/>
    </row>
    <row r="1143">
      <c r="A1143" s="18">
        <f>IF(ISNUMBER(Dossiers!$D$25),Dossiers!$A$25&amp;" · "&amp;Dossiers!$B$25,"")</f>
        <v/>
      </c>
      <c r="B1143" s="18">
        <f>IF($A1143="","",Paramètres!G9)</f>
        <v/>
      </c>
      <c r="C1143" s="18">
        <f>IF($A1143="","",IF(Paramètres!H9="","",Paramètres!H9))</f>
        <v/>
      </c>
      <c r="D1143" s="18">
        <f>IF($A1143="","",IF(Paramètres!I9="","",Paramètres!I9))</f>
        <v/>
      </c>
      <c r="E1143" s="19">
        <f>IF($A1143="","",IF(Paramètres!J9&amp;Paramètres!L9&amp;Paramètres!N9="",Dossiers!$D$25,MAX(IF(Paramètres!J9="",0,IF(Paramètres!K9="",NA(),IF(LEFT(TRIM(Paramètres!K9),1)="F",INDEX($F$1139:$F$1191,MATCH(Paramètres!J9,Paramètres!$G$5:$G$57,0)),INDEX($E$1139:$E$1191,MATCH(Paramètres!J9,Paramètres!$G$5:$G$57,0)))+IF(RIGHT(TRIM(Paramètres!K9),3)="Fin",1-$H1143,IF(LEFT(TRIM(Paramètres!K9),1)="F",1,0)))),IF(Paramètres!L9="",0,IF(Paramètres!M9="",NA(),IF(LEFT(TRIM(Paramètres!M9),1)="F",INDEX($F$1139:$F$1191,MATCH(Paramètres!L9,Paramètres!$G$5:$G$57,0)),INDEX($E$1139:$E$1191,MATCH(Paramètres!L9,Paramètres!$G$5:$G$57,0)))+IF(RIGHT(TRIM(Paramètres!M9),3)="Fin",1-$H1143,IF(LEFT(TRIM(Paramètres!M9),1)="F",1,0)))),IF(Paramètres!N9="",0,IF(Paramètres!O9="",NA(),IF(LEFT(TRIM(Paramètres!O9),1)="F",INDEX($F$1139:$F$1191,MATCH(Paramètres!N9,Paramètres!$G$5:$G$57,0)),INDEX($E$1139:$E$1191,MATCH(Paramètres!N9,Paramètres!$G$5:$G$57,0)))+IF(RIGHT(TRIM(Paramètres!O9),3)="Fin",1-$H1143,IF(LEFT(TRIM(Paramètres!O9),1)="F",1,0)))))))</f>
        <v/>
      </c>
      <c r="F1143" s="19">
        <f>IF($A1143="","",E1143+$H1143-1)</f>
        <v/>
      </c>
      <c r="G1143" s="18" t="n"/>
      <c r="H1143" s="18">
        <f>IF($A1143="","",IF(I1143&lt;&gt;"",I1143,Paramètres!B9))</f>
        <v/>
      </c>
      <c r="I1143" s="18" t="n"/>
    </row>
    <row r="1144">
      <c r="A1144" s="18">
        <f>IF(ISNUMBER(Dossiers!$D$25),Dossiers!$A$25&amp;" · "&amp;Dossiers!$B$25,"")</f>
        <v/>
      </c>
      <c r="B1144" s="18">
        <f>IF($A1144="","",Paramètres!G10)</f>
        <v/>
      </c>
      <c r="C1144" s="18">
        <f>IF($A1144="","",IF(Paramètres!H10="","",Paramètres!H10))</f>
        <v/>
      </c>
      <c r="D1144" s="18">
        <f>IF($A1144="","",IF(Paramètres!I10="","",Paramètres!I10))</f>
        <v/>
      </c>
      <c r="E1144" s="19">
        <f>IF($A1144="","",MIN(E1145:E1148))</f>
        <v/>
      </c>
      <c r="F1144" s="19">
        <f>IF($A1144="","",MAX(F1145:F1148))</f>
        <v/>
      </c>
      <c r="G1144" s="18" t="n"/>
      <c r="H1144" s="18">
        <f>IF($A1144="","",F1144-E1144+1)</f>
        <v/>
      </c>
      <c r="I1144" s="18" t="n"/>
    </row>
    <row r="1145">
      <c r="A1145" s="18">
        <f>IF(ISNUMBER(Dossiers!$D$25),Dossiers!$A$25&amp;" · "&amp;Dossiers!$B$25,"")</f>
        <v/>
      </c>
      <c r="B1145" s="18">
        <f>IF($A1145="","",Paramètres!G11)</f>
        <v/>
      </c>
      <c r="C1145" s="18">
        <f>IF($A1145="","",IF(Paramètres!H11="","",Paramètres!H11))</f>
        <v/>
      </c>
      <c r="D1145" s="18">
        <f>IF($A1145="","",IF(Paramètres!I11="","",Paramètres!I11))</f>
        <v/>
      </c>
      <c r="E1145" s="19">
        <f>IF($A1145="","",IF(Paramètres!J11&amp;Paramètres!L11&amp;Paramètres!N11="",Dossiers!$D$25,MAX(IF(Paramètres!J11="",0,IF(Paramètres!K11="",NA(),IF(LEFT(TRIM(Paramètres!K11),1)="F",INDEX($F$1139:$F$1191,MATCH(Paramètres!J11,Paramètres!$G$5:$G$57,0)),INDEX($E$1139:$E$1191,MATCH(Paramètres!J11,Paramètres!$G$5:$G$57,0)))+IF(RIGHT(TRIM(Paramètres!K11),3)="Fin",1-$H1145,IF(LEFT(TRIM(Paramètres!K11),1)="F",1,0)))),IF(Paramètres!L11="",0,IF(Paramètres!M11="",NA(),IF(LEFT(TRIM(Paramètres!M11),1)="F",INDEX($F$1139:$F$1191,MATCH(Paramètres!L11,Paramètres!$G$5:$G$57,0)),INDEX($E$1139:$E$1191,MATCH(Paramètres!L11,Paramètres!$G$5:$G$57,0)))+IF(RIGHT(TRIM(Paramètres!M11),3)="Fin",1-$H1145,IF(LEFT(TRIM(Paramètres!M11),1)="F",1,0)))),IF(Paramètres!N11="",0,IF(Paramètres!O11="",NA(),IF(LEFT(TRIM(Paramètres!O11),1)="F",INDEX($F$1139:$F$1191,MATCH(Paramètres!N11,Paramètres!$G$5:$G$57,0)),INDEX($E$1139:$E$1191,MATCH(Paramètres!N11,Paramètres!$G$5:$G$57,0)))+IF(RIGHT(TRIM(Paramètres!O11),3)="Fin",1-$H1145,IF(LEFT(TRIM(Paramètres!O11),1)="F",1,0)))))))</f>
        <v/>
      </c>
      <c r="F1145" s="19">
        <f>IF($A1145="","",E1145+$H1145-1)</f>
        <v/>
      </c>
      <c r="G1145" s="18" t="n"/>
      <c r="H1145" s="18">
        <f>IF($A1145="","",IF(I1145&lt;&gt;"",I1145,Paramètres!B11))</f>
        <v/>
      </c>
      <c r="I1145" s="18" t="n"/>
    </row>
    <row r="1146">
      <c r="A1146" s="18">
        <f>IF(ISNUMBER(Dossiers!$D$25),Dossiers!$A$25&amp;" · "&amp;Dossiers!$B$25,"")</f>
        <v/>
      </c>
      <c r="B1146" s="18">
        <f>IF($A1146="","",Paramètres!G12)</f>
        <v/>
      </c>
      <c r="C1146" s="18">
        <f>IF($A1146="","",IF(Paramètres!H12="","",Paramètres!H12))</f>
        <v/>
      </c>
      <c r="D1146" s="18">
        <f>IF($A1146="","",IF(Paramètres!I12="","",Paramètres!I12))</f>
        <v/>
      </c>
      <c r="E1146" s="19">
        <f>IF($A1146="","",IF(Paramètres!J12&amp;Paramètres!L12&amp;Paramètres!N12="",Dossiers!$D$25,MAX(IF(Paramètres!J12="",0,IF(Paramètres!K12="",NA(),IF(LEFT(TRIM(Paramètres!K12),1)="F",INDEX($F$1139:$F$1191,MATCH(Paramètres!J12,Paramètres!$G$5:$G$57,0)),INDEX($E$1139:$E$1191,MATCH(Paramètres!J12,Paramètres!$G$5:$G$57,0)))+IF(RIGHT(TRIM(Paramètres!K12),3)="Fin",1-$H1146,IF(LEFT(TRIM(Paramètres!K12),1)="F",1,0)))),IF(Paramètres!L12="",0,IF(Paramètres!M12="",NA(),IF(LEFT(TRIM(Paramètres!M12),1)="F",INDEX($F$1139:$F$1191,MATCH(Paramètres!L12,Paramètres!$G$5:$G$57,0)),INDEX($E$1139:$E$1191,MATCH(Paramètres!L12,Paramètres!$G$5:$G$57,0)))+IF(RIGHT(TRIM(Paramètres!M12),3)="Fin",1-$H1146,IF(LEFT(TRIM(Paramètres!M12),1)="F",1,0)))),IF(Paramètres!N12="",0,IF(Paramètres!O12="",NA(),IF(LEFT(TRIM(Paramètres!O12),1)="F",INDEX($F$1139:$F$1191,MATCH(Paramètres!N12,Paramètres!$G$5:$G$57,0)),INDEX($E$1139:$E$1191,MATCH(Paramètres!N12,Paramètres!$G$5:$G$57,0)))+IF(RIGHT(TRIM(Paramètres!O12),3)="Fin",1-$H1146,IF(LEFT(TRIM(Paramètres!O12),1)="F",1,0)))))))</f>
        <v/>
      </c>
      <c r="F1146" s="19">
        <f>IF($A1146="","",E1146+$H1146-1)</f>
        <v/>
      </c>
      <c r="G1146" s="18" t="n"/>
      <c r="H1146" s="18">
        <f>IF($A1146="","",IF(I1146&lt;&gt;"",I1146,Paramètres!B12))</f>
        <v/>
      </c>
      <c r="I1146" s="18" t="n"/>
    </row>
    <row r="1147">
      <c r="A1147" s="18">
        <f>IF(ISNUMBER(Dossiers!$D$25),Dossiers!$A$25&amp;" · "&amp;Dossiers!$B$25,"")</f>
        <v/>
      </c>
      <c r="B1147" s="18">
        <f>IF($A1147="","",Paramètres!G13)</f>
        <v/>
      </c>
      <c r="C1147" s="18">
        <f>IF($A1147="","",IF(Paramètres!H13="","",Paramètres!H13))</f>
        <v/>
      </c>
      <c r="D1147" s="18">
        <f>IF($A1147="","",IF(Paramètres!I13="","",Paramètres!I13))</f>
        <v/>
      </c>
      <c r="E1147" s="19">
        <f>IF($A1147="","",IF(Paramètres!J13&amp;Paramètres!L13&amp;Paramètres!N13="",Dossiers!$D$25,MAX(IF(Paramètres!J13="",0,IF(Paramètres!K13="",NA(),IF(LEFT(TRIM(Paramètres!K13),1)="F",INDEX($F$1139:$F$1191,MATCH(Paramètres!J13,Paramètres!$G$5:$G$57,0)),INDEX($E$1139:$E$1191,MATCH(Paramètres!J13,Paramètres!$G$5:$G$57,0)))+IF(RIGHT(TRIM(Paramètres!K13),3)="Fin",1-$H1147,IF(LEFT(TRIM(Paramètres!K13),1)="F",1,0)))),IF(Paramètres!L13="",0,IF(Paramètres!M13="",NA(),IF(LEFT(TRIM(Paramètres!M13),1)="F",INDEX($F$1139:$F$1191,MATCH(Paramètres!L13,Paramètres!$G$5:$G$57,0)),INDEX($E$1139:$E$1191,MATCH(Paramètres!L13,Paramètres!$G$5:$G$57,0)))+IF(RIGHT(TRIM(Paramètres!M13),3)="Fin",1-$H1147,IF(LEFT(TRIM(Paramètres!M13),1)="F",1,0)))),IF(Paramètres!N13="",0,IF(Paramètres!O13="",NA(),IF(LEFT(TRIM(Paramètres!O13),1)="F",INDEX($F$1139:$F$1191,MATCH(Paramètres!N13,Paramètres!$G$5:$G$57,0)),INDEX($E$1139:$E$1191,MATCH(Paramètres!N13,Paramètres!$G$5:$G$57,0)))+IF(RIGHT(TRIM(Paramètres!O13),3)="Fin",1-$H1147,IF(LEFT(TRIM(Paramètres!O13),1)="F",1,0)))))))</f>
        <v/>
      </c>
      <c r="F1147" s="19">
        <f>IF($A1147="","",E1147+$H1147-1)</f>
        <v/>
      </c>
      <c r="G1147" s="18" t="n"/>
      <c r="H1147" s="18">
        <f>IF($A1147="","",IF(I1147&lt;&gt;"",I1147,Paramètres!B13))</f>
        <v/>
      </c>
      <c r="I1147" s="18" t="n"/>
    </row>
    <row r="1148">
      <c r="A1148" s="18">
        <f>IF(ISNUMBER(Dossiers!$D$25),Dossiers!$A$25&amp;" · "&amp;Dossiers!$B$25,"")</f>
        <v/>
      </c>
      <c r="B1148" s="18">
        <f>IF($A1148="","",Paramètres!G14)</f>
        <v/>
      </c>
      <c r="C1148" s="18">
        <f>IF($A1148="","",IF(Paramètres!H14="","",Paramètres!H14))</f>
        <v/>
      </c>
      <c r="D1148" s="18">
        <f>IF($A1148="","",IF(Paramètres!I14="","",Paramètres!I14))</f>
        <v/>
      </c>
      <c r="E1148" s="19">
        <f>IF($A1148="","",IF(Paramètres!J14&amp;Paramètres!L14&amp;Paramètres!N14="",Dossiers!$D$25,MAX(IF(Paramètres!J14="",0,IF(Paramètres!K14="",NA(),IF(LEFT(TRIM(Paramètres!K14),1)="F",INDEX($F$1139:$F$1191,MATCH(Paramètres!J14,Paramètres!$G$5:$G$57,0)),INDEX($E$1139:$E$1191,MATCH(Paramètres!J14,Paramètres!$G$5:$G$57,0)))+IF(RIGHT(TRIM(Paramètres!K14),3)="Fin",1-$H1148,IF(LEFT(TRIM(Paramètres!K14),1)="F",1,0)))),IF(Paramètres!L14="",0,IF(Paramètres!M14="",NA(),IF(LEFT(TRIM(Paramètres!M14),1)="F",INDEX($F$1139:$F$1191,MATCH(Paramètres!L14,Paramètres!$G$5:$G$57,0)),INDEX($E$1139:$E$1191,MATCH(Paramètres!L14,Paramètres!$G$5:$G$57,0)))+IF(RIGHT(TRIM(Paramètres!M14),3)="Fin",1-$H1148,IF(LEFT(TRIM(Paramètres!M14),1)="F",1,0)))),IF(Paramètres!N14="",0,IF(Paramètres!O14="",NA(),IF(LEFT(TRIM(Paramètres!O14),1)="F",INDEX($F$1139:$F$1191,MATCH(Paramètres!N14,Paramètres!$G$5:$G$57,0)),INDEX($E$1139:$E$1191,MATCH(Paramètres!N14,Paramètres!$G$5:$G$57,0)))+IF(RIGHT(TRIM(Paramètres!O14),3)="Fin",1-$H1148,IF(LEFT(TRIM(Paramètres!O14),1)="F",1,0)))))))</f>
        <v/>
      </c>
      <c r="F1148" s="19">
        <f>IF($A1148="","",E1148+$H1148-1)</f>
        <v/>
      </c>
      <c r="G1148" s="18" t="n"/>
      <c r="H1148" s="18">
        <f>IF($A1148="","",IF(I1148&lt;&gt;"",I1148,Paramètres!B14))</f>
        <v/>
      </c>
      <c r="I1148" s="18" t="n"/>
    </row>
    <row r="1149">
      <c r="A1149" s="18">
        <f>IF(ISNUMBER(Dossiers!$D$25),Dossiers!$A$25&amp;" · "&amp;Dossiers!$B$25,"")</f>
        <v/>
      </c>
      <c r="B1149" s="18">
        <f>IF($A1149="","",Paramètres!G15)</f>
        <v/>
      </c>
      <c r="C1149" s="18">
        <f>IF($A1149="","",IF(Paramètres!H15="","",Paramètres!H15))</f>
        <v/>
      </c>
      <c r="D1149" s="18">
        <f>IF($A1149="","",IF(Paramètres!I15="","",Paramètres!I15))</f>
        <v/>
      </c>
      <c r="E1149" s="19">
        <f>IF($A1149="","",MIN(E1150:E1165))</f>
        <v/>
      </c>
      <c r="F1149" s="19">
        <f>IF($A1149="","",MAX(F1150:F1165))</f>
        <v/>
      </c>
      <c r="G1149" s="18" t="n"/>
      <c r="H1149" s="18">
        <f>IF($A1149="","",F1149-E1149+1)</f>
        <v/>
      </c>
      <c r="I1149" s="18" t="n"/>
    </row>
    <row r="1150">
      <c r="A1150" s="18">
        <f>IF(ISNUMBER(Dossiers!$D$25),Dossiers!$A$25&amp;" · "&amp;Dossiers!$B$25,"")</f>
        <v/>
      </c>
      <c r="B1150" s="18">
        <f>IF($A1150="","",Paramètres!G16)</f>
        <v/>
      </c>
      <c r="C1150" s="18">
        <f>IF($A1150="","",IF(Paramètres!H16="","",Paramètres!H16))</f>
        <v/>
      </c>
      <c r="D1150" s="18">
        <f>IF($A1150="","",IF(Paramètres!I16="","",Paramètres!I16))</f>
        <v/>
      </c>
      <c r="E1150" s="19">
        <f>IF($A1150="","",IF(Paramètres!J16&amp;Paramètres!L16&amp;Paramètres!N16="",Dossiers!$D$25,MAX(IF(Paramètres!J16="",0,IF(Paramètres!K16="",NA(),IF(LEFT(TRIM(Paramètres!K16),1)="F",INDEX($F$1139:$F$1191,MATCH(Paramètres!J16,Paramètres!$G$5:$G$57,0)),INDEX($E$1139:$E$1191,MATCH(Paramètres!J16,Paramètres!$G$5:$G$57,0)))+IF(RIGHT(TRIM(Paramètres!K16),3)="Fin",1-$H1150,IF(LEFT(TRIM(Paramètres!K16),1)="F",1,0)))),IF(Paramètres!L16="",0,IF(Paramètres!M16="",NA(),IF(LEFT(TRIM(Paramètres!M16),1)="F",INDEX($F$1139:$F$1191,MATCH(Paramètres!L16,Paramètres!$G$5:$G$57,0)),INDEX($E$1139:$E$1191,MATCH(Paramètres!L16,Paramètres!$G$5:$G$57,0)))+IF(RIGHT(TRIM(Paramètres!M16),3)="Fin",1-$H1150,IF(LEFT(TRIM(Paramètres!M16),1)="F",1,0)))),IF(Paramètres!N16="",0,IF(Paramètres!O16="",NA(),IF(LEFT(TRIM(Paramètres!O16),1)="F",INDEX($F$1139:$F$1191,MATCH(Paramètres!N16,Paramètres!$G$5:$G$57,0)),INDEX($E$1139:$E$1191,MATCH(Paramètres!N16,Paramètres!$G$5:$G$57,0)))+IF(RIGHT(TRIM(Paramètres!O16),3)="Fin",1-$H1150,IF(LEFT(TRIM(Paramètres!O16),1)="F",1,0)))))))</f>
        <v/>
      </c>
      <c r="F1150" s="19">
        <f>IF($A1150="","",E1150+$H1150-1)</f>
        <v/>
      </c>
      <c r="G1150" s="18" t="n"/>
      <c r="H1150" s="18">
        <f>IF($A1150="","",IF(I1150&lt;&gt;"",I1150,Paramètres!B16))</f>
        <v/>
      </c>
      <c r="I1150" s="18" t="n"/>
    </row>
    <row r="1151">
      <c r="A1151" s="18">
        <f>IF(ISNUMBER(Dossiers!$D$25),Dossiers!$A$25&amp;" · "&amp;Dossiers!$B$25,"")</f>
        <v/>
      </c>
      <c r="B1151" s="18">
        <f>IF($A1151="","",Paramètres!G17)</f>
        <v/>
      </c>
      <c r="C1151" s="18">
        <f>IF($A1151="","",IF(Paramètres!H17="","",Paramètres!H17))</f>
        <v/>
      </c>
      <c r="D1151" s="18">
        <f>IF($A1151="","",IF(Paramètres!I17="","",Paramètres!I17))</f>
        <v/>
      </c>
      <c r="E1151" s="19">
        <f>IF($A1151="","",IF(Paramètres!J17&amp;Paramètres!L17&amp;Paramètres!N17="",Dossiers!$D$25,MAX(IF(Paramètres!J17="",0,IF(Paramètres!K17="",NA(),IF(LEFT(TRIM(Paramètres!K17),1)="F",INDEX($F$1139:$F$1191,MATCH(Paramètres!J17,Paramètres!$G$5:$G$57,0)),INDEX($E$1139:$E$1191,MATCH(Paramètres!J17,Paramètres!$G$5:$G$57,0)))+IF(RIGHT(TRIM(Paramètres!K17),3)="Fin",1-$H1151,IF(LEFT(TRIM(Paramètres!K17),1)="F",1,0)))),IF(Paramètres!L17="",0,IF(Paramètres!M17="",NA(),IF(LEFT(TRIM(Paramètres!M17),1)="F",INDEX($F$1139:$F$1191,MATCH(Paramètres!L17,Paramètres!$G$5:$G$57,0)),INDEX($E$1139:$E$1191,MATCH(Paramètres!L17,Paramètres!$G$5:$G$57,0)))+IF(RIGHT(TRIM(Paramètres!M17),3)="Fin",1-$H1151,IF(LEFT(TRIM(Paramètres!M17),1)="F",1,0)))),IF(Paramètres!N17="",0,IF(Paramètres!O17="",NA(),IF(LEFT(TRIM(Paramètres!O17),1)="F",INDEX($F$1139:$F$1191,MATCH(Paramètres!N17,Paramètres!$G$5:$G$57,0)),INDEX($E$1139:$E$1191,MATCH(Paramètres!N17,Paramètres!$G$5:$G$57,0)))+IF(RIGHT(TRIM(Paramètres!O17),3)="Fin",1-$H1151,IF(LEFT(TRIM(Paramètres!O17),1)="F",1,0)))))))</f>
        <v/>
      </c>
      <c r="F1151" s="19">
        <f>IF($A1151="","",E1151+$H1151-1)</f>
        <v/>
      </c>
      <c r="G1151" s="18" t="n"/>
      <c r="H1151" s="18">
        <f>IF($A1151="","",IF(I1151&lt;&gt;"",I1151,Paramètres!B17))</f>
        <v/>
      </c>
      <c r="I1151" s="18" t="n"/>
    </row>
    <row r="1152">
      <c r="A1152" s="18">
        <f>IF(ISNUMBER(Dossiers!$D$25),Dossiers!$A$25&amp;" · "&amp;Dossiers!$B$25,"")</f>
        <v/>
      </c>
      <c r="B1152" s="18">
        <f>IF($A1152="","",Paramètres!G18)</f>
        <v/>
      </c>
      <c r="C1152" s="18">
        <f>IF($A1152="","",IF(Paramètres!H18="","",Paramètres!H18))</f>
        <v/>
      </c>
      <c r="D1152" s="18">
        <f>IF($A1152="","",IF(Paramètres!I18="","",Paramètres!I18))</f>
        <v/>
      </c>
      <c r="E1152" s="19">
        <f>IF($A1152="","",IF(Paramètres!J18&amp;Paramètres!L18&amp;Paramètres!N18="",Dossiers!$D$25,MAX(IF(Paramètres!J18="",0,IF(Paramètres!K18="",NA(),IF(LEFT(TRIM(Paramètres!K18),1)="F",INDEX($F$1139:$F$1191,MATCH(Paramètres!J18,Paramètres!$G$5:$G$57,0)),INDEX($E$1139:$E$1191,MATCH(Paramètres!J18,Paramètres!$G$5:$G$57,0)))+IF(RIGHT(TRIM(Paramètres!K18),3)="Fin",1-$H1152,IF(LEFT(TRIM(Paramètres!K18),1)="F",1,0)))),IF(Paramètres!L18="",0,IF(Paramètres!M18="",NA(),IF(LEFT(TRIM(Paramètres!M18),1)="F",INDEX($F$1139:$F$1191,MATCH(Paramètres!L18,Paramètres!$G$5:$G$57,0)),INDEX($E$1139:$E$1191,MATCH(Paramètres!L18,Paramètres!$G$5:$G$57,0)))+IF(RIGHT(TRIM(Paramètres!M18),3)="Fin",1-$H1152,IF(LEFT(TRIM(Paramètres!M18),1)="F",1,0)))),IF(Paramètres!N18="",0,IF(Paramètres!O18="",NA(),IF(LEFT(TRIM(Paramètres!O18),1)="F",INDEX($F$1139:$F$1191,MATCH(Paramètres!N18,Paramètres!$G$5:$G$57,0)),INDEX($E$1139:$E$1191,MATCH(Paramètres!N18,Paramètres!$G$5:$G$57,0)))+IF(RIGHT(TRIM(Paramètres!O18),3)="Fin",1-$H1152,IF(LEFT(TRIM(Paramètres!O18),1)="F",1,0)))))))</f>
        <v/>
      </c>
      <c r="F1152" s="19">
        <f>IF($A1152="","",E1152+$H1152-1)</f>
        <v/>
      </c>
      <c r="G1152" s="18" t="n"/>
      <c r="H1152" s="18">
        <f>IF($A1152="","",IF(I1152&lt;&gt;"",I1152,Paramètres!B18))</f>
        <v/>
      </c>
      <c r="I1152" s="18" t="n"/>
    </row>
    <row r="1153">
      <c r="A1153" s="18">
        <f>IF(ISNUMBER(Dossiers!$D$25),Dossiers!$A$25&amp;" · "&amp;Dossiers!$B$25,"")</f>
        <v/>
      </c>
      <c r="B1153" s="18">
        <f>IF($A1153="","",Paramètres!G19)</f>
        <v/>
      </c>
      <c r="C1153" s="18">
        <f>IF($A1153="","",IF(Paramètres!H19="","",Paramètres!H19))</f>
        <v/>
      </c>
      <c r="D1153" s="18">
        <f>IF($A1153="","",IF(Paramètres!I19="","",Paramètres!I19))</f>
        <v/>
      </c>
      <c r="E1153" s="19">
        <f>IF($A1153="","",IF(Paramètres!J19&amp;Paramètres!L19&amp;Paramètres!N19="",Dossiers!$D$25,MAX(IF(Paramètres!J19="",0,IF(Paramètres!K19="",NA(),IF(LEFT(TRIM(Paramètres!K19),1)="F",INDEX($F$1139:$F$1191,MATCH(Paramètres!J19,Paramètres!$G$5:$G$57,0)),INDEX($E$1139:$E$1191,MATCH(Paramètres!J19,Paramètres!$G$5:$G$57,0)))+IF(RIGHT(TRIM(Paramètres!K19),3)="Fin",1-$H1153,IF(LEFT(TRIM(Paramètres!K19),1)="F",1,0)))),IF(Paramètres!L19="",0,IF(Paramètres!M19="",NA(),IF(LEFT(TRIM(Paramètres!M19),1)="F",INDEX($F$1139:$F$1191,MATCH(Paramètres!L19,Paramètres!$G$5:$G$57,0)),INDEX($E$1139:$E$1191,MATCH(Paramètres!L19,Paramètres!$G$5:$G$57,0)))+IF(RIGHT(TRIM(Paramètres!M19),3)="Fin",1-$H1153,IF(LEFT(TRIM(Paramètres!M19),1)="F",1,0)))),IF(Paramètres!N19="",0,IF(Paramètres!O19="",NA(),IF(LEFT(TRIM(Paramètres!O19),1)="F",INDEX($F$1139:$F$1191,MATCH(Paramètres!N19,Paramètres!$G$5:$G$57,0)),INDEX($E$1139:$E$1191,MATCH(Paramètres!N19,Paramètres!$G$5:$G$57,0)))+IF(RIGHT(TRIM(Paramètres!O19),3)="Fin",1-$H1153,IF(LEFT(TRIM(Paramètres!O19),1)="F",1,0)))))))</f>
        <v/>
      </c>
      <c r="F1153" s="19">
        <f>IF($A1153="","",E1153+$H1153-1)</f>
        <v/>
      </c>
      <c r="G1153" s="18" t="n"/>
      <c r="H1153" s="18">
        <f>IF($A1153="","",IF(I1153&lt;&gt;"",I1153,Paramètres!B19))</f>
        <v/>
      </c>
      <c r="I1153" s="18" t="n"/>
    </row>
    <row r="1154">
      <c r="A1154" s="18">
        <f>IF(ISNUMBER(Dossiers!$D$25),Dossiers!$A$25&amp;" · "&amp;Dossiers!$B$25,"")</f>
        <v/>
      </c>
      <c r="B1154" s="18">
        <f>IF($A1154="","",Paramètres!G20)</f>
        <v/>
      </c>
      <c r="C1154" s="18">
        <f>IF($A1154="","",IF(Paramètres!H20="","",Paramètres!H20))</f>
        <v/>
      </c>
      <c r="D1154" s="18">
        <f>IF($A1154="","",IF(Paramètres!I20="","",Paramètres!I20))</f>
        <v/>
      </c>
      <c r="E1154" s="19">
        <f>IF($A1154="","",IF(Paramètres!J20&amp;Paramètres!L20&amp;Paramètres!N20="",Dossiers!$D$25,MAX(IF(Paramètres!J20="",0,IF(Paramètres!K20="",NA(),IF(LEFT(TRIM(Paramètres!K20),1)="F",INDEX($F$1139:$F$1191,MATCH(Paramètres!J20,Paramètres!$G$5:$G$57,0)),INDEX($E$1139:$E$1191,MATCH(Paramètres!J20,Paramètres!$G$5:$G$57,0)))+IF(RIGHT(TRIM(Paramètres!K20),3)="Fin",1-$H1154,IF(LEFT(TRIM(Paramètres!K20),1)="F",1,0)))),IF(Paramètres!L20="",0,IF(Paramètres!M20="",NA(),IF(LEFT(TRIM(Paramètres!M20),1)="F",INDEX($F$1139:$F$1191,MATCH(Paramètres!L20,Paramètres!$G$5:$G$57,0)),INDEX($E$1139:$E$1191,MATCH(Paramètres!L20,Paramètres!$G$5:$G$57,0)))+IF(RIGHT(TRIM(Paramètres!M20),3)="Fin",1-$H1154,IF(LEFT(TRIM(Paramètres!M20),1)="F",1,0)))),IF(Paramètres!N20="",0,IF(Paramètres!O20="",NA(),IF(LEFT(TRIM(Paramètres!O20),1)="F",INDEX($F$1139:$F$1191,MATCH(Paramètres!N20,Paramètres!$G$5:$G$57,0)),INDEX($E$1139:$E$1191,MATCH(Paramètres!N20,Paramètres!$G$5:$G$57,0)))+IF(RIGHT(TRIM(Paramètres!O20),3)="Fin",1-$H1154,IF(LEFT(TRIM(Paramètres!O20),1)="F",1,0)))))))</f>
        <v/>
      </c>
      <c r="F1154" s="19">
        <f>IF($A1154="","",E1154+$H1154-1)</f>
        <v/>
      </c>
      <c r="G1154" s="18" t="n"/>
      <c r="H1154" s="18">
        <f>IF($A1154="","",IF(I1154&lt;&gt;"",I1154,Paramètres!B20))</f>
        <v/>
      </c>
      <c r="I1154" s="18" t="n"/>
    </row>
    <row r="1155">
      <c r="A1155" s="18">
        <f>IF(ISNUMBER(Dossiers!$D$25),Dossiers!$A$25&amp;" · "&amp;Dossiers!$B$25,"")</f>
        <v/>
      </c>
      <c r="B1155" s="18">
        <f>IF($A1155="","",Paramètres!G21)</f>
        <v/>
      </c>
      <c r="C1155" s="18">
        <f>IF($A1155="","",IF(Paramètres!H21="","",Paramètres!H21))</f>
        <v/>
      </c>
      <c r="D1155" s="18">
        <f>IF($A1155="","",IF(Paramètres!I21="","",Paramètres!I21))</f>
        <v/>
      </c>
      <c r="E1155" s="19">
        <f>IF($A1155="","",IF(Paramètres!J21&amp;Paramètres!L21&amp;Paramètres!N21="",Dossiers!$D$25,MAX(IF(Paramètres!J21="",0,IF(Paramètres!K21="",NA(),IF(LEFT(TRIM(Paramètres!K21),1)="F",INDEX($F$1139:$F$1191,MATCH(Paramètres!J21,Paramètres!$G$5:$G$57,0)),INDEX($E$1139:$E$1191,MATCH(Paramètres!J21,Paramètres!$G$5:$G$57,0)))+IF(RIGHT(TRIM(Paramètres!K21),3)="Fin",1-$H1155,IF(LEFT(TRIM(Paramètres!K21),1)="F",1,0)))),IF(Paramètres!L21="",0,IF(Paramètres!M21="",NA(),IF(LEFT(TRIM(Paramètres!M21),1)="F",INDEX($F$1139:$F$1191,MATCH(Paramètres!L21,Paramètres!$G$5:$G$57,0)),INDEX($E$1139:$E$1191,MATCH(Paramètres!L21,Paramètres!$G$5:$G$57,0)))+IF(RIGHT(TRIM(Paramètres!M21),3)="Fin",1-$H1155,IF(LEFT(TRIM(Paramètres!M21),1)="F",1,0)))),IF(Paramètres!N21="",0,IF(Paramètres!O21="",NA(),IF(LEFT(TRIM(Paramètres!O21),1)="F",INDEX($F$1139:$F$1191,MATCH(Paramètres!N21,Paramètres!$G$5:$G$57,0)),INDEX($E$1139:$E$1191,MATCH(Paramètres!N21,Paramètres!$G$5:$G$57,0)))+IF(RIGHT(TRIM(Paramètres!O21),3)="Fin",1-$H1155,IF(LEFT(TRIM(Paramètres!O21),1)="F",1,0)))))))</f>
        <v/>
      </c>
      <c r="F1155" s="19">
        <f>IF($A1155="","",E1155+$H1155-1)</f>
        <v/>
      </c>
      <c r="G1155" s="18" t="n"/>
      <c r="H1155" s="18">
        <f>IF($A1155="","",IF(I1155&lt;&gt;"",I1155,Paramètres!B21))</f>
        <v/>
      </c>
      <c r="I1155" s="18" t="n"/>
    </row>
    <row r="1156">
      <c r="A1156" s="18">
        <f>IF(ISNUMBER(Dossiers!$D$25),Dossiers!$A$25&amp;" · "&amp;Dossiers!$B$25,"")</f>
        <v/>
      </c>
      <c r="B1156" s="18">
        <f>IF($A1156="","",Paramètres!G22)</f>
        <v/>
      </c>
      <c r="C1156" s="18">
        <f>IF($A1156="","",IF(Paramètres!H22="","",Paramètres!H22))</f>
        <v/>
      </c>
      <c r="D1156" s="18">
        <f>IF($A1156="","",IF(Paramètres!I22="","",Paramètres!I22))</f>
        <v/>
      </c>
      <c r="E1156" s="19">
        <f>IF($A1156="","",IF(Paramètres!J22&amp;Paramètres!L22&amp;Paramètres!N22="",Dossiers!$D$25,MAX(IF(Paramètres!J22="",0,IF(Paramètres!K22="",NA(),IF(LEFT(TRIM(Paramètres!K22),1)="F",INDEX($F$1139:$F$1191,MATCH(Paramètres!J22,Paramètres!$G$5:$G$57,0)),INDEX($E$1139:$E$1191,MATCH(Paramètres!J22,Paramètres!$G$5:$G$57,0)))+IF(RIGHT(TRIM(Paramètres!K22),3)="Fin",1-$H1156,IF(LEFT(TRIM(Paramètres!K22),1)="F",1,0)))),IF(Paramètres!L22="",0,IF(Paramètres!M22="",NA(),IF(LEFT(TRIM(Paramètres!M22),1)="F",INDEX($F$1139:$F$1191,MATCH(Paramètres!L22,Paramètres!$G$5:$G$57,0)),INDEX($E$1139:$E$1191,MATCH(Paramètres!L22,Paramètres!$G$5:$G$57,0)))+IF(RIGHT(TRIM(Paramètres!M22),3)="Fin",1-$H1156,IF(LEFT(TRIM(Paramètres!M22),1)="F",1,0)))),IF(Paramètres!N22="",0,IF(Paramètres!O22="",NA(),IF(LEFT(TRIM(Paramètres!O22),1)="F",INDEX($F$1139:$F$1191,MATCH(Paramètres!N22,Paramètres!$G$5:$G$57,0)),INDEX($E$1139:$E$1191,MATCH(Paramètres!N22,Paramètres!$G$5:$G$57,0)))+IF(RIGHT(TRIM(Paramètres!O22),3)="Fin",1-$H1156,IF(LEFT(TRIM(Paramètres!O22),1)="F",1,0)))))))</f>
        <v/>
      </c>
      <c r="F1156" s="19">
        <f>IF($A1156="","",E1156+$H1156-1)</f>
        <v/>
      </c>
      <c r="G1156" s="18" t="n"/>
      <c r="H1156" s="18">
        <f>IF($A1156="","",IF(I1156&lt;&gt;"",I1156,Paramètres!B22))</f>
        <v/>
      </c>
      <c r="I1156" s="18" t="n"/>
    </row>
    <row r="1157">
      <c r="A1157" s="18">
        <f>IF(ISNUMBER(Dossiers!$D$25),Dossiers!$A$25&amp;" · "&amp;Dossiers!$B$25,"")</f>
        <v/>
      </c>
      <c r="B1157" s="18">
        <f>IF($A1157="","",Paramètres!G23)</f>
        <v/>
      </c>
      <c r="C1157" s="18">
        <f>IF($A1157="","",IF(Paramètres!H23="","",Paramètres!H23))</f>
        <v/>
      </c>
      <c r="D1157" s="18">
        <f>IF($A1157="","",IF(Paramètres!I23="","",Paramètres!I23))</f>
        <v/>
      </c>
      <c r="E1157" s="19">
        <f>IF($A1157="","",IF(Paramètres!J23&amp;Paramètres!L23&amp;Paramètres!N23="",Dossiers!$D$25,MAX(IF(Paramètres!J23="",0,IF(Paramètres!K23="",NA(),IF(LEFT(TRIM(Paramètres!K23),1)="F",INDEX($F$1139:$F$1191,MATCH(Paramètres!J23,Paramètres!$G$5:$G$57,0)),INDEX($E$1139:$E$1191,MATCH(Paramètres!J23,Paramètres!$G$5:$G$57,0)))+IF(RIGHT(TRIM(Paramètres!K23),3)="Fin",1-$H1157,IF(LEFT(TRIM(Paramètres!K23),1)="F",1,0)))),IF(Paramètres!L23="",0,IF(Paramètres!M23="",NA(),IF(LEFT(TRIM(Paramètres!M23),1)="F",INDEX($F$1139:$F$1191,MATCH(Paramètres!L23,Paramètres!$G$5:$G$57,0)),INDEX($E$1139:$E$1191,MATCH(Paramètres!L23,Paramètres!$G$5:$G$57,0)))+IF(RIGHT(TRIM(Paramètres!M23),3)="Fin",1-$H1157,IF(LEFT(TRIM(Paramètres!M23),1)="F",1,0)))),IF(Paramètres!N23="",0,IF(Paramètres!O23="",NA(),IF(LEFT(TRIM(Paramètres!O23),1)="F",INDEX($F$1139:$F$1191,MATCH(Paramètres!N23,Paramètres!$G$5:$G$57,0)),INDEX($E$1139:$E$1191,MATCH(Paramètres!N23,Paramètres!$G$5:$G$57,0)))+IF(RIGHT(TRIM(Paramètres!O23),3)="Fin",1-$H1157,IF(LEFT(TRIM(Paramètres!O23),1)="F",1,0)))))))</f>
        <v/>
      </c>
      <c r="F1157" s="19">
        <f>IF($A1157="","",E1157+$H1157-1)</f>
        <v/>
      </c>
      <c r="G1157" s="18" t="n"/>
      <c r="H1157" s="18">
        <f>IF($A1157="","",IF(I1157&lt;&gt;"",I1157,Paramètres!B23))</f>
        <v/>
      </c>
      <c r="I1157" s="18" t="n"/>
    </row>
    <row r="1158">
      <c r="A1158" s="18">
        <f>IF(ISNUMBER(Dossiers!$D$25),Dossiers!$A$25&amp;" · "&amp;Dossiers!$B$25,"")</f>
        <v/>
      </c>
      <c r="B1158" s="18">
        <f>IF($A1158="","",Paramètres!G24)</f>
        <v/>
      </c>
      <c r="C1158" s="18">
        <f>IF($A1158="","",IF(Paramètres!H24="","",Paramètres!H24))</f>
        <v/>
      </c>
      <c r="D1158" s="18">
        <f>IF($A1158="","",IF(Paramètres!I24="","",Paramètres!I24))</f>
        <v/>
      </c>
      <c r="E1158" s="19">
        <f>IF($A1158="","",IF(Paramètres!J24&amp;Paramètres!L24&amp;Paramètres!N24="",Dossiers!$D$25,MAX(IF(Paramètres!J24="",0,IF(Paramètres!K24="",NA(),IF(LEFT(TRIM(Paramètres!K24),1)="F",INDEX($F$1139:$F$1191,MATCH(Paramètres!J24,Paramètres!$G$5:$G$57,0)),INDEX($E$1139:$E$1191,MATCH(Paramètres!J24,Paramètres!$G$5:$G$57,0)))+IF(RIGHT(TRIM(Paramètres!K24),3)="Fin",1-$H1158,IF(LEFT(TRIM(Paramètres!K24),1)="F",1,0)))),IF(Paramètres!L24="",0,IF(Paramètres!M24="",NA(),IF(LEFT(TRIM(Paramètres!M24),1)="F",INDEX($F$1139:$F$1191,MATCH(Paramètres!L24,Paramètres!$G$5:$G$57,0)),INDEX($E$1139:$E$1191,MATCH(Paramètres!L24,Paramètres!$G$5:$G$57,0)))+IF(RIGHT(TRIM(Paramètres!M24),3)="Fin",1-$H1158,IF(LEFT(TRIM(Paramètres!M24),1)="F",1,0)))),IF(Paramètres!N24="",0,IF(Paramètres!O24="",NA(),IF(LEFT(TRIM(Paramètres!O24),1)="F",INDEX($F$1139:$F$1191,MATCH(Paramètres!N24,Paramètres!$G$5:$G$57,0)),INDEX($E$1139:$E$1191,MATCH(Paramètres!N24,Paramètres!$G$5:$G$57,0)))+IF(RIGHT(TRIM(Paramètres!O24),3)="Fin",1-$H1158,IF(LEFT(TRIM(Paramètres!O24),1)="F",1,0)))))))</f>
        <v/>
      </c>
      <c r="F1158" s="19">
        <f>IF($A1158="","",E1158+$H1158-1)</f>
        <v/>
      </c>
      <c r="G1158" s="18" t="n"/>
      <c r="H1158" s="18">
        <f>IF($A1158="","",IF(I1158&lt;&gt;"",I1158,Paramètres!B24))</f>
        <v/>
      </c>
      <c r="I1158" s="18" t="n"/>
    </row>
    <row r="1159">
      <c r="A1159" s="18">
        <f>IF(ISNUMBER(Dossiers!$D$25),Dossiers!$A$25&amp;" · "&amp;Dossiers!$B$25,"")</f>
        <v/>
      </c>
      <c r="B1159" s="18">
        <f>IF($A1159="","",Paramètres!G25)</f>
        <v/>
      </c>
      <c r="C1159" s="18">
        <f>IF($A1159="","",IF(Paramètres!H25="","",Paramètres!H25))</f>
        <v/>
      </c>
      <c r="D1159" s="18">
        <f>IF($A1159="","",IF(Paramètres!I25="","",Paramètres!I25))</f>
        <v/>
      </c>
      <c r="E1159" s="19">
        <f>IF($A1159="","",IF(Paramètres!J25&amp;Paramètres!L25&amp;Paramètres!N25="",Dossiers!$D$25,MAX(IF(Paramètres!J25="",0,IF(Paramètres!K25="",NA(),IF(LEFT(TRIM(Paramètres!K25),1)="F",INDEX($F$1139:$F$1191,MATCH(Paramètres!J25,Paramètres!$G$5:$G$57,0)),INDEX($E$1139:$E$1191,MATCH(Paramètres!J25,Paramètres!$G$5:$G$57,0)))+IF(RIGHT(TRIM(Paramètres!K25),3)="Fin",1-$H1159,IF(LEFT(TRIM(Paramètres!K25),1)="F",1,0)))),IF(Paramètres!L25="",0,IF(Paramètres!M25="",NA(),IF(LEFT(TRIM(Paramètres!M25),1)="F",INDEX($F$1139:$F$1191,MATCH(Paramètres!L25,Paramètres!$G$5:$G$57,0)),INDEX($E$1139:$E$1191,MATCH(Paramètres!L25,Paramètres!$G$5:$G$57,0)))+IF(RIGHT(TRIM(Paramètres!M25),3)="Fin",1-$H1159,IF(LEFT(TRIM(Paramètres!M25),1)="F",1,0)))),IF(Paramètres!N25="",0,IF(Paramètres!O25="",NA(),IF(LEFT(TRIM(Paramètres!O25),1)="F",INDEX($F$1139:$F$1191,MATCH(Paramètres!N25,Paramètres!$G$5:$G$57,0)),INDEX($E$1139:$E$1191,MATCH(Paramètres!N25,Paramètres!$G$5:$G$57,0)))+IF(RIGHT(TRIM(Paramètres!O25),3)="Fin",1-$H1159,IF(LEFT(TRIM(Paramètres!O25),1)="F",1,0)))))))</f>
        <v/>
      </c>
      <c r="F1159" s="19">
        <f>IF($A1159="","",E1159+$H1159-1)</f>
        <v/>
      </c>
      <c r="G1159" s="18" t="n"/>
      <c r="H1159" s="18">
        <f>IF($A1159="","",IF(I1159&lt;&gt;"",I1159,Paramètres!B25))</f>
        <v/>
      </c>
      <c r="I1159" s="18" t="n"/>
    </row>
    <row r="1160">
      <c r="A1160" s="18">
        <f>IF(ISNUMBER(Dossiers!$D$25),Dossiers!$A$25&amp;" · "&amp;Dossiers!$B$25,"")</f>
        <v/>
      </c>
      <c r="B1160" s="18">
        <f>IF($A1160="","",Paramètres!G26)</f>
        <v/>
      </c>
      <c r="C1160" s="18">
        <f>IF($A1160="","",IF(Paramètres!H26="","",Paramètres!H26))</f>
        <v/>
      </c>
      <c r="D1160" s="18">
        <f>IF($A1160="","",IF(Paramètres!I26="","",Paramètres!I26))</f>
        <v/>
      </c>
      <c r="E1160" s="19">
        <f>IF($A1160="","",IF(Paramètres!J26&amp;Paramètres!L26&amp;Paramètres!N26="",Dossiers!$D$25,MAX(IF(Paramètres!J26="",0,IF(Paramètres!K26="",NA(),IF(LEFT(TRIM(Paramètres!K26),1)="F",INDEX($F$1139:$F$1191,MATCH(Paramètres!J26,Paramètres!$G$5:$G$57,0)),INDEX($E$1139:$E$1191,MATCH(Paramètres!J26,Paramètres!$G$5:$G$57,0)))+IF(RIGHT(TRIM(Paramètres!K26),3)="Fin",1-$H1160,IF(LEFT(TRIM(Paramètres!K26),1)="F",1,0)))),IF(Paramètres!L26="",0,IF(Paramètres!M26="",NA(),IF(LEFT(TRIM(Paramètres!M26),1)="F",INDEX($F$1139:$F$1191,MATCH(Paramètres!L26,Paramètres!$G$5:$G$57,0)),INDEX($E$1139:$E$1191,MATCH(Paramètres!L26,Paramètres!$G$5:$G$57,0)))+IF(RIGHT(TRIM(Paramètres!M26),3)="Fin",1-$H1160,IF(LEFT(TRIM(Paramètres!M26),1)="F",1,0)))),IF(Paramètres!N26="",0,IF(Paramètres!O26="",NA(),IF(LEFT(TRIM(Paramètres!O26),1)="F",INDEX($F$1139:$F$1191,MATCH(Paramètres!N26,Paramètres!$G$5:$G$57,0)),INDEX($E$1139:$E$1191,MATCH(Paramètres!N26,Paramètres!$G$5:$G$57,0)))+IF(RIGHT(TRIM(Paramètres!O26),3)="Fin",1-$H1160,IF(LEFT(TRIM(Paramètres!O26),1)="F",1,0)))))))</f>
        <v/>
      </c>
      <c r="F1160" s="19">
        <f>IF($A1160="","",E1160+$H1160-1)</f>
        <v/>
      </c>
      <c r="G1160" s="18" t="n"/>
      <c r="H1160" s="18">
        <f>IF($A1160="","",IF(I1160&lt;&gt;"",I1160,Paramètres!B26))</f>
        <v/>
      </c>
      <c r="I1160" s="18" t="n"/>
    </row>
    <row r="1161">
      <c r="A1161" s="18">
        <f>IF(ISNUMBER(Dossiers!$D$25),Dossiers!$A$25&amp;" · "&amp;Dossiers!$B$25,"")</f>
        <v/>
      </c>
      <c r="B1161" s="18">
        <f>IF($A1161="","",Paramètres!G27)</f>
        <v/>
      </c>
      <c r="C1161" s="18">
        <f>IF($A1161="","",IF(Paramètres!H27="","",Paramètres!H27))</f>
        <v/>
      </c>
      <c r="D1161" s="18">
        <f>IF($A1161="","",IF(Paramètres!I27="","",Paramètres!I27))</f>
        <v/>
      </c>
      <c r="E1161" s="19">
        <f>IF($A1161="","",IF(Paramètres!J27&amp;Paramètres!L27&amp;Paramètres!N27="",Dossiers!$D$25,MAX(IF(Paramètres!J27="",0,IF(Paramètres!K27="",NA(),IF(LEFT(TRIM(Paramètres!K27),1)="F",INDEX($F$1139:$F$1191,MATCH(Paramètres!J27,Paramètres!$G$5:$G$57,0)),INDEX($E$1139:$E$1191,MATCH(Paramètres!J27,Paramètres!$G$5:$G$57,0)))+IF(RIGHT(TRIM(Paramètres!K27),3)="Fin",1-$H1161,IF(LEFT(TRIM(Paramètres!K27),1)="F",1,0)))),IF(Paramètres!L27="",0,IF(Paramètres!M27="",NA(),IF(LEFT(TRIM(Paramètres!M27),1)="F",INDEX($F$1139:$F$1191,MATCH(Paramètres!L27,Paramètres!$G$5:$G$57,0)),INDEX($E$1139:$E$1191,MATCH(Paramètres!L27,Paramètres!$G$5:$G$57,0)))+IF(RIGHT(TRIM(Paramètres!M27),3)="Fin",1-$H1161,IF(LEFT(TRIM(Paramètres!M27),1)="F",1,0)))),IF(Paramètres!N27="",0,IF(Paramètres!O27="",NA(),IF(LEFT(TRIM(Paramètres!O27),1)="F",INDEX($F$1139:$F$1191,MATCH(Paramètres!N27,Paramètres!$G$5:$G$57,0)),INDEX($E$1139:$E$1191,MATCH(Paramètres!N27,Paramètres!$G$5:$G$57,0)))+IF(RIGHT(TRIM(Paramètres!O27),3)="Fin",1-$H1161,IF(LEFT(TRIM(Paramètres!O27),1)="F",1,0)))))))</f>
        <v/>
      </c>
      <c r="F1161" s="19">
        <f>IF($A1161="","",E1161+$H1161-1)</f>
        <v/>
      </c>
      <c r="G1161" s="18" t="n"/>
      <c r="H1161" s="18">
        <f>IF($A1161="","",IF(I1161&lt;&gt;"",I1161,Paramètres!B27))</f>
        <v/>
      </c>
      <c r="I1161" s="18" t="n"/>
    </row>
    <row r="1162">
      <c r="A1162" s="18">
        <f>IF(ISNUMBER(Dossiers!$D$25),Dossiers!$A$25&amp;" · "&amp;Dossiers!$B$25,"")</f>
        <v/>
      </c>
      <c r="B1162" s="18">
        <f>IF($A1162="","",Paramètres!G28)</f>
        <v/>
      </c>
      <c r="C1162" s="18">
        <f>IF($A1162="","",IF(Paramètres!H28="","",Paramètres!H28))</f>
        <v/>
      </c>
      <c r="D1162" s="18">
        <f>IF($A1162="","",IF(Paramètres!I28="","",Paramètres!I28))</f>
        <v/>
      </c>
      <c r="E1162" s="19">
        <f>IF($A1162="","",IF(Paramètres!J28&amp;Paramètres!L28&amp;Paramètres!N28="",Dossiers!$D$25,MAX(IF(Paramètres!J28="",0,IF(Paramètres!K28="",NA(),IF(LEFT(TRIM(Paramètres!K28),1)="F",INDEX($F$1139:$F$1191,MATCH(Paramètres!J28,Paramètres!$G$5:$G$57,0)),INDEX($E$1139:$E$1191,MATCH(Paramètres!J28,Paramètres!$G$5:$G$57,0)))+IF(RIGHT(TRIM(Paramètres!K28),3)="Fin",1-$H1162,IF(LEFT(TRIM(Paramètres!K28),1)="F",1,0)))),IF(Paramètres!L28="",0,IF(Paramètres!M28="",NA(),IF(LEFT(TRIM(Paramètres!M28),1)="F",INDEX($F$1139:$F$1191,MATCH(Paramètres!L28,Paramètres!$G$5:$G$57,0)),INDEX($E$1139:$E$1191,MATCH(Paramètres!L28,Paramètres!$G$5:$G$57,0)))+IF(RIGHT(TRIM(Paramètres!M28),3)="Fin",1-$H1162,IF(LEFT(TRIM(Paramètres!M28),1)="F",1,0)))),IF(Paramètres!N28="",0,IF(Paramètres!O28="",NA(),IF(LEFT(TRIM(Paramètres!O28),1)="F",INDEX($F$1139:$F$1191,MATCH(Paramètres!N28,Paramètres!$G$5:$G$57,0)),INDEX($E$1139:$E$1191,MATCH(Paramètres!N28,Paramètres!$G$5:$G$57,0)))+IF(RIGHT(TRIM(Paramètres!O28),3)="Fin",1-$H1162,IF(LEFT(TRIM(Paramètres!O28),1)="F",1,0)))))))</f>
        <v/>
      </c>
      <c r="F1162" s="19">
        <f>IF($A1162="","",E1162+$H1162-1)</f>
        <v/>
      </c>
      <c r="G1162" s="18" t="n"/>
      <c r="H1162" s="18">
        <f>IF($A1162="","",IF(I1162&lt;&gt;"",I1162,Paramètres!B28))</f>
        <v/>
      </c>
      <c r="I1162" s="18" t="n"/>
    </row>
    <row r="1163">
      <c r="A1163" s="18">
        <f>IF(ISNUMBER(Dossiers!$D$25),Dossiers!$A$25&amp;" · "&amp;Dossiers!$B$25,"")</f>
        <v/>
      </c>
      <c r="B1163" s="18">
        <f>IF($A1163="","",Paramètres!G29)</f>
        <v/>
      </c>
      <c r="C1163" s="18">
        <f>IF($A1163="","",IF(Paramètres!H29="","",Paramètres!H29))</f>
        <v/>
      </c>
      <c r="D1163" s="18">
        <f>IF($A1163="","",IF(Paramètres!I29="","",Paramètres!I29))</f>
        <v/>
      </c>
      <c r="E1163" s="19">
        <f>IF($A1163="","",IF(Paramètres!J29&amp;Paramètres!L29&amp;Paramètres!N29="",Dossiers!$D$25,MAX(IF(Paramètres!J29="",0,IF(Paramètres!K29="",NA(),IF(LEFT(TRIM(Paramètres!K29),1)="F",INDEX($F$1139:$F$1191,MATCH(Paramètres!J29,Paramètres!$G$5:$G$57,0)),INDEX($E$1139:$E$1191,MATCH(Paramètres!J29,Paramètres!$G$5:$G$57,0)))+IF(RIGHT(TRIM(Paramètres!K29),3)="Fin",1-$H1163,IF(LEFT(TRIM(Paramètres!K29),1)="F",1,0)))),IF(Paramètres!L29="",0,IF(Paramètres!M29="",NA(),IF(LEFT(TRIM(Paramètres!M29),1)="F",INDEX($F$1139:$F$1191,MATCH(Paramètres!L29,Paramètres!$G$5:$G$57,0)),INDEX($E$1139:$E$1191,MATCH(Paramètres!L29,Paramètres!$G$5:$G$57,0)))+IF(RIGHT(TRIM(Paramètres!M29),3)="Fin",1-$H1163,IF(LEFT(TRIM(Paramètres!M29),1)="F",1,0)))),IF(Paramètres!N29="",0,IF(Paramètres!O29="",NA(),IF(LEFT(TRIM(Paramètres!O29),1)="F",INDEX($F$1139:$F$1191,MATCH(Paramètres!N29,Paramètres!$G$5:$G$57,0)),INDEX($E$1139:$E$1191,MATCH(Paramètres!N29,Paramètres!$G$5:$G$57,0)))+IF(RIGHT(TRIM(Paramètres!O29),3)="Fin",1-$H1163,IF(LEFT(TRIM(Paramètres!O29),1)="F",1,0)))))))</f>
        <v/>
      </c>
      <c r="F1163" s="19">
        <f>IF($A1163="","",E1163+$H1163-1)</f>
        <v/>
      </c>
      <c r="G1163" s="18" t="n"/>
      <c r="H1163" s="18">
        <f>IF($A1163="","",IF(I1163&lt;&gt;"",I1163,Paramètres!B29))</f>
        <v/>
      </c>
      <c r="I1163" s="18" t="n"/>
    </row>
    <row r="1164">
      <c r="A1164" s="18">
        <f>IF(ISNUMBER(Dossiers!$D$25),Dossiers!$A$25&amp;" · "&amp;Dossiers!$B$25,"")</f>
        <v/>
      </c>
      <c r="B1164" s="18">
        <f>IF($A1164="","",Paramètres!G30)</f>
        <v/>
      </c>
      <c r="C1164" s="18">
        <f>IF($A1164="","",IF(Paramètres!H30="","",Paramètres!H30))</f>
        <v/>
      </c>
      <c r="D1164" s="18">
        <f>IF($A1164="","",IF(Paramètres!I30="","",Paramètres!I30))</f>
        <v/>
      </c>
      <c r="E1164" s="19">
        <f>IF($A1164="","",IF(Paramètres!J30&amp;Paramètres!L30&amp;Paramètres!N30="",Dossiers!$D$25,MAX(IF(Paramètres!J30="",0,IF(Paramètres!K30="",NA(),IF(LEFT(TRIM(Paramètres!K30),1)="F",INDEX($F$1139:$F$1191,MATCH(Paramètres!J30,Paramètres!$G$5:$G$57,0)),INDEX($E$1139:$E$1191,MATCH(Paramètres!J30,Paramètres!$G$5:$G$57,0)))+IF(RIGHT(TRIM(Paramètres!K30),3)="Fin",1-$H1164,IF(LEFT(TRIM(Paramètres!K30),1)="F",1,0)))),IF(Paramètres!L30="",0,IF(Paramètres!M30="",NA(),IF(LEFT(TRIM(Paramètres!M30),1)="F",INDEX($F$1139:$F$1191,MATCH(Paramètres!L30,Paramètres!$G$5:$G$57,0)),INDEX($E$1139:$E$1191,MATCH(Paramètres!L30,Paramètres!$G$5:$G$57,0)))+IF(RIGHT(TRIM(Paramètres!M30),3)="Fin",1-$H1164,IF(LEFT(TRIM(Paramètres!M30),1)="F",1,0)))),IF(Paramètres!N30="",0,IF(Paramètres!O30="",NA(),IF(LEFT(TRIM(Paramètres!O30),1)="F",INDEX($F$1139:$F$1191,MATCH(Paramètres!N30,Paramètres!$G$5:$G$57,0)),INDEX($E$1139:$E$1191,MATCH(Paramètres!N30,Paramètres!$G$5:$G$57,0)))+IF(RIGHT(TRIM(Paramètres!O30),3)="Fin",1-$H1164,IF(LEFT(TRIM(Paramètres!O30),1)="F",1,0)))))))</f>
        <v/>
      </c>
      <c r="F1164" s="19">
        <f>IF($A1164="","",E1164+$H1164-1)</f>
        <v/>
      </c>
      <c r="G1164" s="18" t="n"/>
      <c r="H1164" s="18">
        <f>IF($A1164="","",IF(I1164&lt;&gt;"",I1164,Paramètres!B30))</f>
        <v/>
      </c>
      <c r="I1164" s="18" t="n"/>
    </row>
    <row r="1165">
      <c r="A1165" s="18">
        <f>IF(ISNUMBER(Dossiers!$D$25),Dossiers!$A$25&amp;" · "&amp;Dossiers!$B$25,"")</f>
        <v/>
      </c>
      <c r="B1165" s="18">
        <f>IF($A1165="","",Paramètres!G31)</f>
        <v/>
      </c>
      <c r="C1165" s="20">
        <f>IF($A1165="","",IF(Dossiers!$F$25="","",Dossiers!$F$25))</f>
        <v/>
      </c>
      <c r="D1165" s="18">
        <f>IF($A1165="","",IF(Paramètres!I31="","",Paramètres!I31))</f>
        <v/>
      </c>
      <c r="E1165" s="19">
        <f>IF($A1165="","",IF(Paramètres!J31&amp;Paramètres!L31&amp;Paramètres!N31="",Dossiers!$D$25,MAX(IF(Paramètres!J31="",0,IF(Paramètres!K31="",NA(),IF(LEFT(TRIM(Paramètres!K31),1)="F",INDEX($F$1139:$F$1191,MATCH(Paramètres!J31,Paramètres!$G$5:$G$57,0)),INDEX($E$1139:$E$1191,MATCH(Paramètres!J31,Paramètres!$G$5:$G$57,0)))+IF(RIGHT(TRIM(Paramètres!K31),3)="Fin",1-$H1165,IF(LEFT(TRIM(Paramètres!K31),1)="F",1,0)))),IF(Paramètres!L31="",0,IF(Paramètres!M31="",NA(),IF(LEFT(TRIM(Paramètres!M31),1)="F",INDEX($F$1139:$F$1191,MATCH(Paramètres!L31,Paramètres!$G$5:$G$57,0)),INDEX($E$1139:$E$1191,MATCH(Paramètres!L31,Paramètres!$G$5:$G$57,0)))+IF(RIGHT(TRIM(Paramètres!M31),3)="Fin",1-$H1165,IF(LEFT(TRIM(Paramètres!M31),1)="F",1,0)))),IF(Paramètres!N31="",0,IF(Paramètres!O31="",NA(),IF(LEFT(TRIM(Paramètres!O31),1)="F",INDEX($F$1139:$F$1191,MATCH(Paramètres!N31,Paramètres!$G$5:$G$57,0)),INDEX($E$1139:$E$1191,MATCH(Paramètres!N31,Paramètres!$G$5:$G$57,0)))+IF(RIGHT(TRIM(Paramètres!O31),3)="Fin",1-$H1165,IF(LEFT(TRIM(Paramètres!O31),1)="F",1,0)))))))</f>
        <v/>
      </c>
      <c r="F1165" s="19">
        <f>IF($A1165="","",E1165+$H1165-1)</f>
        <v/>
      </c>
      <c r="G1165" s="18" t="n"/>
      <c r="H1165" s="18">
        <f>IF($A1165="","",IF(I1165&lt;&gt;"",I1165,Paramètres!B31))</f>
        <v/>
      </c>
      <c r="I1165" s="18" t="n"/>
    </row>
    <row r="1166">
      <c r="A1166" s="18">
        <f>IF(ISNUMBER(Dossiers!$D$25),Dossiers!$A$25&amp;" · "&amp;Dossiers!$B$25,"")</f>
        <v/>
      </c>
      <c r="B1166" s="18">
        <f>IF($A1166="","",Paramètres!G32)</f>
        <v/>
      </c>
      <c r="C1166" s="18">
        <f>IF($A1166="","",IF(Paramètres!H32="","",Paramètres!H32))</f>
        <v/>
      </c>
      <c r="D1166" s="18">
        <f>IF($A1166="","",IF(Paramètres!I32="","",Paramètres!I32))</f>
        <v/>
      </c>
      <c r="E1166" s="19">
        <f>IF($A1166="","",MIN(E1167:E1170))</f>
        <v/>
      </c>
      <c r="F1166" s="19">
        <f>IF($A1166="","",MAX(F1167:F1170))</f>
        <v/>
      </c>
      <c r="G1166" s="18" t="n"/>
      <c r="H1166" s="18">
        <f>IF($A1166="","",F1166-E1166+1)</f>
        <v/>
      </c>
      <c r="I1166" s="18" t="n"/>
    </row>
    <row r="1167">
      <c r="A1167" s="18">
        <f>IF(ISNUMBER(Dossiers!$D$25),Dossiers!$A$25&amp;" · "&amp;Dossiers!$B$25,"")</f>
        <v/>
      </c>
      <c r="B1167" s="18">
        <f>IF($A1167="","",Paramètres!G33)</f>
        <v/>
      </c>
      <c r="C1167" s="18">
        <f>IF($A1167="","",IF(Paramètres!H33="","",Paramètres!H33))</f>
        <v/>
      </c>
      <c r="D1167" s="18">
        <f>IF($A1167="","",IF(Paramètres!I33="","",Paramètres!I33))</f>
        <v/>
      </c>
      <c r="E1167" s="19">
        <f>IF($A1167="","",IF(Paramètres!J33&amp;Paramètres!L33&amp;Paramètres!N33="",Dossiers!$D$25,MAX(IF(Paramètres!J33="",0,IF(Paramètres!K33="",NA(),IF(LEFT(TRIM(Paramètres!K33),1)="F",INDEX($F$1139:$F$1191,MATCH(Paramètres!J33,Paramètres!$G$5:$G$57,0)),INDEX($E$1139:$E$1191,MATCH(Paramètres!J33,Paramètres!$G$5:$G$57,0)))+IF(RIGHT(TRIM(Paramètres!K33),3)="Fin",1-$H1167,IF(LEFT(TRIM(Paramètres!K33),1)="F",1,0)))),IF(Paramètres!L33="",0,IF(Paramètres!M33="",NA(),IF(LEFT(TRIM(Paramètres!M33),1)="F",INDEX($F$1139:$F$1191,MATCH(Paramètres!L33,Paramètres!$G$5:$G$57,0)),INDEX($E$1139:$E$1191,MATCH(Paramètres!L33,Paramètres!$G$5:$G$57,0)))+IF(RIGHT(TRIM(Paramètres!M33),3)="Fin",1-$H1167,IF(LEFT(TRIM(Paramètres!M33),1)="F",1,0)))),IF(Paramètres!N33="",0,IF(Paramètres!O33="",NA(),IF(LEFT(TRIM(Paramètres!O33),1)="F",INDEX($F$1139:$F$1191,MATCH(Paramètres!N33,Paramètres!$G$5:$G$57,0)),INDEX($E$1139:$E$1191,MATCH(Paramètres!N33,Paramètres!$G$5:$G$57,0)))+IF(RIGHT(TRIM(Paramètres!O33),3)="Fin",1-$H1167,IF(LEFT(TRIM(Paramètres!O33),1)="F",1,0)))))))</f>
        <v/>
      </c>
      <c r="F1167" s="19">
        <f>IF($A1167="","",E1167+$H1167-1)</f>
        <v/>
      </c>
      <c r="G1167" s="18" t="n"/>
      <c r="H1167" s="18">
        <f>IF($A1167="","",IF(I1167&lt;&gt;"",I1167,Paramètres!B33))</f>
        <v/>
      </c>
      <c r="I1167" s="18" t="n"/>
    </row>
    <row r="1168">
      <c r="A1168" s="18">
        <f>IF(ISNUMBER(Dossiers!$D$25),Dossiers!$A$25&amp;" · "&amp;Dossiers!$B$25,"")</f>
        <v/>
      </c>
      <c r="B1168" s="18">
        <f>IF($A1168="","",Paramètres!G34)</f>
        <v/>
      </c>
      <c r="C1168" s="18">
        <f>IF($A1168="","",IF(Paramètres!H34="","",Paramètres!H34))</f>
        <v/>
      </c>
      <c r="D1168" s="18">
        <f>IF($A1168="","",IF(Paramètres!I34="","",Paramètres!I34))</f>
        <v/>
      </c>
      <c r="E1168" s="19">
        <f>IF($A1168="","",IF(Paramètres!J34&amp;Paramètres!L34&amp;Paramètres!N34="",Dossiers!$D$25,MAX(IF(Paramètres!J34="",0,IF(Paramètres!K34="",NA(),IF(LEFT(TRIM(Paramètres!K34),1)="F",INDEX($F$1139:$F$1191,MATCH(Paramètres!J34,Paramètres!$G$5:$G$57,0)),INDEX($E$1139:$E$1191,MATCH(Paramètres!J34,Paramètres!$G$5:$G$57,0)))+IF(RIGHT(TRIM(Paramètres!K34),3)="Fin",1-$H1168,IF(LEFT(TRIM(Paramètres!K34),1)="F",1,0)))),IF(Paramètres!L34="",0,IF(Paramètres!M34="",NA(),IF(LEFT(TRIM(Paramètres!M34),1)="F",INDEX($F$1139:$F$1191,MATCH(Paramètres!L34,Paramètres!$G$5:$G$57,0)),INDEX($E$1139:$E$1191,MATCH(Paramètres!L34,Paramètres!$G$5:$G$57,0)))+IF(RIGHT(TRIM(Paramètres!M34),3)="Fin",1-$H1168,IF(LEFT(TRIM(Paramètres!M34),1)="F",1,0)))),IF(Paramètres!N34="",0,IF(Paramètres!O34="",NA(),IF(LEFT(TRIM(Paramètres!O34),1)="F",INDEX($F$1139:$F$1191,MATCH(Paramètres!N34,Paramètres!$G$5:$G$57,0)),INDEX($E$1139:$E$1191,MATCH(Paramètres!N34,Paramètres!$G$5:$G$57,0)))+IF(RIGHT(TRIM(Paramètres!O34),3)="Fin",1-$H1168,IF(LEFT(TRIM(Paramètres!O34),1)="F",1,0)))))))</f>
        <v/>
      </c>
      <c r="F1168" s="19">
        <f>IF($A1168="","",E1168+$H1168-1)</f>
        <v/>
      </c>
      <c r="G1168" s="18" t="n"/>
      <c r="H1168" s="18">
        <f>IF($A1168="","",IF(I1168&lt;&gt;"",I1168,Paramètres!B34))</f>
        <v/>
      </c>
      <c r="I1168" s="18" t="n"/>
    </row>
    <row r="1169">
      <c r="A1169" s="18">
        <f>IF(ISNUMBER(Dossiers!$D$25),Dossiers!$A$25&amp;" · "&amp;Dossiers!$B$25,"")</f>
        <v/>
      </c>
      <c r="B1169" s="18">
        <f>IF($A1169="","",Paramètres!G35)</f>
        <v/>
      </c>
      <c r="C1169" s="18">
        <f>IF($A1169="","",IF(Paramètres!H35="","",Paramètres!H35))</f>
        <v/>
      </c>
      <c r="D1169" s="18">
        <f>IF($A1169="","",IF(Paramètres!I35="","",Paramètres!I35))</f>
        <v/>
      </c>
      <c r="E1169" s="19">
        <f>IF($A1169="","",IF(Paramètres!J35&amp;Paramètres!L35&amp;Paramètres!N35="",Dossiers!$D$25,MAX(IF(Paramètres!J35="",0,IF(Paramètres!K35="",NA(),IF(LEFT(TRIM(Paramètres!K35),1)="F",INDEX($F$1139:$F$1191,MATCH(Paramètres!J35,Paramètres!$G$5:$G$57,0)),INDEX($E$1139:$E$1191,MATCH(Paramètres!J35,Paramètres!$G$5:$G$57,0)))+IF(RIGHT(TRIM(Paramètres!K35),3)="Fin",1-$H1169,IF(LEFT(TRIM(Paramètres!K35),1)="F",1,0)))),IF(Paramètres!L35="",0,IF(Paramètres!M35="",NA(),IF(LEFT(TRIM(Paramètres!M35),1)="F",INDEX($F$1139:$F$1191,MATCH(Paramètres!L35,Paramètres!$G$5:$G$57,0)),INDEX($E$1139:$E$1191,MATCH(Paramètres!L35,Paramètres!$G$5:$G$57,0)))+IF(RIGHT(TRIM(Paramètres!M35),3)="Fin",1-$H1169,IF(LEFT(TRIM(Paramètres!M35),1)="F",1,0)))),IF(Paramètres!N35="",0,IF(Paramètres!O35="",NA(),IF(LEFT(TRIM(Paramètres!O35),1)="F",INDEX($F$1139:$F$1191,MATCH(Paramètres!N35,Paramètres!$G$5:$G$57,0)),INDEX($E$1139:$E$1191,MATCH(Paramètres!N35,Paramètres!$G$5:$G$57,0)))+IF(RIGHT(TRIM(Paramètres!O35),3)="Fin",1-$H1169,IF(LEFT(TRIM(Paramètres!O35),1)="F",1,0)))))))</f>
        <v/>
      </c>
      <c r="F1169" s="19">
        <f>IF($A1169="","",E1169+$H1169-1)</f>
        <v/>
      </c>
      <c r="G1169" s="18" t="n"/>
      <c r="H1169" s="18">
        <f>IF($A1169="","",IF(I1169&lt;&gt;"",I1169,Paramètres!B35))</f>
        <v/>
      </c>
      <c r="I1169" s="18" t="n"/>
    </row>
    <row r="1170">
      <c r="A1170" s="18">
        <f>IF(ISNUMBER(Dossiers!$D$25),Dossiers!$A$25&amp;" · "&amp;Dossiers!$B$25,"")</f>
        <v/>
      </c>
      <c r="B1170" s="18">
        <f>IF($A1170="","",Paramètres!G36)</f>
        <v/>
      </c>
      <c r="C1170" s="18">
        <f>IF($A1170="","",IF(Paramètres!H36="","",Paramètres!H36))</f>
        <v/>
      </c>
      <c r="D1170" s="18">
        <f>IF($A1170="","",IF(Paramètres!I36="","",Paramètres!I36))</f>
        <v/>
      </c>
      <c r="E1170" s="19">
        <f>IF($A1170="","",IF(Paramètres!J36&amp;Paramètres!L36&amp;Paramètres!N36="",Dossiers!$D$25,MAX(IF(Paramètres!J36="",0,IF(Paramètres!K36="",NA(),IF(LEFT(TRIM(Paramètres!K36),1)="F",INDEX($F$1139:$F$1191,MATCH(Paramètres!J36,Paramètres!$G$5:$G$57,0)),INDEX($E$1139:$E$1191,MATCH(Paramètres!J36,Paramètres!$G$5:$G$57,0)))+IF(RIGHT(TRIM(Paramètres!K36),3)="Fin",1-$H1170,IF(LEFT(TRIM(Paramètres!K36),1)="F",1,0)))),IF(Paramètres!L36="",0,IF(Paramètres!M36="",NA(),IF(LEFT(TRIM(Paramètres!M36),1)="F",INDEX($F$1139:$F$1191,MATCH(Paramètres!L36,Paramètres!$G$5:$G$57,0)),INDEX($E$1139:$E$1191,MATCH(Paramètres!L36,Paramètres!$G$5:$G$57,0)))+IF(RIGHT(TRIM(Paramètres!M36),3)="Fin",1-$H1170,IF(LEFT(TRIM(Paramètres!M36),1)="F",1,0)))),IF(Paramètres!N36="",0,IF(Paramètres!O36="",NA(),IF(LEFT(TRIM(Paramètres!O36),1)="F",INDEX($F$1139:$F$1191,MATCH(Paramètres!N36,Paramètres!$G$5:$G$57,0)),INDEX($E$1139:$E$1191,MATCH(Paramètres!N36,Paramètres!$G$5:$G$57,0)))+IF(RIGHT(TRIM(Paramètres!O36),3)="Fin",1-$H1170,IF(LEFT(TRIM(Paramètres!O36),1)="F",1,0)))))))</f>
        <v/>
      </c>
      <c r="F1170" s="19">
        <f>IF($A1170="","",E1170+$H1170-1)</f>
        <v/>
      </c>
      <c r="G1170" s="18" t="n"/>
      <c r="H1170" s="18">
        <f>IF($A1170="","",IF(I1170&lt;&gt;"",I1170,Paramètres!B36))</f>
        <v/>
      </c>
      <c r="I1170" s="18" t="n"/>
    </row>
    <row r="1171">
      <c r="A1171" s="18">
        <f>IF(ISNUMBER(Dossiers!$D$25),Dossiers!$A$25&amp;" · "&amp;Dossiers!$B$25,"")</f>
        <v/>
      </c>
      <c r="B1171" s="18">
        <f>IF($A1171="","",Paramètres!G37)</f>
        <v/>
      </c>
      <c r="C1171" s="18">
        <f>IF($A1171="","",IF(Paramètres!H37="","",Paramètres!H37))</f>
        <v/>
      </c>
      <c r="D1171" s="18">
        <f>IF($A1171="","",IF(Paramètres!I37="","",Paramètres!I37))</f>
        <v/>
      </c>
      <c r="E1171" s="19">
        <f>IF($A1171="","",MIN(E1172:E1189))</f>
        <v/>
      </c>
      <c r="F1171" s="19">
        <f>IF($A1171="","",MAX(F1172:F1189))</f>
        <v/>
      </c>
      <c r="G1171" s="18" t="n"/>
      <c r="H1171" s="18">
        <f>IF($A1171="","",F1171-E1171+1)</f>
        <v/>
      </c>
      <c r="I1171" s="18" t="n"/>
    </row>
    <row r="1172">
      <c r="A1172" s="18">
        <f>IF(ISNUMBER(Dossiers!$D$25),Dossiers!$A$25&amp;" · "&amp;Dossiers!$B$25,"")</f>
        <v/>
      </c>
      <c r="B1172" s="18">
        <f>IF($A1172="","",Paramètres!G38)</f>
        <v/>
      </c>
      <c r="C1172" s="18">
        <f>IF($A1172="","",IF(Paramètres!H38="","",Paramètres!H38))</f>
        <v/>
      </c>
      <c r="D1172" s="18">
        <f>IF($A1172="","",IF(Paramètres!I38="","",Paramètres!I38))</f>
        <v/>
      </c>
      <c r="E1172" s="19">
        <f>IF($A1172="","",IF(Paramètres!J38&amp;Paramètres!L38&amp;Paramètres!N38="",Dossiers!$D$25,MAX(IF(Paramètres!J38="",0,IF(Paramètres!K38="",NA(),IF(LEFT(TRIM(Paramètres!K38),1)="F",INDEX($F$1139:$F$1191,MATCH(Paramètres!J38,Paramètres!$G$5:$G$57,0)),INDEX($E$1139:$E$1191,MATCH(Paramètres!J38,Paramètres!$G$5:$G$57,0)))+IF(RIGHT(TRIM(Paramètres!K38),3)="Fin",1-$H1172,IF(LEFT(TRIM(Paramètres!K38),1)="F",1,0)))),IF(Paramètres!L38="",0,IF(Paramètres!M38="",NA(),IF(LEFT(TRIM(Paramètres!M38),1)="F",INDEX($F$1139:$F$1191,MATCH(Paramètres!L38,Paramètres!$G$5:$G$57,0)),INDEX($E$1139:$E$1191,MATCH(Paramètres!L38,Paramètres!$G$5:$G$57,0)))+IF(RIGHT(TRIM(Paramètres!M38),3)="Fin",1-$H1172,IF(LEFT(TRIM(Paramètres!M38),1)="F",1,0)))),IF(Paramètres!N38="",0,IF(Paramètres!O38="",NA(),IF(LEFT(TRIM(Paramètres!O38),1)="F",INDEX($F$1139:$F$1191,MATCH(Paramètres!N38,Paramètres!$G$5:$G$57,0)),INDEX($E$1139:$E$1191,MATCH(Paramètres!N38,Paramètres!$G$5:$G$57,0)))+IF(RIGHT(TRIM(Paramètres!O38),3)="Fin",1-$H1172,IF(LEFT(TRIM(Paramètres!O38),1)="F",1,0)))))))</f>
        <v/>
      </c>
      <c r="F1172" s="19">
        <f>IF($A1172="","",E1172+$H1172-1)</f>
        <v/>
      </c>
      <c r="G1172" s="18" t="n"/>
      <c r="H1172" s="18">
        <f>IF($A1172="","",IF(I1172&lt;&gt;"",I1172,Paramètres!B38))</f>
        <v/>
      </c>
      <c r="I1172" s="18" t="n"/>
    </row>
    <row r="1173">
      <c r="A1173" s="18">
        <f>IF(ISNUMBER(Dossiers!$D$25),Dossiers!$A$25&amp;" · "&amp;Dossiers!$B$25,"")</f>
        <v/>
      </c>
      <c r="B1173" s="18">
        <f>IF($A1173="","",Paramètres!G39)</f>
        <v/>
      </c>
      <c r="C1173" s="18">
        <f>IF($A1173="","",IF(Paramètres!H39="","",Paramètres!H39))</f>
        <v/>
      </c>
      <c r="D1173" s="18">
        <f>IF($A1173="","",IF(Paramètres!I39="","",Paramètres!I39))</f>
        <v/>
      </c>
      <c r="E1173" s="19">
        <f>IF($A1173="","",IF(Paramètres!J39&amp;Paramètres!L39&amp;Paramètres!N39="",Dossiers!$D$25,MAX(IF(Paramètres!J39="",0,IF(Paramètres!K39="",NA(),IF(LEFT(TRIM(Paramètres!K39),1)="F",INDEX($F$1139:$F$1191,MATCH(Paramètres!J39,Paramètres!$G$5:$G$57,0)),INDEX($E$1139:$E$1191,MATCH(Paramètres!J39,Paramètres!$G$5:$G$57,0)))+IF(RIGHT(TRIM(Paramètres!K39),3)="Fin",1-$H1173,IF(LEFT(TRIM(Paramètres!K39),1)="F",1,0)))),IF(Paramètres!L39="",0,IF(Paramètres!M39="",NA(),IF(LEFT(TRIM(Paramètres!M39),1)="F",INDEX($F$1139:$F$1191,MATCH(Paramètres!L39,Paramètres!$G$5:$G$57,0)),INDEX($E$1139:$E$1191,MATCH(Paramètres!L39,Paramètres!$G$5:$G$57,0)))+IF(RIGHT(TRIM(Paramètres!M39),3)="Fin",1-$H1173,IF(LEFT(TRIM(Paramètres!M39),1)="F",1,0)))),IF(Paramètres!N39="",0,IF(Paramètres!O39="",NA(),IF(LEFT(TRIM(Paramètres!O39),1)="F",INDEX($F$1139:$F$1191,MATCH(Paramètres!N39,Paramètres!$G$5:$G$57,0)),INDEX($E$1139:$E$1191,MATCH(Paramètres!N39,Paramètres!$G$5:$G$57,0)))+IF(RIGHT(TRIM(Paramètres!O39),3)="Fin",1-$H1173,IF(LEFT(TRIM(Paramètres!O39),1)="F",1,0)))))))</f>
        <v/>
      </c>
      <c r="F1173" s="19">
        <f>IF($A1173="","",E1173+$H1173-1)</f>
        <v/>
      </c>
      <c r="G1173" s="18" t="n"/>
      <c r="H1173" s="18">
        <f>IF($A1173="","",IF(I1173&lt;&gt;"",I1173,Paramètres!B39))</f>
        <v/>
      </c>
      <c r="I1173" s="18" t="n"/>
    </row>
    <row r="1174">
      <c r="A1174" s="18">
        <f>IF(ISNUMBER(Dossiers!$D$25),Dossiers!$A$25&amp;" · "&amp;Dossiers!$B$25,"")</f>
        <v/>
      </c>
      <c r="B1174" s="18">
        <f>IF($A1174="","",Paramètres!G40)</f>
        <v/>
      </c>
      <c r="C1174" s="18">
        <f>IF($A1174="","",IF(Paramètres!H40="","",Paramètres!H40))</f>
        <v/>
      </c>
      <c r="D1174" s="18">
        <f>IF($A1174="","",IF(Paramètres!I40="","",Paramètres!I40))</f>
        <v/>
      </c>
      <c r="E1174" s="19">
        <f>IF($A1174="","",IF(Paramètres!J40&amp;Paramètres!L40&amp;Paramètres!N40="",Dossiers!$D$25,MAX(IF(Paramètres!J40="",0,IF(Paramètres!K40="",NA(),IF(LEFT(TRIM(Paramètres!K40),1)="F",INDEX($F$1139:$F$1191,MATCH(Paramètres!J40,Paramètres!$G$5:$G$57,0)),INDEX($E$1139:$E$1191,MATCH(Paramètres!J40,Paramètres!$G$5:$G$57,0)))+IF(RIGHT(TRIM(Paramètres!K40),3)="Fin",1-$H1174,IF(LEFT(TRIM(Paramètres!K40),1)="F",1,0)))),IF(Paramètres!L40="",0,IF(Paramètres!M40="",NA(),IF(LEFT(TRIM(Paramètres!M40),1)="F",INDEX($F$1139:$F$1191,MATCH(Paramètres!L40,Paramètres!$G$5:$G$57,0)),INDEX($E$1139:$E$1191,MATCH(Paramètres!L40,Paramètres!$G$5:$G$57,0)))+IF(RIGHT(TRIM(Paramètres!M40),3)="Fin",1-$H1174,IF(LEFT(TRIM(Paramètres!M40),1)="F",1,0)))),IF(Paramètres!N40="",0,IF(Paramètres!O40="",NA(),IF(LEFT(TRIM(Paramètres!O40),1)="F",INDEX($F$1139:$F$1191,MATCH(Paramètres!N40,Paramètres!$G$5:$G$57,0)),INDEX($E$1139:$E$1191,MATCH(Paramètres!N40,Paramètres!$G$5:$G$57,0)))+IF(RIGHT(TRIM(Paramètres!O40),3)="Fin",1-$H1174,IF(LEFT(TRIM(Paramètres!O40),1)="F",1,0)))))))</f>
        <v/>
      </c>
      <c r="F1174" s="19">
        <f>IF($A1174="","",E1174+$H1174-1)</f>
        <v/>
      </c>
      <c r="G1174" s="18" t="n"/>
      <c r="H1174" s="18">
        <f>IF($A1174="","",IF(I1174&lt;&gt;"",I1174,Paramètres!B40))</f>
        <v/>
      </c>
      <c r="I1174" s="18" t="n"/>
    </row>
    <row r="1175">
      <c r="A1175" s="18">
        <f>IF(ISNUMBER(Dossiers!$D$25),Dossiers!$A$25&amp;" · "&amp;Dossiers!$B$25,"")</f>
        <v/>
      </c>
      <c r="B1175" s="18">
        <f>IF($A1175="","",Paramètres!G41)</f>
        <v/>
      </c>
      <c r="C1175" s="18">
        <f>IF($A1175="","",IF(Paramètres!H41="","",Paramètres!H41))</f>
        <v/>
      </c>
      <c r="D1175" s="18">
        <f>IF($A1175="","",IF(Paramètres!I41="","",Paramètres!I41))</f>
        <v/>
      </c>
      <c r="E1175" s="19">
        <f>IF($A1175="","",IF(Paramètres!J41&amp;Paramètres!L41&amp;Paramètres!N41="",Dossiers!$D$25,MAX(IF(Paramètres!J41="",0,IF(Paramètres!K41="",NA(),IF(LEFT(TRIM(Paramètres!K41),1)="F",INDEX($F$1139:$F$1191,MATCH(Paramètres!J41,Paramètres!$G$5:$G$57,0)),INDEX($E$1139:$E$1191,MATCH(Paramètres!J41,Paramètres!$G$5:$G$57,0)))+IF(RIGHT(TRIM(Paramètres!K41),3)="Fin",1-$H1175,IF(LEFT(TRIM(Paramètres!K41),1)="F",1,0)))),IF(Paramètres!L41="",0,IF(Paramètres!M41="",NA(),IF(LEFT(TRIM(Paramètres!M41),1)="F",INDEX($F$1139:$F$1191,MATCH(Paramètres!L41,Paramètres!$G$5:$G$57,0)),INDEX($E$1139:$E$1191,MATCH(Paramètres!L41,Paramètres!$G$5:$G$57,0)))+IF(RIGHT(TRIM(Paramètres!M41),3)="Fin",1-$H1175,IF(LEFT(TRIM(Paramètres!M41),1)="F",1,0)))),IF(Paramètres!N41="",0,IF(Paramètres!O41="",NA(),IF(LEFT(TRIM(Paramètres!O41),1)="F",INDEX($F$1139:$F$1191,MATCH(Paramètres!N41,Paramètres!$G$5:$G$57,0)),INDEX($E$1139:$E$1191,MATCH(Paramètres!N41,Paramètres!$G$5:$G$57,0)))+IF(RIGHT(TRIM(Paramètres!O41),3)="Fin",1-$H1175,IF(LEFT(TRIM(Paramètres!O41),1)="F",1,0)))))))</f>
        <v/>
      </c>
      <c r="F1175" s="19">
        <f>IF($A1175="","",E1175+$H1175-1)</f>
        <v/>
      </c>
      <c r="G1175" s="18" t="n"/>
      <c r="H1175" s="18">
        <f>IF($A1175="","",IF(I1175&lt;&gt;"",I1175,Paramètres!B41))</f>
        <v/>
      </c>
      <c r="I1175" s="18" t="n"/>
    </row>
    <row r="1176">
      <c r="A1176" s="18">
        <f>IF(ISNUMBER(Dossiers!$D$25),Dossiers!$A$25&amp;" · "&amp;Dossiers!$B$25,"")</f>
        <v/>
      </c>
      <c r="B1176" s="18">
        <f>IF($A1176="","",Paramètres!G42)</f>
        <v/>
      </c>
      <c r="C1176" s="18">
        <f>IF($A1176="","",IF(Paramètres!H42="","",Paramètres!H42))</f>
        <v/>
      </c>
      <c r="D1176" s="18">
        <f>IF($A1176="","",IF(Paramètres!I42="","",Paramètres!I42))</f>
        <v/>
      </c>
      <c r="E1176" s="19">
        <f>IF($A1176="","",IF(Paramètres!J42&amp;Paramètres!L42&amp;Paramètres!N42="",Dossiers!$D$25,MAX(IF(Paramètres!J42="",0,IF(Paramètres!K42="",NA(),IF(LEFT(TRIM(Paramètres!K42),1)="F",INDEX($F$1139:$F$1191,MATCH(Paramètres!J42,Paramètres!$G$5:$G$57,0)),INDEX($E$1139:$E$1191,MATCH(Paramètres!J42,Paramètres!$G$5:$G$57,0)))+IF(RIGHT(TRIM(Paramètres!K42),3)="Fin",1-$H1176,IF(LEFT(TRIM(Paramètres!K42),1)="F",1,0)))),IF(Paramètres!L42="",0,IF(Paramètres!M42="",NA(),IF(LEFT(TRIM(Paramètres!M42),1)="F",INDEX($F$1139:$F$1191,MATCH(Paramètres!L42,Paramètres!$G$5:$G$57,0)),INDEX($E$1139:$E$1191,MATCH(Paramètres!L42,Paramètres!$G$5:$G$57,0)))+IF(RIGHT(TRIM(Paramètres!M42),3)="Fin",1-$H1176,IF(LEFT(TRIM(Paramètres!M42),1)="F",1,0)))),IF(Paramètres!N42="",0,IF(Paramètres!O42="",NA(),IF(LEFT(TRIM(Paramètres!O42),1)="F",INDEX($F$1139:$F$1191,MATCH(Paramètres!N42,Paramètres!$G$5:$G$57,0)),INDEX($E$1139:$E$1191,MATCH(Paramètres!N42,Paramètres!$G$5:$G$57,0)))+IF(RIGHT(TRIM(Paramètres!O42),3)="Fin",1-$H1176,IF(LEFT(TRIM(Paramètres!O42),1)="F",1,0)))))))</f>
        <v/>
      </c>
      <c r="F1176" s="19">
        <f>IF($A1176="","",E1176+$H1176-1)</f>
        <v/>
      </c>
      <c r="G1176" s="18" t="n"/>
      <c r="H1176" s="18">
        <f>IF($A1176="","",IF(I1176&lt;&gt;"",I1176,Paramètres!B42))</f>
        <v/>
      </c>
      <c r="I1176" s="18" t="n"/>
    </row>
    <row r="1177">
      <c r="A1177" s="18">
        <f>IF(ISNUMBER(Dossiers!$D$25),Dossiers!$A$25&amp;" · "&amp;Dossiers!$B$25,"")</f>
        <v/>
      </c>
      <c r="B1177" s="18">
        <f>IF($A1177="","",Paramètres!G43)</f>
        <v/>
      </c>
      <c r="C1177" s="18">
        <f>IF($A1177="","",IF(Paramètres!H43="","",Paramètres!H43))</f>
        <v/>
      </c>
      <c r="D1177" s="18">
        <f>IF($A1177="","",IF(Paramètres!I43="","",Paramètres!I43))</f>
        <v/>
      </c>
      <c r="E1177" s="19">
        <f>IF($A1177="","",IF(Paramètres!J43&amp;Paramètres!L43&amp;Paramètres!N43="",Dossiers!$D$25,MAX(IF(Paramètres!J43="",0,IF(Paramètres!K43="",NA(),IF(LEFT(TRIM(Paramètres!K43),1)="F",INDEX($F$1139:$F$1191,MATCH(Paramètres!J43,Paramètres!$G$5:$G$57,0)),INDEX($E$1139:$E$1191,MATCH(Paramètres!J43,Paramètres!$G$5:$G$57,0)))+IF(RIGHT(TRIM(Paramètres!K43),3)="Fin",1-$H1177,IF(LEFT(TRIM(Paramètres!K43),1)="F",1,0)))),IF(Paramètres!L43="",0,IF(Paramètres!M43="",NA(),IF(LEFT(TRIM(Paramètres!M43),1)="F",INDEX($F$1139:$F$1191,MATCH(Paramètres!L43,Paramètres!$G$5:$G$57,0)),INDEX($E$1139:$E$1191,MATCH(Paramètres!L43,Paramètres!$G$5:$G$57,0)))+IF(RIGHT(TRIM(Paramètres!M43),3)="Fin",1-$H1177,IF(LEFT(TRIM(Paramètres!M43),1)="F",1,0)))),IF(Paramètres!N43="",0,IF(Paramètres!O43="",NA(),IF(LEFT(TRIM(Paramètres!O43),1)="F",INDEX($F$1139:$F$1191,MATCH(Paramètres!N43,Paramètres!$G$5:$G$57,0)),INDEX($E$1139:$E$1191,MATCH(Paramètres!N43,Paramètres!$G$5:$G$57,0)))+IF(RIGHT(TRIM(Paramètres!O43),3)="Fin",1-$H1177,IF(LEFT(TRIM(Paramètres!O43),1)="F",1,0)))))))</f>
        <v/>
      </c>
      <c r="F1177" s="19">
        <f>IF($A1177="","",E1177+$H1177-1)</f>
        <v/>
      </c>
      <c r="G1177" s="18" t="n"/>
      <c r="H1177" s="18">
        <f>IF($A1177="","",IF(I1177&lt;&gt;"",I1177,Paramètres!B43))</f>
        <v/>
      </c>
      <c r="I1177" s="18" t="n"/>
    </row>
    <row r="1178">
      <c r="A1178" s="18">
        <f>IF(ISNUMBER(Dossiers!$D$25),Dossiers!$A$25&amp;" · "&amp;Dossiers!$B$25,"")</f>
        <v/>
      </c>
      <c r="B1178" s="18">
        <f>IF($A1178="","",Paramètres!G44)</f>
        <v/>
      </c>
      <c r="C1178" s="18">
        <f>IF($A1178="","",IF(Paramètres!H44="","",Paramètres!H44))</f>
        <v/>
      </c>
      <c r="D1178" s="18">
        <f>IF($A1178="","",IF(Paramètres!I44="","",Paramètres!I44))</f>
        <v/>
      </c>
      <c r="E1178" s="19">
        <f>IF($A1178="","",IF(Paramètres!J44&amp;Paramètres!L44&amp;Paramètres!N44="",Dossiers!$D$25,MAX(IF(Paramètres!J44="",0,IF(Paramètres!K44="",NA(),IF(LEFT(TRIM(Paramètres!K44),1)="F",INDEX($F$1139:$F$1191,MATCH(Paramètres!J44,Paramètres!$G$5:$G$57,0)),INDEX($E$1139:$E$1191,MATCH(Paramètres!J44,Paramètres!$G$5:$G$57,0)))+IF(RIGHT(TRIM(Paramètres!K44),3)="Fin",1-$H1178,IF(LEFT(TRIM(Paramètres!K44),1)="F",1,0)))),IF(Paramètres!L44="",0,IF(Paramètres!M44="",NA(),IF(LEFT(TRIM(Paramètres!M44),1)="F",INDEX($F$1139:$F$1191,MATCH(Paramètres!L44,Paramètres!$G$5:$G$57,0)),INDEX($E$1139:$E$1191,MATCH(Paramètres!L44,Paramètres!$G$5:$G$57,0)))+IF(RIGHT(TRIM(Paramètres!M44),3)="Fin",1-$H1178,IF(LEFT(TRIM(Paramètres!M44),1)="F",1,0)))),IF(Paramètres!N44="",0,IF(Paramètres!O44="",NA(),IF(LEFT(TRIM(Paramètres!O44),1)="F",INDEX($F$1139:$F$1191,MATCH(Paramètres!N44,Paramètres!$G$5:$G$57,0)),INDEX($E$1139:$E$1191,MATCH(Paramètres!N44,Paramètres!$G$5:$G$57,0)))+IF(RIGHT(TRIM(Paramètres!O44),3)="Fin",1-$H1178,IF(LEFT(TRIM(Paramètres!O44),1)="F",1,0)))))))</f>
        <v/>
      </c>
      <c r="F1178" s="19">
        <f>IF($A1178="","",E1178+$H1178-1)</f>
        <v/>
      </c>
      <c r="G1178" s="18" t="n"/>
      <c r="H1178" s="18">
        <f>IF($A1178="","",IF(I1178&lt;&gt;"",I1178,Paramètres!B44))</f>
        <v/>
      </c>
      <c r="I1178" s="18" t="n"/>
    </row>
    <row r="1179">
      <c r="A1179" s="18">
        <f>IF(ISNUMBER(Dossiers!$D$25),Dossiers!$A$25&amp;" · "&amp;Dossiers!$B$25,"")</f>
        <v/>
      </c>
      <c r="B1179" s="18">
        <f>IF($A1179="","",Paramètres!G45)</f>
        <v/>
      </c>
      <c r="C1179" s="20">
        <f>IF($A1179="","",IF(Dossiers!$G$25="","",Dossiers!$G$25))</f>
        <v/>
      </c>
      <c r="D1179" s="18">
        <f>IF($A1179="","",IF(Paramètres!I45="","",Paramètres!I45))</f>
        <v/>
      </c>
      <c r="E1179" s="19">
        <f>IF($A1179="","",IF(Paramètres!J45&amp;Paramètres!L45&amp;Paramètres!N45="",Dossiers!$D$25,MAX(IF(Paramètres!J45="",0,IF(Paramètres!K45="",NA(),IF(LEFT(TRIM(Paramètres!K45),1)="F",INDEX($F$1139:$F$1191,MATCH(Paramètres!J45,Paramètres!$G$5:$G$57,0)),INDEX($E$1139:$E$1191,MATCH(Paramètres!J45,Paramètres!$G$5:$G$57,0)))+IF(RIGHT(TRIM(Paramètres!K45),3)="Fin",1-$H1179,IF(LEFT(TRIM(Paramètres!K45),1)="F",1,0)))),IF(Paramètres!L45="",0,IF(Paramètres!M45="",NA(),IF(LEFT(TRIM(Paramètres!M45),1)="F",INDEX($F$1139:$F$1191,MATCH(Paramètres!L45,Paramètres!$G$5:$G$57,0)),INDEX($E$1139:$E$1191,MATCH(Paramètres!L45,Paramètres!$G$5:$G$57,0)))+IF(RIGHT(TRIM(Paramètres!M45),3)="Fin",1-$H1179,IF(LEFT(TRIM(Paramètres!M45),1)="F",1,0)))),IF(Paramètres!N45="",0,IF(Paramètres!O45="",NA(),IF(LEFT(TRIM(Paramètres!O45),1)="F",INDEX($F$1139:$F$1191,MATCH(Paramètres!N45,Paramètres!$G$5:$G$57,0)),INDEX($E$1139:$E$1191,MATCH(Paramètres!N45,Paramètres!$G$5:$G$57,0)))+IF(RIGHT(TRIM(Paramètres!O45),3)="Fin",1-$H1179,IF(LEFT(TRIM(Paramètres!O45),1)="F",1,0)))))))</f>
        <v/>
      </c>
      <c r="F1179" s="19">
        <f>IF($A1179="","",E1179+$H1179-1)</f>
        <v/>
      </c>
      <c r="G1179" s="18" t="n"/>
      <c r="H1179" s="18">
        <f>IF($A1179="","",IF(I1179&lt;&gt;"",I1179,Paramètres!B45))</f>
        <v/>
      </c>
      <c r="I1179" s="18" t="n"/>
    </row>
    <row r="1180">
      <c r="A1180" s="18">
        <f>IF(ISNUMBER(Dossiers!$D$25),Dossiers!$A$25&amp;" · "&amp;Dossiers!$B$25,"")</f>
        <v/>
      </c>
      <c r="B1180" s="18">
        <f>IF($A1180="","",Paramètres!G46)</f>
        <v/>
      </c>
      <c r="C1180" s="18">
        <f>IF($A1180="","",IF(Paramètres!H46="","",Paramètres!H46))</f>
        <v/>
      </c>
      <c r="D1180" s="18">
        <f>IF($A1180="","",IF(Paramètres!I46="","",Paramètres!I46))</f>
        <v/>
      </c>
      <c r="E1180" s="19">
        <f>IF($A1180="","",IF(Paramètres!J46&amp;Paramètres!L46&amp;Paramètres!N46="",Dossiers!$D$25,MAX(IF(Paramètres!J46="",0,IF(Paramètres!K46="",NA(),IF(LEFT(TRIM(Paramètres!K46),1)="F",INDEX($F$1139:$F$1191,MATCH(Paramètres!J46,Paramètres!$G$5:$G$57,0)),INDEX($E$1139:$E$1191,MATCH(Paramètres!J46,Paramètres!$G$5:$G$57,0)))+IF(RIGHT(TRIM(Paramètres!K46),3)="Fin",1-$H1180,IF(LEFT(TRIM(Paramètres!K46),1)="F",1,0)))),IF(Paramètres!L46="",0,IF(Paramètres!M46="",NA(),IF(LEFT(TRIM(Paramètres!M46),1)="F",INDEX($F$1139:$F$1191,MATCH(Paramètres!L46,Paramètres!$G$5:$G$57,0)),INDEX($E$1139:$E$1191,MATCH(Paramètres!L46,Paramètres!$G$5:$G$57,0)))+IF(RIGHT(TRIM(Paramètres!M46),3)="Fin",1-$H1180,IF(LEFT(TRIM(Paramètres!M46),1)="F",1,0)))),IF(Paramètres!N46="",0,IF(Paramètres!O46="",NA(),IF(LEFT(TRIM(Paramètres!O46),1)="F",INDEX($F$1139:$F$1191,MATCH(Paramètres!N46,Paramètres!$G$5:$G$57,0)),INDEX($E$1139:$E$1191,MATCH(Paramètres!N46,Paramètres!$G$5:$G$57,0)))+IF(RIGHT(TRIM(Paramètres!O46),3)="Fin",1-$H1180,IF(LEFT(TRIM(Paramètres!O46),1)="F",1,0)))))))</f>
        <v/>
      </c>
      <c r="F1180" s="19">
        <f>IF($A1180="","",E1180+$H1180-1)</f>
        <v/>
      </c>
      <c r="G1180" s="18" t="n"/>
      <c r="H1180" s="18">
        <f>IF($A1180="","",IF(I1180&lt;&gt;"",I1180,Paramètres!B46))</f>
        <v/>
      </c>
      <c r="I1180" s="18" t="n"/>
    </row>
    <row r="1181">
      <c r="A1181" s="18">
        <f>IF(ISNUMBER(Dossiers!$D$25),Dossiers!$A$25&amp;" · "&amp;Dossiers!$B$25,"")</f>
        <v/>
      </c>
      <c r="B1181" s="18">
        <f>IF($A1181="","",Paramètres!G47)</f>
        <v/>
      </c>
      <c r="C1181" s="18">
        <f>IF($A1181="","",IF(Paramètres!H47="","",Paramètres!H47))</f>
        <v/>
      </c>
      <c r="D1181" s="18">
        <f>IF($A1181="","",IF(Paramètres!I47="","",Paramètres!I47))</f>
        <v/>
      </c>
      <c r="E1181" s="19">
        <f>IF($A1181="","",IF(Paramètres!J47&amp;Paramètres!L47&amp;Paramètres!N47="",Dossiers!$D$25,MAX(IF(Paramètres!J47="",0,IF(Paramètres!K47="",NA(),IF(LEFT(TRIM(Paramètres!K47),1)="F",INDEX($F$1139:$F$1191,MATCH(Paramètres!J47,Paramètres!$G$5:$G$57,0)),INDEX($E$1139:$E$1191,MATCH(Paramètres!J47,Paramètres!$G$5:$G$57,0)))+IF(RIGHT(TRIM(Paramètres!K47),3)="Fin",1-$H1181,IF(LEFT(TRIM(Paramètres!K47),1)="F",1,0)))),IF(Paramètres!L47="",0,IF(Paramètres!M47="",NA(),IF(LEFT(TRIM(Paramètres!M47),1)="F",INDEX($F$1139:$F$1191,MATCH(Paramètres!L47,Paramètres!$G$5:$G$57,0)),INDEX($E$1139:$E$1191,MATCH(Paramètres!L47,Paramètres!$G$5:$G$57,0)))+IF(RIGHT(TRIM(Paramètres!M47),3)="Fin",1-$H1181,IF(LEFT(TRIM(Paramètres!M47),1)="F",1,0)))),IF(Paramètres!N47="",0,IF(Paramètres!O47="",NA(),IF(LEFT(TRIM(Paramètres!O47),1)="F",INDEX($F$1139:$F$1191,MATCH(Paramètres!N47,Paramètres!$G$5:$G$57,0)),INDEX($E$1139:$E$1191,MATCH(Paramètres!N47,Paramètres!$G$5:$G$57,0)))+IF(RIGHT(TRIM(Paramètres!O47),3)="Fin",1-$H1181,IF(LEFT(TRIM(Paramètres!O47),1)="F",1,0)))))))</f>
        <v/>
      </c>
      <c r="F1181" s="19">
        <f>IF($A1181="","",E1181+$H1181-1)</f>
        <v/>
      </c>
      <c r="G1181" s="18" t="n"/>
      <c r="H1181" s="18">
        <f>IF($A1181="","",IF(I1181&lt;&gt;"",I1181,Paramètres!B47))</f>
        <v/>
      </c>
      <c r="I1181" s="18" t="n"/>
    </row>
    <row r="1182">
      <c r="A1182" s="18">
        <f>IF(ISNUMBER(Dossiers!$D$25),Dossiers!$A$25&amp;" · "&amp;Dossiers!$B$25,"")</f>
        <v/>
      </c>
      <c r="B1182" s="18">
        <f>IF($A1182="","",Paramètres!G48)</f>
        <v/>
      </c>
      <c r="C1182" s="18">
        <f>IF($A1182="","",IF(Paramètres!H48="","",Paramètres!H48))</f>
        <v/>
      </c>
      <c r="D1182" s="18">
        <f>IF($A1182="","",IF(Paramètres!I48="","",Paramètres!I48))</f>
        <v/>
      </c>
      <c r="E1182" s="19">
        <f>IF($A1182="","",IF(Paramètres!J48&amp;Paramètres!L48&amp;Paramètres!N48="",Dossiers!$D$25,MAX(IF(Paramètres!J48="",0,IF(Paramètres!K48="",NA(),IF(LEFT(TRIM(Paramètres!K48),1)="F",INDEX($F$1139:$F$1191,MATCH(Paramètres!J48,Paramètres!$G$5:$G$57,0)),INDEX($E$1139:$E$1191,MATCH(Paramètres!J48,Paramètres!$G$5:$G$57,0)))+IF(RIGHT(TRIM(Paramètres!K48),3)="Fin",1-$H1182,IF(LEFT(TRIM(Paramètres!K48),1)="F",1,0)))),IF(Paramètres!L48="",0,IF(Paramètres!M48="",NA(),IF(LEFT(TRIM(Paramètres!M48),1)="F",INDEX($F$1139:$F$1191,MATCH(Paramètres!L48,Paramètres!$G$5:$G$57,0)),INDEX($E$1139:$E$1191,MATCH(Paramètres!L48,Paramètres!$G$5:$G$57,0)))+IF(RIGHT(TRIM(Paramètres!M48),3)="Fin",1-$H1182,IF(LEFT(TRIM(Paramètres!M48),1)="F",1,0)))),IF(Paramètres!N48="",0,IF(Paramètres!O48="",NA(),IF(LEFT(TRIM(Paramètres!O48),1)="F",INDEX($F$1139:$F$1191,MATCH(Paramètres!N48,Paramètres!$G$5:$G$57,0)),INDEX($E$1139:$E$1191,MATCH(Paramètres!N48,Paramètres!$G$5:$G$57,0)))+IF(RIGHT(TRIM(Paramètres!O48),3)="Fin",1-$H1182,IF(LEFT(TRIM(Paramètres!O48),1)="F",1,0)))))))</f>
        <v/>
      </c>
      <c r="F1182" s="19">
        <f>IF($A1182="","",E1182+$H1182-1)</f>
        <v/>
      </c>
      <c r="G1182" s="18" t="n"/>
      <c r="H1182" s="18">
        <f>IF($A1182="","",IF(I1182&lt;&gt;"",I1182,Paramètres!B48))</f>
        <v/>
      </c>
      <c r="I1182" s="18" t="n"/>
    </row>
    <row r="1183">
      <c r="A1183" s="18">
        <f>IF(ISNUMBER(Dossiers!$D$25),Dossiers!$A$25&amp;" · "&amp;Dossiers!$B$25,"")</f>
        <v/>
      </c>
      <c r="B1183" s="18">
        <f>IF($A1183="","",Paramètres!G49)</f>
        <v/>
      </c>
      <c r="C1183" s="18">
        <f>IF($A1183="","",IF(Paramètres!H49="","",Paramètres!H49))</f>
        <v/>
      </c>
      <c r="D1183" s="18">
        <f>IF($A1183="","",IF(Paramètres!I49="","",Paramètres!I49))</f>
        <v/>
      </c>
      <c r="E1183" s="19">
        <f>IF($A1183="","",IF(Paramètres!J49&amp;Paramètres!L49&amp;Paramètres!N49="",Dossiers!$D$25,MAX(IF(Paramètres!J49="",0,IF(Paramètres!K49="",NA(),IF(LEFT(TRIM(Paramètres!K49),1)="F",INDEX($F$1139:$F$1191,MATCH(Paramètres!J49,Paramètres!$G$5:$G$57,0)),INDEX($E$1139:$E$1191,MATCH(Paramètres!J49,Paramètres!$G$5:$G$57,0)))+IF(RIGHT(TRIM(Paramètres!K49),3)="Fin",1-$H1183,IF(LEFT(TRIM(Paramètres!K49),1)="F",1,0)))),IF(Paramètres!L49="",0,IF(Paramètres!M49="",NA(),IF(LEFT(TRIM(Paramètres!M49),1)="F",INDEX($F$1139:$F$1191,MATCH(Paramètres!L49,Paramètres!$G$5:$G$57,0)),INDEX($E$1139:$E$1191,MATCH(Paramètres!L49,Paramètres!$G$5:$G$57,0)))+IF(RIGHT(TRIM(Paramètres!M49),3)="Fin",1-$H1183,IF(LEFT(TRIM(Paramètres!M49),1)="F",1,0)))),IF(Paramètres!N49="",0,IF(Paramètres!O49="",NA(),IF(LEFT(TRIM(Paramètres!O49),1)="F",INDEX($F$1139:$F$1191,MATCH(Paramètres!N49,Paramètres!$G$5:$G$57,0)),INDEX($E$1139:$E$1191,MATCH(Paramètres!N49,Paramètres!$G$5:$G$57,0)))+IF(RIGHT(TRIM(Paramètres!O49),3)="Fin",1-$H1183,IF(LEFT(TRIM(Paramètres!O49),1)="F",1,0)))))))</f>
        <v/>
      </c>
      <c r="F1183" s="19">
        <f>IF($A1183="","",E1183+$H1183-1)</f>
        <v/>
      </c>
      <c r="G1183" s="18" t="n"/>
      <c r="H1183" s="18">
        <f>IF($A1183="","",IF(I1183&lt;&gt;"",I1183,Paramètres!B49))</f>
        <v/>
      </c>
      <c r="I1183" s="18" t="n"/>
    </row>
    <row r="1184">
      <c r="A1184" s="18">
        <f>IF(ISNUMBER(Dossiers!$D$25),Dossiers!$A$25&amp;" · "&amp;Dossiers!$B$25,"")</f>
        <v/>
      </c>
      <c r="B1184" s="18">
        <f>IF($A1184="","",Paramètres!G50)</f>
        <v/>
      </c>
      <c r="C1184" s="18">
        <f>IF($A1184="","",IF(Paramètres!H50="","",Paramètres!H50))</f>
        <v/>
      </c>
      <c r="D1184" s="18">
        <f>IF($A1184="","",IF(Paramètres!I50="","",Paramètres!I50))</f>
        <v/>
      </c>
      <c r="E1184" s="19">
        <f>IF($A1184="","",IF(Paramètres!J50&amp;Paramètres!L50&amp;Paramètres!N50="",Dossiers!$D$25,MAX(IF(Paramètres!J50="",0,IF(Paramètres!K50="",NA(),IF(LEFT(TRIM(Paramètres!K50),1)="F",INDEX($F$1139:$F$1191,MATCH(Paramètres!J50,Paramètres!$G$5:$G$57,0)),INDEX($E$1139:$E$1191,MATCH(Paramètres!J50,Paramètres!$G$5:$G$57,0)))+IF(RIGHT(TRIM(Paramètres!K50),3)="Fin",1-$H1184,IF(LEFT(TRIM(Paramètres!K50),1)="F",1,0)))),IF(Paramètres!L50="",0,IF(Paramètres!M50="",NA(),IF(LEFT(TRIM(Paramètres!M50),1)="F",INDEX($F$1139:$F$1191,MATCH(Paramètres!L50,Paramètres!$G$5:$G$57,0)),INDEX($E$1139:$E$1191,MATCH(Paramètres!L50,Paramètres!$G$5:$G$57,0)))+IF(RIGHT(TRIM(Paramètres!M50),3)="Fin",1-$H1184,IF(LEFT(TRIM(Paramètres!M50),1)="F",1,0)))),IF(Paramètres!N50="",0,IF(Paramètres!O50="",NA(),IF(LEFT(TRIM(Paramètres!O50),1)="F",INDEX($F$1139:$F$1191,MATCH(Paramètres!N50,Paramètres!$G$5:$G$57,0)),INDEX($E$1139:$E$1191,MATCH(Paramètres!N50,Paramètres!$G$5:$G$57,0)))+IF(RIGHT(TRIM(Paramètres!O50),3)="Fin",1-$H1184,IF(LEFT(TRIM(Paramètres!O50),1)="F",1,0)))))))</f>
        <v/>
      </c>
      <c r="F1184" s="19">
        <f>IF($A1184="","",E1184+$H1184-1)</f>
        <v/>
      </c>
      <c r="G1184" s="18" t="n"/>
      <c r="H1184" s="18">
        <f>IF($A1184="","",IF(I1184&lt;&gt;"",I1184,Paramètres!B50))</f>
        <v/>
      </c>
      <c r="I1184" s="18" t="n"/>
    </row>
    <row r="1185">
      <c r="A1185" s="18">
        <f>IF(ISNUMBER(Dossiers!$D$25),Dossiers!$A$25&amp;" · "&amp;Dossiers!$B$25,"")</f>
        <v/>
      </c>
      <c r="B1185" s="18">
        <f>IF($A1185="","",Paramètres!G51)</f>
        <v/>
      </c>
      <c r="C1185" s="18">
        <f>IF($A1185="","",IF(Paramètres!H51="","",Paramètres!H51))</f>
        <v/>
      </c>
      <c r="D1185" s="18">
        <f>IF($A1185="","",IF(Paramètres!I51="","",Paramètres!I51))</f>
        <v/>
      </c>
      <c r="E1185" s="19">
        <f>IF($A1185="","",IF(Paramètres!J51&amp;Paramètres!L51&amp;Paramètres!N51="",Dossiers!$D$25,MAX(IF(Paramètres!J51="",0,IF(Paramètres!K51="",NA(),IF(LEFT(TRIM(Paramètres!K51),1)="F",INDEX($F$1139:$F$1191,MATCH(Paramètres!J51,Paramètres!$G$5:$G$57,0)),INDEX($E$1139:$E$1191,MATCH(Paramètres!J51,Paramètres!$G$5:$G$57,0)))+IF(RIGHT(TRIM(Paramètres!K51),3)="Fin",1-$H1185,IF(LEFT(TRIM(Paramètres!K51),1)="F",1,0)))),IF(Paramètres!L51="",0,IF(Paramètres!M51="",NA(),IF(LEFT(TRIM(Paramètres!M51),1)="F",INDEX($F$1139:$F$1191,MATCH(Paramètres!L51,Paramètres!$G$5:$G$57,0)),INDEX($E$1139:$E$1191,MATCH(Paramètres!L51,Paramètres!$G$5:$G$57,0)))+IF(RIGHT(TRIM(Paramètres!M51),3)="Fin",1-$H1185,IF(LEFT(TRIM(Paramètres!M51),1)="F",1,0)))),IF(Paramètres!N51="",0,IF(Paramètres!O51="",NA(),IF(LEFT(TRIM(Paramètres!O51),1)="F",INDEX($F$1139:$F$1191,MATCH(Paramètres!N51,Paramètres!$G$5:$G$57,0)),INDEX($E$1139:$E$1191,MATCH(Paramètres!N51,Paramètres!$G$5:$G$57,0)))+IF(RIGHT(TRIM(Paramètres!O51),3)="Fin",1-$H1185,IF(LEFT(TRIM(Paramètres!O51),1)="F",1,0)))))))</f>
        <v/>
      </c>
      <c r="F1185" s="19">
        <f>IF($A1185="","",E1185+$H1185-1)</f>
        <v/>
      </c>
      <c r="G1185" s="18" t="n"/>
      <c r="H1185" s="18">
        <f>IF($A1185="","",IF(I1185&lt;&gt;"",I1185,Paramètres!B51))</f>
        <v/>
      </c>
      <c r="I1185" s="18" t="n"/>
    </row>
    <row r="1186">
      <c r="A1186" s="18">
        <f>IF(ISNUMBER(Dossiers!$D$25),Dossiers!$A$25&amp;" · "&amp;Dossiers!$B$25,"")</f>
        <v/>
      </c>
      <c r="B1186" s="18">
        <f>IF($A1186="","",Paramètres!G52)</f>
        <v/>
      </c>
      <c r="C1186" s="18">
        <f>IF($A1186="","",IF(Paramètres!H52="","",Paramètres!H52))</f>
        <v/>
      </c>
      <c r="D1186" s="18">
        <f>IF($A1186="","",IF(Paramètres!I52="","",Paramètres!I52))</f>
        <v/>
      </c>
      <c r="E1186" s="19">
        <f>IF($A1186="","",IF(Paramètres!J52&amp;Paramètres!L52&amp;Paramètres!N52="",Dossiers!$D$25,MAX(IF(Paramètres!J52="",0,IF(Paramètres!K52="",NA(),IF(LEFT(TRIM(Paramètres!K52),1)="F",INDEX($F$1139:$F$1191,MATCH(Paramètres!J52,Paramètres!$G$5:$G$57,0)),INDEX($E$1139:$E$1191,MATCH(Paramètres!J52,Paramètres!$G$5:$G$57,0)))+IF(RIGHT(TRIM(Paramètres!K52),3)="Fin",1-$H1186,IF(LEFT(TRIM(Paramètres!K52),1)="F",1,0)))),IF(Paramètres!L52="",0,IF(Paramètres!M52="",NA(),IF(LEFT(TRIM(Paramètres!M52),1)="F",INDEX($F$1139:$F$1191,MATCH(Paramètres!L52,Paramètres!$G$5:$G$57,0)),INDEX($E$1139:$E$1191,MATCH(Paramètres!L52,Paramètres!$G$5:$G$57,0)))+IF(RIGHT(TRIM(Paramètres!M52),3)="Fin",1-$H1186,IF(LEFT(TRIM(Paramètres!M52),1)="F",1,0)))),IF(Paramètres!N52="",0,IF(Paramètres!O52="",NA(),IF(LEFT(TRIM(Paramètres!O52),1)="F",INDEX($F$1139:$F$1191,MATCH(Paramètres!N52,Paramètres!$G$5:$G$57,0)),INDEX($E$1139:$E$1191,MATCH(Paramètres!N52,Paramètres!$G$5:$G$57,0)))+IF(RIGHT(TRIM(Paramètres!O52),3)="Fin",1-$H1186,IF(LEFT(TRIM(Paramètres!O52),1)="F",1,0)))))))</f>
        <v/>
      </c>
      <c r="F1186" s="19">
        <f>IF($A1186="","",E1186+$H1186-1)</f>
        <v/>
      </c>
      <c r="G1186" s="18" t="n"/>
      <c r="H1186" s="18">
        <f>IF($A1186="","",IF(I1186&lt;&gt;"",I1186,Paramètres!B52))</f>
        <v/>
      </c>
      <c r="I1186" s="18" t="n"/>
    </row>
    <row r="1187">
      <c r="A1187" s="18">
        <f>IF(ISNUMBER(Dossiers!$D$25),Dossiers!$A$25&amp;" · "&amp;Dossiers!$B$25,"")</f>
        <v/>
      </c>
      <c r="B1187" s="18">
        <f>IF($A1187="","",Paramètres!G53)</f>
        <v/>
      </c>
      <c r="C1187" s="18">
        <f>IF($A1187="","",IF(Paramètres!H53="","",Paramètres!H53))</f>
        <v/>
      </c>
      <c r="D1187" s="18">
        <f>IF($A1187="","",IF(Paramètres!I53="","",Paramètres!I53))</f>
        <v/>
      </c>
      <c r="E1187" s="19">
        <f>IF($A1187="","",IF(Paramètres!J53&amp;Paramètres!L53&amp;Paramètres!N53="",Dossiers!$D$25,MAX(IF(Paramètres!J53="",0,IF(Paramètres!K53="",NA(),IF(LEFT(TRIM(Paramètres!K53),1)="F",INDEX($F$1139:$F$1191,MATCH(Paramètres!J53,Paramètres!$G$5:$G$57,0)),INDEX($E$1139:$E$1191,MATCH(Paramètres!J53,Paramètres!$G$5:$G$57,0)))+IF(RIGHT(TRIM(Paramètres!K53),3)="Fin",1-$H1187,IF(LEFT(TRIM(Paramètres!K53),1)="F",1,0)))),IF(Paramètres!L53="",0,IF(Paramètres!M53="",NA(),IF(LEFT(TRIM(Paramètres!M53),1)="F",INDEX($F$1139:$F$1191,MATCH(Paramètres!L53,Paramètres!$G$5:$G$57,0)),INDEX($E$1139:$E$1191,MATCH(Paramètres!L53,Paramètres!$G$5:$G$57,0)))+IF(RIGHT(TRIM(Paramètres!M53),3)="Fin",1-$H1187,IF(LEFT(TRIM(Paramètres!M53),1)="F",1,0)))),IF(Paramètres!N53="",0,IF(Paramètres!O53="",NA(),IF(LEFT(TRIM(Paramètres!O53),1)="F",INDEX($F$1139:$F$1191,MATCH(Paramètres!N53,Paramètres!$G$5:$G$57,0)),INDEX($E$1139:$E$1191,MATCH(Paramètres!N53,Paramètres!$G$5:$G$57,0)))+IF(RIGHT(TRIM(Paramètres!O53),3)="Fin",1-$H1187,IF(LEFT(TRIM(Paramètres!O53),1)="F",1,0)))))))</f>
        <v/>
      </c>
      <c r="F1187" s="19">
        <f>IF($A1187="","",E1187+$H1187-1)</f>
        <v/>
      </c>
      <c r="G1187" s="18" t="n"/>
      <c r="H1187" s="18">
        <f>IF($A1187="","",IF(I1187&lt;&gt;"",I1187,Paramètres!B53))</f>
        <v/>
      </c>
      <c r="I1187" s="18" t="n"/>
    </row>
    <row r="1188">
      <c r="A1188" s="18">
        <f>IF(ISNUMBER(Dossiers!$D$25),Dossiers!$A$25&amp;" · "&amp;Dossiers!$B$25,"")</f>
        <v/>
      </c>
      <c r="B1188" s="18">
        <f>IF($A1188="","",Paramètres!G54)</f>
        <v/>
      </c>
      <c r="C1188" s="18">
        <f>IF($A1188="","",IF(Paramètres!H54="","",Paramètres!H54))</f>
        <v/>
      </c>
      <c r="D1188" s="18">
        <f>IF($A1188="","",IF(Paramètres!I54="","",Paramètres!I54))</f>
        <v/>
      </c>
      <c r="E1188" s="19">
        <f>IF($A1188="","",IF(Paramètres!J54&amp;Paramètres!L54&amp;Paramètres!N54="",Dossiers!$D$25,MAX(IF(Paramètres!J54="",0,IF(Paramètres!K54="",NA(),IF(LEFT(TRIM(Paramètres!K54),1)="F",INDEX($F$1139:$F$1191,MATCH(Paramètres!J54,Paramètres!$G$5:$G$57,0)),INDEX($E$1139:$E$1191,MATCH(Paramètres!J54,Paramètres!$G$5:$G$57,0)))+IF(RIGHT(TRIM(Paramètres!K54),3)="Fin",1-$H1188,IF(LEFT(TRIM(Paramètres!K54),1)="F",1,0)))),IF(Paramètres!L54="",0,IF(Paramètres!M54="",NA(),IF(LEFT(TRIM(Paramètres!M54),1)="F",INDEX($F$1139:$F$1191,MATCH(Paramètres!L54,Paramètres!$G$5:$G$57,0)),INDEX($E$1139:$E$1191,MATCH(Paramètres!L54,Paramètres!$G$5:$G$57,0)))+IF(RIGHT(TRIM(Paramètres!M54),3)="Fin",1-$H1188,IF(LEFT(TRIM(Paramètres!M54),1)="F",1,0)))),IF(Paramètres!N54="",0,IF(Paramètres!O54="",NA(),IF(LEFT(TRIM(Paramètres!O54),1)="F",INDEX($F$1139:$F$1191,MATCH(Paramètres!N54,Paramètres!$G$5:$G$57,0)),INDEX($E$1139:$E$1191,MATCH(Paramètres!N54,Paramètres!$G$5:$G$57,0)))+IF(RIGHT(TRIM(Paramètres!O54),3)="Fin",1-$H1188,IF(LEFT(TRIM(Paramètres!O54),1)="F",1,0)))))))</f>
        <v/>
      </c>
      <c r="F1188" s="19">
        <f>IF($A1188="","",E1188+$H1188-1)</f>
        <v/>
      </c>
      <c r="G1188" s="18" t="n"/>
      <c r="H1188" s="18">
        <f>IF($A1188="","",IF(I1188&lt;&gt;"",I1188,Paramètres!B54))</f>
        <v/>
      </c>
      <c r="I1188" s="18" t="n"/>
    </row>
    <row r="1189">
      <c r="A1189" s="18">
        <f>IF(ISNUMBER(Dossiers!$D$25),Dossiers!$A$25&amp;" · "&amp;Dossiers!$B$25,"")</f>
        <v/>
      </c>
      <c r="B1189" s="18">
        <f>IF($A1189="","",Paramètres!G55)</f>
        <v/>
      </c>
      <c r="C1189" s="18">
        <f>IF($A1189="","",IF(Paramètres!H55="","",Paramètres!H55))</f>
        <v/>
      </c>
      <c r="D1189" s="18">
        <f>IF($A1189="","",IF(Paramètres!I55="","",Paramètres!I55))</f>
        <v/>
      </c>
      <c r="E1189" s="19">
        <f>IF($A1189="","",IF(Paramètres!J55&amp;Paramètres!L55&amp;Paramètres!N55="",Dossiers!$D$25,MAX(IF(Paramètres!J55="",0,IF(Paramètres!K55="",NA(),IF(LEFT(TRIM(Paramètres!K55),1)="F",INDEX($F$1139:$F$1191,MATCH(Paramètres!J55,Paramètres!$G$5:$G$57,0)),INDEX($E$1139:$E$1191,MATCH(Paramètres!J55,Paramètres!$G$5:$G$57,0)))+IF(RIGHT(TRIM(Paramètres!K55),3)="Fin",1-$H1189,IF(LEFT(TRIM(Paramètres!K55),1)="F",1,0)))),IF(Paramètres!L55="",0,IF(Paramètres!M55="",NA(),IF(LEFT(TRIM(Paramètres!M55),1)="F",INDEX($F$1139:$F$1191,MATCH(Paramètres!L55,Paramètres!$G$5:$G$57,0)),INDEX($E$1139:$E$1191,MATCH(Paramètres!L55,Paramètres!$G$5:$G$57,0)))+IF(RIGHT(TRIM(Paramètres!M55),3)="Fin",1-$H1189,IF(LEFT(TRIM(Paramètres!M55),1)="F",1,0)))),IF(Paramètres!N55="",0,IF(Paramètres!O55="",NA(),IF(LEFT(TRIM(Paramètres!O55),1)="F",INDEX($F$1139:$F$1191,MATCH(Paramètres!N55,Paramètres!$G$5:$G$57,0)),INDEX($E$1139:$E$1191,MATCH(Paramètres!N55,Paramètres!$G$5:$G$57,0)))+IF(RIGHT(TRIM(Paramètres!O55),3)="Fin",1-$H1189,IF(LEFT(TRIM(Paramètres!O55),1)="F",1,0)))))))</f>
        <v/>
      </c>
      <c r="F1189" s="19">
        <f>IF($A1189="","",E1189+$H1189-1)</f>
        <v/>
      </c>
      <c r="G1189" s="18" t="n"/>
      <c r="H1189" s="18">
        <f>IF($A1189="","",IF(I1189&lt;&gt;"",I1189,Paramètres!B55))</f>
        <v/>
      </c>
      <c r="I1189" s="18" t="n"/>
    </row>
    <row r="1190">
      <c r="A1190" s="18">
        <f>IF(ISNUMBER(Dossiers!$D$25),Dossiers!$A$25&amp;" · "&amp;Dossiers!$B$25,"")</f>
        <v/>
      </c>
      <c r="B1190" s="18">
        <f>IF($A1190="","",Paramètres!G56)</f>
        <v/>
      </c>
      <c r="C1190" s="18">
        <f>IF($A1190="","",IF(Paramètres!H56="","",Paramètres!H56))</f>
        <v/>
      </c>
      <c r="D1190" s="18">
        <f>IF($A1190="","",IF(Paramètres!I56="","",Paramètres!I56))</f>
        <v/>
      </c>
      <c r="E1190" s="19">
        <f>IF($A1190="","",MIN(E1191:E1191))</f>
        <v/>
      </c>
      <c r="F1190" s="19">
        <f>IF($A1190="","",MAX(F1191:F1191))</f>
        <v/>
      </c>
      <c r="G1190" s="18" t="n"/>
      <c r="H1190" s="18">
        <f>IF($A1190="","",F1190-E1190+1)</f>
        <v/>
      </c>
      <c r="I1190" s="18" t="n"/>
    </row>
    <row r="1191">
      <c r="A1191" s="18">
        <f>IF(ISNUMBER(Dossiers!$D$25),Dossiers!$A$25&amp;" · "&amp;Dossiers!$B$25,"")</f>
        <v/>
      </c>
      <c r="B1191" s="18">
        <f>IF($A1191="","",Paramètres!G57)</f>
        <v/>
      </c>
      <c r="C1191" s="18">
        <f>IF($A1191="","",IF(Paramètres!H57="","",Paramètres!H57))</f>
        <v/>
      </c>
      <c r="D1191" s="18">
        <f>IF($A1191="","",IF(Paramètres!I57="","",Paramètres!I57))</f>
        <v/>
      </c>
      <c r="E1191" s="19">
        <f>IF($A1191="","",IF(Paramètres!J57&amp;Paramètres!L57&amp;Paramètres!N57="",Dossiers!$D$25,MAX(IF(Paramètres!J57="",0,IF(Paramètres!K57="",NA(),IF(LEFT(TRIM(Paramètres!K57),1)="F",INDEX($F$1139:$F$1191,MATCH(Paramètres!J57,Paramètres!$G$5:$G$57,0)),INDEX($E$1139:$E$1191,MATCH(Paramètres!J57,Paramètres!$G$5:$G$57,0)))+IF(RIGHT(TRIM(Paramètres!K57),3)="Fin",1-$H1191,IF(LEFT(TRIM(Paramètres!K57),1)="F",1,0)))),IF(Paramètres!L57="",0,IF(Paramètres!M57="",NA(),IF(LEFT(TRIM(Paramètres!M57),1)="F",INDEX($F$1139:$F$1191,MATCH(Paramètres!L57,Paramètres!$G$5:$G$57,0)),INDEX($E$1139:$E$1191,MATCH(Paramètres!L57,Paramètres!$G$5:$G$57,0)))+IF(RIGHT(TRIM(Paramètres!M57),3)="Fin",1-$H1191,IF(LEFT(TRIM(Paramètres!M57),1)="F",1,0)))),IF(Paramètres!N57="",0,IF(Paramètres!O57="",NA(),IF(LEFT(TRIM(Paramètres!O57),1)="F",INDEX($F$1139:$F$1191,MATCH(Paramètres!N57,Paramètres!$G$5:$G$57,0)),INDEX($E$1139:$E$1191,MATCH(Paramètres!N57,Paramètres!$G$5:$G$57,0)))+IF(RIGHT(TRIM(Paramètres!O57),3)="Fin",1-$H1191,IF(LEFT(TRIM(Paramètres!O57),1)="F",1,0)))))))</f>
        <v/>
      </c>
      <c r="F1191" s="19">
        <f>IF($A1191="","",E1191+$H1191-1)</f>
        <v/>
      </c>
      <c r="G1191" s="18" t="n"/>
      <c r="H1191" s="18">
        <f>IF($A1191="","",IF(I1191&lt;&gt;"",I1191,Paramètres!B57))</f>
        <v/>
      </c>
      <c r="I1191" s="18" t="n"/>
    </row>
    <row r="1192">
      <c r="A1192" s="16">
        <f>IF(ISNUMBER(Dossiers!$D$26),Dossiers!$E$26,"")</f>
        <v/>
      </c>
      <c r="B1192" s="16">
        <f>IF($A1192="","","Identifiant")</f>
        <v/>
      </c>
      <c r="C1192" s="16">
        <f>IF($A1192="","","Macro Etape")</f>
        <v/>
      </c>
      <c r="D1192" s="16">
        <f>IF($A1192="","","Etape")</f>
        <v/>
      </c>
      <c r="E1192" s="17">
        <f>IF($A1192="","","Début le")</f>
        <v/>
      </c>
      <c r="F1192" s="17">
        <f>IF($A1192="","","Fin prévue le")</f>
        <v/>
      </c>
      <c r="G1192" s="16">
        <f>IF($A1192="","","Statut")</f>
        <v/>
      </c>
      <c r="H1192" s="16">
        <f>IF($A1192="","","Durée (jours)")</f>
        <v/>
      </c>
      <c r="I1192" s="16">
        <f>IF($A1192="","","Durée particulière")</f>
        <v/>
      </c>
      <c r="J1192" s="10">
        <f>IF($A1192="","",HYPERLINK("#'Tableau de bord'!A1","↑ Tableau de bord"))</f>
        <v/>
      </c>
    </row>
    <row r="1193">
      <c r="A1193" s="18">
        <f>IF(ISNUMBER(Dossiers!$D$26),Dossiers!$A$26&amp;" · "&amp;Dossiers!$B$26,"")</f>
        <v/>
      </c>
      <c r="B1193" s="18">
        <f>IF($A1193="","",Paramètres!G5)</f>
        <v/>
      </c>
      <c r="C1193" s="18">
        <f>IF($A1193="","",IF(Paramètres!H5="","",Paramètres!H5))</f>
        <v/>
      </c>
      <c r="D1193" s="18">
        <f>IF($A1193="","",IF(Paramètres!I5="","",Paramètres!I5))</f>
        <v/>
      </c>
      <c r="E1193" s="19">
        <f>IF($A1193="","",MIN(E1194:E1197))</f>
        <v/>
      </c>
      <c r="F1193" s="19">
        <f>IF($A1193="","",MAX(F1194:F1197))</f>
        <v/>
      </c>
      <c r="G1193" s="18" t="n"/>
      <c r="H1193" s="18">
        <f>IF($A1193="","",F1193-E1193+1)</f>
        <v/>
      </c>
      <c r="I1193" s="18" t="n"/>
    </row>
    <row r="1194">
      <c r="A1194" s="18">
        <f>IF(ISNUMBER(Dossiers!$D$26),Dossiers!$A$26&amp;" · "&amp;Dossiers!$B$26,"")</f>
        <v/>
      </c>
      <c r="B1194" s="18">
        <f>IF($A1194="","",Paramètres!G6)</f>
        <v/>
      </c>
      <c r="C1194" s="18">
        <f>IF($A1194="","",IF(Paramètres!H6="","",Paramètres!H6))</f>
        <v/>
      </c>
      <c r="D1194" s="18">
        <f>IF($A1194="","",IF(Paramètres!I6="","",Paramètres!I6))</f>
        <v/>
      </c>
      <c r="E1194" s="19">
        <f>IF($A1194="","",IF(Paramètres!J6&amp;Paramètres!L6&amp;Paramètres!N6="",Dossiers!$D$26,MAX(IF(Paramètres!J6="",0,IF(Paramètres!K6="",NA(),IF(LEFT(TRIM(Paramètres!K6),1)="F",INDEX($F$1193:$F$1245,MATCH(Paramètres!J6,Paramètres!$G$5:$G$57,0)),INDEX($E$1193:$E$1245,MATCH(Paramètres!J6,Paramètres!$G$5:$G$57,0)))+IF(RIGHT(TRIM(Paramètres!K6),3)="Fin",1-$H1194,IF(LEFT(TRIM(Paramètres!K6),1)="F",1,0)))),IF(Paramètres!L6="",0,IF(Paramètres!M6="",NA(),IF(LEFT(TRIM(Paramètres!M6),1)="F",INDEX($F$1193:$F$1245,MATCH(Paramètres!L6,Paramètres!$G$5:$G$57,0)),INDEX($E$1193:$E$1245,MATCH(Paramètres!L6,Paramètres!$G$5:$G$57,0)))+IF(RIGHT(TRIM(Paramètres!M6),3)="Fin",1-$H1194,IF(LEFT(TRIM(Paramètres!M6),1)="F",1,0)))),IF(Paramètres!N6="",0,IF(Paramètres!O6="",NA(),IF(LEFT(TRIM(Paramètres!O6),1)="F",INDEX($F$1193:$F$1245,MATCH(Paramètres!N6,Paramètres!$G$5:$G$57,0)),INDEX($E$1193:$E$1245,MATCH(Paramètres!N6,Paramètres!$G$5:$G$57,0)))+IF(RIGHT(TRIM(Paramètres!O6),3)="Fin",1-$H1194,IF(LEFT(TRIM(Paramètres!O6),1)="F",1,0)))))))</f>
        <v/>
      </c>
      <c r="F1194" s="19">
        <f>IF($A1194="","",E1194+$H1194-1)</f>
        <v/>
      </c>
      <c r="G1194" s="18" t="n"/>
      <c r="H1194" s="18">
        <f>IF($A1194="","",IF(I1194&lt;&gt;"",I1194,Paramètres!B6))</f>
        <v/>
      </c>
      <c r="I1194" s="18" t="n"/>
    </row>
    <row r="1195">
      <c r="A1195" s="18">
        <f>IF(ISNUMBER(Dossiers!$D$26),Dossiers!$A$26&amp;" · "&amp;Dossiers!$B$26,"")</f>
        <v/>
      </c>
      <c r="B1195" s="18">
        <f>IF($A1195="","",Paramètres!G7)</f>
        <v/>
      </c>
      <c r="C1195" s="18">
        <f>IF($A1195="","",IF(Paramètres!H7="","",Paramètres!H7))</f>
        <v/>
      </c>
      <c r="D1195" s="18">
        <f>IF($A1195="","",IF(Paramètres!I7="","",Paramètres!I7))</f>
        <v/>
      </c>
      <c r="E1195" s="19">
        <f>IF($A1195="","",IF(Paramètres!J7&amp;Paramètres!L7&amp;Paramètres!N7="",Dossiers!$D$26,MAX(IF(Paramètres!J7="",0,IF(Paramètres!K7="",NA(),IF(LEFT(TRIM(Paramètres!K7),1)="F",INDEX($F$1193:$F$1245,MATCH(Paramètres!J7,Paramètres!$G$5:$G$57,0)),INDEX($E$1193:$E$1245,MATCH(Paramètres!J7,Paramètres!$G$5:$G$57,0)))+IF(RIGHT(TRIM(Paramètres!K7),3)="Fin",1-$H1195,IF(LEFT(TRIM(Paramètres!K7),1)="F",1,0)))),IF(Paramètres!L7="",0,IF(Paramètres!M7="",NA(),IF(LEFT(TRIM(Paramètres!M7),1)="F",INDEX($F$1193:$F$1245,MATCH(Paramètres!L7,Paramètres!$G$5:$G$57,0)),INDEX($E$1193:$E$1245,MATCH(Paramètres!L7,Paramètres!$G$5:$G$57,0)))+IF(RIGHT(TRIM(Paramètres!M7),3)="Fin",1-$H1195,IF(LEFT(TRIM(Paramètres!M7),1)="F",1,0)))),IF(Paramètres!N7="",0,IF(Paramètres!O7="",NA(),IF(LEFT(TRIM(Paramètres!O7),1)="F",INDEX($F$1193:$F$1245,MATCH(Paramètres!N7,Paramètres!$G$5:$G$57,0)),INDEX($E$1193:$E$1245,MATCH(Paramètres!N7,Paramètres!$G$5:$G$57,0)))+IF(RIGHT(TRIM(Paramètres!O7),3)="Fin",1-$H1195,IF(LEFT(TRIM(Paramètres!O7),1)="F",1,0)))))))</f>
        <v/>
      </c>
      <c r="F1195" s="19">
        <f>IF($A1195="","",E1195+$H1195-1)</f>
        <v/>
      </c>
      <c r="G1195" s="18" t="n"/>
      <c r="H1195" s="18">
        <f>IF($A1195="","",IF(I1195&lt;&gt;"",I1195,Paramètres!B7))</f>
        <v/>
      </c>
      <c r="I1195" s="18" t="n"/>
    </row>
    <row r="1196">
      <c r="A1196" s="18">
        <f>IF(ISNUMBER(Dossiers!$D$26),Dossiers!$A$26&amp;" · "&amp;Dossiers!$B$26,"")</f>
        <v/>
      </c>
      <c r="B1196" s="18">
        <f>IF($A1196="","",Paramètres!G8)</f>
        <v/>
      </c>
      <c r="C1196" s="18">
        <f>IF($A1196="","",IF(Paramètres!H8="","",Paramètres!H8))</f>
        <v/>
      </c>
      <c r="D1196" s="18">
        <f>IF($A1196="","",IF(Paramètres!I8="","",Paramètres!I8))</f>
        <v/>
      </c>
      <c r="E1196" s="19">
        <f>IF($A1196="","",IF(Paramètres!J8&amp;Paramètres!L8&amp;Paramètres!N8="",Dossiers!$D$26,MAX(IF(Paramètres!J8="",0,IF(Paramètres!K8="",NA(),IF(LEFT(TRIM(Paramètres!K8),1)="F",INDEX($F$1193:$F$1245,MATCH(Paramètres!J8,Paramètres!$G$5:$G$57,0)),INDEX($E$1193:$E$1245,MATCH(Paramètres!J8,Paramètres!$G$5:$G$57,0)))+IF(RIGHT(TRIM(Paramètres!K8),3)="Fin",1-$H1196,IF(LEFT(TRIM(Paramètres!K8),1)="F",1,0)))),IF(Paramètres!L8="",0,IF(Paramètres!M8="",NA(),IF(LEFT(TRIM(Paramètres!M8),1)="F",INDEX($F$1193:$F$1245,MATCH(Paramètres!L8,Paramètres!$G$5:$G$57,0)),INDEX($E$1193:$E$1245,MATCH(Paramètres!L8,Paramètres!$G$5:$G$57,0)))+IF(RIGHT(TRIM(Paramètres!M8),3)="Fin",1-$H1196,IF(LEFT(TRIM(Paramètres!M8),1)="F",1,0)))),IF(Paramètres!N8="",0,IF(Paramètres!O8="",NA(),IF(LEFT(TRIM(Paramètres!O8),1)="F",INDEX($F$1193:$F$1245,MATCH(Paramètres!N8,Paramètres!$G$5:$G$57,0)),INDEX($E$1193:$E$1245,MATCH(Paramètres!N8,Paramètres!$G$5:$G$57,0)))+IF(RIGHT(TRIM(Paramètres!O8),3)="Fin",1-$H1196,IF(LEFT(TRIM(Paramètres!O8),1)="F",1,0)))))))</f>
        <v/>
      </c>
      <c r="F1196" s="19">
        <f>IF($A1196="","",E1196+$H1196-1)</f>
        <v/>
      </c>
      <c r="G1196" s="18" t="n"/>
      <c r="H1196" s="18">
        <f>IF($A1196="","",IF(I1196&lt;&gt;"",I1196,Paramètres!B8))</f>
        <v/>
      </c>
      <c r="I1196" s="18" t="n"/>
    </row>
    <row r="1197">
      <c r="A1197" s="18">
        <f>IF(ISNUMBER(Dossiers!$D$26),Dossiers!$A$26&amp;" · "&amp;Dossiers!$B$26,"")</f>
        <v/>
      </c>
      <c r="B1197" s="18">
        <f>IF($A1197="","",Paramètres!G9)</f>
        <v/>
      </c>
      <c r="C1197" s="18">
        <f>IF($A1197="","",IF(Paramètres!H9="","",Paramètres!H9))</f>
        <v/>
      </c>
      <c r="D1197" s="18">
        <f>IF($A1197="","",IF(Paramètres!I9="","",Paramètres!I9))</f>
        <v/>
      </c>
      <c r="E1197" s="19">
        <f>IF($A1197="","",IF(Paramètres!J9&amp;Paramètres!L9&amp;Paramètres!N9="",Dossiers!$D$26,MAX(IF(Paramètres!J9="",0,IF(Paramètres!K9="",NA(),IF(LEFT(TRIM(Paramètres!K9),1)="F",INDEX($F$1193:$F$1245,MATCH(Paramètres!J9,Paramètres!$G$5:$G$57,0)),INDEX($E$1193:$E$1245,MATCH(Paramètres!J9,Paramètres!$G$5:$G$57,0)))+IF(RIGHT(TRIM(Paramètres!K9),3)="Fin",1-$H1197,IF(LEFT(TRIM(Paramètres!K9),1)="F",1,0)))),IF(Paramètres!L9="",0,IF(Paramètres!M9="",NA(),IF(LEFT(TRIM(Paramètres!M9),1)="F",INDEX($F$1193:$F$1245,MATCH(Paramètres!L9,Paramètres!$G$5:$G$57,0)),INDEX($E$1193:$E$1245,MATCH(Paramètres!L9,Paramètres!$G$5:$G$57,0)))+IF(RIGHT(TRIM(Paramètres!M9),3)="Fin",1-$H1197,IF(LEFT(TRIM(Paramètres!M9),1)="F",1,0)))),IF(Paramètres!N9="",0,IF(Paramètres!O9="",NA(),IF(LEFT(TRIM(Paramètres!O9),1)="F",INDEX($F$1193:$F$1245,MATCH(Paramètres!N9,Paramètres!$G$5:$G$57,0)),INDEX($E$1193:$E$1245,MATCH(Paramètres!N9,Paramètres!$G$5:$G$57,0)))+IF(RIGHT(TRIM(Paramètres!O9),3)="Fin",1-$H1197,IF(LEFT(TRIM(Paramètres!O9),1)="F",1,0)))))))</f>
        <v/>
      </c>
      <c r="F1197" s="19">
        <f>IF($A1197="","",E1197+$H1197-1)</f>
        <v/>
      </c>
      <c r="G1197" s="18" t="n"/>
      <c r="H1197" s="18">
        <f>IF($A1197="","",IF(I1197&lt;&gt;"",I1197,Paramètres!B9))</f>
        <v/>
      </c>
      <c r="I1197" s="18" t="n"/>
    </row>
    <row r="1198">
      <c r="A1198" s="18">
        <f>IF(ISNUMBER(Dossiers!$D$26),Dossiers!$A$26&amp;" · "&amp;Dossiers!$B$26,"")</f>
        <v/>
      </c>
      <c r="B1198" s="18">
        <f>IF($A1198="","",Paramètres!G10)</f>
        <v/>
      </c>
      <c r="C1198" s="18">
        <f>IF($A1198="","",IF(Paramètres!H10="","",Paramètres!H10))</f>
        <v/>
      </c>
      <c r="D1198" s="18">
        <f>IF($A1198="","",IF(Paramètres!I10="","",Paramètres!I10))</f>
        <v/>
      </c>
      <c r="E1198" s="19">
        <f>IF($A1198="","",MIN(E1199:E1202))</f>
        <v/>
      </c>
      <c r="F1198" s="19">
        <f>IF($A1198="","",MAX(F1199:F1202))</f>
        <v/>
      </c>
      <c r="G1198" s="18" t="n"/>
      <c r="H1198" s="18">
        <f>IF($A1198="","",F1198-E1198+1)</f>
        <v/>
      </c>
      <c r="I1198" s="18" t="n"/>
    </row>
    <row r="1199">
      <c r="A1199" s="18">
        <f>IF(ISNUMBER(Dossiers!$D$26),Dossiers!$A$26&amp;" · "&amp;Dossiers!$B$26,"")</f>
        <v/>
      </c>
      <c r="B1199" s="18">
        <f>IF($A1199="","",Paramètres!G11)</f>
        <v/>
      </c>
      <c r="C1199" s="18">
        <f>IF($A1199="","",IF(Paramètres!H11="","",Paramètres!H11))</f>
        <v/>
      </c>
      <c r="D1199" s="18">
        <f>IF($A1199="","",IF(Paramètres!I11="","",Paramètres!I11))</f>
        <v/>
      </c>
      <c r="E1199" s="19">
        <f>IF($A1199="","",IF(Paramètres!J11&amp;Paramètres!L11&amp;Paramètres!N11="",Dossiers!$D$26,MAX(IF(Paramètres!J11="",0,IF(Paramètres!K11="",NA(),IF(LEFT(TRIM(Paramètres!K11),1)="F",INDEX($F$1193:$F$1245,MATCH(Paramètres!J11,Paramètres!$G$5:$G$57,0)),INDEX($E$1193:$E$1245,MATCH(Paramètres!J11,Paramètres!$G$5:$G$57,0)))+IF(RIGHT(TRIM(Paramètres!K11),3)="Fin",1-$H1199,IF(LEFT(TRIM(Paramètres!K11),1)="F",1,0)))),IF(Paramètres!L11="",0,IF(Paramètres!M11="",NA(),IF(LEFT(TRIM(Paramètres!M11),1)="F",INDEX($F$1193:$F$1245,MATCH(Paramètres!L11,Paramètres!$G$5:$G$57,0)),INDEX($E$1193:$E$1245,MATCH(Paramètres!L11,Paramètres!$G$5:$G$57,0)))+IF(RIGHT(TRIM(Paramètres!M11),3)="Fin",1-$H1199,IF(LEFT(TRIM(Paramètres!M11),1)="F",1,0)))),IF(Paramètres!N11="",0,IF(Paramètres!O11="",NA(),IF(LEFT(TRIM(Paramètres!O11),1)="F",INDEX($F$1193:$F$1245,MATCH(Paramètres!N11,Paramètres!$G$5:$G$57,0)),INDEX($E$1193:$E$1245,MATCH(Paramètres!N11,Paramètres!$G$5:$G$57,0)))+IF(RIGHT(TRIM(Paramètres!O11),3)="Fin",1-$H1199,IF(LEFT(TRIM(Paramètres!O11),1)="F",1,0)))))))</f>
        <v/>
      </c>
      <c r="F1199" s="19">
        <f>IF($A1199="","",E1199+$H1199-1)</f>
        <v/>
      </c>
      <c r="G1199" s="18" t="n"/>
      <c r="H1199" s="18">
        <f>IF($A1199="","",IF(I1199&lt;&gt;"",I1199,Paramètres!B11))</f>
        <v/>
      </c>
      <c r="I1199" s="18" t="n"/>
    </row>
    <row r="1200">
      <c r="A1200" s="18">
        <f>IF(ISNUMBER(Dossiers!$D$26),Dossiers!$A$26&amp;" · "&amp;Dossiers!$B$26,"")</f>
        <v/>
      </c>
      <c r="B1200" s="18">
        <f>IF($A1200="","",Paramètres!G12)</f>
        <v/>
      </c>
      <c r="C1200" s="18">
        <f>IF($A1200="","",IF(Paramètres!H12="","",Paramètres!H12))</f>
        <v/>
      </c>
      <c r="D1200" s="18">
        <f>IF($A1200="","",IF(Paramètres!I12="","",Paramètres!I12))</f>
        <v/>
      </c>
      <c r="E1200" s="19">
        <f>IF($A1200="","",IF(Paramètres!J12&amp;Paramètres!L12&amp;Paramètres!N12="",Dossiers!$D$26,MAX(IF(Paramètres!J12="",0,IF(Paramètres!K12="",NA(),IF(LEFT(TRIM(Paramètres!K12),1)="F",INDEX($F$1193:$F$1245,MATCH(Paramètres!J12,Paramètres!$G$5:$G$57,0)),INDEX($E$1193:$E$1245,MATCH(Paramètres!J12,Paramètres!$G$5:$G$57,0)))+IF(RIGHT(TRIM(Paramètres!K12),3)="Fin",1-$H1200,IF(LEFT(TRIM(Paramètres!K12),1)="F",1,0)))),IF(Paramètres!L12="",0,IF(Paramètres!M12="",NA(),IF(LEFT(TRIM(Paramètres!M12),1)="F",INDEX($F$1193:$F$1245,MATCH(Paramètres!L12,Paramètres!$G$5:$G$57,0)),INDEX($E$1193:$E$1245,MATCH(Paramètres!L12,Paramètres!$G$5:$G$57,0)))+IF(RIGHT(TRIM(Paramètres!M12),3)="Fin",1-$H1200,IF(LEFT(TRIM(Paramètres!M12),1)="F",1,0)))),IF(Paramètres!N12="",0,IF(Paramètres!O12="",NA(),IF(LEFT(TRIM(Paramètres!O12),1)="F",INDEX($F$1193:$F$1245,MATCH(Paramètres!N12,Paramètres!$G$5:$G$57,0)),INDEX($E$1193:$E$1245,MATCH(Paramètres!N12,Paramètres!$G$5:$G$57,0)))+IF(RIGHT(TRIM(Paramètres!O12),3)="Fin",1-$H1200,IF(LEFT(TRIM(Paramètres!O12),1)="F",1,0)))))))</f>
        <v/>
      </c>
      <c r="F1200" s="19">
        <f>IF($A1200="","",E1200+$H1200-1)</f>
        <v/>
      </c>
      <c r="G1200" s="18" t="n"/>
      <c r="H1200" s="18">
        <f>IF($A1200="","",IF(I1200&lt;&gt;"",I1200,Paramètres!B12))</f>
        <v/>
      </c>
      <c r="I1200" s="18" t="n"/>
    </row>
    <row r="1201">
      <c r="A1201" s="18">
        <f>IF(ISNUMBER(Dossiers!$D$26),Dossiers!$A$26&amp;" · "&amp;Dossiers!$B$26,"")</f>
        <v/>
      </c>
      <c r="B1201" s="18">
        <f>IF($A1201="","",Paramètres!G13)</f>
        <v/>
      </c>
      <c r="C1201" s="18">
        <f>IF($A1201="","",IF(Paramètres!H13="","",Paramètres!H13))</f>
        <v/>
      </c>
      <c r="D1201" s="18">
        <f>IF($A1201="","",IF(Paramètres!I13="","",Paramètres!I13))</f>
        <v/>
      </c>
      <c r="E1201" s="19">
        <f>IF($A1201="","",IF(Paramètres!J13&amp;Paramètres!L13&amp;Paramètres!N13="",Dossiers!$D$26,MAX(IF(Paramètres!J13="",0,IF(Paramètres!K13="",NA(),IF(LEFT(TRIM(Paramètres!K13),1)="F",INDEX($F$1193:$F$1245,MATCH(Paramètres!J13,Paramètres!$G$5:$G$57,0)),INDEX($E$1193:$E$1245,MATCH(Paramètres!J13,Paramètres!$G$5:$G$57,0)))+IF(RIGHT(TRIM(Paramètres!K13),3)="Fin",1-$H1201,IF(LEFT(TRIM(Paramètres!K13),1)="F",1,0)))),IF(Paramètres!L13="",0,IF(Paramètres!M13="",NA(),IF(LEFT(TRIM(Paramètres!M13),1)="F",INDEX($F$1193:$F$1245,MATCH(Paramètres!L13,Paramètres!$G$5:$G$57,0)),INDEX($E$1193:$E$1245,MATCH(Paramètres!L13,Paramètres!$G$5:$G$57,0)))+IF(RIGHT(TRIM(Paramètres!M13),3)="Fin",1-$H1201,IF(LEFT(TRIM(Paramètres!M13),1)="F",1,0)))),IF(Paramètres!N13="",0,IF(Paramètres!O13="",NA(),IF(LEFT(TRIM(Paramètres!O13),1)="F",INDEX($F$1193:$F$1245,MATCH(Paramètres!N13,Paramètres!$G$5:$G$57,0)),INDEX($E$1193:$E$1245,MATCH(Paramètres!N13,Paramètres!$G$5:$G$57,0)))+IF(RIGHT(TRIM(Paramètres!O13),3)="Fin",1-$H1201,IF(LEFT(TRIM(Paramètres!O13),1)="F",1,0)))))))</f>
        <v/>
      </c>
      <c r="F1201" s="19">
        <f>IF($A1201="","",E1201+$H1201-1)</f>
        <v/>
      </c>
      <c r="G1201" s="18" t="n"/>
      <c r="H1201" s="18">
        <f>IF($A1201="","",IF(I1201&lt;&gt;"",I1201,Paramètres!B13))</f>
        <v/>
      </c>
      <c r="I1201" s="18" t="n"/>
    </row>
    <row r="1202">
      <c r="A1202" s="18">
        <f>IF(ISNUMBER(Dossiers!$D$26),Dossiers!$A$26&amp;" · "&amp;Dossiers!$B$26,"")</f>
        <v/>
      </c>
      <c r="B1202" s="18">
        <f>IF($A1202="","",Paramètres!G14)</f>
        <v/>
      </c>
      <c r="C1202" s="18">
        <f>IF($A1202="","",IF(Paramètres!H14="","",Paramètres!H14))</f>
        <v/>
      </c>
      <c r="D1202" s="18">
        <f>IF($A1202="","",IF(Paramètres!I14="","",Paramètres!I14))</f>
        <v/>
      </c>
      <c r="E1202" s="19">
        <f>IF($A1202="","",IF(Paramètres!J14&amp;Paramètres!L14&amp;Paramètres!N14="",Dossiers!$D$26,MAX(IF(Paramètres!J14="",0,IF(Paramètres!K14="",NA(),IF(LEFT(TRIM(Paramètres!K14),1)="F",INDEX($F$1193:$F$1245,MATCH(Paramètres!J14,Paramètres!$G$5:$G$57,0)),INDEX($E$1193:$E$1245,MATCH(Paramètres!J14,Paramètres!$G$5:$G$57,0)))+IF(RIGHT(TRIM(Paramètres!K14),3)="Fin",1-$H1202,IF(LEFT(TRIM(Paramètres!K14),1)="F",1,0)))),IF(Paramètres!L14="",0,IF(Paramètres!M14="",NA(),IF(LEFT(TRIM(Paramètres!M14),1)="F",INDEX($F$1193:$F$1245,MATCH(Paramètres!L14,Paramètres!$G$5:$G$57,0)),INDEX($E$1193:$E$1245,MATCH(Paramètres!L14,Paramètres!$G$5:$G$57,0)))+IF(RIGHT(TRIM(Paramètres!M14),3)="Fin",1-$H1202,IF(LEFT(TRIM(Paramètres!M14),1)="F",1,0)))),IF(Paramètres!N14="",0,IF(Paramètres!O14="",NA(),IF(LEFT(TRIM(Paramètres!O14),1)="F",INDEX($F$1193:$F$1245,MATCH(Paramètres!N14,Paramètres!$G$5:$G$57,0)),INDEX($E$1193:$E$1245,MATCH(Paramètres!N14,Paramètres!$G$5:$G$57,0)))+IF(RIGHT(TRIM(Paramètres!O14),3)="Fin",1-$H1202,IF(LEFT(TRIM(Paramètres!O14),1)="F",1,0)))))))</f>
        <v/>
      </c>
      <c r="F1202" s="19">
        <f>IF($A1202="","",E1202+$H1202-1)</f>
        <v/>
      </c>
      <c r="G1202" s="18" t="n"/>
      <c r="H1202" s="18">
        <f>IF($A1202="","",IF(I1202&lt;&gt;"",I1202,Paramètres!B14))</f>
        <v/>
      </c>
      <c r="I1202" s="18" t="n"/>
    </row>
    <row r="1203">
      <c r="A1203" s="18">
        <f>IF(ISNUMBER(Dossiers!$D$26),Dossiers!$A$26&amp;" · "&amp;Dossiers!$B$26,"")</f>
        <v/>
      </c>
      <c r="B1203" s="18">
        <f>IF($A1203="","",Paramètres!G15)</f>
        <v/>
      </c>
      <c r="C1203" s="18">
        <f>IF($A1203="","",IF(Paramètres!H15="","",Paramètres!H15))</f>
        <v/>
      </c>
      <c r="D1203" s="18">
        <f>IF($A1203="","",IF(Paramètres!I15="","",Paramètres!I15))</f>
        <v/>
      </c>
      <c r="E1203" s="19">
        <f>IF($A1203="","",MIN(E1204:E1219))</f>
        <v/>
      </c>
      <c r="F1203" s="19">
        <f>IF($A1203="","",MAX(F1204:F1219))</f>
        <v/>
      </c>
      <c r="G1203" s="18" t="n"/>
      <c r="H1203" s="18">
        <f>IF($A1203="","",F1203-E1203+1)</f>
        <v/>
      </c>
      <c r="I1203" s="18" t="n"/>
    </row>
    <row r="1204">
      <c r="A1204" s="18">
        <f>IF(ISNUMBER(Dossiers!$D$26),Dossiers!$A$26&amp;" · "&amp;Dossiers!$B$26,"")</f>
        <v/>
      </c>
      <c r="B1204" s="18">
        <f>IF($A1204="","",Paramètres!G16)</f>
        <v/>
      </c>
      <c r="C1204" s="18">
        <f>IF($A1204="","",IF(Paramètres!H16="","",Paramètres!H16))</f>
        <v/>
      </c>
      <c r="D1204" s="18">
        <f>IF($A1204="","",IF(Paramètres!I16="","",Paramètres!I16))</f>
        <v/>
      </c>
      <c r="E1204" s="19">
        <f>IF($A1204="","",IF(Paramètres!J16&amp;Paramètres!L16&amp;Paramètres!N16="",Dossiers!$D$26,MAX(IF(Paramètres!J16="",0,IF(Paramètres!K16="",NA(),IF(LEFT(TRIM(Paramètres!K16),1)="F",INDEX($F$1193:$F$1245,MATCH(Paramètres!J16,Paramètres!$G$5:$G$57,0)),INDEX($E$1193:$E$1245,MATCH(Paramètres!J16,Paramètres!$G$5:$G$57,0)))+IF(RIGHT(TRIM(Paramètres!K16),3)="Fin",1-$H1204,IF(LEFT(TRIM(Paramètres!K16),1)="F",1,0)))),IF(Paramètres!L16="",0,IF(Paramètres!M16="",NA(),IF(LEFT(TRIM(Paramètres!M16),1)="F",INDEX($F$1193:$F$1245,MATCH(Paramètres!L16,Paramètres!$G$5:$G$57,0)),INDEX($E$1193:$E$1245,MATCH(Paramètres!L16,Paramètres!$G$5:$G$57,0)))+IF(RIGHT(TRIM(Paramètres!M16),3)="Fin",1-$H1204,IF(LEFT(TRIM(Paramètres!M16),1)="F",1,0)))),IF(Paramètres!N16="",0,IF(Paramètres!O16="",NA(),IF(LEFT(TRIM(Paramètres!O16),1)="F",INDEX($F$1193:$F$1245,MATCH(Paramètres!N16,Paramètres!$G$5:$G$57,0)),INDEX($E$1193:$E$1245,MATCH(Paramètres!N16,Paramètres!$G$5:$G$57,0)))+IF(RIGHT(TRIM(Paramètres!O16),3)="Fin",1-$H1204,IF(LEFT(TRIM(Paramètres!O16),1)="F",1,0)))))))</f>
        <v/>
      </c>
      <c r="F1204" s="19">
        <f>IF($A1204="","",E1204+$H1204-1)</f>
        <v/>
      </c>
      <c r="G1204" s="18" t="n"/>
      <c r="H1204" s="18">
        <f>IF($A1204="","",IF(I1204&lt;&gt;"",I1204,Paramètres!B16))</f>
        <v/>
      </c>
      <c r="I1204" s="18" t="n"/>
    </row>
    <row r="1205">
      <c r="A1205" s="18">
        <f>IF(ISNUMBER(Dossiers!$D$26),Dossiers!$A$26&amp;" · "&amp;Dossiers!$B$26,"")</f>
        <v/>
      </c>
      <c r="B1205" s="18">
        <f>IF($A1205="","",Paramètres!G17)</f>
        <v/>
      </c>
      <c r="C1205" s="18">
        <f>IF($A1205="","",IF(Paramètres!H17="","",Paramètres!H17))</f>
        <v/>
      </c>
      <c r="D1205" s="18">
        <f>IF($A1205="","",IF(Paramètres!I17="","",Paramètres!I17))</f>
        <v/>
      </c>
      <c r="E1205" s="19">
        <f>IF($A1205="","",IF(Paramètres!J17&amp;Paramètres!L17&amp;Paramètres!N17="",Dossiers!$D$26,MAX(IF(Paramètres!J17="",0,IF(Paramètres!K17="",NA(),IF(LEFT(TRIM(Paramètres!K17),1)="F",INDEX($F$1193:$F$1245,MATCH(Paramètres!J17,Paramètres!$G$5:$G$57,0)),INDEX($E$1193:$E$1245,MATCH(Paramètres!J17,Paramètres!$G$5:$G$57,0)))+IF(RIGHT(TRIM(Paramètres!K17),3)="Fin",1-$H1205,IF(LEFT(TRIM(Paramètres!K17),1)="F",1,0)))),IF(Paramètres!L17="",0,IF(Paramètres!M17="",NA(),IF(LEFT(TRIM(Paramètres!M17),1)="F",INDEX($F$1193:$F$1245,MATCH(Paramètres!L17,Paramètres!$G$5:$G$57,0)),INDEX($E$1193:$E$1245,MATCH(Paramètres!L17,Paramètres!$G$5:$G$57,0)))+IF(RIGHT(TRIM(Paramètres!M17),3)="Fin",1-$H1205,IF(LEFT(TRIM(Paramètres!M17),1)="F",1,0)))),IF(Paramètres!N17="",0,IF(Paramètres!O17="",NA(),IF(LEFT(TRIM(Paramètres!O17),1)="F",INDEX($F$1193:$F$1245,MATCH(Paramètres!N17,Paramètres!$G$5:$G$57,0)),INDEX($E$1193:$E$1245,MATCH(Paramètres!N17,Paramètres!$G$5:$G$57,0)))+IF(RIGHT(TRIM(Paramètres!O17),3)="Fin",1-$H1205,IF(LEFT(TRIM(Paramètres!O17),1)="F",1,0)))))))</f>
        <v/>
      </c>
      <c r="F1205" s="19">
        <f>IF($A1205="","",E1205+$H1205-1)</f>
        <v/>
      </c>
      <c r="G1205" s="18" t="n"/>
      <c r="H1205" s="18">
        <f>IF($A1205="","",IF(I1205&lt;&gt;"",I1205,Paramètres!B17))</f>
        <v/>
      </c>
      <c r="I1205" s="18" t="n"/>
    </row>
    <row r="1206">
      <c r="A1206" s="18">
        <f>IF(ISNUMBER(Dossiers!$D$26),Dossiers!$A$26&amp;" · "&amp;Dossiers!$B$26,"")</f>
        <v/>
      </c>
      <c r="B1206" s="18">
        <f>IF($A1206="","",Paramètres!G18)</f>
        <v/>
      </c>
      <c r="C1206" s="18">
        <f>IF($A1206="","",IF(Paramètres!H18="","",Paramètres!H18))</f>
        <v/>
      </c>
      <c r="D1206" s="18">
        <f>IF($A1206="","",IF(Paramètres!I18="","",Paramètres!I18))</f>
        <v/>
      </c>
      <c r="E1206" s="19">
        <f>IF($A1206="","",IF(Paramètres!J18&amp;Paramètres!L18&amp;Paramètres!N18="",Dossiers!$D$26,MAX(IF(Paramètres!J18="",0,IF(Paramètres!K18="",NA(),IF(LEFT(TRIM(Paramètres!K18),1)="F",INDEX($F$1193:$F$1245,MATCH(Paramètres!J18,Paramètres!$G$5:$G$57,0)),INDEX($E$1193:$E$1245,MATCH(Paramètres!J18,Paramètres!$G$5:$G$57,0)))+IF(RIGHT(TRIM(Paramètres!K18),3)="Fin",1-$H1206,IF(LEFT(TRIM(Paramètres!K18),1)="F",1,0)))),IF(Paramètres!L18="",0,IF(Paramètres!M18="",NA(),IF(LEFT(TRIM(Paramètres!M18),1)="F",INDEX($F$1193:$F$1245,MATCH(Paramètres!L18,Paramètres!$G$5:$G$57,0)),INDEX($E$1193:$E$1245,MATCH(Paramètres!L18,Paramètres!$G$5:$G$57,0)))+IF(RIGHT(TRIM(Paramètres!M18),3)="Fin",1-$H1206,IF(LEFT(TRIM(Paramètres!M18),1)="F",1,0)))),IF(Paramètres!N18="",0,IF(Paramètres!O18="",NA(),IF(LEFT(TRIM(Paramètres!O18),1)="F",INDEX($F$1193:$F$1245,MATCH(Paramètres!N18,Paramètres!$G$5:$G$57,0)),INDEX($E$1193:$E$1245,MATCH(Paramètres!N18,Paramètres!$G$5:$G$57,0)))+IF(RIGHT(TRIM(Paramètres!O18),3)="Fin",1-$H1206,IF(LEFT(TRIM(Paramètres!O18),1)="F",1,0)))))))</f>
        <v/>
      </c>
      <c r="F1206" s="19">
        <f>IF($A1206="","",E1206+$H1206-1)</f>
        <v/>
      </c>
      <c r="G1206" s="18" t="n"/>
      <c r="H1206" s="18">
        <f>IF($A1206="","",IF(I1206&lt;&gt;"",I1206,Paramètres!B18))</f>
        <v/>
      </c>
      <c r="I1206" s="18" t="n"/>
    </row>
    <row r="1207">
      <c r="A1207" s="18">
        <f>IF(ISNUMBER(Dossiers!$D$26),Dossiers!$A$26&amp;" · "&amp;Dossiers!$B$26,"")</f>
        <v/>
      </c>
      <c r="B1207" s="18">
        <f>IF($A1207="","",Paramètres!G19)</f>
        <v/>
      </c>
      <c r="C1207" s="18">
        <f>IF($A1207="","",IF(Paramètres!H19="","",Paramètres!H19))</f>
        <v/>
      </c>
      <c r="D1207" s="18">
        <f>IF($A1207="","",IF(Paramètres!I19="","",Paramètres!I19))</f>
        <v/>
      </c>
      <c r="E1207" s="19">
        <f>IF($A1207="","",IF(Paramètres!J19&amp;Paramètres!L19&amp;Paramètres!N19="",Dossiers!$D$26,MAX(IF(Paramètres!J19="",0,IF(Paramètres!K19="",NA(),IF(LEFT(TRIM(Paramètres!K19),1)="F",INDEX($F$1193:$F$1245,MATCH(Paramètres!J19,Paramètres!$G$5:$G$57,0)),INDEX($E$1193:$E$1245,MATCH(Paramètres!J19,Paramètres!$G$5:$G$57,0)))+IF(RIGHT(TRIM(Paramètres!K19),3)="Fin",1-$H1207,IF(LEFT(TRIM(Paramètres!K19),1)="F",1,0)))),IF(Paramètres!L19="",0,IF(Paramètres!M19="",NA(),IF(LEFT(TRIM(Paramètres!M19),1)="F",INDEX($F$1193:$F$1245,MATCH(Paramètres!L19,Paramètres!$G$5:$G$57,0)),INDEX($E$1193:$E$1245,MATCH(Paramètres!L19,Paramètres!$G$5:$G$57,0)))+IF(RIGHT(TRIM(Paramètres!M19),3)="Fin",1-$H1207,IF(LEFT(TRIM(Paramètres!M19),1)="F",1,0)))),IF(Paramètres!N19="",0,IF(Paramètres!O19="",NA(),IF(LEFT(TRIM(Paramètres!O19),1)="F",INDEX($F$1193:$F$1245,MATCH(Paramètres!N19,Paramètres!$G$5:$G$57,0)),INDEX($E$1193:$E$1245,MATCH(Paramètres!N19,Paramètres!$G$5:$G$57,0)))+IF(RIGHT(TRIM(Paramètres!O19),3)="Fin",1-$H1207,IF(LEFT(TRIM(Paramètres!O19),1)="F",1,0)))))))</f>
        <v/>
      </c>
      <c r="F1207" s="19">
        <f>IF($A1207="","",E1207+$H1207-1)</f>
        <v/>
      </c>
      <c r="G1207" s="18" t="n"/>
      <c r="H1207" s="18">
        <f>IF($A1207="","",IF(I1207&lt;&gt;"",I1207,Paramètres!B19))</f>
        <v/>
      </c>
      <c r="I1207" s="18" t="n"/>
    </row>
    <row r="1208">
      <c r="A1208" s="18">
        <f>IF(ISNUMBER(Dossiers!$D$26),Dossiers!$A$26&amp;" · "&amp;Dossiers!$B$26,"")</f>
        <v/>
      </c>
      <c r="B1208" s="18">
        <f>IF($A1208="","",Paramètres!G20)</f>
        <v/>
      </c>
      <c r="C1208" s="18">
        <f>IF($A1208="","",IF(Paramètres!H20="","",Paramètres!H20))</f>
        <v/>
      </c>
      <c r="D1208" s="18">
        <f>IF($A1208="","",IF(Paramètres!I20="","",Paramètres!I20))</f>
        <v/>
      </c>
      <c r="E1208" s="19">
        <f>IF($A1208="","",IF(Paramètres!J20&amp;Paramètres!L20&amp;Paramètres!N20="",Dossiers!$D$26,MAX(IF(Paramètres!J20="",0,IF(Paramètres!K20="",NA(),IF(LEFT(TRIM(Paramètres!K20),1)="F",INDEX($F$1193:$F$1245,MATCH(Paramètres!J20,Paramètres!$G$5:$G$57,0)),INDEX($E$1193:$E$1245,MATCH(Paramètres!J20,Paramètres!$G$5:$G$57,0)))+IF(RIGHT(TRIM(Paramètres!K20),3)="Fin",1-$H1208,IF(LEFT(TRIM(Paramètres!K20),1)="F",1,0)))),IF(Paramètres!L20="",0,IF(Paramètres!M20="",NA(),IF(LEFT(TRIM(Paramètres!M20),1)="F",INDEX($F$1193:$F$1245,MATCH(Paramètres!L20,Paramètres!$G$5:$G$57,0)),INDEX($E$1193:$E$1245,MATCH(Paramètres!L20,Paramètres!$G$5:$G$57,0)))+IF(RIGHT(TRIM(Paramètres!M20),3)="Fin",1-$H1208,IF(LEFT(TRIM(Paramètres!M20),1)="F",1,0)))),IF(Paramètres!N20="",0,IF(Paramètres!O20="",NA(),IF(LEFT(TRIM(Paramètres!O20),1)="F",INDEX($F$1193:$F$1245,MATCH(Paramètres!N20,Paramètres!$G$5:$G$57,0)),INDEX($E$1193:$E$1245,MATCH(Paramètres!N20,Paramètres!$G$5:$G$57,0)))+IF(RIGHT(TRIM(Paramètres!O20),3)="Fin",1-$H1208,IF(LEFT(TRIM(Paramètres!O20),1)="F",1,0)))))))</f>
        <v/>
      </c>
      <c r="F1208" s="19">
        <f>IF($A1208="","",E1208+$H1208-1)</f>
        <v/>
      </c>
      <c r="G1208" s="18" t="n"/>
      <c r="H1208" s="18">
        <f>IF($A1208="","",IF(I1208&lt;&gt;"",I1208,Paramètres!B20))</f>
        <v/>
      </c>
      <c r="I1208" s="18" t="n"/>
    </row>
    <row r="1209">
      <c r="A1209" s="18">
        <f>IF(ISNUMBER(Dossiers!$D$26),Dossiers!$A$26&amp;" · "&amp;Dossiers!$B$26,"")</f>
        <v/>
      </c>
      <c r="B1209" s="18">
        <f>IF($A1209="","",Paramètres!G21)</f>
        <v/>
      </c>
      <c r="C1209" s="18">
        <f>IF($A1209="","",IF(Paramètres!H21="","",Paramètres!H21))</f>
        <v/>
      </c>
      <c r="D1209" s="18">
        <f>IF($A1209="","",IF(Paramètres!I21="","",Paramètres!I21))</f>
        <v/>
      </c>
      <c r="E1209" s="19">
        <f>IF($A1209="","",IF(Paramètres!J21&amp;Paramètres!L21&amp;Paramètres!N21="",Dossiers!$D$26,MAX(IF(Paramètres!J21="",0,IF(Paramètres!K21="",NA(),IF(LEFT(TRIM(Paramètres!K21),1)="F",INDEX($F$1193:$F$1245,MATCH(Paramètres!J21,Paramètres!$G$5:$G$57,0)),INDEX($E$1193:$E$1245,MATCH(Paramètres!J21,Paramètres!$G$5:$G$57,0)))+IF(RIGHT(TRIM(Paramètres!K21),3)="Fin",1-$H1209,IF(LEFT(TRIM(Paramètres!K21),1)="F",1,0)))),IF(Paramètres!L21="",0,IF(Paramètres!M21="",NA(),IF(LEFT(TRIM(Paramètres!M21),1)="F",INDEX($F$1193:$F$1245,MATCH(Paramètres!L21,Paramètres!$G$5:$G$57,0)),INDEX($E$1193:$E$1245,MATCH(Paramètres!L21,Paramètres!$G$5:$G$57,0)))+IF(RIGHT(TRIM(Paramètres!M21),3)="Fin",1-$H1209,IF(LEFT(TRIM(Paramètres!M21),1)="F",1,0)))),IF(Paramètres!N21="",0,IF(Paramètres!O21="",NA(),IF(LEFT(TRIM(Paramètres!O21),1)="F",INDEX($F$1193:$F$1245,MATCH(Paramètres!N21,Paramètres!$G$5:$G$57,0)),INDEX($E$1193:$E$1245,MATCH(Paramètres!N21,Paramètres!$G$5:$G$57,0)))+IF(RIGHT(TRIM(Paramètres!O21),3)="Fin",1-$H1209,IF(LEFT(TRIM(Paramètres!O21),1)="F",1,0)))))))</f>
        <v/>
      </c>
      <c r="F1209" s="19">
        <f>IF($A1209="","",E1209+$H1209-1)</f>
        <v/>
      </c>
      <c r="G1209" s="18" t="n"/>
      <c r="H1209" s="18">
        <f>IF($A1209="","",IF(I1209&lt;&gt;"",I1209,Paramètres!B21))</f>
        <v/>
      </c>
      <c r="I1209" s="18" t="n"/>
    </row>
    <row r="1210">
      <c r="A1210" s="18">
        <f>IF(ISNUMBER(Dossiers!$D$26),Dossiers!$A$26&amp;" · "&amp;Dossiers!$B$26,"")</f>
        <v/>
      </c>
      <c r="B1210" s="18">
        <f>IF($A1210="","",Paramètres!G22)</f>
        <v/>
      </c>
      <c r="C1210" s="18">
        <f>IF($A1210="","",IF(Paramètres!H22="","",Paramètres!H22))</f>
        <v/>
      </c>
      <c r="D1210" s="18">
        <f>IF($A1210="","",IF(Paramètres!I22="","",Paramètres!I22))</f>
        <v/>
      </c>
      <c r="E1210" s="19">
        <f>IF($A1210="","",IF(Paramètres!J22&amp;Paramètres!L22&amp;Paramètres!N22="",Dossiers!$D$26,MAX(IF(Paramètres!J22="",0,IF(Paramètres!K22="",NA(),IF(LEFT(TRIM(Paramètres!K22),1)="F",INDEX($F$1193:$F$1245,MATCH(Paramètres!J22,Paramètres!$G$5:$G$57,0)),INDEX($E$1193:$E$1245,MATCH(Paramètres!J22,Paramètres!$G$5:$G$57,0)))+IF(RIGHT(TRIM(Paramètres!K22),3)="Fin",1-$H1210,IF(LEFT(TRIM(Paramètres!K22),1)="F",1,0)))),IF(Paramètres!L22="",0,IF(Paramètres!M22="",NA(),IF(LEFT(TRIM(Paramètres!M22),1)="F",INDEX($F$1193:$F$1245,MATCH(Paramètres!L22,Paramètres!$G$5:$G$57,0)),INDEX($E$1193:$E$1245,MATCH(Paramètres!L22,Paramètres!$G$5:$G$57,0)))+IF(RIGHT(TRIM(Paramètres!M22),3)="Fin",1-$H1210,IF(LEFT(TRIM(Paramètres!M22),1)="F",1,0)))),IF(Paramètres!N22="",0,IF(Paramètres!O22="",NA(),IF(LEFT(TRIM(Paramètres!O22),1)="F",INDEX($F$1193:$F$1245,MATCH(Paramètres!N22,Paramètres!$G$5:$G$57,0)),INDEX($E$1193:$E$1245,MATCH(Paramètres!N22,Paramètres!$G$5:$G$57,0)))+IF(RIGHT(TRIM(Paramètres!O22),3)="Fin",1-$H1210,IF(LEFT(TRIM(Paramètres!O22),1)="F",1,0)))))))</f>
        <v/>
      </c>
      <c r="F1210" s="19">
        <f>IF($A1210="","",E1210+$H1210-1)</f>
        <v/>
      </c>
      <c r="G1210" s="18" t="n"/>
      <c r="H1210" s="18">
        <f>IF($A1210="","",IF(I1210&lt;&gt;"",I1210,Paramètres!B22))</f>
        <v/>
      </c>
      <c r="I1210" s="18" t="n"/>
    </row>
    <row r="1211">
      <c r="A1211" s="18">
        <f>IF(ISNUMBER(Dossiers!$D$26),Dossiers!$A$26&amp;" · "&amp;Dossiers!$B$26,"")</f>
        <v/>
      </c>
      <c r="B1211" s="18">
        <f>IF($A1211="","",Paramètres!G23)</f>
        <v/>
      </c>
      <c r="C1211" s="18">
        <f>IF($A1211="","",IF(Paramètres!H23="","",Paramètres!H23))</f>
        <v/>
      </c>
      <c r="D1211" s="18">
        <f>IF($A1211="","",IF(Paramètres!I23="","",Paramètres!I23))</f>
        <v/>
      </c>
      <c r="E1211" s="19">
        <f>IF($A1211="","",IF(Paramètres!J23&amp;Paramètres!L23&amp;Paramètres!N23="",Dossiers!$D$26,MAX(IF(Paramètres!J23="",0,IF(Paramètres!K23="",NA(),IF(LEFT(TRIM(Paramètres!K23),1)="F",INDEX($F$1193:$F$1245,MATCH(Paramètres!J23,Paramètres!$G$5:$G$57,0)),INDEX($E$1193:$E$1245,MATCH(Paramètres!J23,Paramètres!$G$5:$G$57,0)))+IF(RIGHT(TRIM(Paramètres!K23),3)="Fin",1-$H1211,IF(LEFT(TRIM(Paramètres!K23),1)="F",1,0)))),IF(Paramètres!L23="",0,IF(Paramètres!M23="",NA(),IF(LEFT(TRIM(Paramètres!M23),1)="F",INDEX($F$1193:$F$1245,MATCH(Paramètres!L23,Paramètres!$G$5:$G$57,0)),INDEX($E$1193:$E$1245,MATCH(Paramètres!L23,Paramètres!$G$5:$G$57,0)))+IF(RIGHT(TRIM(Paramètres!M23),3)="Fin",1-$H1211,IF(LEFT(TRIM(Paramètres!M23),1)="F",1,0)))),IF(Paramètres!N23="",0,IF(Paramètres!O23="",NA(),IF(LEFT(TRIM(Paramètres!O23),1)="F",INDEX($F$1193:$F$1245,MATCH(Paramètres!N23,Paramètres!$G$5:$G$57,0)),INDEX($E$1193:$E$1245,MATCH(Paramètres!N23,Paramètres!$G$5:$G$57,0)))+IF(RIGHT(TRIM(Paramètres!O23),3)="Fin",1-$H1211,IF(LEFT(TRIM(Paramètres!O23),1)="F",1,0)))))))</f>
        <v/>
      </c>
      <c r="F1211" s="19">
        <f>IF($A1211="","",E1211+$H1211-1)</f>
        <v/>
      </c>
      <c r="G1211" s="18" t="n"/>
      <c r="H1211" s="18">
        <f>IF($A1211="","",IF(I1211&lt;&gt;"",I1211,Paramètres!B23))</f>
        <v/>
      </c>
      <c r="I1211" s="18" t="n"/>
    </row>
    <row r="1212">
      <c r="A1212" s="18">
        <f>IF(ISNUMBER(Dossiers!$D$26),Dossiers!$A$26&amp;" · "&amp;Dossiers!$B$26,"")</f>
        <v/>
      </c>
      <c r="B1212" s="18">
        <f>IF($A1212="","",Paramètres!G24)</f>
        <v/>
      </c>
      <c r="C1212" s="18">
        <f>IF($A1212="","",IF(Paramètres!H24="","",Paramètres!H24))</f>
        <v/>
      </c>
      <c r="D1212" s="18">
        <f>IF($A1212="","",IF(Paramètres!I24="","",Paramètres!I24))</f>
        <v/>
      </c>
      <c r="E1212" s="19">
        <f>IF($A1212="","",IF(Paramètres!J24&amp;Paramètres!L24&amp;Paramètres!N24="",Dossiers!$D$26,MAX(IF(Paramètres!J24="",0,IF(Paramètres!K24="",NA(),IF(LEFT(TRIM(Paramètres!K24),1)="F",INDEX($F$1193:$F$1245,MATCH(Paramètres!J24,Paramètres!$G$5:$G$57,0)),INDEX($E$1193:$E$1245,MATCH(Paramètres!J24,Paramètres!$G$5:$G$57,0)))+IF(RIGHT(TRIM(Paramètres!K24),3)="Fin",1-$H1212,IF(LEFT(TRIM(Paramètres!K24),1)="F",1,0)))),IF(Paramètres!L24="",0,IF(Paramètres!M24="",NA(),IF(LEFT(TRIM(Paramètres!M24),1)="F",INDEX($F$1193:$F$1245,MATCH(Paramètres!L24,Paramètres!$G$5:$G$57,0)),INDEX($E$1193:$E$1245,MATCH(Paramètres!L24,Paramètres!$G$5:$G$57,0)))+IF(RIGHT(TRIM(Paramètres!M24),3)="Fin",1-$H1212,IF(LEFT(TRIM(Paramètres!M24),1)="F",1,0)))),IF(Paramètres!N24="",0,IF(Paramètres!O24="",NA(),IF(LEFT(TRIM(Paramètres!O24),1)="F",INDEX($F$1193:$F$1245,MATCH(Paramètres!N24,Paramètres!$G$5:$G$57,0)),INDEX($E$1193:$E$1245,MATCH(Paramètres!N24,Paramètres!$G$5:$G$57,0)))+IF(RIGHT(TRIM(Paramètres!O24),3)="Fin",1-$H1212,IF(LEFT(TRIM(Paramètres!O24),1)="F",1,0)))))))</f>
        <v/>
      </c>
      <c r="F1212" s="19">
        <f>IF($A1212="","",E1212+$H1212-1)</f>
        <v/>
      </c>
      <c r="G1212" s="18" t="n"/>
      <c r="H1212" s="18">
        <f>IF($A1212="","",IF(I1212&lt;&gt;"",I1212,Paramètres!B24))</f>
        <v/>
      </c>
      <c r="I1212" s="18" t="n"/>
    </row>
    <row r="1213">
      <c r="A1213" s="18">
        <f>IF(ISNUMBER(Dossiers!$D$26),Dossiers!$A$26&amp;" · "&amp;Dossiers!$B$26,"")</f>
        <v/>
      </c>
      <c r="B1213" s="18">
        <f>IF($A1213="","",Paramètres!G25)</f>
        <v/>
      </c>
      <c r="C1213" s="18">
        <f>IF($A1213="","",IF(Paramètres!H25="","",Paramètres!H25))</f>
        <v/>
      </c>
      <c r="D1213" s="18">
        <f>IF($A1213="","",IF(Paramètres!I25="","",Paramètres!I25))</f>
        <v/>
      </c>
      <c r="E1213" s="19">
        <f>IF($A1213="","",IF(Paramètres!J25&amp;Paramètres!L25&amp;Paramètres!N25="",Dossiers!$D$26,MAX(IF(Paramètres!J25="",0,IF(Paramètres!K25="",NA(),IF(LEFT(TRIM(Paramètres!K25),1)="F",INDEX($F$1193:$F$1245,MATCH(Paramètres!J25,Paramètres!$G$5:$G$57,0)),INDEX($E$1193:$E$1245,MATCH(Paramètres!J25,Paramètres!$G$5:$G$57,0)))+IF(RIGHT(TRIM(Paramètres!K25),3)="Fin",1-$H1213,IF(LEFT(TRIM(Paramètres!K25),1)="F",1,0)))),IF(Paramètres!L25="",0,IF(Paramètres!M25="",NA(),IF(LEFT(TRIM(Paramètres!M25),1)="F",INDEX($F$1193:$F$1245,MATCH(Paramètres!L25,Paramètres!$G$5:$G$57,0)),INDEX($E$1193:$E$1245,MATCH(Paramètres!L25,Paramètres!$G$5:$G$57,0)))+IF(RIGHT(TRIM(Paramètres!M25),3)="Fin",1-$H1213,IF(LEFT(TRIM(Paramètres!M25),1)="F",1,0)))),IF(Paramètres!N25="",0,IF(Paramètres!O25="",NA(),IF(LEFT(TRIM(Paramètres!O25),1)="F",INDEX($F$1193:$F$1245,MATCH(Paramètres!N25,Paramètres!$G$5:$G$57,0)),INDEX($E$1193:$E$1245,MATCH(Paramètres!N25,Paramètres!$G$5:$G$57,0)))+IF(RIGHT(TRIM(Paramètres!O25),3)="Fin",1-$H1213,IF(LEFT(TRIM(Paramètres!O25),1)="F",1,0)))))))</f>
        <v/>
      </c>
      <c r="F1213" s="19">
        <f>IF($A1213="","",E1213+$H1213-1)</f>
        <v/>
      </c>
      <c r="G1213" s="18" t="n"/>
      <c r="H1213" s="18">
        <f>IF($A1213="","",IF(I1213&lt;&gt;"",I1213,Paramètres!B25))</f>
        <v/>
      </c>
      <c r="I1213" s="18" t="n"/>
    </row>
    <row r="1214">
      <c r="A1214" s="18">
        <f>IF(ISNUMBER(Dossiers!$D$26),Dossiers!$A$26&amp;" · "&amp;Dossiers!$B$26,"")</f>
        <v/>
      </c>
      <c r="B1214" s="18">
        <f>IF($A1214="","",Paramètres!G26)</f>
        <v/>
      </c>
      <c r="C1214" s="18">
        <f>IF($A1214="","",IF(Paramètres!H26="","",Paramètres!H26))</f>
        <v/>
      </c>
      <c r="D1214" s="18">
        <f>IF($A1214="","",IF(Paramètres!I26="","",Paramètres!I26))</f>
        <v/>
      </c>
      <c r="E1214" s="19">
        <f>IF($A1214="","",IF(Paramètres!J26&amp;Paramètres!L26&amp;Paramètres!N26="",Dossiers!$D$26,MAX(IF(Paramètres!J26="",0,IF(Paramètres!K26="",NA(),IF(LEFT(TRIM(Paramètres!K26),1)="F",INDEX($F$1193:$F$1245,MATCH(Paramètres!J26,Paramètres!$G$5:$G$57,0)),INDEX($E$1193:$E$1245,MATCH(Paramètres!J26,Paramètres!$G$5:$G$57,0)))+IF(RIGHT(TRIM(Paramètres!K26),3)="Fin",1-$H1214,IF(LEFT(TRIM(Paramètres!K26),1)="F",1,0)))),IF(Paramètres!L26="",0,IF(Paramètres!M26="",NA(),IF(LEFT(TRIM(Paramètres!M26),1)="F",INDEX($F$1193:$F$1245,MATCH(Paramètres!L26,Paramètres!$G$5:$G$57,0)),INDEX($E$1193:$E$1245,MATCH(Paramètres!L26,Paramètres!$G$5:$G$57,0)))+IF(RIGHT(TRIM(Paramètres!M26),3)="Fin",1-$H1214,IF(LEFT(TRIM(Paramètres!M26),1)="F",1,0)))),IF(Paramètres!N26="",0,IF(Paramètres!O26="",NA(),IF(LEFT(TRIM(Paramètres!O26),1)="F",INDEX($F$1193:$F$1245,MATCH(Paramètres!N26,Paramètres!$G$5:$G$57,0)),INDEX($E$1193:$E$1245,MATCH(Paramètres!N26,Paramètres!$G$5:$G$57,0)))+IF(RIGHT(TRIM(Paramètres!O26),3)="Fin",1-$H1214,IF(LEFT(TRIM(Paramètres!O26),1)="F",1,0)))))))</f>
        <v/>
      </c>
      <c r="F1214" s="19">
        <f>IF($A1214="","",E1214+$H1214-1)</f>
        <v/>
      </c>
      <c r="G1214" s="18" t="n"/>
      <c r="H1214" s="18">
        <f>IF($A1214="","",IF(I1214&lt;&gt;"",I1214,Paramètres!B26))</f>
        <v/>
      </c>
      <c r="I1214" s="18" t="n"/>
    </row>
    <row r="1215">
      <c r="A1215" s="18">
        <f>IF(ISNUMBER(Dossiers!$D$26),Dossiers!$A$26&amp;" · "&amp;Dossiers!$B$26,"")</f>
        <v/>
      </c>
      <c r="B1215" s="18">
        <f>IF($A1215="","",Paramètres!G27)</f>
        <v/>
      </c>
      <c r="C1215" s="18">
        <f>IF($A1215="","",IF(Paramètres!H27="","",Paramètres!H27))</f>
        <v/>
      </c>
      <c r="D1215" s="18">
        <f>IF($A1215="","",IF(Paramètres!I27="","",Paramètres!I27))</f>
        <v/>
      </c>
      <c r="E1215" s="19">
        <f>IF($A1215="","",IF(Paramètres!J27&amp;Paramètres!L27&amp;Paramètres!N27="",Dossiers!$D$26,MAX(IF(Paramètres!J27="",0,IF(Paramètres!K27="",NA(),IF(LEFT(TRIM(Paramètres!K27),1)="F",INDEX($F$1193:$F$1245,MATCH(Paramètres!J27,Paramètres!$G$5:$G$57,0)),INDEX($E$1193:$E$1245,MATCH(Paramètres!J27,Paramètres!$G$5:$G$57,0)))+IF(RIGHT(TRIM(Paramètres!K27),3)="Fin",1-$H1215,IF(LEFT(TRIM(Paramètres!K27),1)="F",1,0)))),IF(Paramètres!L27="",0,IF(Paramètres!M27="",NA(),IF(LEFT(TRIM(Paramètres!M27),1)="F",INDEX($F$1193:$F$1245,MATCH(Paramètres!L27,Paramètres!$G$5:$G$57,0)),INDEX($E$1193:$E$1245,MATCH(Paramètres!L27,Paramètres!$G$5:$G$57,0)))+IF(RIGHT(TRIM(Paramètres!M27),3)="Fin",1-$H1215,IF(LEFT(TRIM(Paramètres!M27),1)="F",1,0)))),IF(Paramètres!N27="",0,IF(Paramètres!O27="",NA(),IF(LEFT(TRIM(Paramètres!O27),1)="F",INDEX($F$1193:$F$1245,MATCH(Paramètres!N27,Paramètres!$G$5:$G$57,0)),INDEX($E$1193:$E$1245,MATCH(Paramètres!N27,Paramètres!$G$5:$G$57,0)))+IF(RIGHT(TRIM(Paramètres!O27),3)="Fin",1-$H1215,IF(LEFT(TRIM(Paramètres!O27),1)="F",1,0)))))))</f>
        <v/>
      </c>
      <c r="F1215" s="19">
        <f>IF($A1215="","",E1215+$H1215-1)</f>
        <v/>
      </c>
      <c r="G1215" s="18" t="n"/>
      <c r="H1215" s="18">
        <f>IF($A1215="","",IF(I1215&lt;&gt;"",I1215,Paramètres!B27))</f>
        <v/>
      </c>
      <c r="I1215" s="18" t="n"/>
    </row>
    <row r="1216">
      <c r="A1216" s="18">
        <f>IF(ISNUMBER(Dossiers!$D$26),Dossiers!$A$26&amp;" · "&amp;Dossiers!$B$26,"")</f>
        <v/>
      </c>
      <c r="B1216" s="18">
        <f>IF($A1216="","",Paramètres!G28)</f>
        <v/>
      </c>
      <c r="C1216" s="18">
        <f>IF($A1216="","",IF(Paramètres!H28="","",Paramètres!H28))</f>
        <v/>
      </c>
      <c r="D1216" s="18">
        <f>IF($A1216="","",IF(Paramètres!I28="","",Paramètres!I28))</f>
        <v/>
      </c>
      <c r="E1216" s="19">
        <f>IF($A1216="","",IF(Paramètres!J28&amp;Paramètres!L28&amp;Paramètres!N28="",Dossiers!$D$26,MAX(IF(Paramètres!J28="",0,IF(Paramètres!K28="",NA(),IF(LEFT(TRIM(Paramètres!K28),1)="F",INDEX($F$1193:$F$1245,MATCH(Paramètres!J28,Paramètres!$G$5:$G$57,0)),INDEX($E$1193:$E$1245,MATCH(Paramètres!J28,Paramètres!$G$5:$G$57,0)))+IF(RIGHT(TRIM(Paramètres!K28),3)="Fin",1-$H1216,IF(LEFT(TRIM(Paramètres!K28),1)="F",1,0)))),IF(Paramètres!L28="",0,IF(Paramètres!M28="",NA(),IF(LEFT(TRIM(Paramètres!M28),1)="F",INDEX($F$1193:$F$1245,MATCH(Paramètres!L28,Paramètres!$G$5:$G$57,0)),INDEX($E$1193:$E$1245,MATCH(Paramètres!L28,Paramètres!$G$5:$G$57,0)))+IF(RIGHT(TRIM(Paramètres!M28),3)="Fin",1-$H1216,IF(LEFT(TRIM(Paramètres!M28),1)="F",1,0)))),IF(Paramètres!N28="",0,IF(Paramètres!O28="",NA(),IF(LEFT(TRIM(Paramètres!O28),1)="F",INDEX($F$1193:$F$1245,MATCH(Paramètres!N28,Paramètres!$G$5:$G$57,0)),INDEX($E$1193:$E$1245,MATCH(Paramètres!N28,Paramètres!$G$5:$G$57,0)))+IF(RIGHT(TRIM(Paramètres!O28),3)="Fin",1-$H1216,IF(LEFT(TRIM(Paramètres!O28),1)="F",1,0)))))))</f>
        <v/>
      </c>
      <c r="F1216" s="19">
        <f>IF($A1216="","",E1216+$H1216-1)</f>
        <v/>
      </c>
      <c r="G1216" s="18" t="n"/>
      <c r="H1216" s="18">
        <f>IF($A1216="","",IF(I1216&lt;&gt;"",I1216,Paramètres!B28))</f>
        <v/>
      </c>
      <c r="I1216" s="18" t="n"/>
    </row>
    <row r="1217">
      <c r="A1217" s="18">
        <f>IF(ISNUMBER(Dossiers!$D$26),Dossiers!$A$26&amp;" · "&amp;Dossiers!$B$26,"")</f>
        <v/>
      </c>
      <c r="B1217" s="18">
        <f>IF($A1217="","",Paramètres!G29)</f>
        <v/>
      </c>
      <c r="C1217" s="18">
        <f>IF($A1217="","",IF(Paramètres!H29="","",Paramètres!H29))</f>
        <v/>
      </c>
      <c r="D1217" s="18">
        <f>IF($A1217="","",IF(Paramètres!I29="","",Paramètres!I29))</f>
        <v/>
      </c>
      <c r="E1217" s="19">
        <f>IF($A1217="","",IF(Paramètres!J29&amp;Paramètres!L29&amp;Paramètres!N29="",Dossiers!$D$26,MAX(IF(Paramètres!J29="",0,IF(Paramètres!K29="",NA(),IF(LEFT(TRIM(Paramètres!K29),1)="F",INDEX($F$1193:$F$1245,MATCH(Paramètres!J29,Paramètres!$G$5:$G$57,0)),INDEX($E$1193:$E$1245,MATCH(Paramètres!J29,Paramètres!$G$5:$G$57,0)))+IF(RIGHT(TRIM(Paramètres!K29),3)="Fin",1-$H1217,IF(LEFT(TRIM(Paramètres!K29),1)="F",1,0)))),IF(Paramètres!L29="",0,IF(Paramètres!M29="",NA(),IF(LEFT(TRIM(Paramètres!M29),1)="F",INDEX($F$1193:$F$1245,MATCH(Paramètres!L29,Paramètres!$G$5:$G$57,0)),INDEX($E$1193:$E$1245,MATCH(Paramètres!L29,Paramètres!$G$5:$G$57,0)))+IF(RIGHT(TRIM(Paramètres!M29),3)="Fin",1-$H1217,IF(LEFT(TRIM(Paramètres!M29),1)="F",1,0)))),IF(Paramètres!N29="",0,IF(Paramètres!O29="",NA(),IF(LEFT(TRIM(Paramètres!O29),1)="F",INDEX($F$1193:$F$1245,MATCH(Paramètres!N29,Paramètres!$G$5:$G$57,0)),INDEX($E$1193:$E$1245,MATCH(Paramètres!N29,Paramètres!$G$5:$G$57,0)))+IF(RIGHT(TRIM(Paramètres!O29),3)="Fin",1-$H1217,IF(LEFT(TRIM(Paramètres!O29),1)="F",1,0)))))))</f>
        <v/>
      </c>
      <c r="F1217" s="19">
        <f>IF($A1217="","",E1217+$H1217-1)</f>
        <v/>
      </c>
      <c r="G1217" s="18" t="n"/>
      <c r="H1217" s="18">
        <f>IF($A1217="","",IF(I1217&lt;&gt;"",I1217,Paramètres!B29))</f>
        <v/>
      </c>
      <c r="I1217" s="18" t="n"/>
    </row>
    <row r="1218">
      <c r="A1218" s="18">
        <f>IF(ISNUMBER(Dossiers!$D$26),Dossiers!$A$26&amp;" · "&amp;Dossiers!$B$26,"")</f>
        <v/>
      </c>
      <c r="B1218" s="18">
        <f>IF($A1218="","",Paramètres!G30)</f>
        <v/>
      </c>
      <c r="C1218" s="18">
        <f>IF($A1218="","",IF(Paramètres!H30="","",Paramètres!H30))</f>
        <v/>
      </c>
      <c r="D1218" s="18">
        <f>IF($A1218="","",IF(Paramètres!I30="","",Paramètres!I30))</f>
        <v/>
      </c>
      <c r="E1218" s="19">
        <f>IF($A1218="","",IF(Paramètres!J30&amp;Paramètres!L30&amp;Paramètres!N30="",Dossiers!$D$26,MAX(IF(Paramètres!J30="",0,IF(Paramètres!K30="",NA(),IF(LEFT(TRIM(Paramètres!K30),1)="F",INDEX($F$1193:$F$1245,MATCH(Paramètres!J30,Paramètres!$G$5:$G$57,0)),INDEX($E$1193:$E$1245,MATCH(Paramètres!J30,Paramètres!$G$5:$G$57,0)))+IF(RIGHT(TRIM(Paramètres!K30),3)="Fin",1-$H1218,IF(LEFT(TRIM(Paramètres!K30),1)="F",1,0)))),IF(Paramètres!L30="",0,IF(Paramètres!M30="",NA(),IF(LEFT(TRIM(Paramètres!M30),1)="F",INDEX($F$1193:$F$1245,MATCH(Paramètres!L30,Paramètres!$G$5:$G$57,0)),INDEX($E$1193:$E$1245,MATCH(Paramètres!L30,Paramètres!$G$5:$G$57,0)))+IF(RIGHT(TRIM(Paramètres!M30),3)="Fin",1-$H1218,IF(LEFT(TRIM(Paramètres!M30),1)="F",1,0)))),IF(Paramètres!N30="",0,IF(Paramètres!O30="",NA(),IF(LEFT(TRIM(Paramètres!O30),1)="F",INDEX($F$1193:$F$1245,MATCH(Paramètres!N30,Paramètres!$G$5:$G$57,0)),INDEX($E$1193:$E$1245,MATCH(Paramètres!N30,Paramètres!$G$5:$G$57,0)))+IF(RIGHT(TRIM(Paramètres!O30),3)="Fin",1-$H1218,IF(LEFT(TRIM(Paramètres!O30),1)="F",1,0)))))))</f>
        <v/>
      </c>
      <c r="F1218" s="19">
        <f>IF($A1218="","",E1218+$H1218-1)</f>
        <v/>
      </c>
      <c r="G1218" s="18" t="n"/>
      <c r="H1218" s="18">
        <f>IF($A1218="","",IF(I1218&lt;&gt;"",I1218,Paramètres!B30))</f>
        <v/>
      </c>
      <c r="I1218" s="18" t="n"/>
    </row>
    <row r="1219">
      <c r="A1219" s="18">
        <f>IF(ISNUMBER(Dossiers!$D$26),Dossiers!$A$26&amp;" · "&amp;Dossiers!$B$26,"")</f>
        <v/>
      </c>
      <c r="B1219" s="18">
        <f>IF($A1219="","",Paramètres!G31)</f>
        <v/>
      </c>
      <c r="C1219" s="20">
        <f>IF($A1219="","",IF(Dossiers!$F$26="","",Dossiers!$F$26))</f>
        <v/>
      </c>
      <c r="D1219" s="18">
        <f>IF($A1219="","",IF(Paramètres!I31="","",Paramètres!I31))</f>
        <v/>
      </c>
      <c r="E1219" s="19">
        <f>IF($A1219="","",IF(Paramètres!J31&amp;Paramètres!L31&amp;Paramètres!N31="",Dossiers!$D$26,MAX(IF(Paramètres!J31="",0,IF(Paramètres!K31="",NA(),IF(LEFT(TRIM(Paramètres!K31),1)="F",INDEX($F$1193:$F$1245,MATCH(Paramètres!J31,Paramètres!$G$5:$G$57,0)),INDEX($E$1193:$E$1245,MATCH(Paramètres!J31,Paramètres!$G$5:$G$57,0)))+IF(RIGHT(TRIM(Paramètres!K31),3)="Fin",1-$H1219,IF(LEFT(TRIM(Paramètres!K31),1)="F",1,0)))),IF(Paramètres!L31="",0,IF(Paramètres!M31="",NA(),IF(LEFT(TRIM(Paramètres!M31),1)="F",INDEX($F$1193:$F$1245,MATCH(Paramètres!L31,Paramètres!$G$5:$G$57,0)),INDEX($E$1193:$E$1245,MATCH(Paramètres!L31,Paramètres!$G$5:$G$57,0)))+IF(RIGHT(TRIM(Paramètres!M31),3)="Fin",1-$H1219,IF(LEFT(TRIM(Paramètres!M31),1)="F",1,0)))),IF(Paramètres!N31="",0,IF(Paramètres!O31="",NA(),IF(LEFT(TRIM(Paramètres!O31),1)="F",INDEX($F$1193:$F$1245,MATCH(Paramètres!N31,Paramètres!$G$5:$G$57,0)),INDEX($E$1193:$E$1245,MATCH(Paramètres!N31,Paramètres!$G$5:$G$57,0)))+IF(RIGHT(TRIM(Paramètres!O31),3)="Fin",1-$H1219,IF(LEFT(TRIM(Paramètres!O31),1)="F",1,0)))))))</f>
        <v/>
      </c>
      <c r="F1219" s="19">
        <f>IF($A1219="","",E1219+$H1219-1)</f>
        <v/>
      </c>
      <c r="G1219" s="18" t="n"/>
      <c r="H1219" s="18">
        <f>IF($A1219="","",IF(I1219&lt;&gt;"",I1219,Paramètres!B31))</f>
        <v/>
      </c>
      <c r="I1219" s="18" t="n"/>
    </row>
    <row r="1220">
      <c r="A1220" s="18">
        <f>IF(ISNUMBER(Dossiers!$D$26),Dossiers!$A$26&amp;" · "&amp;Dossiers!$B$26,"")</f>
        <v/>
      </c>
      <c r="B1220" s="18">
        <f>IF($A1220="","",Paramètres!G32)</f>
        <v/>
      </c>
      <c r="C1220" s="18">
        <f>IF($A1220="","",IF(Paramètres!H32="","",Paramètres!H32))</f>
        <v/>
      </c>
      <c r="D1220" s="18">
        <f>IF($A1220="","",IF(Paramètres!I32="","",Paramètres!I32))</f>
        <v/>
      </c>
      <c r="E1220" s="19">
        <f>IF($A1220="","",MIN(E1221:E1224))</f>
        <v/>
      </c>
      <c r="F1220" s="19">
        <f>IF($A1220="","",MAX(F1221:F1224))</f>
        <v/>
      </c>
      <c r="G1220" s="18" t="n"/>
      <c r="H1220" s="18">
        <f>IF($A1220="","",F1220-E1220+1)</f>
        <v/>
      </c>
      <c r="I1220" s="18" t="n"/>
    </row>
    <row r="1221">
      <c r="A1221" s="18">
        <f>IF(ISNUMBER(Dossiers!$D$26),Dossiers!$A$26&amp;" · "&amp;Dossiers!$B$26,"")</f>
        <v/>
      </c>
      <c r="B1221" s="18">
        <f>IF($A1221="","",Paramètres!G33)</f>
        <v/>
      </c>
      <c r="C1221" s="18">
        <f>IF($A1221="","",IF(Paramètres!H33="","",Paramètres!H33))</f>
        <v/>
      </c>
      <c r="D1221" s="18">
        <f>IF($A1221="","",IF(Paramètres!I33="","",Paramètres!I33))</f>
        <v/>
      </c>
      <c r="E1221" s="19">
        <f>IF($A1221="","",IF(Paramètres!J33&amp;Paramètres!L33&amp;Paramètres!N33="",Dossiers!$D$26,MAX(IF(Paramètres!J33="",0,IF(Paramètres!K33="",NA(),IF(LEFT(TRIM(Paramètres!K33),1)="F",INDEX($F$1193:$F$1245,MATCH(Paramètres!J33,Paramètres!$G$5:$G$57,0)),INDEX($E$1193:$E$1245,MATCH(Paramètres!J33,Paramètres!$G$5:$G$57,0)))+IF(RIGHT(TRIM(Paramètres!K33),3)="Fin",1-$H1221,IF(LEFT(TRIM(Paramètres!K33),1)="F",1,0)))),IF(Paramètres!L33="",0,IF(Paramètres!M33="",NA(),IF(LEFT(TRIM(Paramètres!M33),1)="F",INDEX($F$1193:$F$1245,MATCH(Paramètres!L33,Paramètres!$G$5:$G$57,0)),INDEX($E$1193:$E$1245,MATCH(Paramètres!L33,Paramètres!$G$5:$G$57,0)))+IF(RIGHT(TRIM(Paramètres!M33),3)="Fin",1-$H1221,IF(LEFT(TRIM(Paramètres!M33),1)="F",1,0)))),IF(Paramètres!N33="",0,IF(Paramètres!O33="",NA(),IF(LEFT(TRIM(Paramètres!O33),1)="F",INDEX($F$1193:$F$1245,MATCH(Paramètres!N33,Paramètres!$G$5:$G$57,0)),INDEX($E$1193:$E$1245,MATCH(Paramètres!N33,Paramètres!$G$5:$G$57,0)))+IF(RIGHT(TRIM(Paramètres!O33),3)="Fin",1-$H1221,IF(LEFT(TRIM(Paramètres!O33),1)="F",1,0)))))))</f>
        <v/>
      </c>
      <c r="F1221" s="19">
        <f>IF($A1221="","",E1221+$H1221-1)</f>
        <v/>
      </c>
      <c r="G1221" s="18" t="n"/>
      <c r="H1221" s="18">
        <f>IF($A1221="","",IF(I1221&lt;&gt;"",I1221,Paramètres!B33))</f>
        <v/>
      </c>
      <c r="I1221" s="18" t="n"/>
    </row>
    <row r="1222">
      <c r="A1222" s="18">
        <f>IF(ISNUMBER(Dossiers!$D$26),Dossiers!$A$26&amp;" · "&amp;Dossiers!$B$26,"")</f>
        <v/>
      </c>
      <c r="B1222" s="18">
        <f>IF($A1222="","",Paramètres!G34)</f>
        <v/>
      </c>
      <c r="C1222" s="18">
        <f>IF($A1222="","",IF(Paramètres!H34="","",Paramètres!H34))</f>
        <v/>
      </c>
      <c r="D1222" s="18">
        <f>IF($A1222="","",IF(Paramètres!I34="","",Paramètres!I34))</f>
        <v/>
      </c>
      <c r="E1222" s="19">
        <f>IF($A1222="","",IF(Paramètres!J34&amp;Paramètres!L34&amp;Paramètres!N34="",Dossiers!$D$26,MAX(IF(Paramètres!J34="",0,IF(Paramètres!K34="",NA(),IF(LEFT(TRIM(Paramètres!K34),1)="F",INDEX($F$1193:$F$1245,MATCH(Paramètres!J34,Paramètres!$G$5:$G$57,0)),INDEX($E$1193:$E$1245,MATCH(Paramètres!J34,Paramètres!$G$5:$G$57,0)))+IF(RIGHT(TRIM(Paramètres!K34),3)="Fin",1-$H1222,IF(LEFT(TRIM(Paramètres!K34),1)="F",1,0)))),IF(Paramètres!L34="",0,IF(Paramètres!M34="",NA(),IF(LEFT(TRIM(Paramètres!M34),1)="F",INDEX($F$1193:$F$1245,MATCH(Paramètres!L34,Paramètres!$G$5:$G$57,0)),INDEX($E$1193:$E$1245,MATCH(Paramètres!L34,Paramètres!$G$5:$G$57,0)))+IF(RIGHT(TRIM(Paramètres!M34),3)="Fin",1-$H1222,IF(LEFT(TRIM(Paramètres!M34),1)="F",1,0)))),IF(Paramètres!N34="",0,IF(Paramètres!O34="",NA(),IF(LEFT(TRIM(Paramètres!O34),1)="F",INDEX($F$1193:$F$1245,MATCH(Paramètres!N34,Paramètres!$G$5:$G$57,0)),INDEX($E$1193:$E$1245,MATCH(Paramètres!N34,Paramètres!$G$5:$G$57,0)))+IF(RIGHT(TRIM(Paramètres!O34),3)="Fin",1-$H1222,IF(LEFT(TRIM(Paramètres!O34),1)="F",1,0)))))))</f>
        <v/>
      </c>
      <c r="F1222" s="19">
        <f>IF($A1222="","",E1222+$H1222-1)</f>
        <v/>
      </c>
      <c r="G1222" s="18" t="n"/>
      <c r="H1222" s="18">
        <f>IF($A1222="","",IF(I1222&lt;&gt;"",I1222,Paramètres!B34))</f>
        <v/>
      </c>
      <c r="I1222" s="18" t="n"/>
    </row>
    <row r="1223">
      <c r="A1223" s="18">
        <f>IF(ISNUMBER(Dossiers!$D$26),Dossiers!$A$26&amp;" · "&amp;Dossiers!$B$26,"")</f>
        <v/>
      </c>
      <c r="B1223" s="18">
        <f>IF($A1223="","",Paramètres!G35)</f>
        <v/>
      </c>
      <c r="C1223" s="18">
        <f>IF($A1223="","",IF(Paramètres!H35="","",Paramètres!H35))</f>
        <v/>
      </c>
      <c r="D1223" s="18">
        <f>IF($A1223="","",IF(Paramètres!I35="","",Paramètres!I35))</f>
        <v/>
      </c>
      <c r="E1223" s="19">
        <f>IF($A1223="","",IF(Paramètres!J35&amp;Paramètres!L35&amp;Paramètres!N35="",Dossiers!$D$26,MAX(IF(Paramètres!J35="",0,IF(Paramètres!K35="",NA(),IF(LEFT(TRIM(Paramètres!K35),1)="F",INDEX($F$1193:$F$1245,MATCH(Paramètres!J35,Paramètres!$G$5:$G$57,0)),INDEX($E$1193:$E$1245,MATCH(Paramètres!J35,Paramètres!$G$5:$G$57,0)))+IF(RIGHT(TRIM(Paramètres!K35),3)="Fin",1-$H1223,IF(LEFT(TRIM(Paramètres!K35),1)="F",1,0)))),IF(Paramètres!L35="",0,IF(Paramètres!M35="",NA(),IF(LEFT(TRIM(Paramètres!M35),1)="F",INDEX($F$1193:$F$1245,MATCH(Paramètres!L35,Paramètres!$G$5:$G$57,0)),INDEX($E$1193:$E$1245,MATCH(Paramètres!L35,Paramètres!$G$5:$G$57,0)))+IF(RIGHT(TRIM(Paramètres!M35),3)="Fin",1-$H1223,IF(LEFT(TRIM(Paramètres!M35),1)="F",1,0)))),IF(Paramètres!N35="",0,IF(Paramètres!O35="",NA(),IF(LEFT(TRIM(Paramètres!O35),1)="F",INDEX($F$1193:$F$1245,MATCH(Paramètres!N35,Paramètres!$G$5:$G$57,0)),INDEX($E$1193:$E$1245,MATCH(Paramètres!N35,Paramètres!$G$5:$G$57,0)))+IF(RIGHT(TRIM(Paramètres!O35),3)="Fin",1-$H1223,IF(LEFT(TRIM(Paramètres!O35),1)="F",1,0)))))))</f>
        <v/>
      </c>
      <c r="F1223" s="19">
        <f>IF($A1223="","",E1223+$H1223-1)</f>
        <v/>
      </c>
      <c r="G1223" s="18" t="n"/>
      <c r="H1223" s="18">
        <f>IF($A1223="","",IF(I1223&lt;&gt;"",I1223,Paramètres!B35))</f>
        <v/>
      </c>
      <c r="I1223" s="18" t="n"/>
    </row>
    <row r="1224">
      <c r="A1224" s="18">
        <f>IF(ISNUMBER(Dossiers!$D$26),Dossiers!$A$26&amp;" · "&amp;Dossiers!$B$26,"")</f>
        <v/>
      </c>
      <c r="B1224" s="18">
        <f>IF($A1224="","",Paramètres!G36)</f>
        <v/>
      </c>
      <c r="C1224" s="18">
        <f>IF($A1224="","",IF(Paramètres!H36="","",Paramètres!H36))</f>
        <v/>
      </c>
      <c r="D1224" s="18">
        <f>IF($A1224="","",IF(Paramètres!I36="","",Paramètres!I36))</f>
        <v/>
      </c>
      <c r="E1224" s="19">
        <f>IF($A1224="","",IF(Paramètres!J36&amp;Paramètres!L36&amp;Paramètres!N36="",Dossiers!$D$26,MAX(IF(Paramètres!J36="",0,IF(Paramètres!K36="",NA(),IF(LEFT(TRIM(Paramètres!K36),1)="F",INDEX($F$1193:$F$1245,MATCH(Paramètres!J36,Paramètres!$G$5:$G$57,0)),INDEX($E$1193:$E$1245,MATCH(Paramètres!J36,Paramètres!$G$5:$G$57,0)))+IF(RIGHT(TRIM(Paramètres!K36),3)="Fin",1-$H1224,IF(LEFT(TRIM(Paramètres!K36),1)="F",1,0)))),IF(Paramètres!L36="",0,IF(Paramètres!M36="",NA(),IF(LEFT(TRIM(Paramètres!M36),1)="F",INDEX($F$1193:$F$1245,MATCH(Paramètres!L36,Paramètres!$G$5:$G$57,0)),INDEX($E$1193:$E$1245,MATCH(Paramètres!L36,Paramètres!$G$5:$G$57,0)))+IF(RIGHT(TRIM(Paramètres!M36),3)="Fin",1-$H1224,IF(LEFT(TRIM(Paramètres!M36),1)="F",1,0)))),IF(Paramètres!N36="",0,IF(Paramètres!O36="",NA(),IF(LEFT(TRIM(Paramètres!O36),1)="F",INDEX($F$1193:$F$1245,MATCH(Paramètres!N36,Paramètres!$G$5:$G$57,0)),INDEX($E$1193:$E$1245,MATCH(Paramètres!N36,Paramètres!$G$5:$G$57,0)))+IF(RIGHT(TRIM(Paramètres!O36),3)="Fin",1-$H1224,IF(LEFT(TRIM(Paramètres!O36),1)="F",1,0)))))))</f>
        <v/>
      </c>
      <c r="F1224" s="19">
        <f>IF($A1224="","",E1224+$H1224-1)</f>
        <v/>
      </c>
      <c r="G1224" s="18" t="n"/>
      <c r="H1224" s="18">
        <f>IF($A1224="","",IF(I1224&lt;&gt;"",I1224,Paramètres!B36))</f>
        <v/>
      </c>
      <c r="I1224" s="18" t="n"/>
    </row>
    <row r="1225">
      <c r="A1225" s="18">
        <f>IF(ISNUMBER(Dossiers!$D$26),Dossiers!$A$26&amp;" · "&amp;Dossiers!$B$26,"")</f>
        <v/>
      </c>
      <c r="B1225" s="18">
        <f>IF($A1225="","",Paramètres!G37)</f>
        <v/>
      </c>
      <c r="C1225" s="18">
        <f>IF($A1225="","",IF(Paramètres!H37="","",Paramètres!H37))</f>
        <v/>
      </c>
      <c r="D1225" s="18">
        <f>IF($A1225="","",IF(Paramètres!I37="","",Paramètres!I37))</f>
        <v/>
      </c>
      <c r="E1225" s="19">
        <f>IF($A1225="","",MIN(E1226:E1243))</f>
        <v/>
      </c>
      <c r="F1225" s="19">
        <f>IF($A1225="","",MAX(F1226:F1243))</f>
        <v/>
      </c>
      <c r="G1225" s="18" t="n"/>
      <c r="H1225" s="18">
        <f>IF($A1225="","",F1225-E1225+1)</f>
        <v/>
      </c>
      <c r="I1225" s="18" t="n"/>
    </row>
    <row r="1226">
      <c r="A1226" s="18">
        <f>IF(ISNUMBER(Dossiers!$D$26),Dossiers!$A$26&amp;" · "&amp;Dossiers!$B$26,"")</f>
        <v/>
      </c>
      <c r="B1226" s="18">
        <f>IF($A1226="","",Paramètres!G38)</f>
        <v/>
      </c>
      <c r="C1226" s="18">
        <f>IF($A1226="","",IF(Paramètres!H38="","",Paramètres!H38))</f>
        <v/>
      </c>
      <c r="D1226" s="18">
        <f>IF($A1226="","",IF(Paramètres!I38="","",Paramètres!I38))</f>
        <v/>
      </c>
      <c r="E1226" s="19">
        <f>IF($A1226="","",IF(Paramètres!J38&amp;Paramètres!L38&amp;Paramètres!N38="",Dossiers!$D$26,MAX(IF(Paramètres!J38="",0,IF(Paramètres!K38="",NA(),IF(LEFT(TRIM(Paramètres!K38),1)="F",INDEX($F$1193:$F$1245,MATCH(Paramètres!J38,Paramètres!$G$5:$G$57,0)),INDEX($E$1193:$E$1245,MATCH(Paramètres!J38,Paramètres!$G$5:$G$57,0)))+IF(RIGHT(TRIM(Paramètres!K38),3)="Fin",1-$H1226,IF(LEFT(TRIM(Paramètres!K38),1)="F",1,0)))),IF(Paramètres!L38="",0,IF(Paramètres!M38="",NA(),IF(LEFT(TRIM(Paramètres!M38),1)="F",INDEX($F$1193:$F$1245,MATCH(Paramètres!L38,Paramètres!$G$5:$G$57,0)),INDEX($E$1193:$E$1245,MATCH(Paramètres!L38,Paramètres!$G$5:$G$57,0)))+IF(RIGHT(TRIM(Paramètres!M38),3)="Fin",1-$H1226,IF(LEFT(TRIM(Paramètres!M38),1)="F",1,0)))),IF(Paramètres!N38="",0,IF(Paramètres!O38="",NA(),IF(LEFT(TRIM(Paramètres!O38),1)="F",INDEX($F$1193:$F$1245,MATCH(Paramètres!N38,Paramètres!$G$5:$G$57,0)),INDEX($E$1193:$E$1245,MATCH(Paramètres!N38,Paramètres!$G$5:$G$57,0)))+IF(RIGHT(TRIM(Paramètres!O38),3)="Fin",1-$H1226,IF(LEFT(TRIM(Paramètres!O38),1)="F",1,0)))))))</f>
        <v/>
      </c>
      <c r="F1226" s="19">
        <f>IF($A1226="","",E1226+$H1226-1)</f>
        <v/>
      </c>
      <c r="G1226" s="18" t="n"/>
      <c r="H1226" s="18">
        <f>IF($A1226="","",IF(I1226&lt;&gt;"",I1226,Paramètres!B38))</f>
        <v/>
      </c>
      <c r="I1226" s="18" t="n"/>
    </row>
    <row r="1227">
      <c r="A1227" s="18">
        <f>IF(ISNUMBER(Dossiers!$D$26),Dossiers!$A$26&amp;" · "&amp;Dossiers!$B$26,"")</f>
        <v/>
      </c>
      <c r="B1227" s="18">
        <f>IF($A1227="","",Paramètres!G39)</f>
        <v/>
      </c>
      <c r="C1227" s="18">
        <f>IF($A1227="","",IF(Paramètres!H39="","",Paramètres!H39))</f>
        <v/>
      </c>
      <c r="D1227" s="18">
        <f>IF($A1227="","",IF(Paramètres!I39="","",Paramètres!I39))</f>
        <v/>
      </c>
      <c r="E1227" s="19">
        <f>IF($A1227="","",IF(Paramètres!J39&amp;Paramètres!L39&amp;Paramètres!N39="",Dossiers!$D$26,MAX(IF(Paramètres!J39="",0,IF(Paramètres!K39="",NA(),IF(LEFT(TRIM(Paramètres!K39),1)="F",INDEX($F$1193:$F$1245,MATCH(Paramètres!J39,Paramètres!$G$5:$G$57,0)),INDEX($E$1193:$E$1245,MATCH(Paramètres!J39,Paramètres!$G$5:$G$57,0)))+IF(RIGHT(TRIM(Paramètres!K39),3)="Fin",1-$H1227,IF(LEFT(TRIM(Paramètres!K39),1)="F",1,0)))),IF(Paramètres!L39="",0,IF(Paramètres!M39="",NA(),IF(LEFT(TRIM(Paramètres!M39),1)="F",INDEX($F$1193:$F$1245,MATCH(Paramètres!L39,Paramètres!$G$5:$G$57,0)),INDEX($E$1193:$E$1245,MATCH(Paramètres!L39,Paramètres!$G$5:$G$57,0)))+IF(RIGHT(TRIM(Paramètres!M39),3)="Fin",1-$H1227,IF(LEFT(TRIM(Paramètres!M39),1)="F",1,0)))),IF(Paramètres!N39="",0,IF(Paramètres!O39="",NA(),IF(LEFT(TRIM(Paramètres!O39),1)="F",INDEX($F$1193:$F$1245,MATCH(Paramètres!N39,Paramètres!$G$5:$G$57,0)),INDEX($E$1193:$E$1245,MATCH(Paramètres!N39,Paramètres!$G$5:$G$57,0)))+IF(RIGHT(TRIM(Paramètres!O39),3)="Fin",1-$H1227,IF(LEFT(TRIM(Paramètres!O39),1)="F",1,0)))))))</f>
        <v/>
      </c>
      <c r="F1227" s="19">
        <f>IF($A1227="","",E1227+$H1227-1)</f>
        <v/>
      </c>
      <c r="G1227" s="18" t="n"/>
      <c r="H1227" s="18">
        <f>IF($A1227="","",IF(I1227&lt;&gt;"",I1227,Paramètres!B39))</f>
        <v/>
      </c>
      <c r="I1227" s="18" t="n"/>
    </row>
    <row r="1228">
      <c r="A1228" s="18">
        <f>IF(ISNUMBER(Dossiers!$D$26),Dossiers!$A$26&amp;" · "&amp;Dossiers!$B$26,"")</f>
        <v/>
      </c>
      <c r="B1228" s="18">
        <f>IF($A1228="","",Paramètres!G40)</f>
        <v/>
      </c>
      <c r="C1228" s="18">
        <f>IF($A1228="","",IF(Paramètres!H40="","",Paramètres!H40))</f>
        <v/>
      </c>
      <c r="D1228" s="18">
        <f>IF($A1228="","",IF(Paramètres!I40="","",Paramètres!I40))</f>
        <v/>
      </c>
      <c r="E1228" s="19">
        <f>IF($A1228="","",IF(Paramètres!J40&amp;Paramètres!L40&amp;Paramètres!N40="",Dossiers!$D$26,MAX(IF(Paramètres!J40="",0,IF(Paramètres!K40="",NA(),IF(LEFT(TRIM(Paramètres!K40),1)="F",INDEX($F$1193:$F$1245,MATCH(Paramètres!J40,Paramètres!$G$5:$G$57,0)),INDEX($E$1193:$E$1245,MATCH(Paramètres!J40,Paramètres!$G$5:$G$57,0)))+IF(RIGHT(TRIM(Paramètres!K40),3)="Fin",1-$H1228,IF(LEFT(TRIM(Paramètres!K40),1)="F",1,0)))),IF(Paramètres!L40="",0,IF(Paramètres!M40="",NA(),IF(LEFT(TRIM(Paramètres!M40),1)="F",INDEX($F$1193:$F$1245,MATCH(Paramètres!L40,Paramètres!$G$5:$G$57,0)),INDEX($E$1193:$E$1245,MATCH(Paramètres!L40,Paramètres!$G$5:$G$57,0)))+IF(RIGHT(TRIM(Paramètres!M40),3)="Fin",1-$H1228,IF(LEFT(TRIM(Paramètres!M40),1)="F",1,0)))),IF(Paramètres!N40="",0,IF(Paramètres!O40="",NA(),IF(LEFT(TRIM(Paramètres!O40),1)="F",INDEX($F$1193:$F$1245,MATCH(Paramètres!N40,Paramètres!$G$5:$G$57,0)),INDEX($E$1193:$E$1245,MATCH(Paramètres!N40,Paramètres!$G$5:$G$57,0)))+IF(RIGHT(TRIM(Paramètres!O40),3)="Fin",1-$H1228,IF(LEFT(TRIM(Paramètres!O40),1)="F",1,0)))))))</f>
        <v/>
      </c>
      <c r="F1228" s="19">
        <f>IF($A1228="","",E1228+$H1228-1)</f>
        <v/>
      </c>
      <c r="G1228" s="18" t="n"/>
      <c r="H1228" s="18">
        <f>IF($A1228="","",IF(I1228&lt;&gt;"",I1228,Paramètres!B40))</f>
        <v/>
      </c>
      <c r="I1228" s="18" t="n"/>
    </row>
    <row r="1229">
      <c r="A1229" s="18">
        <f>IF(ISNUMBER(Dossiers!$D$26),Dossiers!$A$26&amp;" · "&amp;Dossiers!$B$26,"")</f>
        <v/>
      </c>
      <c r="B1229" s="18">
        <f>IF($A1229="","",Paramètres!G41)</f>
        <v/>
      </c>
      <c r="C1229" s="18">
        <f>IF($A1229="","",IF(Paramètres!H41="","",Paramètres!H41))</f>
        <v/>
      </c>
      <c r="D1229" s="18">
        <f>IF($A1229="","",IF(Paramètres!I41="","",Paramètres!I41))</f>
        <v/>
      </c>
      <c r="E1229" s="19">
        <f>IF($A1229="","",IF(Paramètres!J41&amp;Paramètres!L41&amp;Paramètres!N41="",Dossiers!$D$26,MAX(IF(Paramètres!J41="",0,IF(Paramètres!K41="",NA(),IF(LEFT(TRIM(Paramètres!K41),1)="F",INDEX($F$1193:$F$1245,MATCH(Paramètres!J41,Paramètres!$G$5:$G$57,0)),INDEX($E$1193:$E$1245,MATCH(Paramètres!J41,Paramètres!$G$5:$G$57,0)))+IF(RIGHT(TRIM(Paramètres!K41),3)="Fin",1-$H1229,IF(LEFT(TRIM(Paramètres!K41),1)="F",1,0)))),IF(Paramètres!L41="",0,IF(Paramètres!M41="",NA(),IF(LEFT(TRIM(Paramètres!M41),1)="F",INDEX($F$1193:$F$1245,MATCH(Paramètres!L41,Paramètres!$G$5:$G$57,0)),INDEX($E$1193:$E$1245,MATCH(Paramètres!L41,Paramètres!$G$5:$G$57,0)))+IF(RIGHT(TRIM(Paramètres!M41),3)="Fin",1-$H1229,IF(LEFT(TRIM(Paramètres!M41),1)="F",1,0)))),IF(Paramètres!N41="",0,IF(Paramètres!O41="",NA(),IF(LEFT(TRIM(Paramètres!O41),1)="F",INDEX($F$1193:$F$1245,MATCH(Paramètres!N41,Paramètres!$G$5:$G$57,0)),INDEX($E$1193:$E$1245,MATCH(Paramètres!N41,Paramètres!$G$5:$G$57,0)))+IF(RIGHT(TRIM(Paramètres!O41),3)="Fin",1-$H1229,IF(LEFT(TRIM(Paramètres!O41),1)="F",1,0)))))))</f>
        <v/>
      </c>
      <c r="F1229" s="19">
        <f>IF($A1229="","",E1229+$H1229-1)</f>
        <v/>
      </c>
      <c r="G1229" s="18" t="n"/>
      <c r="H1229" s="18">
        <f>IF($A1229="","",IF(I1229&lt;&gt;"",I1229,Paramètres!B41))</f>
        <v/>
      </c>
      <c r="I1229" s="18" t="n"/>
    </row>
    <row r="1230">
      <c r="A1230" s="18">
        <f>IF(ISNUMBER(Dossiers!$D$26),Dossiers!$A$26&amp;" · "&amp;Dossiers!$B$26,"")</f>
        <v/>
      </c>
      <c r="B1230" s="18">
        <f>IF($A1230="","",Paramètres!G42)</f>
        <v/>
      </c>
      <c r="C1230" s="18">
        <f>IF($A1230="","",IF(Paramètres!H42="","",Paramètres!H42))</f>
        <v/>
      </c>
      <c r="D1230" s="18">
        <f>IF($A1230="","",IF(Paramètres!I42="","",Paramètres!I42))</f>
        <v/>
      </c>
      <c r="E1230" s="19">
        <f>IF($A1230="","",IF(Paramètres!J42&amp;Paramètres!L42&amp;Paramètres!N42="",Dossiers!$D$26,MAX(IF(Paramètres!J42="",0,IF(Paramètres!K42="",NA(),IF(LEFT(TRIM(Paramètres!K42),1)="F",INDEX($F$1193:$F$1245,MATCH(Paramètres!J42,Paramètres!$G$5:$G$57,0)),INDEX($E$1193:$E$1245,MATCH(Paramètres!J42,Paramètres!$G$5:$G$57,0)))+IF(RIGHT(TRIM(Paramètres!K42),3)="Fin",1-$H1230,IF(LEFT(TRIM(Paramètres!K42),1)="F",1,0)))),IF(Paramètres!L42="",0,IF(Paramètres!M42="",NA(),IF(LEFT(TRIM(Paramètres!M42),1)="F",INDEX($F$1193:$F$1245,MATCH(Paramètres!L42,Paramètres!$G$5:$G$57,0)),INDEX($E$1193:$E$1245,MATCH(Paramètres!L42,Paramètres!$G$5:$G$57,0)))+IF(RIGHT(TRIM(Paramètres!M42),3)="Fin",1-$H1230,IF(LEFT(TRIM(Paramètres!M42),1)="F",1,0)))),IF(Paramètres!N42="",0,IF(Paramètres!O42="",NA(),IF(LEFT(TRIM(Paramètres!O42),1)="F",INDEX($F$1193:$F$1245,MATCH(Paramètres!N42,Paramètres!$G$5:$G$57,0)),INDEX($E$1193:$E$1245,MATCH(Paramètres!N42,Paramètres!$G$5:$G$57,0)))+IF(RIGHT(TRIM(Paramètres!O42),3)="Fin",1-$H1230,IF(LEFT(TRIM(Paramètres!O42),1)="F",1,0)))))))</f>
        <v/>
      </c>
      <c r="F1230" s="19">
        <f>IF($A1230="","",E1230+$H1230-1)</f>
        <v/>
      </c>
      <c r="G1230" s="18" t="n"/>
      <c r="H1230" s="18">
        <f>IF($A1230="","",IF(I1230&lt;&gt;"",I1230,Paramètres!B42))</f>
        <v/>
      </c>
      <c r="I1230" s="18" t="n"/>
    </row>
    <row r="1231">
      <c r="A1231" s="18">
        <f>IF(ISNUMBER(Dossiers!$D$26),Dossiers!$A$26&amp;" · "&amp;Dossiers!$B$26,"")</f>
        <v/>
      </c>
      <c r="B1231" s="18">
        <f>IF($A1231="","",Paramètres!G43)</f>
        <v/>
      </c>
      <c r="C1231" s="18">
        <f>IF($A1231="","",IF(Paramètres!H43="","",Paramètres!H43))</f>
        <v/>
      </c>
      <c r="D1231" s="18">
        <f>IF($A1231="","",IF(Paramètres!I43="","",Paramètres!I43))</f>
        <v/>
      </c>
      <c r="E1231" s="19">
        <f>IF($A1231="","",IF(Paramètres!J43&amp;Paramètres!L43&amp;Paramètres!N43="",Dossiers!$D$26,MAX(IF(Paramètres!J43="",0,IF(Paramètres!K43="",NA(),IF(LEFT(TRIM(Paramètres!K43),1)="F",INDEX($F$1193:$F$1245,MATCH(Paramètres!J43,Paramètres!$G$5:$G$57,0)),INDEX($E$1193:$E$1245,MATCH(Paramètres!J43,Paramètres!$G$5:$G$57,0)))+IF(RIGHT(TRIM(Paramètres!K43),3)="Fin",1-$H1231,IF(LEFT(TRIM(Paramètres!K43),1)="F",1,0)))),IF(Paramètres!L43="",0,IF(Paramètres!M43="",NA(),IF(LEFT(TRIM(Paramètres!M43),1)="F",INDEX($F$1193:$F$1245,MATCH(Paramètres!L43,Paramètres!$G$5:$G$57,0)),INDEX($E$1193:$E$1245,MATCH(Paramètres!L43,Paramètres!$G$5:$G$57,0)))+IF(RIGHT(TRIM(Paramètres!M43),3)="Fin",1-$H1231,IF(LEFT(TRIM(Paramètres!M43),1)="F",1,0)))),IF(Paramètres!N43="",0,IF(Paramètres!O43="",NA(),IF(LEFT(TRIM(Paramètres!O43),1)="F",INDEX($F$1193:$F$1245,MATCH(Paramètres!N43,Paramètres!$G$5:$G$57,0)),INDEX($E$1193:$E$1245,MATCH(Paramètres!N43,Paramètres!$G$5:$G$57,0)))+IF(RIGHT(TRIM(Paramètres!O43),3)="Fin",1-$H1231,IF(LEFT(TRIM(Paramètres!O43),1)="F",1,0)))))))</f>
        <v/>
      </c>
      <c r="F1231" s="19">
        <f>IF($A1231="","",E1231+$H1231-1)</f>
        <v/>
      </c>
      <c r="G1231" s="18" t="n"/>
      <c r="H1231" s="18">
        <f>IF($A1231="","",IF(I1231&lt;&gt;"",I1231,Paramètres!B43))</f>
        <v/>
      </c>
      <c r="I1231" s="18" t="n"/>
    </row>
    <row r="1232">
      <c r="A1232" s="18">
        <f>IF(ISNUMBER(Dossiers!$D$26),Dossiers!$A$26&amp;" · "&amp;Dossiers!$B$26,"")</f>
        <v/>
      </c>
      <c r="B1232" s="18">
        <f>IF($A1232="","",Paramètres!G44)</f>
        <v/>
      </c>
      <c r="C1232" s="18">
        <f>IF($A1232="","",IF(Paramètres!H44="","",Paramètres!H44))</f>
        <v/>
      </c>
      <c r="D1232" s="18">
        <f>IF($A1232="","",IF(Paramètres!I44="","",Paramètres!I44))</f>
        <v/>
      </c>
      <c r="E1232" s="19">
        <f>IF($A1232="","",IF(Paramètres!J44&amp;Paramètres!L44&amp;Paramètres!N44="",Dossiers!$D$26,MAX(IF(Paramètres!J44="",0,IF(Paramètres!K44="",NA(),IF(LEFT(TRIM(Paramètres!K44),1)="F",INDEX($F$1193:$F$1245,MATCH(Paramètres!J44,Paramètres!$G$5:$G$57,0)),INDEX($E$1193:$E$1245,MATCH(Paramètres!J44,Paramètres!$G$5:$G$57,0)))+IF(RIGHT(TRIM(Paramètres!K44),3)="Fin",1-$H1232,IF(LEFT(TRIM(Paramètres!K44),1)="F",1,0)))),IF(Paramètres!L44="",0,IF(Paramètres!M44="",NA(),IF(LEFT(TRIM(Paramètres!M44),1)="F",INDEX($F$1193:$F$1245,MATCH(Paramètres!L44,Paramètres!$G$5:$G$57,0)),INDEX($E$1193:$E$1245,MATCH(Paramètres!L44,Paramètres!$G$5:$G$57,0)))+IF(RIGHT(TRIM(Paramètres!M44),3)="Fin",1-$H1232,IF(LEFT(TRIM(Paramètres!M44),1)="F",1,0)))),IF(Paramètres!N44="",0,IF(Paramètres!O44="",NA(),IF(LEFT(TRIM(Paramètres!O44),1)="F",INDEX($F$1193:$F$1245,MATCH(Paramètres!N44,Paramètres!$G$5:$G$57,0)),INDEX($E$1193:$E$1245,MATCH(Paramètres!N44,Paramètres!$G$5:$G$57,0)))+IF(RIGHT(TRIM(Paramètres!O44),3)="Fin",1-$H1232,IF(LEFT(TRIM(Paramètres!O44),1)="F",1,0)))))))</f>
        <v/>
      </c>
      <c r="F1232" s="19">
        <f>IF($A1232="","",E1232+$H1232-1)</f>
        <v/>
      </c>
      <c r="G1232" s="18" t="n"/>
      <c r="H1232" s="18">
        <f>IF($A1232="","",IF(I1232&lt;&gt;"",I1232,Paramètres!B44))</f>
        <v/>
      </c>
      <c r="I1232" s="18" t="n"/>
    </row>
    <row r="1233">
      <c r="A1233" s="18">
        <f>IF(ISNUMBER(Dossiers!$D$26),Dossiers!$A$26&amp;" · "&amp;Dossiers!$B$26,"")</f>
        <v/>
      </c>
      <c r="B1233" s="18">
        <f>IF($A1233="","",Paramètres!G45)</f>
        <v/>
      </c>
      <c r="C1233" s="20">
        <f>IF($A1233="","",IF(Dossiers!$G$26="","",Dossiers!$G$26))</f>
        <v/>
      </c>
      <c r="D1233" s="18">
        <f>IF($A1233="","",IF(Paramètres!I45="","",Paramètres!I45))</f>
        <v/>
      </c>
      <c r="E1233" s="19">
        <f>IF($A1233="","",IF(Paramètres!J45&amp;Paramètres!L45&amp;Paramètres!N45="",Dossiers!$D$26,MAX(IF(Paramètres!J45="",0,IF(Paramètres!K45="",NA(),IF(LEFT(TRIM(Paramètres!K45),1)="F",INDEX($F$1193:$F$1245,MATCH(Paramètres!J45,Paramètres!$G$5:$G$57,0)),INDEX($E$1193:$E$1245,MATCH(Paramètres!J45,Paramètres!$G$5:$G$57,0)))+IF(RIGHT(TRIM(Paramètres!K45),3)="Fin",1-$H1233,IF(LEFT(TRIM(Paramètres!K45),1)="F",1,0)))),IF(Paramètres!L45="",0,IF(Paramètres!M45="",NA(),IF(LEFT(TRIM(Paramètres!M45),1)="F",INDEX($F$1193:$F$1245,MATCH(Paramètres!L45,Paramètres!$G$5:$G$57,0)),INDEX($E$1193:$E$1245,MATCH(Paramètres!L45,Paramètres!$G$5:$G$57,0)))+IF(RIGHT(TRIM(Paramètres!M45),3)="Fin",1-$H1233,IF(LEFT(TRIM(Paramètres!M45),1)="F",1,0)))),IF(Paramètres!N45="",0,IF(Paramètres!O45="",NA(),IF(LEFT(TRIM(Paramètres!O45),1)="F",INDEX($F$1193:$F$1245,MATCH(Paramètres!N45,Paramètres!$G$5:$G$57,0)),INDEX($E$1193:$E$1245,MATCH(Paramètres!N45,Paramètres!$G$5:$G$57,0)))+IF(RIGHT(TRIM(Paramètres!O45),3)="Fin",1-$H1233,IF(LEFT(TRIM(Paramètres!O45),1)="F",1,0)))))))</f>
        <v/>
      </c>
      <c r="F1233" s="19">
        <f>IF($A1233="","",E1233+$H1233-1)</f>
        <v/>
      </c>
      <c r="G1233" s="18" t="n"/>
      <c r="H1233" s="18">
        <f>IF($A1233="","",IF(I1233&lt;&gt;"",I1233,Paramètres!B45))</f>
        <v/>
      </c>
      <c r="I1233" s="18" t="n"/>
    </row>
    <row r="1234">
      <c r="A1234" s="18">
        <f>IF(ISNUMBER(Dossiers!$D$26),Dossiers!$A$26&amp;" · "&amp;Dossiers!$B$26,"")</f>
        <v/>
      </c>
      <c r="B1234" s="18">
        <f>IF($A1234="","",Paramètres!G46)</f>
        <v/>
      </c>
      <c r="C1234" s="18">
        <f>IF($A1234="","",IF(Paramètres!H46="","",Paramètres!H46))</f>
        <v/>
      </c>
      <c r="D1234" s="18">
        <f>IF($A1234="","",IF(Paramètres!I46="","",Paramètres!I46))</f>
        <v/>
      </c>
      <c r="E1234" s="19">
        <f>IF($A1234="","",IF(Paramètres!J46&amp;Paramètres!L46&amp;Paramètres!N46="",Dossiers!$D$26,MAX(IF(Paramètres!J46="",0,IF(Paramètres!K46="",NA(),IF(LEFT(TRIM(Paramètres!K46),1)="F",INDEX($F$1193:$F$1245,MATCH(Paramètres!J46,Paramètres!$G$5:$G$57,0)),INDEX($E$1193:$E$1245,MATCH(Paramètres!J46,Paramètres!$G$5:$G$57,0)))+IF(RIGHT(TRIM(Paramètres!K46),3)="Fin",1-$H1234,IF(LEFT(TRIM(Paramètres!K46),1)="F",1,0)))),IF(Paramètres!L46="",0,IF(Paramètres!M46="",NA(),IF(LEFT(TRIM(Paramètres!M46),1)="F",INDEX($F$1193:$F$1245,MATCH(Paramètres!L46,Paramètres!$G$5:$G$57,0)),INDEX($E$1193:$E$1245,MATCH(Paramètres!L46,Paramètres!$G$5:$G$57,0)))+IF(RIGHT(TRIM(Paramètres!M46),3)="Fin",1-$H1234,IF(LEFT(TRIM(Paramètres!M46),1)="F",1,0)))),IF(Paramètres!N46="",0,IF(Paramètres!O46="",NA(),IF(LEFT(TRIM(Paramètres!O46),1)="F",INDEX($F$1193:$F$1245,MATCH(Paramètres!N46,Paramètres!$G$5:$G$57,0)),INDEX($E$1193:$E$1245,MATCH(Paramètres!N46,Paramètres!$G$5:$G$57,0)))+IF(RIGHT(TRIM(Paramètres!O46),3)="Fin",1-$H1234,IF(LEFT(TRIM(Paramètres!O46),1)="F",1,0)))))))</f>
        <v/>
      </c>
      <c r="F1234" s="19">
        <f>IF($A1234="","",E1234+$H1234-1)</f>
        <v/>
      </c>
      <c r="G1234" s="18" t="n"/>
      <c r="H1234" s="18">
        <f>IF($A1234="","",IF(I1234&lt;&gt;"",I1234,Paramètres!B46))</f>
        <v/>
      </c>
      <c r="I1234" s="18" t="n"/>
    </row>
    <row r="1235">
      <c r="A1235" s="18">
        <f>IF(ISNUMBER(Dossiers!$D$26),Dossiers!$A$26&amp;" · "&amp;Dossiers!$B$26,"")</f>
        <v/>
      </c>
      <c r="B1235" s="18">
        <f>IF($A1235="","",Paramètres!G47)</f>
        <v/>
      </c>
      <c r="C1235" s="18">
        <f>IF($A1235="","",IF(Paramètres!H47="","",Paramètres!H47))</f>
        <v/>
      </c>
      <c r="D1235" s="18">
        <f>IF($A1235="","",IF(Paramètres!I47="","",Paramètres!I47))</f>
        <v/>
      </c>
      <c r="E1235" s="19">
        <f>IF($A1235="","",IF(Paramètres!J47&amp;Paramètres!L47&amp;Paramètres!N47="",Dossiers!$D$26,MAX(IF(Paramètres!J47="",0,IF(Paramètres!K47="",NA(),IF(LEFT(TRIM(Paramètres!K47),1)="F",INDEX($F$1193:$F$1245,MATCH(Paramètres!J47,Paramètres!$G$5:$G$57,0)),INDEX($E$1193:$E$1245,MATCH(Paramètres!J47,Paramètres!$G$5:$G$57,0)))+IF(RIGHT(TRIM(Paramètres!K47),3)="Fin",1-$H1235,IF(LEFT(TRIM(Paramètres!K47),1)="F",1,0)))),IF(Paramètres!L47="",0,IF(Paramètres!M47="",NA(),IF(LEFT(TRIM(Paramètres!M47),1)="F",INDEX($F$1193:$F$1245,MATCH(Paramètres!L47,Paramètres!$G$5:$G$57,0)),INDEX($E$1193:$E$1245,MATCH(Paramètres!L47,Paramètres!$G$5:$G$57,0)))+IF(RIGHT(TRIM(Paramètres!M47),3)="Fin",1-$H1235,IF(LEFT(TRIM(Paramètres!M47),1)="F",1,0)))),IF(Paramètres!N47="",0,IF(Paramètres!O47="",NA(),IF(LEFT(TRIM(Paramètres!O47),1)="F",INDEX($F$1193:$F$1245,MATCH(Paramètres!N47,Paramètres!$G$5:$G$57,0)),INDEX($E$1193:$E$1245,MATCH(Paramètres!N47,Paramètres!$G$5:$G$57,0)))+IF(RIGHT(TRIM(Paramètres!O47),3)="Fin",1-$H1235,IF(LEFT(TRIM(Paramètres!O47),1)="F",1,0)))))))</f>
        <v/>
      </c>
      <c r="F1235" s="19">
        <f>IF($A1235="","",E1235+$H1235-1)</f>
        <v/>
      </c>
      <c r="G1235" s="18" t="n"/>
      <c r="H1235" s="18">
        <f>IF($A1235="","",IF(I1235&lt;&gt;"",I1235,Paramètres!B47))</f>
        <v/>
      </c>
      <c r="I1235" s="18" t="n"/>
    </row>
    <row r="1236">
      <c r="A1236" s="18">
        <f>IF(ISNUMBER(Dossiers!$D$26),Dossiers!$A$26&amp;" · "&amp;Dossiers!$B$26,"")</f>
        <v/>
      </c>
      <c r="B1236" s="18">
        <f>IF($A1236="","",Paramètres!G48)</f>
        <v/>
      </c>
      <c r="C1236" s="18">
        <f>IF($A1236="","",IF(Paramètres!H48="","",Paramètres!H48))</f>
        <v/>
      </c>
      <c r="D1236" s="18">
        <f>IF($A1236="","",IF(Paramètres!I48="","",Paramètres!I48))</f>
        <v/>
      </c>
      <c r="E1236" s="19">
        <f>IF($A1236="","",IF(Paramètres!J48&amp;Paramètres!L48&amp;Paramètres!N48="",Dossiers!$D$26,MAX(IF(Paramètres!J48="",0,IF(Paramètres!K48="",NA(),IF(LEFT(TRIM(Paramètres!K48),1)="F",INDEX($F$1193:$F$1245,MATCH(Paramètres!J48,Paramètres!$G$5:$G$57,0)),INDEX($E$1193:$E$1245,MATCH(Paramètres!J48,Paramètres!$G$5:$G$57,0)))+IF(RIGHT(TRIM(Paramètres!K48),3)="Fin",1-$H1236,IF(LEFT(TRIM(Paramètres!K48),1)="F",1,0)))),IF(Paramètres!L48="",0,IF(Paramètres!M48="",NA(),IF(LEFT(TRIM(Paramètres!M48),1)="F",INDEX($F$1193:$F$1245,MATCH(Paramètres!L48,Paramètres!$G$5:$G$57,0)),INDEX($E$1193:$E$1245,MATCH(Paramètres!L48,Paramètres!$G$5:$G$57,0)))+IF(RIGHT(TRIM(Paramètres!M48),3)="Fin",1-$H1236,IF(LEFT(TRIM(Paramètres!M48),1)="F",1,0)))),IF(Paramètres!N48="",0,IF(Paramètres!O48="",NA(),IF(LEFT(TRIM(Paramètres!O48),1)="F",INDEX($F$1193:$F$1245,MATCH(Paramètres!N48,Paramètres!$G$5:$G$57,0)),INDEX($E$1193:$E$1245,MATCH(Paramètres!N48,Paramètres!$G$5:$G$57,0)))+IF(RIGHT(TRIM(Paramètres!O48),3)="Fin",1-$H1236,IF(LEFT(TRIM(Paramètres!O48),1)="F",1,0)))))))</f>
        <v/>
      </c>
      <c r="F1236" s="19">
        <f>IF($A1236="","",E1236+$H1236-1)</f>
        <v/>
      </c>
      <c r="G1236" s="18" t="n"/>
      <c r="H1236" s="18">
        <f>IF($A1236="","",IF(I1236&lt;&gt;"",I1236,Paramètres!B48))</f>
        <v/>
      </c>
      <c r="I1236" s="18" t="n"/>
    </row>
    <row r="1237">
      <c r="A1237" s="18">
        <f>IF(ISNUMBER(Dossiers!$D$26),Dossiers!$A$26&amp;" · "&amp;Dossiers!$B$26,"")</f>
        <v/>
      </c>
      <c r="B1237" s="18">
        <f>IF($A1237="","",Paramètres!G49)</f>
        <v/>
      </c>
      <c r="C1237" s="18">
        <f>IF($A1237="","",IF(Paramètres!H49="","",Paramètres!H49))</f>
        <v/>
      </c>
      <c r="D1237" s="18">
        <f>IF($A1237="","",IF(Paramètres!I49="","",Paramètres!I49))</f>
        <v/>
      </c>
      <c r="E1237" s="19">
        <f>IF($A1237="","",IF(Paramètres!J49&amp;Paramètres!L49&amp;Paramètres!N49="",Dossiers!$D$26,MAX(IF(Paramètres!J49="",0,IF(Paramètres!K49="",NA(),IF(LEFT(TRIM(Paramètres!K49),1)="F",INDEX($F$1193:$F$1245,MATCH(Paramètres!J49,Paramètres!$G$5:$G$57,0)),INDEX($E$1193:$E$1245,MATCH(Paramètres!J49,Paramètres!$G$5:$G$57,0)))+IF(RIGHT(TRIM(Paramètres!K49),3)="Fin",1-$H1237,IF(LEFT(TRIM(Paramètres!K49),1)="F",1,0)))),IF(Paramètres!L49="",0,IF(Paramètres!M49="",NA(),IF(LEFT(TRIM(Paramètres!M49),1)="F",INDEX($F$1193:$F$1245,MATCH(Paramètres!L49,Paramètres!$G$5:$G$57,0)),INDEX($E$1193:$E$1245,MATCH(Paramètres!L49,Paramètres!$G$5:$G$57,0)))+IF(RIGHT(TRIM(Paramètres!M49),3)="Fin",1-$H1237,IF(LEFT(TRIM(Paramètres!M49),1)="F",1,0)))),IF(Paramètres!N49="",0,IF(Paramètres!O49="",NA(),IF(LEFT(TRIM(Paramètres!O49),1)="F",INDEX($F$1193:$F$1245,MATCH(Paramètres!N49,Paramètres!$G$5:$G$57,0)),INDEX($E$1193:$E$1245,MATCH(Paramètres!N49,Paramètres!$G$5:$G$57,0)))+IF(RIGHT(TRIM(Paramètres!O49),3)="Fin",1-$H1237,IF(LEFT(TRIM(Paramètres!O49),1)="F",1,0)))))))</f>
        <v/>
      </c>
      <c r="F1237" s="19">
        <f>IF($A1237="","",E1237+$H1237-1)</f>
        <v/>
      </c>
      <c r="G1237" s="18" t="n"/>
      <c r="H1237" s="18">
        <f>IF($A1237="","",IF(I1237&lt;&gt;"",I1237,Paramètres!B49))</f>
        <v/>
      </c>
      <c r="I1237" s="18" t="n"/>
    </row>
    <row r="1238">
      <c r="A1238" s="18">
        <f>IF(ISNUMBER(Dossiers!$D$26),Dossiers!$A$26&amp;" · "&amp;Dossiers!$B$26,"")</f>
        <v/>
      </c>
      <c r="B1238" s="18">
        <f>IF($A1238="","",Paramètres!G50)</f>
        <v/>
      </c>
      <c r="C1238" s="18">
        <f>IF($A1238="","",IF(Paramètres!H50="","",Paramètres!H50))</f>
        <v/>
      </c>
      <c r="D1238" s="18">
        <f>IF($A1238="","",IF(Paramètres!I50="","",Paramètres!I50))</f>
        <v/>
      </c>
      <c r="E1238" s="19">
        <f>IF($A1238="","",IF(Paramètres!J50&amp;Paramètres!L50&amp;Paramètres!N50="",Dossiers!$D$26,MAX(IF(Paramètres!J50="",0,IF(Paramètres!K50="",NA(),IF(LEFT(TRIM(Paramètres!K50),1)="F",INDEX($F$1193:$F$1245,MATCH(Paramètres!J50,Paramètres!$G$5:$G$57,0)),INDEX($E$1193:$E$1245,MATCH(Paramètres!J50,Paramètres!$G$5:$G$57,0)))+IF(RIGHT(TRIM(Paramètres!K50),3)="Fin",1-$H1238,IF(LEFT(TRIM(Paramètres!K50),1)="F",1,0)))),IF(Paramètres!L50="",0,IF(Paramètres!M50="",NA(),IF(LEFT(TRIM(Paramètres!M50),1)="F",INDEX($F$1193:$F$1245,MATCH(Paramètres!L50,Paramètres!$G$5:$G$57,0)),INDEX($E$1193:$E$1245,MATCH(Paramètres!L50,Paramètres!$G$5:$G$57,0)))+IF(RIGHT(TRIM(Paramètres!M50),3)="Fin",1-$H1238,IF(LEFT(TRIM(Paramètres!M50),1)="F",1,0)))),IF(Paramètres!N50="",0,IF(Paramètres!O50="",NA(),IF(LEFT(TRIM(Paramètres!O50),1)="F",INDEX($F$1193:$F$1245,MATCH(Paramètres!N50,Paramètres!$G$5:$G$57,0)),INDEX($E$1193:$E$1245,MATCH(Paramètres!N50,Paramètres!$G$5:$G$57,0)))+IF(RIGHT(TRIM(Paramètres!O50),3)="Fin",1-$H1238,IF(LEFT(TRIM(Paramètres!O50),1)="F",1,0)))))))</f>
        <v/>
      </c>
      <c r="F1238" s="19">
        <f>IF($A1238="","",E1238+$H1238-1)</f>
        <v/>
      </c>
      <c r="G1238" s="18" t="n"/>
      <c r="H1238" s="18">
        <f>IF($A1238="","",IF(I1238&lt;&gt;"",I1238,Paramètres!B50))</f>
        <v/>
      </c>
      <c r="I1238" s="18" t="n"/>
    </row>
    <row r="1239">
      <c r="A1239" s="18">
        <f>IF(ISNUMBER(Dossiers!$D$26),Dossiers!$A$26&amp;" · "&amp;Dossiers!$B$26,"")</f>
        <v/>
      </c>
      <c r="B1239" s="18">
        <f>IF($A1239="","",Paramètres!G51)</f>
        <v/>
      </c>
      <c r="C1239" s="18">
        <f>IF($A1239="","",IF(Paramètres!H51="","",Paramètres!H51))</f>
        <v/>
      </c>
      <c r="D1239" s="18">
        <f>IF($A1239="","",IF(Paramètres!I51="","",Paramètres!I51))</f>
        <v/>
      </c>
      <c r="E1239" s="19">
        <f>IF($A1239="","",IF(Paramètres!J51&amp;Paramètres!L51&amp;Paramètres!N51="",Dossiers!$D$26,MAX(IF(Paramètres!J51="",0,IF(Paramètres!K51="",NA(),IF(LEFT(TRIM(Paramètres!K51),1)="F",INDEX($F$1193:$F$1245,MATCH(Paramètres!J51,Paramètres!$G$5:$G$57,0)),INDEX($E$1193:$E$1245,MATCH(Paramètres!J51,Paramètres!$G$5:$G$57,0)))+IF(RIGHT(TRIM(Paramètres!K51),3)="Fin",1-$H1239,IF(LEFT(TRIM(Paramètres!K51),1)="F",1,0)))),IF(Paramètres!L51="",0,IF(Paramètres!M51="",NA(),IF(LEFT(TRIM(Paramètres!M51),1)="F",INDEX($F$1193:$F$1245,MATCH(Paramètres!L51,Paramètres!$G$5:$G$57,0)),INDEX($E$1193:$E$1245,MATCH(Paramètres!L51,Paramètres!$G$5:$G$57,0)))+IF(RIGHT(TRIM(Paramètres!M51),3)="Fin",1-$H1239,IF(LEFT(TRIM(Paramètres!M51),1)="F",1,0)))),IF(Paramètres!N51="",0,IF(Paramètres!O51="",NA(),IF(LEFT(TRIM(Paramètres!O51),1)="F",INDEX($F$1193:$F$1245,MATCH(Paramètres!N51,Paramètres!$G$5:$G$57,0)),INDEX($E$1193:$E$1245,MATCH(Paramètres!N51,Paramètres!$G$5:$G$57,0)))+IF(RIGHT(TRIM(Paramètres!O51),3)="Fin",1-$H1239,IF(LEFT(TRIM(Paramètres!O51),1)="F",1,0)))))))</f>
        <v/>
      </c>
      <c r="F1239" s="19">
        <f>IF($A1239="","",E1239+$H1239-1)</f>
        <v/>
      </c>
      <c r="G1239" s="18" t="n"/>
      <c r="H1239" s="18">
        <f>IF($A1239="","",IF(I1239&lt;&gt;"",I1239,Paramètres!B51))</f>
        <v/>
      </c>
      <c r="I1239" s="18" t="n"/>
    </row>
    <row r="1240">
      <c r="A1240" s="18">
        <f>IF(ISNUMBER(Dossiers!$D$26),Dossiers!$A$26&amp;" · "&amp;Dossiers!$B$26,"")</f>
        <v/>
      </c>
      <c r="B1240" s="18">
        <f>IF($A1240="","",Paramètres!G52)</f>
        <v/>
      </c>
      <c r="C1240" s="18">
        <f>IF($A1240="","",IF(Paramètres!H52="","",Paramètres!H52))</f>
        <v/>
      </c>
      <c r="D1240" s="18">
        <f>IF($A1240="","",IF(Paramètres!I52="","",Paramètres!I52))</f>
        <v/>
      </c>
      <c r="E1240" s="19">
        <f>IF($A1240="","",IF(Paramètres!J52&amp;Paramètres!L52&amp;Paramètres!N52="",Dossiers!$D$26,MAX(IF(Paramètres!J52="",0,IF(Paramètres!K52="",NA(),IF(LEFT(TRIM(Paramètres!K52),1)="F",INDEX($F$1193:$F$1245,MATCH(Paramètres!J52,Paramètres!$G$5:$G$57,0)),INDEX($E$1193:$E$1245,MATCH(Paramètres!J52,Paramètres!$G$5:$G$57,0)))+IF(RIGHT(TRIM(Paramètres!K52),3)="Fin",1-$H1240,IF(LEFT(TRIM(Paramètres!K52),1)="F",1,0)))),IF(Paramètres!L52="",0,IF(Paramètres!M52="",NA(),IF(LEFT(TRIM(Paramètres!M52),1)="F",INDEX($F$1193:$F$1245,MATCH(Paramètres!L52,Paramètres!$G$5:$G$57,0)),INDEX($E$1193:$E$1245,MATCH(Paramètres!L52,Paramètres!$G$5:$G$57,0)))+IF(RIGHT(TRIM(Paramètres!M52),3)="Fin",1-$H1240,IF(LEFT(TRIM(Paramètres!M52),1)="F",1,0)))),IF(Paramètres!N52="",0,IF(Paramètres!O52="",NA(),IF(LEFT(TRIM(Paramètres!O52),1)="F",INDEX($F$1193:$F$1245,MATCH(Paramètres!N52,Paramètres!$G$5:$G$57,0)),INDEX($E$1193:$E$1245,MATCH(Paramètres!N52,Paramètres!$G$5:$G$57,0)))+IF(RIGHT(TRIM(Paramètres!O52),3)="Fin",1-$H1240,IF(LEFT(TRIM(Paramètres!O52),1)="F",1,0)))))))</f>
        <v/>
      </c>
      <c r="F1240" s="19">
        <f>IF($A1240="","",E1240+$H1240-1)</f>
        <v/>
      </c>
      <c r="G1240" s="18" t="n"/>
      <c r="H1240" s="18">
        <f>IF($A1240="","",IF(I1240&lt;&gt;"",I1240,Paramètres!B52))</f>
        <v/>
      </c>
      <c r="I1240" s="18" t="n"/>
    </row>
    <row r="1241">
      <c r="A1241" s="18">
        <f>IF(ISNUMBER(Dossiers!$D$26),Dossiers!$A$26&amp;" · "&amp;Dossiers!$B$26,"")</f>
        <v/>
      </c>
      <c r="B1241" s="18">
        <f>IF($A1241="","",Paramètres!G53)</f>
        <v/>
      </c>
      <c r="C1241" s="18">
        <f>IF($A1241="","",IF(Paramètres!H53="","",Paramètres!H53))</f>
        <v/>
      </c>
      <c r="D1241" s="18">
        <f>IF($A1241="","",IF(Paramètres!I53="","",Paramètres!I53))</f>
        <v/>
      </c>
      <c r="E1241" s="19">
        <f>IF($A1241="","",IF(Paramètres!J53&amp;Paramètres!L53&amp;Paramètres!N53="",Dossiers!$D$26,MAX(IF(Paramètres!J53="",0,IF(Paramètres!K53="",NA(),IF(LEFT(TRIM(Paramètres!K53),1)="F",INDEX($F$1193:$F$1245,MATCH(Paramètres!J53,Paramètres!$G$5:$G$57,0)),INDEX($E$1193:$E$1245,MATCH(Paramètres!J53,Paramètres!$G$5:$G$57,0)))+IF(RIGHT(TRIM(Paramètres!K53),3)="Fin",1-$H1241,IF(LEFT(TRIM(Paramètres!K53),1)="F",1,0)))),IF(Paramètres!L53="",0,IF(Paramètres!M53="",NA(),IF(LEFT(TRIM(Paramètres!M53),1)="F",INDEX($F$1193:$F$1245,MATCH(Paramètres!L53,Paramètres!$G$5:$G$57,0)),INDEX($E$1193:$E$1245,MATCH(Paramètres!L53,Paramètres!$G$5:$G$57,0)))+IF(RIGHT(TRIM(Paramètres!M53),3)="Fin",1-$H1241,IF(LEFT(TRIM(Paramètres!M53),1)="F",1,0)))),IF(Paramètres!N53="",0,IF(Paramètres!O53="",NA(),IF(LEFT(TRIM(Paramètres!O53),1)="F",INDEX($F$1193:$F$1245,MATCH(Paramètres!N53,Paramètres!$G$5:$G$57,0)),INDEX($E$1193:$E$1245,MATCH(Paramètres!N53,Paramètres!$G$5:$G$57,0)))+IF(RIGHT(TRIM(Paramètres!O53),3)="Fin",1-$H1241,IF(LEFT(TRIM(Paramètres!O53),1)="F",1,0)))))))</f>
        <v/>
      </c>
      <c r="F1241" s="19">
        <f>IF($A1241="","",E1241+$H1241-1)</f>
        <v/>
      </c>
      <c r="G1241" s="18" t="n"/>
      <c r="H1241" s="18">
        <f>IF($A1241="","",IF(I1241&lt;&gt;"",I1241,Paramètres!B53))</f>
        <v/>
      </c>
      <c r="I1241" s="18" t="n"/>
    </row>
    <row r="1242">
      <c r="A1242" s="18">
        <f>IF(ISNUMBER(Dossiers!$D$26),Dossiers!$A$26&amp;" · "&amp;Dossiers!$B$26,"")</f>
        <v/>
      </c>
      <c r="B1242" s="18">
        <f>IF($A1242="","",Paramètres!G54)</f>
        <v/>
      </c>
      <c r="C1242" s="18">
        <f>IF($A1242="","",IF(Paramètres!H54="","",Paramètres!H54))</f>
        <v/>
      </c>
      <c r="D1242" s="18">
        <f>IF($A1242="","",IF(Paramètres!I54="","",Paramètres!I54))</f>
        <v/>
      </c>
      <c r="E1242" s="19">
        <f>IF($A1242="","",IF(Paramètres!J54&amp;Paramètres!L54&amp;Paramètres!N54="",Dossiers!$D$26,MAX(IF(Paramètres!J54="",0,IF(Paramètres!K54="",NA(),IF(LEFT(TRIM(Paramètres!K54),1)="F",INDEX($F$1193:$F$1245,MATCH(Paramètres!J54,Paramètres!$G$5:$G$57,0)),INDEX($E$1193:$E$1245,MATCH(Paramètres!J54,Paramètres!$G$5:$G$57,0)))+IF(RIGHT(TRIM(Paramètres!K54),3)="Fin",1-$H1242,IF(LEFT(TRIM(Paramètres!K54),1)="F",1,0)))),IF(Paramètres!L54="",0,IF(Paramètres!M54="",NA(),IF(LEFT(TRIM(Paramètres!M54),1)="F",INDEX($F$1193:$F$1245,MATCH(Paramètres!L54,Paramètres!$G$5:$G$57,0)),INDEX($E$1193:$E$1245,MATCH(Paramètres!L54,Paramètres!$G$5:$G$57,0)))+IF(RIGHT(TRIM(Paramètres!M54),3)="Fin",1-$H1242,IF(LEFT(TRIM(Paramètres!M54),1)="F",1,0)))),IF(Paramètres!N54="",0,IF(Paramètres!O54="",NA(),IF(LEFT(TRIM(Paramètres!O54),1)="F",INDEX($F$1193:$F$1245,MATCH(Paramètres!N54,Paramètres!$G$5:$G$57,0)),INDEX($E$1193:$E$1245,MATCH(Paramètres!N54,Paramètres!$G$5:$G$57,0)))+IF(RIGHT(TRIM(Paramètres!O54),3)="Fin",1-$H1242,IF(LEFT(TRIM(Paramètres!O54),1)="F",1,0)))))))</f>
        <v/>
      </c>
      <c r="F1242" s="19">
        <f>IF($A1242="","",E1242+$H1242-1)</f>
        <v/>
      </c>
      <c r="G1242" s="18" t="n"/>
      <c r="H1242" s="18">
        <f>IF($A1242="","",IF(I1242&lt;&gt;"",I1242,Paramètres!B54))</f>
        <v/>
      </c>
      <c r="I1242" s="18" t="n"/>
    </row>
    <row r="1243">
      <c r="A1243" s="18">
        <f>IF(ISNUMBER(Dossiers!$D$26),Dossiers!$A$26&amp;" · "&amp;Dossiers!$B$26,"")</f>
        <v/>
      </c>
      <c r="B1243" s="18">
        <f>IF($A1243="","",Paramètres!G55)</f>
        <v/>
      </c>
      <c r="C1243" s="18">
        <f>IF($A1243="","",IF(Paramètres!H55="","",Paramètres!H55))</f>
        <v/>
      </c>
      <c r="D1243" s="18">
        <f>IF($A1243="","",IF(Paramètres!I55="","",Paramètres!I55))</f>
        <v/>
      </c>
      <c r="E1243" s="19">
        <f>IF($A1243="","",IF(Paramètres!J55&amp;Paramètres!L55&amp;Paramètres!N55="",Dossiers!$D$26,MAX(IF(Paramètres!J55="",0,IF(Paramètres!K55="",NA(),IF(LEFT(TRIM(Paramètres!K55),1)="F",INDEX($F$1193:$F$1245,MATCH(Paramètres!J55,Paramètres!$G$5:$G$57,0)),INDEX($E$1193:$E$1245,MATCH(Paramètres!J55,Paramètres!$G$5:$G$57,0)))+IF(RIGHT(TRIM(Paramètres!K55),3)="Fin",1-$H1243,IF(LEFT(TRIM(Paramètres!K55),1)="F",1,0)))),IF(Paramètres!L55="",0,IF(Paramètres!M55="",NA(),IF(LEFT(TRIM(Paramètres!M55),1)="F",INDEX($F$1193:$F$1245,MATCH(Paramètres!L55,Paramètres!$G$5:$G$57,0)),INDEX($E$1193:$E$1245,MATCH(Paramètres!L55,Paramètres!$G$5:$G$57,0)))+IF(RIGHT(TRIM(Paramètres!M55),3)="Fin",1-$H1243,IF(LEFT(TRIM(Paramètres!M55),1)="F",1,0)))),IF(Paramètres!N55="",0,IF(Paramètres!O55="",NA(),IF(LEFT(TRIM(Paramètres!O55),1)="F",INDEX($F$1193:$F$1245,MATCH(Paramètres!N55,Paramètres!$G$5:$G$57,0)),INDEX($E$1193:$E$1245,MATCH(Paramètres!N55,Paramètres!$G$5:$G$57,0)))+IF(RIGHT(TRIM(Paramètres!O55),3)="Fin",1-$H1243,IF(LEFT(TRIM(Paramètres!O55),1)="F",1,0)))))))</f>
        <v/>
      </c>
      <c r="F1243" s="19">
        <f>IF($A1243="","",E1243+$H1243-1)</f>
        <v/>
      </c>
      <c r="G1243" s="18" t="n"/>
      <c r="H1243" s="18">
        <f>IF($A1243="","",IF(I1243&lt;&gt;"",I1243,Paramètres!B55))</f>
        <v/>
      </c>
      <c r="I1243" s="18" t="n"/>
    </row>
    <row r="1244">
      <c r="A1244" s="18">
        <f>IF(ISNUMBER(Dossiers!$D$26),Dossiers!$A$26&amp;" · "&amp;Dossiers!$B$26,"")</f>
        <v/>
      </c>
      <c r="B1244" s="18">
        <f>IF($A1244="","",Paramètres!G56)</f>
        <v/>
      </c>
      <c r="C1244" s="18">
        <f>IF($A1244="","",IF(Paramètres!H56="","",Paramètres!H56))</f>
        <v/>
      </c>
      <c r="D1244" s="18">
        <f>IF($A1244="","",IF(Paramètres!I56="","",Paramètres!I56))</f>
        <v/>
      </c>
      <c r="E1244" s="19">
        <f>IF($A1244="","",MIN(E1245:E1245))</f>
        <v/>
      </c>
      <c r="F1244" s="19">
        <f>IF($A1244="","",MAX(F1245:F1245))</f>
        <v/>
      </c>
      <c r="G1244" s="18" t="n"/>
      <c r="H1244" s="18">
        <f>IF($A1244="","",F1244-E1244+1)</f>
        <v/>
      </c>
      <c r="I1244" s="18" t="n"/>
    </row>
    <row r="1245">
      <c r="A1245" s="18">
        <f>IF(ISNUMBER(Dossiers!$D$26),Dossiers!$A$26&amp;" · "&amp;Dossiers!$B$26,"")</f>
        <v/>
      </c>
      <c r="B1245" s="18">
        <f>IF($A1245="","",Paramètres!G57)</f>
        <v/>
      </c>
      <c r="C1245" s="18">
        <f>IF($A1245="","",IF(Paramètres!H57="","",Paramètres!H57))</f>
        <v/>
      </c>
      <c r="D1245" s="18">
        <f>IF($A1245="","",IF(Paramètres!I57="","",Paramètres!I57))</f>
        <v/>
      </c>
      <c r="E1245" s="19">
        <f>IF($A1245="","",IF(Paramètres!J57&amp;Paramètres!L57&amp;Paramètres!N57="",Dossiers!$D$26,MAX(IF(Paramètres!J57="",0,IF(Paramètres!K57="",NA(),IF(LEFT(TRIM(Paramètres!K57),1)="F",INDEX($F$1193:$F$1245,MATCH(Paramètres!J57,Paramètres!$G$5:$G$57,0)),INDEX($E$1193:$E$1245,MATCH(Paramètres!J57,Paramètres!$G$5:$G$57,0)))+IF(RIGHT(TRIM(Paramètres!K57),3)="Fin",1-$H1245,IF(LEFT(TRIM(Paramètres!K57),1)="F",1,0)))),IF(Paramètres!L57="",0,IF(Paramètres!M57="",NA(),IF(LEFT(TRIM(Paramètres!M57),1)="F",INDEX($F$1193:$F$1245,MATCH(Paramètres!L57,Paramètres!$G$5:$G$57,0)),INDEX($E$1193:$E$1245,MATCH(Paramètres!L57,Paramètres!$G$5:$G$57,0)))+IF(RIGHT(TRIM(Paramètres!M57),3)="Fin",1-$H1245,IF(LEFT(TRIM(Paramètres!M57),1)="F",1,0)))),IF(Paramètres!N57="",0,IF(Paramètres!O57="",NA(),IF(LEFT(TRIM(Paramètres!O57),1)="F",INDEX($F$1193:$F$1245,MATCH(Paramètres!N57,Paramètres!$G$5:$G$57,0)),INDEX($E$1193:$E$1245,MATCH(Paramètres!N57,Paramètres!$G$5:$G$57,0)))+IF(RIGHT(TRIM(Paramètres!O57),3)="Fin",1-$H1245,IF(LEFT(TRIM(Paramètres!O57),1)="F",1,0)))))))</f>
        <v/>
      </c>
      <c r="F1245" s="19">
        <f>IF($A1245="","",E1245+$H1245-1)</f>
        <v/>
      </c>
      <c r="G1245" s="18" t="n"/>
      <c r="H1245" s="18">
        <f>IF($A1245="","",IF(I1245&lt;&gt;"",I1245,Paramètres!B57))</f>
        <v/>
      </c>
      <c r="I1245" s="18" t="n"/>
    </row>
    <row r="1246">
      <c r="A1246" s="16">
        <f>IF(ISNUMBER(Dossiers!$D$27),Dossiers!$E$27,"")</f>
        <v/>
      </c>
      <c r="B1246" s="16">
        <f>IF($A1246="","","Identifiant")</f>
        <v/>
      </c>
      <c r="C1246" s="16">
        <f>IF($A1246="","","Macro Etape")</f>
        <v/>
      </c>
      <c r="D1246" s="16">
        <f>IF($A1246="","","Etape")</f>
        <v/>
      </c>
      <c r="E1246" s="17">
        <f>IF($A1246="","","Début le")</f>
        <v/>
      </c>
      <c r="F1246" s="17">
        <f>IF($A1246="","","Fin prévue le")</f>
        <v/>
      </c>
      <c r="G1246" s="16">
        <f>IF($A1246="","","Statut")</f>
        <v/>
      </c>
      <c r="H1246" s="16">
        <f>IF($A1246="","","Durée (jours)")</f>
        <v/>
      </c>
      <c r="I1246" s="16">
        <f>IF($A1246="","","Durée particulière")</f>
        <v/>
      </c>
      <c r="J1246" s="10">
        <f>IF($A1246="","",HYPERLINK("#'Tableau de bord'!A1","↑ Tableau de bord"))</f>
        <v/>
      </c>
    </row>
    <row r="1247">
      <c r="A1247" s="18">
        <f>IF(ISNUMBER(Dossiers!$D$27),Dossiers!$A$27&amp;" · "&amp;Dossiers!$B$27,"")</f>
        <v/>
      </c>
      <c r="B1247" s="18">
        <f>IF($A1247="","",Paramètres!G5)</f>
        <v/>
      </c>
      <c r="C1247" s="18">
        <f>IF($A1247="","",IF(Paramètres!H5="","",Paramètres!H5))</f>
        <v/>
      </c>
      <c r="D1247" s="18">
        <f>IF($A1247="","",IF(Paramètres!I5="","",Paramètres!I5))</f>
        <v/>
      </c>
      <c r="E1247" s="19">
        <f>IF($A1247="","",MIN(E1248:E1251))</f>
        <v/>
      </c>
      <c r="F1247" s="19">
        <f>IF($A1247="","",MAX(F1248:F1251))</f>
        <v/>
      </c>
      <c r="G1247" s="18" t="n"/>
      <c r="H1247" s="18">
        <f>IF($A1247="","",F1247-E1247+1)</f>
        <v/>
      </c>
      <c r="I1247" s="18" t="n"/>
    </row>
    <row r="1248">
      <c r="A1248" s="18">
        <f>IF(ISNUMBER(Dossiers!$D$27),Dossiers!$A$27&amp;" · "&amp;Dossiers!$B$27,"")</f>
        <v/>
      </c>
      <c r="B1248" s="18">
        <f>IF($A1248="","",Paramètres!G6)</f>
        <v/>
      </c>
      <c r="C1248" s="18">
        <f>IF($A1248="","",IF(Paramètres!H6="","",Paramètres!H6))</f>
        <v/>
      </c>
      <c r="D1248" s="18">
        <f>IF($A1248="","",IF(Paramètres!I6="","",Paramètres!I6))</f>
        <v/>
      </c>
      <c r="E1248" s="19">
        <f>IF($A1248="","",IF(Paramètres!J6&amp;Paramètres!L6&amp;Paramètres!N6="",Dossiers!$D$27,MAX(IF(Paramètres!J6="",0,IF(Paramètres!K6="",NA(),IF(LEFT(TRIM(Paramètres!K6),1)="F",INDEX($F$1247:$F$1299,MATCH(Paramètres!J6,Paramètres!$G$5:$G$57,0)),INDEX($E$1247:$E$1299,MATCH(Paramètres!J6,Paramètres!$G$5:$G$57,0)))+IF(RIGHT(TRIM(Paramètres!K6),3)="Fin",1-$H1248,IF(LEFT(TRIM(Paramètres!K6),1)="F",1,0)))),IF(Paramètres!L6="",0,IF(Paramètres!M6="",NA(),IF(LEFT(TRIM(Paramètres!M6),1)="F",INDEX($F$1247:$F$1299,MATCH(Paramètres!L6,Paramètres!$G$5:$G$57,0)),INDEX($E$1247:$E$1299,MATCH(Paramètres!L6,Paramètres!$G$5:$G$57,0)))+IF(RIGHT(TRIM(Paramètres!M6),3)="Fin",1-$H1248,IF(LEFT(TRIM(Paramètres!M6),1)="F",1,0)))),IF(Paramètres!N6="",0,IF(Paramètres!O6="",NA(),IF(LEFT(TRIM(Paramètres!O6),1)="F",INDEX($F$1247:$F$1299,MATCH(Paramètres!N6,Paramètres!$G$5:$G$57,0)),INDEX($E$1247:$E$1299,MATCH(Paramètres!N6,Paramètres!$G$5:$G$57,0)))+IF(RIGHT(TRIM(Paramètres!O6),3)="Fin",1-$H1248,IF(LEFT(TRIM(Paramètres!O6),1)="F",1,0)))))))</f>
        <v/>
      </c>
      <c r="F1248" s="19">
        <f>IF($A1248="","",E1248+$H1248-1)</f>
        <v/>
      </c>
      <c r="G1248" s="18" t="n"/>
      <c r="H1248" s="18">
        <f>IF($A1248="","",IF(I1248&lt;&gt;"",I1248,Paramètres!B6))</f>
        <v/>
      </c>
      <c r="I1248" s="18" t="n"/>
    </row>
    <row r="1249">
      <c r="A1249" s="18">
        <f>IF(ISNUMBER(Dossiers!$D$27),Dossiers!$A$27&amp;" · "&amp;Dossiers!$B$27,"")</f>
        <v/>
      </c>
      <c r="B1249" s="18">
        <f>IF($A1249="","",Paramètres!G7)</f>
        <v/>
      </c>
      <c r="C1249" s="18">
        <f>IF($A1249="","",IF(Paramètres!H7="","",Paramètres!H7))</f>
        <v/>
      </c>
      <c r="D1249" s="18">
        <f>IF($A1249="","",IF(Paramètres!I7="","",Paramètres!I7))</f>
        <v/>
      </c>
      <c r="E1249" s="19">
        <f>IF($A1249="","",IF(Paramètres!J7&amp;Paramètres!L7&amp;Paramètres!N7="",Dossiers!$D$27,MAX(IF(Paramètres!J7="",0,IF(Paramètres!K7="",NA(),IF(LEFT(TRIM(Paramètres!K7),1)="F",INDEX($F$1247:$F$1299,MATCH(Paramètres!J7,Paramètres!$G$5:$G$57,0)),INDEX($E$1247:$E$1299,MATCH(Paramètres!J7,Paramètres!$G$5:$G$57,0)))+IF(RIGHT(TRIM(Paramètres!K7),3)="Fin",1-$H1249,IF(LEFT(TRIM(Paramètres!K7),1)="F",1,0)))),IF(Paramètres!L7="",0,IF(Paramètres!M7="",NA(),IF(LEFT(TRIM(Paramètres!M7),1)="F",INDEX($F$1247:$F$1299,MATCH(Paramètres!L7,Paramètres!$G$5:$G$57,0)),INDEX($E$1247:$E$1299,MATCH(Paramètres!L7,Paramètres!$G$5:$G$57,0)))+IF(RIGHT(TRIM(Paramètres!M7),3)="Fin",1-$H1249,IF(LEFT(TRIM(Paramètres!M7),1)="F",1,0)))),IF(Paramètres!N7="",0,IF(Paramètres!O7="",NA(),IF(LEFT(TRIM(Paramètres!O7),1)="F",INDEX($F$1247:$F$1299,MATCH(Paramètres!N7,Paramètres!$G$5:$G$57,0)),INDEX($E$1247:$E$1299,MATCH(Paramètres!N7,Paramètres!$G$5:$G$57,0)))+IF(RIGHT(TRIM(Paramètres!O7),3)="Fin",1-$H1249,IF(LEFT(TRIM(Paramètres!O7),1)="F",1,0)))))))</f>
        <v/>
      </c>
      <c r="F1249" s="19">
        <f>IF($A1249="","",E1249+$H1249-1)</f>
        <v/>
      </c>
      <c r="G1249" s="18" t="n"/>
      <c r="H1249" s="18">
        <f>IF($A1249="","",IF(I1249&lt;&gt;"",I1249,Paramètres!B7))</f>
        <v/>
      </c>
      <c r="I1249" s="18" t="n"/>
    </row>
    <row r="1250">
      <c r="A1250" s="18">
        <f>IF(ISNUMBER(Dossiers!$D$27),Dossiers!$A$27&amp;" · "&amp;Dossiers!$B$27,"")</f>
        <v/>
      </c>
      <c r="B1250" s="18">
        <f>IF($A1250="","",Paramètres!G8)</f>
        <v/>
      </c>
      <c r="C1250" s="18">
        <f>IF($A1250="","",IF(Paramètres!H8="","",Paramètres!H8))</f>
        <v/>
      </c>
      <c r="D1250" s="18">
        <f>IF($A1250="","",IF(Paramètres!I8="","",Paramètres!I8))</f>
        <v/>
      </c>
      <c r="E1250" s="19">
        <f>IF($A1250="","",IF(Paramètres!J8&amp;Paramètres!L8&amp;Paramètres!N8="",Dossiers!$D$27,MAX(IF(Paramètres!J8="",0,IF(Paramètres!K8="",NA(),IF(LEFT(TRIM(Paramètres!K8),1)="F",INDEX($F$1247:$F$1299,MATCH(Paramètres!J8,Paramètres!$G$5:$G$57,0)),INDEX($E$1247:$E$1299,MATCH(Paramètres!J8,Paramètres!$G$5:$G$57,0)))+IF(RIGHT(TRIM(Paramètres!K8),3)="Fin",1-$H1250,IF(LEFT(TRIM(Paramètres!K8),1)="F",1,0)))),IF(Paramètres!L8="",0,IF(Paramètres!M8="",NA(),IF(LEFT(TRIM(Paramètres!M8),1)="F",INDEX($F$1247:$F$1299,MATCH(Paramètres!L8,Paramètres!$G$5:$G$57,0)),INDEX($E$1247:$E$1299,MATCH(Paramètres!L8,Paramètres!$G$5:$G$57,0)))+IF(RIGHT(TRIM(Paramètres!M8),3)="Fin",1-$H1250,IF(LEFT(TRIM(Paramètres!M8),1)="F",1,0)))),IF(Paramètres!N8="",0,IF(Paramètres!O8="",NA(),IF(LEFT(TRIM(Paramètres!O8),1)="F",INDEX($F$1247:$F$1299,MATCH(Paramètres!N8,Paramètres!$G$5:$G$57,0)),INDEX($E$1247:$E$1299,MATCH(Paramètres!N8,Paramètres!$G$5:$G$57,0)))+IF(RIGHT(TRIM(Paramètres!O8),3)="Fin",1-$H1250,IF(LEFT(TRIM(Paramètres!O8),1)="F",1,0)))))))</f>
        <v/>
      </c>
      <c r="F1250" s="19">
        <f>IF($A1250="","",E1250+$H1250-1)</f>
        <v/>
      </c>
      <c r="G1250" s="18" t="n"/>
      <c r="H1250" s="18">
        <f>IF($A1250="","",IF(I1250&lt;&gt;"",I1250,Paramètres!B8))</f>
        <v/>
      </c>
      <c r="I1250" s="18" t="n"/>
    </row>
    <row r="1251">
      <c r="A1251" s="18">
        <f>IF(ISNUMBER(Dossiers!$D$27),Dossiers!$A$27&amp;" · "&amp;Dossiers!$B$27,"")</f>
        <v/>
      </c>
      <c r="B1251" s="18">
        <f>IF($A1251="","",Paramètres!G9)</f>
        <v/>
      </c>
      <c r="C1251" s="18">
        <f>IF($A1251="","",IF(Paramètres!H9="","",Paramètres!H9))</f>
        <v/>
      </c>
      <c r="D1251" s="18">
        <f>IF($A1251="","",IF(Paramètres!I9="","",Paramètres!I9))</f>
        <v/>
      </c>
      <c r="E1251" s="19">
        <f>IF($A1251="","",IF(Paramètres!J9&amp;Paramètres!L9&amp;Paramètres!N9="",Dossiers!$D$27,MAX(IF(Paramètres!J9="",0,IF(Paramètres!K9="",NA(),IF(LEFT(TRIM(Paramètres!K9),1)="F",INDEX($F$1247:$F$1299,MATCH(Paramètres!J9,Paramètres!$G$5:$G$57,0)),INDEX($E$1247:$E$1299,MATCH(Paramètres!J9,Paramètres!$G$5:$G$57,0)))+IF(RIGHT(TRIM(Paramètres!K9),3)="Fin",1-$H1251,IF(LEFT(TRIM(Paramètres!K9),1)="F",1,0)))),IF(Paramètres!L9="",0,IF(Paramètres!M9="",NA(),IF(LEFT(TRIM(Paramètres!M9),1)="F",INDEX($F$1247:$F$1299,MATCH(Paramètres!L9,Paramètres!$G$5:$G$57,0)),INDEX($E$1247:$E$1299,MATCH(Paramètres!L9,Paramètres!$G$5:$G$57,0)))+IF(RIGHT(TRIM(Paramètres!M9),3)="Fin",1-$H1251,IF(LEFT(TRIM(Paramètres!M9),1)="F",1,0)))),IF(Paramètres!N9="",0,IF(Paramètres!O9="",NA(),IF(LEFT(TRIM(Paramètres!O9),1)="F",INDEX($F$1247:$F$1299,MATCH(Paramètres!N9,Paramètres!$G$5:$G$57,0)),INDEX($E$1247:$E$1299,MATCH(Paramètres!N9,Paramètres!$G$5:$G$57,0)))+IF(RIGHT(TRIM(Paramètres!O9),3)="Fin",1-$H1251,IF(LEFT(TRIM(Paramètres!O9),1)="F",1,0)))))))</f>
        <v/>
      </c>
      <c r="F1251" s="19">
        <f>IF($A1251="","",E1251+$H1251-1)</f>
        <v/>
      </c>
      <c r="G1251" s="18" t="n"/>
      <c r="H1251" s="18">
        <f>IF($A1251="","",IF(I1251&lt;&gt;"",I1251,Paramètres!B9))</f>
        <v/>
      </c>
      <c r="I1251" s="18" t="n"/>
    </row>
    <row r="1252">
      <c r="A1252" s="18">
        <f>IF(ISNUMBER(Dossiers!$D$27),Dossiers!$A$27&amp;" · "&amp;Dossiers!$B$27,"")</f>
        <v/>
      </c>
      <c r="B1252" s="18">
        <f>IF($A1252="","",Paramètres!G10)</f>
        <v/>
      </c>
      <c r="C1252" s="18">
        <f>IF($A1252="","",IF(Paramètres!H10="","",Paramètres!H10))</f>
        <v/>
      </c>
      <c r="D1252" s="18">
        <f>IF($A1252="","",IF(Paramètres!I10="","",Paramètres!I10))</f>
        <v/>
      </c>
      <c r="E1252" s="19">
        <f>IF($A1252="","",MIN(E1253:E1256))</f>
        <v/>
      </c>
      <c r="F1252" s="19">
        <f>IF($A1252="","",MAX(F1253:F1256))</f>
        <v/>
      </c>
      <c r="G1252" s="18" t="n"/>
      <c r="H1252" s="18">
        <f>IF($A1252="","",F1252-E1252+1)</f>
        <v/>
      </c>
      <c r="I1252" s="18" t="n"/>
    </row>
    <row r="1253">
      <c r="A1253" s="18">
        <f>IF(ISNUMBER(Dossiers!$D$27),Dossiers!$A$27&amp;" · "&amp;Dossiers!$B$27,"")</f>
        <v/>
      </c>
      <c r="B1253" s="18">
        <f>IF($A1253="","",Paramètres!G11)</f>
        <v/>
      </c>
      <c r="C1253" s="18">
        <f>IF($A1253="","",IF(Paramètres!H11="","",Paramètres!H11))</f>
        <v/>
      </c>
      <c r="D1253" s="18">
        <f>IF($A1253="","",IF(Paramètres!I11="","",Paramètres!I11))</f>
        <v/>
      </c>
      <c r="E1253" s="19">
        <f>IF($A1253="","",IF(Paramètres!J11&amp;Paramètres!L11&amp;Paramètres!N11="",Dossiers!$D$27,MAX(IF(Paramètres!J11="",0,IF(Paramètres!K11="",NA(),IF(LEFT(TRIM(Paramètres!K11),1)="F",INDEX($F$1247:$F$1299,MATCH(Paramètres!J11,Paramètres!$G$5:$G$57,0)),INDEX($E$1247:$E$1299,MATCH(Paramètres!J11,Paramètres!$G$5:$G$57,0)))+IF(RIGHT(TRIM(Paramètres!K11),3)="Fin",1-$H1253,IF(LEFT(TRIM(Paramètres!K11),1)="F",1,0)))),IF(Paramètres!L11="",0,IF(Paramètres!M11="",NA(),IF(LEFT(TRIM(Paramètres!M11),1)="F",INDEX($F$1247:$F$1299,MATCH(Paramètres!L11,Paramètres!$G$5:$G$57,0)),INDEX($E$1247:$E$1299,MATCH(Paramètres!L11,Paramètres!$G$5:$G$57,0)))+IF(RIGHT(TRIM(Paramètres!M11),3)="Fin",1-$H1253,IF(LEFT(TRIM(Paramètres!M11),1)="F",1,0)))),IF(Paramètres!N11="",0,IF(Paramètres!O11="",NA(),IF(LEFT(TRIM(Paramètres!O11),1)="F",INDEX($F$1247:$F$1299,MATCH(Paramètres!N11,Paramètres!$G$5:$G$57,0)),INDEX($E$1247:$E$1299,MATCH(Paramètres!N11,Paramètres!$G$5:$G$57,0)))+IF(RIGHT(TRIM(Paramètres!O11),3)="Fin",1-$H1253,IF(LEFT(TRIM(Paramètres!O11),1)="F",1,0)))))))</f>
        <v/>
      </c>
      <c r="F1253" s="19">
        <f>IF($A1253="","",E1253+$H1253-1)</f>
        <v/>
      </c>
      <c r="G1253" s="18" t="n"/>
      <c r="H1253" s="18">
        <f>IF($A1253="","",IF(I1253&lt;&gt;"",I1253,Paramètres!B11))</f>
        <v/>
      </c>
      <c r="I1253" s="18" t="n"/>
    </row>
    <row r="1254">
      <c r="A1254" s="18">
        <f>IF(ISNUMBER(Dossiers!$D$27),Dossiers!$A$27&amp;" · "&amp;Dossiers!$B$27,"")</f>
        <v/>
      </c>
      <c r="B1254" s="18">
        <f>IF($A1254="","",Paramètres!G12)</f>
        <v/>
      </c>
      <c r="C1254" s="18">
        <f>IF($A1254="","",IF(Paramètres!H12="","",Paramètres!H12))</f>
        <v/>
      </c>
      <c r="D1254" s="18">
        <f>IF($A1254="","",IF(Paramètres!I12="","",Paramètres!I12))</f>
        <v/>
      </c>
      <c r="E1254" s="19">
        <f>IF($A1254="","",IF(Paramètres!J12&amp;Paramètres!L12&amp;Paramètres!N12="",Dossiers!$D$27,MAX(IF(Paramètres!J12="",0,IF(Paramètres!K12="",NA(),IF(LEFT(TRIM(Paramètres!K12),1)="F",INDEX($F$1247:$F$1299,MATCH(Paramètres!J12,Paramètres!$G$5:$G$57,0)),INDEX($E$1247:$E$1299,MATCH(Paramètres!J12,Paramètres!$G$5:$G$57,0)))+IF(RIGHT(TRIM(Paramètres!K12),3)="Fin",1-$H1254,IF(LEFT(TRIM(Paramètres!K12),1)="F",1,0)))),IF(Paramètres!L12="",0,IF(Paramètres!M12="",NA(),IF(LEFT(TRIM(Paramètres!M12),1)="F",INDEX($F$1247:$F$1299,MATCH(Paramètres!L12,Paramètres!$G$5:$G$57,0)),INDEX($E$1247:$E$1299,MATCH(Paramètres!L12,Paramètres!$G$5:$G$57,0)))+IF(RIGHT(TRIM(Paramètres!M12),3)="Fin",1-$H1254,IF(LEFT(TRIM(Paramètres!M12),1)="F",1,0)))),IF(Paramètres!N12="",0,IF(Paramètres!O12="",NA(),IF(LEFT(TRIM(Paramètres!O12),1)="F",INDEX($F$1247:$F$1299,MATCH(Paramètres!N12,Paramètres!$G$5:$G$57,0)),INDEX($E$1247:$E$1299,MATCH(Paramètres!N12,Paramètres!$G$5:$G$57,0)))+IF(RIGHT(TRIM(Paramètres!O12),3)="Fin",1-$H1254,IF(LEFT(TRIM(Paramètres!O12),1)="F",1,0)))))))</f>
        <v/>
      </c>
      <c r="F1254" s="19">
        <f>IF($A1254="","",E1254+$H1254-1)</f>
        <v/>
      </c>
      <c r="G1254" s="18" t="n"/>
      <c r="H1254" s="18">
        <f>IF($A1254="","",IF(I1254&lt;&gt;"",I1254,Paramètres!B12))</f>
        <v/>
      </c>
      <c r="I1254" s="18" t="n"/>
    </row>
    <row r="1255">
      <c r="A1255" s="18">
        <f>IF(ISNUMBER(Dossiers!$D$27),Dossiers!$A$27&amp;" · "&amp;Dossiers!$B$27,"")</f>
        <v/>
      </c>
      <c r="B1255" s="18">
        <f>IF($A1255="","",Paramètres!G13)</f>
        <v/>
      </c>
      <c r="C1255" s="18">
        <f>IF($A1255="","",IF(Paramètres!H13="","",Paramètres!H13))</f>
        <v/>
      </c>
      <c r="D1255" s="18">
        <f>IF($A1255="","",IF(Paramètres!I13="","",Paramètres!I13))</f>
        <v/>
      </c>
      <c r="E1255" s="19">
        <f>IF($A1255="","",IF(Paramètres!J13&amp;Paramètres!L13&amp;Paramètres!N13="",Dossiers!$D$27,MAX(IF(Paramètres!J13="",0,IF(Paramètres!K13="",NA(),IF(LEFT(TRIM(Paramètres!K13),1)="F",INDEX($F$1247:$F$1299,MATCH(Paramètres!J13,Paramètres!$G$5:$G$57,0)),INDEX($E$1247:$E$1299,MATCH(Paramètres!J13,Paramètres!$G$5:$G$57,0)))+IF(RIGHT(TRIM(Paramètres!K13),3)="Fin",1-$H1255,IF(LEFT(TRIM(Paramètres!K13),1)="F",1,0)))),IF(Paramètres!L13="",0,IF(Paramètres!M13="",NA(),IF(LEFT(TRIM(Paramètres!M13),1)="F",INDEX($F$1247:$F$1299,MATCH(Paramètres!L13,Paramètres!$G$5:$G$57,0)),INDEX($E$1247:$E$1299,MATCH(Paramètres!L13,Paramètres!$G$5:$G$57,0)))+IF(RIGHT(TRIM(Paramètres!M13),3)="Fin",1-$H1255,IF(LEFT(TRIM(Paramètres!M13),1)="F",1,0)))),IF(Paramètres!N13="",0,IF(Paramètres!O13="",NA(),IF(LEFT(TRIM(Paramètres!O13),1)="F",INDEX($F$1247:$F$1299,MATCH(Paramètres!N13,Paramètres!$G$5:$G$57,0)),INDEX($E$1247:$E$1299,MATCH(Paramètres!N13,Paramètres!$G$5:$G$57,0)))+IF(RIGHT(TRIM(Paramètres!O13),3)="Fin",1-$H1255,IF(LEFT(TRIM(Paramètres!O13),1)="F",1,0)))))))</f>
        <v/>
      </c>
      <c r="F1255" s="19">
        <f>IF($A1255="","",E1255+$H1255-1)</f>
        <v/>
      </c>
      <c r="G1255" s="18" t="n"/>
      <c r="H1255" s="18">
        <f>IF($A1255="","",IF(I1255&lt;&gt;"",I1255,Paramètres!B13))</f>
        <v/>
      </c>
      <c r="I1255" s="18" t="n"/>
    </row>
    <row r="1256">
      <c r="A1256" s="18">
        <f>IF(ISNUMBER(Dossiers!$D$27),Dossiers!$A$27&amp;" · "&amp;Dossiers!$B$27,"")</f>
        <v/>
      </c>
      <c r="B1256" s="18">
        <f>IF($A1256="","",Paramètres!G14)</f>
        <v/>
      </c>
      <c r="C1256" s="18">
        <f>IF($A1256="","",IF(Paramètres!H14="","",Paramètres!H14))</f>
        <v/>
      </c>
      <c r="D1256" s="18">
        <f>IF($A1256="","",IF(Paramètres!I14="","",Paramètres!I14))</f>
        <v/>
      </c>
      <c r="E1256" s="19">
        <f>IF($A1256="","",IF(Paramètres!J14&amp;Paramètres!L14&amp;Paramètres!N14="",Dossiers!$D$27,MAX(IF(Paramètres!J14="",0,IF(Paramètres!K14="",NA(),IF(LEFT(TRIM(Paramètres!K14),1)="F",INDEX($F$1247:$F$1299,MATCH(Paramètres!J14,Paramètres!$G$5:$G$57,0)),INDEX($E$1247:$E$1299,MATCH(Paramètres!J14,Paramètres!$G$5:$G$57,0)))+IF(RIGHT(TRIM(Paramètres!K14),3)="Fin",1-$H1256,IF(LEFT(TRIM(Paramètres!K14),1)="F",1,0)))),IF(Paramètres!L14="",0,IF(Paramètres!M14="",NA(),IF(LEFT(TRIM(Paramètres!M14),1)="F",INDEX($F$1247:$F$1299,MATCH(Paramètres!L14,Paramètres!$G$5:$G$57,0)),INDEX($E$1247:$E$1299,MATCH(Paramètres!L14,Paramètres!$G$5:$G$57,0)))+IF(RIGHT(TRIM(Paramètres!M14),3)="Fin",1-$H1256,IF(LEFT(TRIM(Paramètres!M14),1)="F",1,0)))),IF(Paramètres!N14="",0,IF(Paramètres!O14="",NA(),IF(LEFT(TRIM(Paramètres!O14),1)="F",INDEX($F$1247:$F$1299,MATCH(Paramètres!N14,Paramètres!$G$5:$G$57,0)),INDEX($E$1247:$E$1299,MATCH(Paramètres!N14,Paramètres!$G$5:$G$57,0)))+IF(RIGHT(TRIM(Paramètres!O14),3)="Fin",1-$H1256,IF(LEFT(TRIM(Paramètres!O14),1)="F",1,0)))))))</f>
        <v/>
      </c>
      <c r="F1256" s="19">
        <f>IF($A1256="","",E1256+$H1256-1)</f>
        <v/>
      </c>
      <c r="G1256" s="18" t="n"/>
      <c r="H1256" s="18">
        <f>IF($A1256="","",IF(I1256&lt;&gt;"",I1256,Paramètres!B14))</f>
        <v/>
      </c>
      <c r="I1256" s="18" t="n"/>
    </row>
    <row r="1257">
      <c r="A1257" s="18">
        <f>IF(ISNUMBER(Dossiers!$D$27),Dossiers!$A$27&amp;" · "&amp;Dossiers!$B$27,"")</f>
        <v/>
      </c>
      <c r="B1257" s="18">
        <f>IF($A1257="","",Paramètres!G15)</f>
        <v/>
      </c>
      <c r="C1257" s="18">
        <f>IF($A1257="","",IF(Paramètres!H15="","",Paramètres!H15))</f>
        <v/>
      </c>
      <c r="D1257" s="18">
        <f>IF($A1257="","",IF(Paramètres!I15="","",Paramètres!I15))</f>
        <v/>
      </c>
      <c r="E1257" s="19">
        <f>IF($A1257="","",MIN(E1258:E1273))</f>
        <v/>
      </c>
      <c r="F1257" s="19">
        <f>IF($A1257="","",MAX(F1258:F1273))</f>
        <v/>
      </c>
      <c r="G1257" s="18" t="n"/>
      <c r="H1257" s="18">
        <f>IF($A1257="","",F1257-E1257+1)</f>
        <v/>
      </c>
      <c r="I1257" s="18" t="n"/>
    </row>
    <row r="1258">
      <c r="A1258" s="18">
        <f>IF(ISNUMBER(Dossiers!$D$27),Dossiers!$A$27&amp;" · "&amp;Dossiers!$B$27,"")</f>
        <v/>
      </c>
      <c r="B1258" s="18">
        <f>IF($A1258="","",Paramètres!G16)</f>
        <v/>
      </c>
      <c r="C1258" s="18">
        <f>IF($A1258="","",IF(Paramètres!H16="","",Paramètres!H16))</f>
        <v/>
      </c>
      <c r="D1258" s="18">
        <f>IF($A1258="","",IF(Paramètres!I16="","",Paramètres!I16))</f>
        <v/>
      </c>
      <c r="E1258" s="19">
        <f>IF($A1258="","",IF(Paramètres!J16&amp;Paramètres!L16&amp;Paramètres!N16="",Dossiers!$D$27,MAX(IF(Paramètres!J16="",0,IF(Paramètres!K16="",NA(),IF(LEFT(TRIM(Paramètres!K16),1)="F",INDEX($F$1247:$F$1299,MATCH(Paramètres!J16,Paramètres!$G$5:$G$57,0)),INDEX($E$1247:$E$1299,MATCH(Paramètres!J16,Paramètres!$G$5:$G$57,0)))+IF(RIGHT(TRIM(Paramètres!K16),3)="Fin",1-$H1258,IF(LEFT(TRIM(Paramètres!K16),1)="F",1,0)))),IF(Paramètres!L16="",0,IF(Paramètres!M16="",NA(),IF(LEFT(TRIM(Paramètres!M16),1)="F",INDEX($F$1247:$F$1299,MATCH(Paramètres!L16,Paramètres!$G$5:$G$57,0)),INDEX($E$1247:$E$1299,MATCH(Paramètres!L16,Paramètres!$G$5:$G$57,0)))+IF(RIGHT(TRIM(Paramètres!M16),3)="Fin",1-$H1258,IF(LEFT(TRIM(Paramètres!M16),1)="F",1,0)))),IF(Paramètres!N16="",0,IF(Paramètres!O16="",NA(),IF(LEFT(TRIM(Paramètres!O16),1)="F",INDEX($F$1247:$F$1299,MATCH(Paramètres!N16,Paramètres!$G$5:$G$57,0)),INDEX($E$1247:$E$1299,MATCH(Paramètres!N16,Paramètres!$G$5:$G$57,0)))+IF(RIGHT(TRIM(Paramètres!O16),3)="Fin",1-$H1258,IF(LEFT(TRIM(Paramètres!O16),1)="F",1,0)))))))</f>
        <v/>
      </c>
      <c r="F1258" s="19">
        <f>IF($A1258="","",E1258+$H1258-1)</f>
        <v/>
      </c>
      <c r="G1258" s="18" t="n"/>
      <c r="H1258" s="18">
        <f>IF($A1258="","",IF(I1258&lt;&gt;"",I1258,Paramètres!B16))</f>
        <v/>
      </c>
      <c r="I1258" s="18" t="n"/>
    </row>
    <row r="1259">
      <c r="A1259" s="18">
        <f>IF(ISNUMBER(Dossiers!$D$27),Dossiers!$A$27&amp;" · "&amp;Dossiers!$B$27,"")</f>
        <v/>
      </c>
      <c r="B1259" s="18">
        <f>IF($A1259="","",Paramètres!G17)</f>
        <v/>
      </c>
      <c r="C1259" s="18">
        <f>IF($A1259="","",IF(Paramètres!H17="","",Paramètres!H17))</f>
        <v/>
      </c>
      <c r="D1259" s="18">
        <f>IF($A1259="","",IF(Paramètres!I17="","",Paramètres!I17))</f>
        <v/>
      </c>
      <c r="E1259" s="19">
        <f>IF($A1259="","",IF(Paramètres!J17&amp;Paramètres!L17&amp;Paramètres!N17="",Dossiers!$D$27,MAX(IF(Paramètres!J17="",0,IF(Paramètres!K17="",NA(),IF(LEFT(TRIM(Paramètres!K17),1)="F",INDEX($F$1247:$F$1299,MATCH(Paramètres!J17,Paramètres!$G$5:$G$57,0)),INDEX($E$1247:$E$1299,MATCH(Paramètres!J17,Paramètres!$G$5:$G$57,0)))+IF(RIGHT(TRIM(Paramètres!K17),3)="Fin",1-$H1259,IF(LEFT(TRIM(Paramètres!K17),1)="F",1,0)))),IF(Paramètres!L17="",0,IF(Paramètres!M17="",NA(),IF(LEFT(TRIM(Paramètres!M17),1)="F",INDEX($F$1247:$F$1299,MATCH(Paramètres!L17,Paramètres!$G$5:$G$57,0)),INDEX($E$1247:$E$1299,MATCH(Paramètres!L17,Paramètres!$G$5:$G$57,0)))+IF(RIGHT(TRIM(Paramètres!M17),3)="Fin",1-$H1259,IF(LEFT(TRIM(Paramètres!M17),1)="F",1,0)))),IF(Paramètres!N17="",0,IF(Paramètres!O17="",NA(),IF(LEFT(TRIM(Paramètres!O17),1)="F",INDEX($F$1247:$F$1299,MATCH(Paramètres!N17,Paramètres!$G$5:$G$57,0)),INDEX($E$1247:$E$1299,MATCH(Paramètres!N17,Paramètres!$G$5:$G$57,0)))+IF(RIGHT(TRIM(Paramètres!O17),3)="Fin",1-$H1259,IF(LEFT(TRIM(Paramètres!O17),1)="F",1,0)))))))</f>
        <v/>
      </c>
      <c r="F1259" s="19">
        <f>IF($A1259="","",E1259+$H1259-1)</f>
        <v/>
      </c>
      <c r="G1259" s="18" t="n"/>
      <c r="H1259" s="18">
        <f>IF($A1259="","",IF(I1259&lt;&gt;"",I1259,Paramètres!B17))</f>
        <v/>
      </c>
      <c r="I1259" s="18" t="n"/>
    </row>
    <row r="1260">
      <c r="A1260" s="18">
        <f>IF(ISNUMBER(Dossiers!$D$27),Dossiers!$A$27&amp;" · "&amp;Dossiers!$B$27,"")</f>
        <v/>
      </c>
      <c r="B1260" s="18">
        <f>IF($A1260="","",Paramètres!G18)</f>
        <v/>
      </c>
      <c r="C1260" s="18">
        <f>IF($A1260="","",IF(Paramètres!H18="","",Paramètres!H18))</f>
        <v/>
      </c>
      <c r="D1260" s="18">
        <f>IF($A1260="","",IF(Paramètres!I18="","",Paramètres!I18))</f>
        <v/>
      </c>
      <c r="E1260" s="19">
        <f>IF($A1260="","",IF(Paramètres!J18&amp;Paramètres!L18&amp;Paramètres!N18="",Dossiers!$D$27,MAX(IF(Paramètres!J18="",0,IF(Paramètres!K18="",NA(),IF(LEFT(TRIM(Paramètres!K18),1)="F",INDEX($F$1247:$F$1299,MATCH(Paramètres!J18,Paramètres!$G$5:$G$57,0)),INDEX($E$1247:$E$1299,MATCH(Paramètres!J18,Paramètres!$G$5:$G$57,0)))+IF(RIGHT(TRIM(Paramètres!K18),3)="Fin",1-$H1260,IF(LEFT(TRIM(Paramètres!K18),1)="F",1,0)))),IF(Paramètres!L18="",0,IF(Paramètres!M18="",NA(),IF(LEFT(TRIM(Paramètres!M18),1)="F",INDEX($F$1247:$F$1299,MATCH(Paramètres!L18,Paramètres!$G$5:$G$57,0)),INDEX($E$1247:$E$1299,MATCH(Paramètres!L18,Paramètres!$G$5:$G$57,0)))+IF(RIGHT(TRIM(Paramètres!M18),3)="Fin",1-$H1260,IF(LEFT(TRIM(Paramètres!M18),1)="F",1,0)))),IF(Paramètres!N18="",0,IF(Paramètres!O18="",NA(),IF(LEFT(TRIM(Paramètres!O18),1)="F",INDEX($F$1247:$F$1299,MATCH(Paramètres!N18,Paramètres!$G$5:$G$57,0)),INDEX($E$1247:$E$1299,MATCH(Paramètres!N18,Paramètres!$G$5:$G$57,0)))+IF(RIGHT(TRIM(Paramètres!O18),3)="Fin",1-$H1260,IF(LEFT(TRIM(Paramètres!O18),1)="F",1,0)))))))</f>
        <v/>
      </c>
      <c r="F1260" s="19">
        <f>IF($A1260="","",E1260+$H1260-1)</f>
        <v/>
      </c>
      <c r="G1260" s="18" t="n"/>
      <c r="H1260" s="18">
        <f>IF($A1260="","",IF(I1260&lt;&gt;"",I1260,Paramètres!B18))</f>
        <v/>
      </c>
      <c r="I1260" s="18" t="n"/>
    </row>
    <row r="1261">
      <c r="A1261" s="18">
        <f>IF(ISNUMBER(Dossiers!$D$27),Dossiers!$A$27&amp;" · "&amp;Dossiers!$B$27,"")</f>
        <v/>
      </c>
      <c r="B1261" s="18">
        <f>IF($A1261="","",Paramètres!G19)</f>
        <v/>
      </c>
      <c r="C1261" s="18">
        <f>IF($A1261="","",IF(Paramètres!H19="","",Paramètres!H19))</f>
        <v/>
      </c>
      <c r="D1261" s="18">
        <f>IF($A1261="","",IF(Paramètres!I19="","",Paramètres!I19))</f>
        <v/>
      </c>
      <c r="E1261" s="19">
        <f>IF($A1261="","",IF(Paramètres!J19&amp;Paramètres!L19&amp;Paramètres!N19="",Dossiers!$D$27,MAX(IF(Paramètres!J19="",0,IF(Paramètres!K19="",NA(),IF(LEFT(TRIM(Paramètres!K19),1)="F",INDEX($F$1247:$F$1299,MATCH(Paramètres!J19,Paramètres!$G$5:$G$57,0)),INDEX($E$1247:$E$1299,MATCH(Paramètres!J19,Paramètres!$G$5:$G$57,0)))+IF(RIGHT(TRIM(Paramètres!K19),3)="Fin",1-$H1261,IF(LEFT(TRIM(Paramètres!K19),1)="F",1,0)))),IF(Paramètres!L19="",0,IF(Paramètres!M19="",NA(),IF(LEFT(TRIM(Paramètres!M19),1)="F",INDEX($F$1247:$F$1299,MATCH(Paramètres!L19,Paramètres!$G$5:$G$57,0)),INDEX($E$1247:$E$1299,MATCH(Paramètres!L19,Paramètres!$G$5:$G$57,0)))+IF(RIGHT(TRIM(Paramètres!M19),3)="Fin",1-$H1261,IF(LEFT(TRIM(Paramètres!M19),1)="F",1,0)))),IF(Paramètres!N19="",0,IF(Paramètres!O19="",NA(),IF(LEFT(TRIM(Paramètres!O19),1)="F",INDEX($F$1247:$F$1299,MATCH(Paramètres!N19,Paramètres!$G$5:$G$57,0)),INDEX($E$1247:$E$1299,MATCH(Paramètres!N19,Paramètres!$G$5:$G$57,0)))+IF(RIGHT(TRIM(Paramètres!O19),3)="Fin",1-$H1261,IF(LEFT(TRIM(Paramètres!O19),1)="F",1,0)))))))</f>
        <v/>
      </c>
      <c r="F1261" s="19">
        <f>IF($A1261="","",E1261+$H1261-1)</f>
        <v/>
      </c>
      <c r="G1261" s="18" t="n"/>
      <c r="H1261" s="18">
        <f>IF($A1261="","",IF(I1261&lt;&gt;"",I1261,Paramètres!B19))</f>
        <v/>
      </c>
      <c r="I1261" s="18" t="n"/>
    </row>
    <row r="1262">
      <c r="A1262" s="18">
        <f>IF(ISNUMBER(Dossiers!$D$27),Dossiers!$A$27&amp;" · "&amp;Dossiers!$B$27,"")</f>
        <v/>
      </c>
      <c r="B1262" s="18">
        <f>IF($A1262="","",Paramètres!G20)</f>
        <v/>
      </c>
      <c r="C1262" s="18">
        <f>IF($A1262="","",IF(Paramètres!H20="","",Paramètres!H20))</f>
        <v/>
      </c>
      <c r="D1262" s="18">
        <f>IF($A1262="","",IF(Paramètres!I20="","",Paramètres!I20))</f>
        <v/>
      </c>
      <c r="E1262" s="19">
        <f>IF($A1262="","",IF(Paramètres!J20&amp;Paramètres!L20&amp;Paramètres!N20="",Dossiers!$D$27,MAX(IF(Paramètres!J20="",0,IF(Paramètres!K20="",NA(),IF(LEFT(TRIM(Paramètres!K20),1)="F",INDEX($F$1247:$F$1299,MATCH(Paramètres!J20,Paramètres!$G$5:$G$57,0)),INDEX($E$1247:$E$1299,MATCH(Paramètres!J20,Paramètres!$G$5:$G$57,0)))+IF(RIGHT(TRIM(Paramètres!K20),3)="Fin",1-$H1262,IF(LEFT(TRIM(Paramètres!K20),1)="F",1,0)))),IF(Paramètres!L20="",0,IF(Paramètres!M20="",NA(),IF(LEFT(TRIM(Paramètres!M20),1)="F",INDEX($F$1247:$F$1299,MATCH(Paramètres!L20,Paramètres!$G$5:$G$57,0)),INDEX($E$1247:$E$1299,MATCH(Paramètres!L20,Paramètres!$G$5:$G$57,0)))+IF(RIGHT(TRIM(Paramètres!M20),3)="Fin",1-$H1262,IF(LEFT(TRIM(Paramètres!M20),1)="F",1,0)))),IF(Paramètres!N20="",0,IF(Paramètres!O20="",NA(),IF(LEFT(TRIM(Paramètres!O20),1)="F",INDEX($F$1247:$F$1299,MATCH(Paramètres!N20,Paramètres!$G$5:$G$57,0)),INDEX($E$1247:$E$1299,MATCH(Paramètres!N20,Paramètres!$G$5:$G$57,0)))+IF(RIGHT(TRIM(Paramètres!O20),3)="Fin",1-$H1262,IF(LEFT(TRIM(Paramètres!O20),1)="F",1,0)))))))</f>
        <v/>
      </c>
      <c r="F1262" s="19">
        <f>IF($A1262="","",E1262+$H1262-1)</f>
        <v/>
      </c>
      <c r="G1262" s="18" t="n"/>
      <c r="H1262" s="18">
        <f>IF($A1262="","",IF(I1262&lt;&gt;"",I1262,Paramètres!B20))</f>
        <v/>
      </c>
      <c r="I1262" s="18" t="n"/>
    </row>
    <row r="1263">
      <c r="A1263" s="18">
        <f>IF(ISNUMBER(Dossiers!$D$27),Dossiers!$A$27&amp;" · "&amp;Dossiers!$B$27,"")</f>
        <v/>
      </c>
      <c r="B1263" s="18">
        <f>IF($A1263="","",Paramètres!G21)</f>
        <v/>
      </c>
      <c r="C1263" s="18">
        <f>IF($A1263="","",IF(Paramètres!H21="","",Paramètres!H21))</f>
        <v/>
      </c>
      <c r="D1263" s="18">
        <f>IF($A1263="","",IF(Paramètres!I21="","",Paramètres!I21))</f>
        <v/>
      </c>
      <c r="E1263" s="19">
        <f>IF($A1263="","",IF(Paramètres!J21&amp;Paramètres!L21&amp;Paramètres!N21="",Dossiers!$D$27,MAX(IF(Paramètres!J21="",0,IF(Paramètres!K21="",NA(),IF(LEFT(TRIM(Paramètres!K21),1)="F",INDEX($F$1247:$F$1299,MATCH(Paramètres!J21,Paramètres!$G$5:$G$57,0)),INDEX($E$1247:$E$1299,MATCH(Paramètres!J21,Paramètres!$G$5:$G$57,0)))+IF(RIGHT(TRIM(Paramètres!K21),3)="Fin",1-$H1263,IF(LEFT(TRIM(Paramètres!K21),1)="F",1,0)))),IF(Paramètres!L21="",0,IF(Paramètres!M21="",NA(),IF(LEFT(TRIM(Paramètres!M21),1)="F",INDEX($F$1247:$F$1299,MATCH(Paramètres!L21,Paramètres!$G$5:$G$57,0)),INDEX($E$1247:$E$1299,MATCH(Paramètres!L21,Paramètres!$G$5:$G$57,0)))+IF(RIGHT(TRIM(Paramètres!M21),3)="Fin",1-$H1263,IF(LEFT(TRIM(Paramètres!M21),1)="F",1,0)))),IF(Paramètres!N21="",0,IF(Paramètres!O21="",NA(),IF(LEFT(TRIM(Paramètres!O21),1)="F",INDEX($F$1247:$F$1299,MATCH(Paramètres!N21,Paramètres!$G$5:$G$57,0)),INDEX($E$1247:$E$1299,MATCH(Paramètres!N21,Paramètres!$G$5:$G$57,0)))+IF(RIGHT(TRIM(Paramètres!O21),3)="Fin",1-$H1263,IF(LEFT(TRIM(Paramètres!O21),1)="F",1,0)))))))</f>
        <v/>
      </c>
      <c r="F1263" s="19">
        <f>IF($A1263="","",E1263+$H1263-1)</f>
        <v/>
      </c>
      <c r="G1263" s="18" t="n"/>
      <c r="H1263" s="18">
        <f>IF($A1263="","",IF(I1263&lt;&gt;"",I1263,Paramètres!B21))</f>
        <v/>
      </c>
      <c r="I1263" s="18" t="n"/>
    </row>
    <row r="1264">
      <c r="A1264" s="18">
        <f>IF(ISNUMBER(Dossiers!$D$27),Dossiers!$A$27&amp;" · "&amp;Dossiers!$B$27,"")</f>
        <v/>
      </c>
      <c r="B1264" s="18">
        <f>IF($A1264="","",Paramètres!G22)</f>
        <v/>
      </c>
      <c r="C1264" s="18">
        <f>IF($A1264="","",IF(Paramètres!H22="","",Paramètres!H22))</f>
        <v/>
      </c>
      <c r="D1264" s="18">
        <f>IF($A1264="","",IF(Paramètres!I22="","",Paramètres!I22))</f>
        <v/>
      </c>
      <c r="E1264" s="19">
        <f>IF($A1264="","",IF(Paramètres!J22&amp;Paramètres!L22&amp;Paramètres!N22="",Dossiers!$D$27,MAX(IF(Paramètres!J22="",0,IF(Paramètres!K22="",NA(),IF(LEFT(TRIM(Paramètres!K22),1)="F",INDEX($F$1247:$F$1299,MATCH(Paramètres!J22,Paramètres!$G$5:$G$57,0)),INDEX($E$1247:$E$1299,MATCH(Paramètres!J22,Paramètres!$G$5:$G$57,0)))+IF(RIGHT(TRIM(Paramètres!K22),3)="Fin",1-$H1264,IF(LEFT(TRIM(Paramètres!K22),1)="F",1,0)))),IF(Paramètres!L22="",0,IF(Paramètres!M22="",NA(),IF(LEFT(TRIM(Paramètres!M22),1)="F",INDEX($F$1247:$F$1299,MATCH(Paramètres!L22,Paramètres!$G$5:$G$57,0)),INDEX($E$1247:$E$1299,MATCH(Paramètres!L22,Paramètres!$G$5:$G$57,0)))+IF(RIGHT(TRIM(Paramètres!M22),3)="Fin",1-$H1264,IF(LEFT(TRIM(Paramètres!M22),1)="F",1,0)))),IF(Paramètres!N22="",0,IF(Paramètres!O22="",NA(),IF(LEFT(TRIM(Paramètres!O22),1)="F",INDEX($F$1247:$F$1299,MATCH(Paramètres!N22,Paramètres!$G$5:$G$57,0)),INDEX($E$1247:$E$1299,MATCH(Paramètres!N22,Paramètres!$G$5:$G$57,0)))+IF(RIGHT(TRIM(Paramètres!O22),3)="Fin",1-$H1264,IF(LEFT(TRIM(Paramètres!O22),1)="F",1,0)))))))</f>
        <v/>
      </c>
      <c r="F1264" s="19">
        <f>IF($A1264="","",E1264+$H1264-1)</f>
        <v/>
      </c>
      <c r="G1264" s="18" t="n"/>
      <c r="H1264" s="18">
        <f>IF($A1264="","",IF(I1264&lt;&gt;"",I1264,Paramètres!B22))</f>
        <v/>
      </c>
      <c r="I1264" s="18" t="n"/>
    </row>
    <row r="1265">
      <c r="A1265" s="18">
        <f>IF(ISNUMBER(Dossiers!$D$27),Dossiers!$A$27&amp;" · "&amp;Dossiers!$B$27,"")</f>
        <v/>
      </c>
      <c r="B1265" s="18">
        <f>IF($A1265="","",Paramètres!G23)</f>
        <v/>
      </c>
      <c r="C1265" s="18">
        <f>IF($A1265="","",IF(Paramètres!H23="","",Paramètres!H23))</f>
        <v/>
      </c>
      <c r="D1265" s="18">
        <f>IF($A1265="","",IF(Paramètres!I23="","",Paramètres!I23))</f>
        <v/>
      </c>
      <c r="E1265" s="19">
        <f>IF($A1265="","",IF(Paramètres!J23&amp;Paramètres!L23&amp;Paramètres!N23="",Dossiers!$D$27,MAX(IF(Paramètres!J23="",0,IF(Paramètres!K23="",NA(),IF(LEFT(TRIM(Paramètres!K23),1)="F",INDEX($F$1247:$F$1299,MATCH(Paramètres!J23,Paramètres!$G$5:$G$57,0)),INDEX($E$1247:$E$1299,MATCH(Paramètres!J23,Paramètres!$G$5:$G$57,0)))+IF(RIGHT(TRIM(Paramètres!K23),3)="Fin",1-$H1265,IF(LEFT(TRIM(Paramètres!K23),1)="F",1,0)))),IF(Paramètres!L23="",0,IF(Paramètres!M23="",NA(),IF(LEFT(TRIM(Paramètres!M23),1)="F",INDEX($F$1247:$F$1299,MATCH(Paramètres!L23,Paramètres!$G$5:$G$57,0)),INDEX($E$1247:$E$1299,MATCH(Paramètres!L23,Paramètres!$G$5:$G$57,0)))+IF(RIGHT(TRIM(Paramètres!M23),3)="Fin",1-$H1265,IF(LEFT(TRIM(Paramètres!M23),1)="F",1,0)))),IF(Paramètres!N23="",0,IF(Paramètres!O23="",NA(),IF(LEFT(TRIM(Paramètres!O23),1)="F",INDEX($F$1247:$F$1299,MATCH(Paramètres!N23,Paramètres!$G$5:$G$57,0)),INDEX($E$1247:$E$1299,MATCH(Paramètres!N23,Paramètres!$G$5:$G$57,0)))+IF(RIGHT(TRIM(Paramètres!O23),3)="Fin",1-$H1265,IF(LEFT(TRIM(Paramètres!O23),1)="F",1,0)))))))</f>
        <v/>
      </c>
      <c r="F1265" s="19">
        <f>IF($A1265="","",E1265+$H1265-1)</f>
        <v/>
      </c>
      <c r="G1265" s="18" t="n"/>
      <c r="H1265" s="18">
        <f>IF($A1265="","",IF(I1265&lt;&gt;"",I1265,Paramètres!B23))</f>
        <v/>
      </c>
      <c r="I1265" s="18" t="n"/>
    </row>
    <row r="1266">
      <c r="A1266" s="18">
        <f>IF(ISNUMBER(Dossiers!$D$27),Dossiers!$A$27&amp;" · "&amp;Dossiers!$B$27,"")</f>
        <v/>
      </c>
      <c r="B1266" s="18">
        <f>IF($A1266="","",Paramètres!G24)</f>
        <v/>
      </c>
      <c r="C1266" s="18">
        <f>IF($A1266="","",IF(Paramètres!H24="","",Paramètres!H24))</f>
        <v/>
      </c>
      <c r="D1266" s="18">
        <f>IF($A1266="","",IF(Paramètres!I24="","",Paramètres!I24))</f>
        <v/>
      </c>
      <c r="E1266" s="19">
        <f>IF($A1266="","",IF(Paramètres!J24&amp;Paramètres!L24&amp;Paramètres!N24="",Dossiers!$D$27,MAX(IF(Paramètres!J24="",0,IF(Paramètres!K24="",NA(),IF(LEFT(TRIM(Paramètres!K24),1)="F",INDEX($F$1247:$F$1299,MATCH(Paramètres!J24,Paramètres!$G$5:$G$57,0)),INDEX($E$1247:$E$1299,MATCH(Paramètres!J24,Paramètres!$G$5:$G$57,0)))+IF(RIGHT(TRIM(Paramètres!K24),3)="Fin",1-$H1266,IF(LEFT(TRIM(Paramètres!K24),1)="F",1,0)))),IF(Paramètres!L24="",0,IF(Paramètres!M24="",NA(),IF(LEFT(TRIM(Paramètres!M24),1)="F",INDEX($F$1247:$F$1299,MATCH(Paramètres!L24,Paramètres!$G$5:$G$57,0)),INDEX($E$1247:$E$1299,MATCH(Paramètres!L24,Paramètres!$G$5:$G$57,0)))+IF(RIGHT(TRIM(Paramètres!M24),3)="Fin",1-$H1266,IF(LEFT(TRIM(Paramètres!M24),1)="F",1,0)))),IF(Paramètres!N24="",0,IF(Paramètres!O24="",NA(),IF(LEFT(TRIM(Paramètres!O24),1)="F",INDEX($F$1247:$F$1299,MATCH(Paramètres!N24,Paramètres!$G$5:$G$57,0)),INDEX($E$1247:$E$1299,MATCH(Paramètres!N24,Paramètres!$G$5:$G$57,0)))+IF(RIGHT(TRIM(Paramètres!O24),3)="Fin",1-$H1266,IF(LEFT(TRIM(Paramètres!O24),1)="F",1,0)))))))</f>
        <v/>
      </c>
      <c r="F1266" s="19">
        <f>IF($A1266="","",E1266+$H1266-1)</f>
        <v/>
      </c>
      <c r="G1266" s="18" t="n"/>
      <c r="H1266" s="18">
        <f>IF($A1266="","",IF(I1266&lt;&gt;"",I1266,Paramètres!B24))</f>
        <v/>
      </c>
      <c r="I1266" s="18" t="n"/>
    </row>
    <row r="1267">
      <c r="A1267" s="18">
        <f>IF(ISNUMBER(Dossiers!$D$27),Dossiers!$A$27&amp;" · "&amp;Dossiers!$B$27,"")</f>
        <v/>
      </c>
      <c r="B1267" s="18">
        <f>IF($A1267="","",Paramètres!G25)</f>
        <v/>
      </c>
      <c r="C1267" s="18">
        <f>IF($A1267="","",IF(Paramètres!H25="","",Paramètres!H25))</f>
        <v/>
      </c>
      <c r="D1267" s="18">
        <f>IF($A1267="","",IF(Paramètres!I25="","",Paramètres!I25))</f>
        <v/>
      </c>
      <c r="E1267" s="19">
        <f>IF($A1267="","",IF(Paramètres!J25&amp;Paramètres!L25&amp;Paramètres!N25="",Dossiers!$D$27,MAX(IF(Paramètres!J25="",0,IF(Paramètres!K25="",NA(),IF(LEFT(TRIM(Paramètres!K25),1)="F",INDEX($F$1247:$F$1299,MATCH(Paramètres!J25,Paramètres!$G$5:$G$57,0)),INDEX($E$1247:$E$1299,MATCH(Paramètres!J25,Paramètres!$G$5:$G$57,0)))+IF(RIGHT(TRIM(Paramètres!K25),3)="Fin",1-$H1267,IF(LEFT(TRIM(Paramètres!K25),1)="F",1,0)))),IF(Paramètres!L25="",0,IF(Paramètres!M25="",NA(),IF(LEFT(TRIM(Paramètres!M25),1)="F",INDEX($F$1247:$F$1299,MATCH(Paramètres!L25,Paramètres!$G$5:$G$57,0)),INDEX($E$1247:$E$1299,MATCH(Paramètres!L25,Paramètres!$G$5:$G$57,0)))+IF(RIGHT(TRIM(Paramètres!M25),3)="Fin",1-$H1267,IF(LEFT(TRIM(Paramètres!M25),1)="F",1,0)))),IF(Paramètres!N25="",0,IF(Paramètres!O25="",NA(),IF(LEFT(TRIM(Paramètres!O25),1)="F",INDEX($F$1247:$F$1299,MATCH(Paramètres!N25,Paramètres!$G$5:$G$57,0)),INDEX($E$1247:$E$1299,MATCH(Paramètres!N25,Paramètres!$G$5:$G$57,0)))+IF(RIGHT(TRIM(Paramètres!O25),3)="Fin",1-$H1267,IF(LEFT(TRIM(Paramètres!O25),1)="F",1,0)))))))</f>
        <v/>
      </c>
      <c r="F1267" s="19">
        <f>IF($A1267="","",E1267+$H1267-1)</f>
        <v/>
      </c>
      <c r="G1267" s="18" t="n"/>
      <c r="H1267" s="18">
        <f>IF($A1267="","",IF(I1267&lt;&gt;"",I1267,Paramètres!B25))</f>
        <v/>
      </c>
      <c r="I1267" s="18" t="n"/>
    </row>
    <row r="1268">
      <c r="A1268" s="18">
        <f>IF(ISNUMBER(Dossiers!$D$27),Dossiers!$A$27&amp;" · "&amp;Dossiers!$B$27,"")</f>
        <v/>
      </c>
      <c r="B1268" s="18">
        <f>IF($A1268="","",Paramètres!G26)</f>
        <v/>
      </c>
      <c r="C1268" s="18">
        <f>IF($A1268="","",IF(Paramètres!H26="","",Paramètres!H26))</f>
        <v/>
      </c>
      <c r="D1268" s="18">
        <f>IF($A1268="","",IF(Paramètres!I26="","",Paramètres!I26))</f>
        <v/>
      </c>
      <c r="E1268" s="19">
        <f>IF($A1268="","",IF(Paramètres!J26&amp;Paramètres!L26&amp;Paramètres!N26="",Dossiers!$D$27,MAX(IF(Paramètres!J26="",0,IF(Paramètres!K26="",NA(),IF(LEFT(TRIM(Paramètres!K26),1)="F",INDEX($F$1247:$F$1299,MATCH(Paramètres!J26,Paramètres!$G$5:$G$57,0)),INDEX($E$1247:$E$1299,MATCH(Paramètres!J26,Paramètres!$G$5:$G$57,0)))+IF(RIGHT(TRIM(Paramètres!K26),3)="Fin",1-$H1268,IF(LEFT(TRIM(Paramètres!K26),1)="F",1,0)))),IF(Paramètres!L26="",0,IF(Paramètres!M26="",NA(),IF(LEFT(TRIM(Paramètres!M26),1)="F",INDEX($F$1247:$F$1299,MATCH(Paramètres!L26,Paramètres!$G$5:$G$57,0)),INDEX($E$1247:$E$1299,MATCH(Paramètres!L26,Paramètres!$G$5:$G$57,0)))+IF(RIGHT(TRIM(Paramètres!M26),3)="Fin",1-$H1268,IF(LEFT(TRIM(Paramètres!M26),1)="F",1,0)))),IF(Paramètres!N26="",0,IF(Paramètres!O26="",NA(),IF(LEFT(TRIM(Paramètres!O26),1)="F",INDEX($F$1247:$F$1299,MATCH(Paramètres!N26,Paramètres!$G$5:$G$57,0)),INDEX($E$1247:$E$1299,MATCH(Paramètres!N26,Paramètres!$G$5:$G$57,0)))+IF(RIGHT(TRIM(Paramètres!O26),3)="Fin",1-$H1268,IF(LEFT(TRIM(Paramètres!O26),1)="F",1,0)))))))</f>
        <v/>
      </c>
      <c r="F1268" s="19">
        <f>IF($A1268="","",E1268+$H1268-1)</f>
        <v/>
      </c>
      <c r="G1268" s="18" t="n"/>
      <c r="H1268" s="18">
        <f>IF($A1268="","",IF(I1268&lt;&gt;"",I1268,Paramètres!B26))</f>
        <v/>
      </c>
      <c r="I1268" s="18" t="n"/>
    </row>
    <row r="1269">
      <c r="A1269" s="18">
        <f>IF(ISNUMBER(Dossiers!$D$27),Dossiers!$A$27&amp;" · "&amp;Dossiers!$B$27,"")</f>
        <v/>
      </c>
      <c r="B1269" s="18">
        <f>IF($A1269="","",Paramètres!G27)</f>
        <v/>
      </c>
      <c r="C1269" s="18">
        <f>IF($A1269="","",IF(Paramètres!H27="","",Paramètres!H27))</f>
        <v/>
      </c>
      <c r="D1269" s="18">
        <f>IF($A1269="","",IF(Paramètres!I27="","",Paramètres!I27))</f>
        <v/>
      </c>
      <c r="E1269" s="19">
        <f>IF($A1269="","",IF(Paramètres!J27&amp;Paramètres!L27&amp;Paramètres!N27="",Dossiers!$D$27,MAX(IF(Paramètres!J27="",0,IF(Paramètres!K27="",NA(),IF(LEFT(TRIM(Paramètres!K27),1)="F",INDEX($F$1247:$F$1299,MATCH(Paramètres!J27,Paramètres!$G$5:$G$57,0)),INDEX($E$1247:$E$1299,MATCH(Paramètres!J27,Paramètres!$G$5:$G$57,0)))+IF(RIGHT(TRIM(Paramètres!K27),3)="Fin",1-$H1269,IF(LEFT(TRIM(Paramètres!K27),1)="F",1,0)))),IF(Paramètres!L27="",0,IF(Paramètres!M27="",NA(),IF(LEFT(TRIM(Paramètres!M27),1)="F",INDEX($F$1247:$F$1299,MATCH(Paramètres!L27,Paramètres!$G$5:$G$57,0)),INDEX($E$1247:$E$1299,MATCH(Paramètres!L27,Paramètres!$G$5:$G$57,0)))+IF(RIGHT(TRIM(Paramètres!M27),3)="Fin",1-$H1269,IF(LEFT(TRIM(Paramètres!M27),1)="F",1,0)))),IF(Paramètres!N27="",0,IF(Paramètres!O27="",NA(),IF(LEFT(TRIM(Paramètres!O27),1)="F",INDEX($F$1247:$F$1299,MATCH(Paramètres!N27,Paramètres!$G$5:$G$57,0)),INDEX($E$1247:$E$1299,MATCH(Paramètres!N27,Paramètres!$G$5:$G$57,0)))+IF(RIGHT(TRIM(Paramètres!O27),3)="Fin",1-$H1269,IF(LEFT(TRIM(Paramètres!O27),1)="F",1,0)))))))</f>
        <v/>
      </c>
      <c r="F1269" s="19">
        <f>IF($A1269="","",E1269+$H1269-1)</f>
        <v/>
      </c>
      <c r="G1269" s="18" t="n"/>
      <c r="H1269" s="18">
        <f>IF($A1269="","",IF(I1269&lt;&gt;"",I1269,Paramètres!B27))</f>
        <v/>
      </c>
      <c r="I1269" s="18" t="n"/>
    </row>
    <row r="1270">
      <c r="A1270" s="18">
        <f>IF(ISNUMBER(Dossiers!$D$27),Dossiers!$A$27&amp;" · "&amp;Dossiers!$B$27,"")</f>
        <v/>
      </c>
      <c r="B1270" s="18">
        <f>IF($A1270="","",Paramètres!G28)</f>
        <v/>
      </c>
      <c r="C1270" s="18">
        <f>IF($A1270="","",IF(Paramètres!H28="","",Paramètres!H28))</f>
        <v/>
      </c>
      <c r="D1270" s="18">
        <f>IF($A1270="","",IF(Paramètres!I28="","",Paramètres!I28))</f>
        <v/>
      </c>
      <c r="E1270" s="19">
        <f>IF($A1270="","",IF(Paramètres!J28&amp;Paramètres!L28&amp;Paramètres!N28="",Dossiers!$D$27,MAX(IF(Paramètres!J28="",0,IF(Paramètres!K28="",NA(),IF(LEFT(TRIM(Paramètres!K28),1)="F",INDEX($F$1247:$F$1299,MATCH(Paramètres!J28,Paramètres!$G$5:$G$57,0)),INDEX($E$1247:$E$1299,MATCH(Paramètres!J28,Paramètres!$G$5:$G$57,0)))+IF(RIGHT(TRIM(Paramètres!K28),3)="Fin",1-$H1270,IF(LEFT(TRIM(Paramètres!K28),1)="F",1,0)))),IF(Paramètres!L28="",0,IF(Paramètres!M28="",NA(),IF(LEFT(TRIM(Paramètres!M28),1)="F",INDEX($F$1247:$F$1299,MATCH(Paramètres!L28,Paramètres!$G$5:$G$57,0)),INDEX($E$1247:$E$1299,MATCH(Paramètres!L28,Paramètres!$G$5:$G$57,0)))+IF(RIGHT(TRIM(Paramètres!M28),3)="Fin",1-$H1270,IF(LEFT(TRIM(Paramètres!M28),1)="F",1,0)))),IF(Paramètres!N28="",0,IF(Paramètres!O28="",NA(),IF(LEFT(TRIM(Paramètres!O28),1)="F",INDEX($F$1247:$F$1299,MATCH(Paramètres!N28,Paramètres!$G$5:$G$57,0)),INDEX($E$1247:$E$1299,MATCH(Paramètres!N28,Paramètres!$G$5:$G$57,0)))+IF(RIGHT(TRIM(Paramètres!O28),3)="Fin",1-$H1270,IF(LEFT(TRIM(Paramètres!O28),1)="F",1,0)))))))</f>
        <v/>
      </c>
      <c r="F1270" s="19">
        <f>IF($A1270="","",E1270+$H1270-1)</f>
        <v/>
      </c>
      <c r="G1270" s="18" t="n"/>
      <c r="H1270" s="18">
        <f>IF($A1270="","",IF(I1270&lt;&gt;"",I1270,Paramètres!B28))</f>
        <v/>
      </c>
      <c r="I1270" s="18" t="n"/>
    </row>
    <row r="1271">
      <c r="A1271" s="18">
        <f>IF(ISNUMBER(Dossiers!$D$27),Dossiers!$A$27&amp;" · "&amp;Dossiers!$B$27,"")</f>
        <v/>
      </c>
      <c r="B1271" s="18">
        <f>IF($A1271="","",Paramètres!G29)</f>
        <v/>
      </c>
      <c r="C1271" s="18">
        <f>IF($A1271="","",IF(Paramètres!H29="","",Paramètres!H29))</f>
        <v/>
      </c>
      <c r="D1271" s="18">
        <f>IF($A1271="","",IF(Paramètres!I29="","",Paramètres!I29))</f>
        <v/>
      </c>
      <c r="E1271" s="19">
        <f>IF($A1271="","",IF(Paramètres!J29&amp;Paramètres!L29&amp;Paramètres!N29="",Dossiers!$D$27,MAX(IF(Paramètres!J29="",0,IF(Paramètres!K29="",NA(),IF(LEFT(TRIM(Paramètres!K29),1)="F",INDEX($F$1247:$F$1299,MATCH(Paramètres!J29,Paramètres!$G$5:$G$57,0)),INDEX($E$1247:$E$1299,MATCH(Paramètres!J29,Paramètres!$G$5:$G$57,0)))+IF(RIGHT(TRIM(Paramètres!K29),3)="Fin",1-$H1271,IF(LEFT(TRIM(Paramètres!K29),1)="F",1,0)))),IF(Paramètres!L29="",0,IF(Paramètres!M29="",NA(),IF(LEFT(TRIM(Paramètres!M29),1)="F",INDEX($F$1247:$F$1299,MATCH(Paramètres!L29,Paramètres!$G$5:$G$57,0)),INDEX($E$1247:$E$1299,MATCH(Paramètres!L29,Paramètres!$G$5:$G$57,0)))+IF(RIGHT(TRIM(Paramètres!M29),3)="Fin",1-$H1271,IF(LEFT(TRIM(Paramètres!M29),1)="F",1,0)))),IF(Paramètres!N29="",0,IF(Paramètres!O29="",NA(),IF(LEFT(TRIM(Paramètres!O29),1)="F",INDEX($F$1247:$F$1299,MATCH(Paramètres!N29,Paramètres!$G$5:$G$57,0)),INDEX($E$1247:$E$1299,MATCH(Paramètres!N29,Paramètres!$G$5:$G$57,0)))+IF(RIGHT(TRIM(Paramètres!O29),3)="Fin",1-$H1271,IF(LEFT(TRIM(Paramètres!O29),1)="F",1,0)))))))</f>
        <v/>
      </c>
      <c r="F1271" s="19">
        <f>IF($A1271="","",E1271+$H1271-1)</f>
        <v/>
      </c>
      <c r="G1271" s="18" t="n"/>
      <c r="H1271" s="18">
        <f>IF($A1271="","",IF(I1271&lt;&gt;"",I1271,Paramètres!B29))</f>
        <v/>
      </c>
      <c r="I1271" s="18" t="n"/>
    </row>
    <row r="1272">
      <c r="A1272" s="18">
        <f>IF(ISNUMBER(Dossiers!$D$27),Dossiers!$A$27&amp;" · "&amp;Dossiers!$B$27,"")</f>
        <v/>
      </c>
      <c r="B1272" s="18">
        <f>IF($A1272="","",Paramètres!G30)</f>
        <v/>
      </c>
      <c r="C1272" s="18">
        <f>IF($A1272="","",IF(Paramètres!H30="","",Paramètres!H30))</f>
        <v/>
      </c>
      <c r="D1272" s="18">
        <f>IF($A1272="","",IF(Paramètres!I30="","",Paramètres!I30))</f>
        <v/>
      </c>
      <c r="E1272" s="19">
        <f>IF($A1272="","",IF(Paramètres!J30&amp;Paramètres!L30&amp;Paramètres!N30="",Dossiers!$D$27,MAX(IF(Paramètres!J30="",0,IF(Paramètres!K30="",NA(),IF(LEFT(TRIM(Paramètres!K30),1)="F",INDEX($F$1247:$F$1299,MATCH(Paramètres!J30,Paramètres!$G$5:$G$57,0)),INDEX($E$1247:$E$1299,MATCH(Paramètres!J30,Paramètres!$G$5:$G$57,0)))+IF(RIGHT(TRIM(Paramètres!K30),3)="Fin",1-$H1272,IF(LEFT(TRIM(Paramètres!K30),1)="F",1,0)))),IF(Paramètres!L30="",0,IF(Paramètres!M30="",NA(),IF(LEFT(TRIM(Paramètres!M30),1)="F",INDEX($F$1247:$F$1299,MATCH(Paramètres!L30,Paramètres!$G$5:$G$57,0)),INDEX($E$1247:$E$1299,MATCH(Paramètres!L30,Paramètres!$G$5:$G$57,0)))+IF(RIGHT(TRIM(Paramètres!M30),3)="Fin",1-$H1272,IF(LEFT(TRIM(Paramètres!M30),1)="F",1,0)))),IF(Paramètres!N30="",0,IF(Paramètres!O30="",NA(),IF(LEFT(TRIM(Paramètres!O30),1)="F",INDEX($F$1247:$F$1299,MATCH(Paramètres!N30,Paramètres!$G$5:$G$57,0)),INDEX($E$1247:$E$1299,MATCH(Paramètres!N30,Paramètres!$G$5:$G$57,0)))+IF(RIGHT(TRIM(Paramètres!O30),3)="Fin",1-$H1272,IF(LEFT(TRIM(Paramètres!O30),1)="F",1,0)))))))</f>
        <v/>
      </c>
      <c r="F1272" s="19">
        <f>IF($A1272="","",E1272+$H1272-1)</f>
        <v/>
      </c>
      <c r="G1272" s="18" t="n"/>
      <c r="H1272" s="18">
        <f>IF($A1272="","",IF(I1272&lt;&gt;"",I1272,Paramètres!B30))</f>
        <v/>
      </c>
      <c r="I1272" s="18" t="n"/>
    </row>
    <row r="1273">
      <c r="A1273" s="18">
        <f>IF(ISNUMBER(Dossiers!$D$27),Dossiers!$A$27&amp;" · "&amp;Dossiers!$B$27,"")</f>
        <v/>
      </c>
      <c r="B1273" s="18">
        <f>IF($A1273="","",Paramètres!G31)</f>
        <v/>
      </c>
      <c r="C1273" s="20">
        <f>IF($A1273="","",IF(Dossiers!$F$27="","",Dossiers!$F$27))</f>
        <v/>
      </c>
      <c r="D1273" s="18">
        <f>IF($A1273="","",IF(Paramètres!I31="","",Paramètres!I31))</f>
        <v/>
      </c>
      <c r="E1273" s="19">
        <f>IF($A1273="","",IF(Paramètres!J31&amp;Paramètres!L31&amp;Paramètres!N31="",Dossiers!$D$27,MAX(IF(Paramètres!J31="",0,IF(Paramètres!K31="",NA(),IF(LEFT(TRIM(Paramètres!K31),1)="F",INDEX($F$1247:$F$1299,MATCH(Paramètres!J31,Paramètres!$G$5:$G$57,0)),INDEX($E$1247:$E$1299,MATCH(Paramètres!J31,Paramètres!$G$5:$G$57,0)))+IF(RIGHT(TRIM(Paramètres!K31),3)="Fin",1-$H1273,IF(LEFT(TRIM(Paramètres!K31),1)="F",1,0)))),IF(Paramètres!L31="",0,IF(Paramètres!M31="",NA(),IF(LEFT(TRIM(Paramètres!M31),1)="F",INDEX($F$1247:$F$1299,MATCH(Paramètres!L31,Paramètres!$G$5:$G$57,0)),INDEX($E$1247:$E$1299,MATCH(Paramètres!L31,Paramètres!$G$5:$G$57,0)))+IF(RIGHT(TRIM(Paramètres!M31),3)="Fin",1-$H1273,IF(LEFT(TRIM(Paramètres!M31),1)="F",1,0)))),IF(Paramètres!N31="",0,IF(Paramètres!O31="",NA(),IF(LEFT(TRIM(Paramètres!O31),1)="F",INDEX($F$1247:$F$1299,MATCH(Paramètres!N31,Paramètres!$G$5:$G$57,0)),INDEX($E$1247:$E$1299,MATCH(Paramètres!N31,Paramètres!$G$5:$G$57,0)))+IF(RIGHT(TRIM(Paramètres!O31),3)="Fin",1-$H1273,IF(LEFT(TRIM(Paramètres!O31),1)="F",1,0)))))))</f>
        <v/>
      </c>
      <c r="F1273" s="19">
        <f>IF($A1273="","",E1273+$H1273-1)</f>
        <v/>
      </c>
      <c r="G1273" s="18" t="n"/>
      <c r="H1273" s="18">
        <f>IF($A1273="","",IF(I1273&lt;&gt;"",I1273,Paramètres!B31))</f>
        <v/>
      </c>
      <c r="I1273" s="18" t="n"/>
    </row>
    <row r="1274">
      <c r="A1274" s="18">
        <f>IF(ISNUMBER(Dossiers!$D$27),Dossiers!$A$27&amp;" · "&amp;Dossiers!$B$27,"")</f>
        <v/>
      </c>
      <c r="B1274" s="18">
        <f>IF($A1274="","",Paramètres!G32)</f>
        <v/>
      </c>
      <c r="C1274" s="18">
        <f>IF($A1274="","",IF(Paramètres!H32="","",Paramètres!H32))</f>
        <v/>
      </c>
      <c r="D1274" s="18">
        <f>IF($A1274="","",IF(Paramètres!I32="","",Paramètres!I32))</f>
        <v/>
      </c>
      <c r="E1274" s="19">
        <f>IF($A1274="","",MIN(E1275:E1278))</f>
        <v/>
      </c>
      <c r="F1274" s="19">
        <f>IF($A1274="","",MAX(F1275:F1278))</f>
        <v/>
      </c>
      <c r="G1274" s="18" t="n"/>
      <c r="H1274" s="18">
        <f>IF($A1274="","",F1274-E1274+1)</f>
        <v/>
      </c>
      <c r="I1274" s="18" t="n"/>
    </row>
    <row r="1275">
      <c r="A1275" s="18">
        <f>IF(ISNUMBER(Dossiers!$D$27),Dossiers!$A$27&amp;" · "&amp;Dossiers!$B$27,"")</f>
        <v/>
      </c>
      <c r="B1275" s="18">
        <f>IF($A1275="","",Paramètres!G33)</f>
        <v/>
      </c>
      <c r="C1275" s="18">
        <f>IF($A1275="","",IF(Paramètres!H33="","",Paramètres!H33))</f>
        <v/>
      </c>
      <c r="D1275" s="18">
        <f>IF($A1275="","",IF(Paramètres!I33="","",Paramètres!I33))</f>
        <v/>
      </c>
      <c r="E1275" s="19">
        <f>IF($A1275="","",IF(Paramètres!J33&amp;Paramètres!L33&amp;Paramètres!N33="",Dossiers!$D$27,MAX(IF(Paramètres!J33="",0,IF(Paramètres!K33="",NA(),IF(LEFT(TRIM(Paramètres!K33),1)="F",INDEX($F$1247:$F$1299,MATCH(Paramètres!J33,Paramètres!$G$5:$G$57,0)),INDEX($E$1247:$E$1299,MATCH(Paramètres!J33,Paramètres!$G$5:$G$57,0)))+IF(RIGHT(TRIM(Paramètres!K33),3)="Fin",1-$H1275,IF(LEFT(TRIM(Paramètres!K33),1)="F",1,0)))),IF(Paramètres!L33="",0,IF(Paramètres!M33="",NA(),IF(LEFT(TRIM(Paramètres!M33),1)="F",INDEX($F$1247:$F$1299,MATCH(Paramètres!L33,Paramètres!$G$5:$G$57,0)),INDEX($E$1247:$E$1299,MATCH(Paramètres!L33,Paramètres!$G$5:$G$57,0)))+IF(RIGHT(TRIM(Paramètres!M33),3)="Fin",1-$H1275,IF(LEFT(TRIM(Paramètres!M33),1)="F",1,0)))),IF(Paramètres!N33="",0,IF(Paramètres!O33="",NA(),IF(LEFT(TRIM(Paramètres!O33),1)="F",INDEX($F$1247:$F$1299,MATCH(Paramètres!N33,Paramètres!$G$5:$G$57,0)),INDEX($E$1247:$E$1299,MATCH(Paramètres!N33,Paramètres!$G$5:$G$57,0)))+IF(RIGHT(TRIM(Paramètres!O33),3)="Fin",1-$H1275,IF(LEFT(TRIM(Paramètres!O33),1)="F",1,0)))))))</f>
        <v/>
      </c>
      <c r="F1275" s="19">
        <f>IF($A1275="","",E1275+$H1275-1)</f>
        <v/>
      </c>
      <c r="G1275" s="18" t="n"/>
      <c r="H1275" s="18">
        <f>IF($A1275="","",IF(I1275&lt;&gt;"",I1275,Paramètres!B33))</f>
        <v/>
      </c>
      <c r="I1275" s="18" t="n"/>
    </row>
    <row r="1276">
      <c r="A1276" s="18">
        <f>IF(ISNUMBER(Dossiers!$D$27),Dossiers!$A$27&amp;" · "&amp;Dossiers!$B$27,"")</f>
        <v/>
      </c>
      <c r="B1276" s="18">
        <f>IF($A1276="","",Paramètres!G34)</f>
        <v/>
      </c>
      <c r="C1276" s="18">
        <f>IF($A1276="","",IF(Paramètres!H34="","",Paramètres!H34))</f>
        <v/>
      </c>
      <c r="D1276" s="18">
        <f>IF($A1276="","",IF(Paramètres!I34="","",Paramètres!I34))</f>
        <v/>
      </c>
      <c r="E1276" s="19">
        <f>IF($A1276="","",IF(Paramètres!J34&amp;Paramètres!L34&amp;Paramètres!N34="",Dossiers!$D$27,MAX(IF(Paramètres!J34="",0,IF(Paramètres!K34="",NA(),IF(LEFT(TRIM(Paramètres!K34),1)="F",INDEX($F$1247:$F$1299,MATCH(Paramètres!J34,Paramètres!$G$5:$G$57,0)),INDEX($E$1247:$E$1299,MATCH(Paramètres!J34,Paramètres!$G$5:$G$57,0)))+IF(RIGHT(TRIM(Paramètres!K34),3)="Fin",1-$H1276,IF(LEFT(TRIM(Paramètres!K34),1)="F",1,0)))),IF(Paramètres!L34="",0,IF(Paramètres!M34="",NA(),IF(LEFT(TRIM(Paramètres!M34),1)="F",INDEX($F$1247:$F$1299,MATCH(Paramètres!L34,Paramètres!$G$5:$G$57,0)),INDEX($E$1247:$E$1299,MATCH(Paramètres!L34,Paramètres!$G$5:$G$57,0)))+IF(RIGHT(TRIM(Paramètres!M34),3)="Fin",1-$H1276,IF(LEFT(TRIM(Paramètres!M34),1)="F",1,0)))),IF(Paramètres!N34="",0,IF(Paramètres!O34="",NA(),IF(LEFT(TRIM(Paramètres!O34),1)="F",INDEX($F$1247:$F$1299,MATCH(Paramètres!N34,Paramètres!$G$5:$G$57,0)),INDEX($E$1247:$E$1299,MATCH(Paramètres!N34,Paramètres!$G$5:$G$57,0)))+IF(RIGHT(TRIM(Paramètres!O34),3)="Fin",1-$H1276,IF(LEFT(TRIM(Paramètres!O34),1)="F",1,0)))))))</f>
        <v/>
      </c>
      <c r="F1276" s="19">
        <f>IF($A1276="","",E1276+$H1276-1)</f>
        <v/>
      </c>
      <c r="G1276" s="18" t="n"/>
      <c r="H1276" s="18">
        <f>IF($A1276="","",IF(I1276&lt;&gt;"",I1276,Paramètres!B34))</f>
        <v/>
      </c>
      <c r="I1276" s="18" t="n"/>
    </row>
    <row r="1277">
      <c r="A1277" s="18">
        <f>IF(ISNUMBER(Dossiers!$D$27),Dossiers!$A$27&amp;" · "&amp;Dossiers!$B$27,"")</f>
        <v/>
      </c>
      <c r="B1277" s="18">
        <f>IF($A1277="","",Paramètres!G35)</f>
        <v/>
      </c>
      <c r="C1277" s="18">
        <f>IF($A1277="","",IF(Paramètres!H35="","",Paramètres!H35))</f>
        <v/>
      </c>
      <c r="D1277" s="18">
        <f>IF($A1277="","",IF(Paramètres!I35="","",Paramètres!I35))</f>
        <v/>
      </c>
      <c r="E1277" s="19">
        <f>IF($A1277="","",IF(Paramètres!J35&amp;Paramètres!L35&amp;Paramètres!N35="",Dossiers!$D$27,MAX(IF(Paramètres!J35="",0,IF(Paramètres!K35="",NA(),IF(LEFT(TRIM(Paramètres!K35),1)="F",INDEX($F$1247:$F$1299,MATCH(Paramètres!J35,Paramètres!$G$5:$G$57,0)),INDEX($E$1247:$E$1299,MATCH(Paramètres!J35,Paramètres!$G$5:$G$57,0)))+IF(RIGHT(TRIM(Paramètres!K35),3)="Fin",1-$H1277,IF(LEFT(TRIM(Paramètres!K35),1)="F",1,0)))),IF(Paramètres!L35="",0,IF(Paramètres!M35="",NA(),IF(LEFT(TRIM(Paramètres!M35),1)="F",INDEX($F$1247:$F$1299,MATCH(Paramètres!L35,Paramètres!$G$5:$G$57,0)),INDEX($E$1247:$E$1299,MATCH(Paramètres!L35,Paramètres!$G$5:$G$57,0)))+IF(RIGHT(TRIM(Paramètres!M35),3)="Fin",1-$H1277,IF(LEFT(TRIM(Paramètres!M35),1)="F",1,0)))),IF(Paramètres!N35="",0,IF(Paramètres!O35="",NA(),IF(LEFT(TRIM(Paramètres!O35),1)="F",INDEX($F$1247:$F$1299,MATCH(Paramètres!N35,Paramètres!$G$5:$G$57,0)),INDEX($E$1247:$E$1299,MATCH(Paramètres!N35,Paramètres!$G$5:$G$57,0)))+IF(RIGHT(TRIM(Paramètres!O35),3)="Fin",1-$H1277,IF(LEFT(TRIM(Paramètres!O35),1)="F",1,0)))))))</f>
        <v/>
      </c>
      <c r="F1277" s="19">
        <f>IF($A1277="","",E1277+$H1277-1)</f>
        <v/>
      </c>
      <c r="G1277" s="18" t="n"/>
      <c r="H1277" s="18">
        <f>IF($A1277="","",IF(I1277&lt;&gt;"",I1277,Paramètres!B35))</f>
        <v/>
      </c>
      <c r="I1277" s="18" t="n"/>
    </row>
    <row r="1278">
      <c r="A1278" s="18">
        <f>IF(ISNUMBER(Dossiers!$D$27),Dossiers!$A$27&amp;" · "&amp;Dossiers!$B$27,"")</f>
        <v/>
      </c>
      <c r="B1278" s="18">
        <f>IF($A1278="","",Paramètres!G36)</f>
        <v/>
      </c>
      <c r="C1278" s="18">
        <f>IF($A1278="","",IF(Paramètres!H36="","",Paramètres!H36))</f>
        <v/>
      </c>
      <c r="D1278" s="18">
        <f>IF($A1278="","",IF(Paramètres!I36="","",Paramètres!I36))</f>
        <v/>
      </c>
      <c r="E1278" s="19">
        <f>IF($A1278="","",IF(Paramètres!J36&amp;Paramètres!L36&amp;Paramètres!N36="",Dossiers!$D$27,MAX(IF(Paramètres!J36="",0,IF(Paramètres!K36="",NA(),IF(LEFT(TRIM(Paramètres!K36),1)="F",INDEX($F$1247:$F$1299,MATCH(Paramètres!J36,Paramètres!$G$5:$G$57,0)),INDEX($E$1247:$E$1299,MATCH(Paramètres!J36,Paramètres!$G$5:$G$57,0)))+IF(RIGHT(TRIM(Paramètres!K36),3)="Fin",1-$H1278,IF(LEFT(TRIM(Paramètres!K36),1)="F",1,0)))),IF(Paramètres!L36="",0,IF(Paramètres!M36="",NA(),IF(LEFT(TRIM(Paramètres!M36),1)="F",INDEX($F$1247:$F$1299,MATCH(Paramètres!L36,Paramètres!$G$5:$G$57,0)),INDEX($E$1247:$E$1299,MATCH(Paramètres!L36,Paramètres!$G$5:$G$57,0)))+IF(RIGHT(TRIM(Paramètres!M36),3)="Fin",1-$H1278,IF(LEFT(TRIM(Paramètres!M36),1)="F",1,0)))),IF(Paramètres!N36="",0,IF(Paramètres!O36="",NA(),IF(LEFT(TRIM(Paramètres!O36),1)="F",INDEX($F$1247:$F$1299,MATCH(Paramètres!N36,Paramètres!$G$5:$G$57,0)),INDEX($E$1247:$E$1299,MATCH(Paramètres!N36,Paramètres!$G$5:$G$57,0)))+IF(RIGHT(TRIM(Paramètres!O36),3)="Fin",1-$H1278,IF(LEFT(TRIM(Paramètres!O36),1)="F",1,0)))))))</f>
        <v/>
      </c>
      <c r="F1278" s="19">
        <f>IF($A1278="","",E1278+$H1278-1)</f>
        <v/>
      </c>
      <c r="G1278" s="18" t="n"/>
      <c r="H1278" s="18">
        <f>IF($A1278="","",IF(I1278&lt;&gt;"",I1278,Paramètres!B36))</f>
        <v/>
      </c>
      <c r="I1278" s="18" t="n"/>
    </row>
    <row r="1279">
      <c r="A1279" s="18">
        <f>IF(ISNUMBER(Dossiers!$D$27),Dossiers!$A$27&amp;" · "&amp;Dossiers!$B$27,"")</f>
        <v/>
      </c>
      <c r="B1279" s="18">
        <f>IF($A1279="","",Paramètres!G37)</f>
        <v/>
      </c>
      <c r="C1279" s="18">
        <f>IF($A1279="","",IF(Paramètres!H37="","",Paramètres!H37))</f>
        <v/>
      </c>
      <c r="D1279" s="18">
        <f>IF($A1279="","",IF(Paramètres!I37="","",Paramètres!I37))</f>
        <v/>
      </c>
      <c r="E1279" s="19">
        <f>IF($A1279="","",MIN(E1280:E1297))</f>
        <v/>
      </c>
      <c r="F1279" s="19">
        <f>IF($A1279="","",MAX(F1280:F1297))</f>
        <v/>
      </c>
      <c r="G1279" s="18" t="n"/>
      <c r="H1279" s="18">
        <f>IF($A1279="","",F1279-E1279+1)</f>
        <v/>
      </c>
      <c r="I1279" s="18" t="n"/>
    </row>
    <row r="1280">
      <c r="A1280" s="18">
        <f>IF(ISNUMBER(Dossiers!$D$27),Dossiers!$A$27&amp;" · "&amp;Dossiers!$B$27,"")</f>
        <v/>
      </c>
      <c r="B1280" s="18">
        <f>IF($A1280="","",Paramètres!G38)</f>
        <v/>
      </c>
      <c r="C1280" s="18">
        <f>IF($A1280="","",IF(Paramètres!H38="","",Paramètres!H38))</f>
        <v/>
      </c>
      <c r="D1280" s="18">
        <f>IF($A1280="","",IF(Paramètres!I38="","",Paramètres!I38))</f>
        <v/>
      </c>
      <c r="E1280" s="19">
        <f>IF($A1280="","",IF(Paramètres!J38&amp;Paramètres!L38&amp;Paramètres!N38="",Dossiers!$D$27,MAX(IF(Paramètres!J38="",0,IF(Paramètres!K38="",NA(),IF(LEFT(TRIM(Paramètres!K38),1)="F",INDEX($F$1247:$F$1299,MATCH(Paramètres!J38,Paramètres!$G$5:$G$57,0)),INDEX($E$1247:$E$1299,MATCH(Paramètres!J38,Paramètres!$G$5:$G$57,0)))+IF(RIGHT(TRIM(Paramètres!K38),3)="Fin",1-$H1280,IF(LEFT(TRIM(Paramètres!K38),1)="F",1,0)))),IF(Paramètres!L38="",0,IF(Paramètres!M38="",NA(),IF(LEFT(TRIM(Paramètres!M38),1)="F",INDEX($F$1247:$F$1299,MATCH(Paramètres!L38,Paramètres!$G$5:$G$57,0)),INDEX($E$1247:$E$1299,MATCH(Paramètres!L38,Paramètres!$G$5:$G$57,0)))+IF(RIGHT(TRIM(Paramètres!M38),3)="Fin",1-$H1280,IF(LEFT(TRIM(Paramètres!M38),1)="F",1,0)))),IF(Paramètres!N38="",0,IF(Paramètres!O38="",NA(),IF(LEFT(TRIM(Paramètres!O38),1)="F",INDEX($F$1247:$F$1299,MATCH(Paramètres!N38,Paramètres!$G$5:$G$57,0)),INDEX($E$1247:$E$1299,MATCH(Paramètres!N38,Paramètres!$G$5:$G$57,0)))+IF(RIGHT(TRIM(Paramètres!O38),3)="Fin",1-$H1280,IF(LEFT(TRIM(Paramètres!O38),1)="F",1,0)))))))</f>
        <v/>
      </c>
      <c r="F1280" s="19">
        <f>IF($A1280="","",E1280+$H1280-1)</f>
        <v/>
      </c>
      <c r="G1280" s="18" t="n"/>
      <c r="H1280" s="18">
        <f>IF($A1280="","",IF(I1280&lt;&gt;"",I1280,Paramètres!B38))</f>
        <v/>
      </c>
      <c r="I1280" s="18" t="n"/>
    </row>
    <row r="1281">
      <c r="A1281" s="18">
        <f>IF(ISNUMBER(Dossiers!$D$27),Dossiers!$A$27&amp;" · "&amp;Dossiers!$B$27,"")</f>
        <v/>
      </c>
      <c r="B1281" s="18">
        <f>IF($A1281="","",Paramètres!G39)</f>
        <v/>
      </c>
      <c r="C1281" s="18">
        <f>IF($A1281="","",IF(Paramètres!H39="","",Paramètres!H39))</f>
        <v/>
      </c>
      <c r="D1281" s="18">
        <f>IF($A1281="","",IF(Paramètres!I39="","",Paramètres!I39))</f>
        <v/>
      </c>
      <c r="E1281" s="19">
        <f>IF($A1281="","",IF(Paramètres!J39&amp;Paramètres!L39&amp;Paramètres!N39="",Dossiers!$D$27,MAX(IF(Paramètres!J39="",0,IF(Paramètres!K39="",NA(),IF(LEFT(TRIM(Paramètres!K39),1)="F",INDEX($F$1247:$F$1299,MATCH(Paramètres!J39,Paramètres!$G$5:$G$57,0)),INDEX($E$1247:$E$1299,MATCH(Paramètres!J39,Paramètres!$G$5:$G$57,0)))+IF(RIGHT(TRIM(Paramètres!K39),3)="Fin",1-$H1281,IF(LEFT(TRIM(Paramètres!K39),1)="F",1,0)))),IF(Paramètres!L39="",0,IF(Paramètres!M39="",NA(),IF(LEFT(TRIM(Paramètres!M39),1)="F",INDEX($F$1247:$F$1299,MATCH(Paramètres!L39,Paramètres!$G$5:$G$57,0)),INDEX($E$1247:$E$1299,MATCH(Paramètres!L39,Paramètres!$G$5:$G$57,0)))+IF(RIGHT(TRIM(Paramètres!M39),3)="Fin",1-$H1281,IF(LEFT(TRIM(Paramètres!M39),1)="F",1,0)))),IF(Paramètres!N39="",0,IF(Paramètres!O39="",NA(),IF(LEFT(TRIM(Paramètres!O39),1)="F",INDEX($F$1247:$F$1299,MATCH(Paramètres!N39,Paramètres!$G$5:$G$57,0)),INDEX($E$1247:$E$1299,MATCH(Paramètres!N39,Paramètres!$G$5:$G$57,0)))+IF(RIGHT(TRIM(Paramètres!O39),3)="Fin",1-$H1281,IF(LEFT(TRIM(Paramètres!O39),1)="F",1,0)))))))</f>
        <v/>
      </c>
      <c r="F1281" s="19">
        <f>IF($A1281="","",E1281+$H1281-1)</f>
        <v/>
      </c>
      <c r="G1281" s="18" t="n"/>
      <c r="H1281" s="18">
        <f>IF($A1281="","",IF(I1281&lt;&gt;"",I1281,Paramètres!B39))</f>
        <v/>
      </c>
      <c r="I1281" s="18" t="n"/>
    </row>
    <row r="1282">
      <c r="A1282" s="18">
        <f>IF(ISNUMBER(Dossiers!$D$27),Dossiers!$A$27&amp;" · "&amp;Dossiers!$B$27,"")</f>
        <v/>
      </c>
      <c r="B1282" s="18">
        <f>IF($A1282="","",Paramètres!G40)</f>
        <v/>
      </c>
      <c r="C1282" s="18">
        <f>IF($A1282="","",IF(Paramètres!H40="","",Paramètres!H40))</f>
        <v/>
      </c>
      <c r="D1282" s="18">
        <f>IF($A1282="","",IF(Paramètres!I40="","",Paramètres!I40))</f>
        <v/>
      </c>
      <c r="E1282" s="19">
        <f>IF($A1282="","",IF(Paramètres!J40&amp;Paramètres!L40&amp;Paramètres!N40="",Dossiers!$D$27,MAX(IF(Paramètres!J40="",0,IF(Paramètres!K40="",NA(),IF(LEFT(TRIM(Paramètres!K40),1)="F",INDEX($F$1247:$F$1299,MATCH(Paramètres!J40,Paramètres!$G$5:$G$57,0)),INDEX($E$1247:$E$1299,MATCH(Paramètres!J40,Paramètres!$G$5:$G$57,0)))+IF(RIGHT(TRIM(Paramètres!K40),3)="Fin",1-$H1282,IF(LEFT(TRIM(Paramètres!K40),1)="F",1,0)))),IF(Paramètres!L40="",0,IF(Paramètres!M40="",NA(),IF(LEFT(TRIM(Paramètres!M40),1)="F",INDEX($F$1247:$F$1299,MATCH(Paramètres!L40,Paramètres!$G$5:$G$57,0)),INDEX($E$1247:$E$1299,MATCH(Paramètres!L40,Paramètres!$G$5:$G$57,0)))+IF(RIGHT(TRIM(Paramètres!M40),3)="Fin",1-$H1282,IF(LEFT(TRIM(Paramètres!M40),1)="F",1,0)))),IF(Paramètres!N40="",0,IF(Paramètres!O40="",NA(),IF(LEFT(TRIM(Paramètres!O40),1)="F",INDEX($F$1247:$F$1299,MATCH(Paramètres!N40,Paramètres!$G$5:$G$57,0)),INDEX($E$1247:$E$1299,MATCH(Paramètres!N40,Paramètres!$G$5:$G$57,0)))+IF(RIGHT(TRIM(Paramètres!O40),3)="Fin",1-$H1282,IF(LEFT(TRIM(Paramètres!O40),1)="F",1,0)))))))</f>
        <v/>
      </c>
      <c r="F1282" s="19">
        <f>IF($A1282="","",E1282+$H1282-1)</f>
        <v/>
      </c>
      <c r="G1282" s="18" t="n"/>
      <c r="H1282" s="18">
        <f>IF($A1282="","",IF(I1282&lt;&gt;"",I1282,Paramètres!B40))</f>
        <v/>
      </c>
      <c r="I1282" s="18" t="n"/>
    </row>
    <row r="1283">
      <c r="A1283" s="18">
        <f>IF(ISNUMBER(Dossiers!$D$27),Dossiers!$A$27&amp;" · "&amp;Dossiers!$B$27,"")</f>
        <v/>
      </c>
      <c r="B1283" s="18">
        <f>IF($A1283="","",Paramètres!G41)</f>
        <v/>
      </c>
      <c r="C1283" s="18">
        <f>IF($A1283="","",IF(Paramètres!H41="","",Paramètres!H41))</f>
        <v/>
      </c>
      <c r="D1283" s="18">
        <f>IF($A1283="","",IF(Paramètres!I41="","",Paramètres!I41))</f>
        <v/>
      </c>
      <c r="E1283" s="19">
        <f>IF($A1283="","",IF(Paramètres!J41&amp;Paramètres!L41&amp;Paramètres!N41="",Dossiers!$D$27,MAX(IF(Paramètres!J41="",0,IF(Paramètres!K41="",NA(),IF(LEFT(TRIM(Paramètres!K41),1)="F",INDEX($F$1247:$F$1299,MATCH(Paramètres!J41,Paramètres!$G$5:$G$57,0)),INDEX($E$1247:$E$1299,MATCH(Paramètres!J41,Paramètres!$G$5:$G$57,0)))+IF(RIGHT(TRIM(Paramètres!K41),3)="Fin",1-$H1283,IF(LEFT(TRIM(Paramètres!K41),1)="F",1,0)))),IF(Paramètres!L41="",0,IF(Paramètres!M41="",NA(),IF(LEFT(TRIM(Paramètres!M41),1)="F",INDEX($F$1247:$F$1299,MATCH(Paramètres!L41,Paramètres!$G$5:$G$57,0)),INDEX($E$1247:$E$1299,MATCH(Paramètres!L41,Paramètres!$G$5:$G$57,0)))+IF(RIGHT(TRIM(Paramètres!M41),3)="Fin",1-$H1283,IF(LEFT(TRIM(Paramètres!M41),1)="F",1,0)))),IF(Paramètres!N41="",0,IF(Paramètres!O41="",NA(),IF(LEFT(TRIM(Paramètres!O41),1)="F",INDEX($F$1247:$F$1299,MATCH(Paramètres!N41,Paramètres!$G$5:$G$57,0)),INDEX($E$1247:$E$1299,MATCH(Paramètres!N41,Paramètres!$G$5:$G$57,0)))+IF(RIGHT(TRIM(Paramètres!O41),3)="Fin",1-$H1283,IF(LEFT(TRIM(Paramètres!O41),1)="F",1,0)))))))</f>
        <v/>
      </c>
      <c r="F1283" s="19">
        <f>IF($A1283="","",E1283+$H1283-1)</f>
        <v/>
      </c>
      <c r="G1283" s="18" t="n"/>
      <c r="H1283" s="18">
        <f>IF($A1283="","",IF(I1283&lt;&gt;"",I1283,Paramètres!B41))</f>
        <v/>
      </c>
      <c r="I1283" s="18" t="n"/>
    </row>
    <row r="1284">
      <c r="A1284" s="18">
        <f>IF(ISNUMBER(Dossiers!$D$27),Dossiers!$A$27&amp;" · "&amp;Dossiers!$B$27,"")</f>
        <v/>
      </c>
      <c r="B1284" s="18">
        <f>IF($A1284="","",Paramètres!G42)</f>
        <v/>
      </c>
      <c r="C1284" s="18">
        <f>IF($A1284="","",IF(Paramètres!H42="","",Paramètres!H42))</f>
        <v/>
      </c>
      <c r="D1284" s="18">
        <f>IF($A1284="","",IF(Paramètres!I42="","",Paramètres!I42))</f>
        <v/>
      </c>
      <c r="E1284" s="19">
        <f>IF($A1284="","",IF(Paramètres!J42&amp;Paramètres!L42&amp;Paramètres!N42="",Dossiers!$D$27,MAX(IF(Paramètres!J42="",0,IF(Paramètres!K42="",NA(),IF(LEFT(TRIM(Paramètres!K42),1)="F",INDEX($F$1247:$F$1299,MATCH(Paramètres!J42,Paramètres!$G$5:$G$57,0)),INDEX($E$1247:$E$1299,MATCH(Paramètres!J42,Paramètres!$G$5:$G$57,0)))+IF(RIGHT(TRIM(Paramètres!K42),3)="Fin",1-$H1284,IF(LEFT(TRIM(Paramètres!K42),1)="F",1,0)))),IF(Paramètres!L42="",0,IF(Paramètres!M42="",NA(),IF(LEFT(TRIM(Paramètres!M42),1)="F",INDEX($F$1247:$F$1299,MATCH(Paramètres!L42,Paramètres!$G$5:$G$57,0)),INDEX($E$1247:$E$1299,MATCH(Paramètres!L42,Paramètres!$G$5:$G$57,0)))+IF(RIGHT(TRIM(Paramètres!M42),3)="Fin",1-$H1284,IF(LEFT(TRIM(Paramètres!M42),1)="F",1,0)))),IF(Paramètres!N42="",0,IF(Paramètres!O42="",NA(),IF(LEFT(TRIM(Paramètres!O42),1)="F",INDEX($F$1247:$F$1299,MATCH(Paramètres!N42,Paramètres!$G$5:$G$57,0)),INDEX($E$1247:$E$1299,MATCH(Paramètres!N42,Paramètres!$G$5:$G$57,0)))+IF(RIGHT(TRIM(Paramètres!O42),3)="Fin",1-$H1284,IF(LEFT(TRIM(Paramètres!O42),1)="F",1,0)))))))</f>
        <v/>
      </c>
      <c r="F1284" s="19">
        <f>IF($A1284="","",E1284+$H1284-1)</f>
        <v/>
      </c>
      <c r="G1284" s="18" t="n"/>
      <c r="H1284" s="18">
        <f>IF($A1284="","",IF(I1284&lt;&gt;"",I1284,Paramètres!B42))</f>
        <v/>
      </c>
      <c r="I1284" s="18" t="n"/>
    </row>
    <row r="1285">
      <c r="A1285" s="18">
        <f>IF(ISNUMBER(Dossiers!$D$27),Dossiers!$A$27&amp;" · "&amp;Dossiers!$B$27,"")</f>
        <v/>
      </c>
      <c r="B1285" s="18">
        <f>IF($A1285="","",Paramètres!G43)</f>
        <v/>
      </c>
      <c r="C1285" s="18">
        <f>IF($A1285="","",IF(Paramètres!H43="","",Paramètres!H43))</f>
        <v/>
      </c>
      <c r="D1285" s="18">
        <f>IF($A1285="","",IF(Paramètres!I43="","",Paramètres!I43))</f>
        <v/>
      </c>
      <c r="E1285" s="19">
        <f>IF($A1285="","",IF(Paramètres!J43&amp;Paramètres!L43&amp;Paramètres!N43="",Dossiers!$D$27,MAX(IF(Paramètres!J43="",0,IF(Paramètres!K43="",NA(),IF(LEFT(TRIM(Paramètres!K43),1)="F",INDEX($F$1247:$F$1299,MATCH(Paramètres!J43,Paramètres!$G$5:$G$57,0)),INDEX($E$1247:$E$1299,MATCH(Paramètres!J43,Paramètres!$G$5:$G$57,0)))+IF(RIGHT(TRIM(Paramètres!K43),3)="Fin",1-$H1285,IF(LEFT(TRIM(Paramètres!K43),1)="F",1,0)))),IF(Paramètres!L43="",0,IF(Paramètres!M43="",NA(),IF(LEFT(TRIM(Paramètres!M43),1)="F",INDEX($F$1247:$F$1299,MATCH(Paramètres!L43,Paramètres!$G$5:$G$57,0)),INDEX($E$1247:$E$1299,MATCH(Paramètres!L43,Paramètres!$G$5:$G$57,0)))+IF(RIGHT(TRIM(Paramètres!M43),3)="Fin",1-$H1285,IF(LEFT(TRIM(Paramètres!M43),1)="F",1,0)))),IF(Paramètres!N43="",0,IF(Paramètres!O43="",NA(),IF(LEFT(TRIM(Paramètres!O43),1)="F",INDEX($F$1247:$F$1299,MATCH(Paramètres!N43,Paramètres!$G$5:$G$57,0)),INDEX($E$1247:$E$1299,MATCH(Paramètres!N43,Paramètres!$G$5:$G$57,0)))+IF(RIGHT(TRIM(Paramètres!O43),3)="Fin",1-$H1285,IF(LEFT(TRIM(Paramètres!O43),1)="F",1,0)))))))</f>
        <v/>
      </c>
      <c r="F1285" s="19">
        <f>IF($A1285="","",E1285+$H1285-1)</f>
        <v/>
      </c>
      <c r="G1285" s="18" t="n"/>
      <c r="H1285" s="18">
        <f>IF($A1285="","",IF(I1285&lt;&gt;"",I1285,Paramètres!B43))</f>
        <v/>
      </c>
      <c r="I1285" s="18" t="n"/>
    </row>
    <row r="1286">
      <c r="A1286" s="18">
        <f>IF(ISNUMBER(Dossiers!$D$27),Dossiers!$A$27&amp;" · "&amp;Dossiers!$B$27,"")</f>
        <v/>
      </c>
      <c r="B1286" s="18">
        <f>IF($A1286="","",Paramètres!G44)</f>
        <v/>
      </c>
      <c r="C1286" s="18">
        <f>IF($A1286="","",IF(Paramètres!H44="","",Paramètres!H44))</f>
        <v/>
      </c>
      <c r="D1286" s="18">
        <f>IF($A1286="","",IF(Paramètres!I44="","",Paramètres!I44))</f>
        <v/>
      </c>
      <c r="E1286" s="19">
        <f>IF($A1286="","",IF(Paramètres!J44&amp;Paramètres!L44&amp;Paramètres!N44="",Dossiers!$D$27,MAX(IF(Paramètres!J44="",0,IF(Paramètres!K44="",NA(),IF(LEFT(TRIM(Paramètres!K44),1)="F",INDEX($F$1247:$F$1299,MATCH(Paramètres!J44,Paramètres!$G$5:$G$57,0)),INDEX($E$1247:$E$1299,MATCH(Paramètres!J44,Paramètres!$G$5:$G$57,0)))+IF(RIGHT(TRIM(Paramètres!K44),3)="Fin",1-$H1286,IF(LEFT(TRIM(Paramètres!K44),1)="F",1,0)))),IF(Paramètres!L44="",0,IF(Paramètres!M44="",NA(),IF(LEFT(TRIM(Paramètres!M44),1)="F",INDEX($F$1247:$F$1299,MATCH(Paramètres!L44,Paramètres!$G$5:$G$57,0)),INDEX($E$1247:$E$1299,MATCH(Paramètres!L44,Paramètres!$G$5:$G$57,0)))+IF(RIGHT(TRIM(Paramètres!M44),3)="Fin",1-$H1286,IF(LEFT(TRIM(Paramètres!M44),1)="F",1,0)))),IF(Paramètres!N44="",0,IF(Paramètres!O44="",NA(),IF(LEFT(TRIM(Paramètres!O44),1)="F",INDEX($F$1247:$F$1299,MATCH(Paramètres!N44,Paramètres!$G$5:$G$57,0)),INDEX($E$1247:$E$1299,MATCH(Paramètres!N44,Paramètres!$G$5:$G$57,0)))+IF(RIGHT(TRIM(Paramètres!O44),3)="Fin",1-$H1286,IF(LEFT(TRIM(Paramètres!O44),1)="F",1,0)))))))</f>
        <v/>
      </c>
      <c r="F1286" s="19">
        <f>IF($A1286="","",E1286+$H1286-1)</f>
        <v/>
      </c>
      <c r="G1286" s="18" t="n"/>
      <c r="H1286" s="18">
        <f>IF($A1286="","",IF(I1286&lt;&gt;"",I1286,Paramètres!B44))</f>
        <v/>
      </c>
      <c r="I1286" s="18" t="n"/>
    </row>
    <row r="1287">
      <c r="A1287" s="18">
        <f>IF(ISNUMBER(Dossiers!$D$27),Dossiers!$A$27&amp;" · "&amp;Dossiers!$B$27,"")</f>
        <v/>
      </c>
      <c r="B1287" s="18">
        <f>IF($A1287="","",Paramètres!G45)</f>
        <v/>
      </c>
      <c r="C1287" s="20">
        <f>IF($A1287="","",IF(Dossiers!$G$27="","",Dossiers!$G$27))</f>
        <v/>
      </c>
      <c r="D1287" s="18">
        <f>IF($A1287="","",IF(Paramètres!I45="","",Paramètres!I45))</f>
        <v/>
      </c>
      <c r="E1287" s="19">
        <f>IF($A1287="","",IF(Paramètres!J45&amp;Paramètres!L45&amp;Paramètres!N45="",Dossiers!$D$27,MAX(IF(Paramètres!J45="",0,IF(Paramètres!K45="",NA(),IF(LEFT(TRIM(Paramètres!K45),1)="F",INDEX($F$1247:$F$1299,MATCH(Paramètres!J45,Paramètres!$G$5:$G$57,0)),INDEX($E$1247:$E$1299,MATCH(Paramètres!J45,Paramètres!$G$5:$G$57,0)))+IF(RIGHT(TRIM(Paramètres!K45),3)="Fin",1-$H1287,IF(LEFT(TRIM(Paramètres!K45),1)="F",1,0)))),IF(Paramètres!L45="",0,IF(Paramètres!M45="",NA(),IF(LEFT(TRIM(Paramètres!M45),1)="F",INDEX($F$1247:$F$1299,MATCH(Paramètres!L45,Paramètres!$G$5:$G$57,0)),INDEX($E$1247:$E$1299,MATCH(Paramètres!L45,Paramètres!$G$5:$G$57,0)))+IF(RIGHT(TRIM(Paramètres!M45),3)="Fin",1-$H1287,IF(LEFT(TRIM(Paramètres!M45),1)="F",1,0)))),IF(Paramètres!N45="",0,IF(Paramètres!O45="",NA(),IF(LEFT(TRIM(Paramètres!O45),1)="F",INDEX($F$1247:$F$1299,MATCH(Paramètres!N45,Paramètres!$G$5:$G$57,0)),INDEX($E$1247:$E$1299,MATCH(Paramètres!N45,Paramètres!$G$5:$G$57,0)))+IF(RIGHT(TRIM(Paramètres!O45),3)="Fin",1-$H1287,IF(LEFT(TRIM(Paramètres!O45),1)="F",1,0)))))))</f>
        <v/>
      </c>
      <c r="F1287" s="19">
        <f>IF($A1287="","",E1287+$H1287-1)</f>
        <v/>
      </c>
      <c r="G1287" s="18" t="n"/>
      <c r="H1287" s="18">
        <f>IF($A1287="","",IF(I1287&lt;&gt;"",I1287,Paramètres!B45))</f>
        <v/>
      </c>
      <c r="I1287" s="18" t="n"/>
    </row>
    <row r="1288">
      <c r="A1288" s="18">
        <f>IF(ISNUMBER(Dossiers!$D$27),Dossiers!$A$27&amp;" · "&amp;Dossiers!$B$27,"")</f>
        <v/>
      </c>
      <c r="B1288" s="18">
        <f>IF($A1288="","",Paramètres!G46)</f>
        <v/>
      </c>
      <c r="C1288" s="18">
        <f>IF($A1288="","",IF(Paramètres!H46="","",Paramètres!H46))</f>
        <v/>
      </c>
      <c r="D1288" s="18">
        <f>IF($A1288="","",IF(Paramètres!I46="","",Paramètres!I46))</f>
        <v/>
      </c>
      <c r="E1288" s="19">
        <f>IF($A1288="","",IF(Paramètres!J46&amp;Paramètres!L46&amp;Paramètres!N46="",Dossiers!$D$27,MAX(IF(Paramètres!J46="",0,IF(Paramètres!K46="",NA(),IF(LEFT(TRIM(Paramètres!K46),1)="F",INDEX($F$1247:$F$1299,MATCH(Paramètres!J46,Paramètres!$G$5:$G$57,0)),INDEX($E$1247:$E$1299,MATCH(Paramètres!J46,Paramètres!$G$5:$G$57,0)))+IF(RIGHT(TRIM(Paramètres!K46),3)="Fin",1-$H1288,IF(LEFT(TRIM(Paramètres!K46),1)="F",1,0)))),IF(Paramètres!L46="",0,IF(Paramètres!M46="",NA(),IF(LEFT(TRIM(Paramètres!M46),1)="F",INDEX($F$1247:$F$1299,MATCH(Paramètres!L46,Paramètres!$G$5:$G$57,0)),INDEX($E$1247:$E$1299,MATCH(Paramètres!L46,Paramètres!$G$5:$G$57,0)))+IF(RIGHT(TRIM(Paramètres!M46),3)="Fin",1-$H1288,IF(LEFT(TRIM(Paramètres!M46),1)="F",1,0)))),IF(Paramètres!N46="",0,IF(Paramètres!O46="",NA(),IF(LEFT(TRIM(Paramètres!O46),1)="F",INDEX($F$1247:$F$1299,MATCH(Paramètres!N46,Paramètres!$G$5:$G$57,0)),INDEX($E$1247:$E$1299,MATCH(Paramètres!N46,Paramètres!$G$5:$G$57,0)))+IF(RIGHT(TRIM(Paramètres!O46),3)="Fin",1-$H1288,IF(LEFT(TRIM(Paramètres!O46),1)="F",1,0)))))))</f>
        <v/>
      </c>
      <c r="F1288" s="19">
        <f>IF($A1288="","",E1288+$H1288-1)</f>
        <v/>
      </c>
      <c r="G1288" s="18" t="n"/>
      <c r="H1288" s="18">
        <f>IF($A1288="","",IF(I1288&lt;&gt;"",I1288,Paramètres!B46))</f>
        <v/>
      </c>
      <c r="I1288" s="18" t="n"/>
    </row>
    <row r="1289">
      <c r="A1289" s="18">
        <f>IF(ISNUMBER(Dossiers!$D$27),Dossiers!$A$27&amp;" · "&amp;Dossiers!$B$27,"")</f>
        <v/>
      </c>
      <c r="B1289" s="18">
        <f>IF($A1289="","",Paramètres!G47)</f>
        <v/>
      </c>
      <c r="C1289" s="18">
        <f>IF($A1289="","",IF(Paramètres!H47="","",Paramètres!H47))</f>
        <v/>
      </c>
      <c r="D1289" s="18">
        <f>IF($A1289="","",IF(Paramètres!I47="","",Paramètres!I47))</f>
        <v/>
      </c>
      <c r="E1289" s="19">
        <f>IF($A1289="","",IF(Paramètres!J47&amp;Paramètres!L47&amp;Paramètres!N47="",Dossiers!$D$27,MAX(IF(Paramètres!J47="",0,IF(Paramètres!K47="",NA(),IF(LEFT(TRIM(Paramètres!K47),1)="F",INDEX($F$1247:$F$1299,MATCH(Paramètres!J47,Paramètres!$G$5:$G$57,0)),INDEX($E$1247:$E$1299,MATCH(Paramètres!J47,Paramètres!$G$5:$G$57,0)))+IF(RIGHT(TRIM(Paramètres!K47),3)="Fin",1-$H1289,IF(LEFT(TRIM(Paramètres!K47),1)="F",1,0)))),IF(Paramètres!L47="",0,IF(Paramètres!M47="",NA(),IF(LEFT(TRIM(Paramètres!M47),1)="F",INDEX($F$1247:$F$1299,MATCH(Paramètres!L47,Paramètres!$G$5:$G$57,0)),INDEX($E$1247:$E$1299,MATCH(Paramètres!L47,Paramètres!$G$5:$G$57,0)))+IF(RIGHT(TRIM(Paramètres!M47),3)="Fin",1-$H1289,IF(LEFT(TRIM(Paramètres!M47),1)="F",1,0)))),IF(Paramètres!N47="",0,IF(Paramètres!O47="",NA(),IF(LEFT(TRIM(Paramètres!O47),1)="F",INDEX($F$1247:$F$1299,MATCH(Paramètres!N47,Paramètres!$G$5:$G$57,0)),INDEX($E$1247:$E$1299,MATCH(Paramètres!N47,Paramètres!$G$5:$G$57,0)))+IF(RIGHT(TRIM(Paramètres!O47),3)="Fin",1-$H1289,IF(LEFT(TRIM(Paramètres!O47),1)="F",1,0)))))))</f>
        <v/>
      </c>
      <c r="F1289" s="19">
        <f>IF($A1289="","",E1289+$H1289-1)</f>
        <v/>
      </c>
      <c r="G1289" s="18" t="n"/>
      <c r="H1289" s="18">
        <f>IF($A1289="","",IF(I1289&lt;&gt;"",I1289,Paramètres!B47))</f>
        <v/>
      </c>
      <c r="I1289" s="18" t="n"/>
    </row>
    <row r="1290">
      <c r="A1290" s="18">
        <f>IF(ISNUMBER(Dossiers!$D$27),Dossiers!$A$27&amp;" · "&amp;Dossiers!$B$27,"")</f>
        <v/>
      </c>
      <c r="B1290" s="18">
        <f>IF($A1290="","",Paramètres!G48)</f>
        <v/>
      </c>
      <c r="C1290" s="18">
        <f>IF($A1290="","",IF(Paramètres!H48="","",Paramètres!H48))</f>
        <v/>
      </c>
      <c r="D1290" s="18">
        <f>IF($A1290="","",IF(Paramètres!I48="","",Paramètres!I48))</f>
        <v/>
      </c>
      <c r="E1290" s="19">
        <f>IF($A1290="","",IF(Paramètres!J48&amp;Paramètres!L48&amp;Paramètres!N48="",Dossiers!$D$27,MAX(IF(Paramètres!J48="",0,IF(Paramètres!K48="",NA(),IF(LEFT(TRIM(Paramètres!K48),1)="F",INDEX($F$1247:$F$1299,MATCH(Paramètres!J48,Paramètres!$G$5:$G$57,0)),INDEX($E$1247:$E$1299,MATCH(Paramètres!J48,Paramètres!$G$5:$G$57,0)))+IF(RIGHT(TRIM(Paramètres!K48),3)="Fin",1-$H1290,IF(LEFT(TRIM(Paramètres!K48),1)="F",1,0)))),IF(Paramètres!L48="",0,IF(Paramètres!M48="",NA(),IF(LEFT(TRIM(Paramètres!M48),1)="F",INDEX($F$1247:$F$1299,MATCH(Paramètres!L48,Paramètres!$G$5:$G$57,0)),INDEX($E$1247:$E$1299,MATCH(Paramètres!L48,Paramètres!$G$5:$G$57,0)))+IF(RIGHT(TRIM(Paramètres!M48),3)="Fin",1-$H1290,IF(LEFT(TRIM(Paramètres!M48),1)="F",1,0)))),IF(Paramètres!N48="",0,IF(Paramètres!O48="",NA(),IF(LEFT(TRIM(Paramètres!O48),1)="F",INDEX($F$1247:$F$1299,MATCH(Paramètres!N48,Paramètres!$G$5:$G$57,0)),INDEX($E$1247:$E$1299,MATCH(Paramètres!N48,Paramètres!$G$5:$G$57,0)))+IF(RIGHT(TRIM(Paramètres!O48),3)="Fin",1-$H1290,IF(LEFT(TRIM(Paramètres!O48),1)="F",1,0)))))))</f>
        <v/>
      </c>
      <c r="F1290" s="19">
        <f>IF($A1290="","",E1290+$H1290-1)</f>
        <v/>
      </c>
      <c r="G1290" s="18" t="n"/>
      <c r="H1290" s="18">
        <f>IF($A1290="","",IF(I1290&lt;&gt;"",I1290,Paramètres!B48))</f>
        <v/>
      </c>
      <c r="I1290" s="18" t="n"/>
    </row>
    <row r="1291">
      <c r="A1291" s="18">
        <f>IF(ISNUMBER(Dossiers!$D$27),Dossiers!$A$27&amp;" · "&amp;Dossiers!$B$27,"")</f>
        <v/>
      </c>
      <c r="B1291" s="18">
        <f>IF($A1291="","",Paramètres!G49)</f>
        <v/>
      </c>
      <c r="C1291" s="18">
        <f>IF($A1291="","",IF(Paramètres!H49="","",Paramètres!H49))</f>
        <v/>
      </c>
      <c r="D1291" s="18">
        <f>IF($A1291="","",IF(Paramètres!I49="","",Paramètres!I49))</f>
        <v/>
      </c>
      <c r="E1291" s="19">
        <f>IF($A1291="","",IF(Paramètres!J49&amp;Paramètres!L49&amp;Paramètres!N49="",Dossiers!$D$27,MAX(IF(Paramètres!J49="",0,IF(Paramètres!K49="",NA(),IF(LEFT(TRIM(Paramètres!K49),1)="F",INDEX($F$1247:$F$1299,MATCH(Paramètres!J49,Paramètres!$G$5:$G$57,0)),INDEX($E$1247:$E$1299,MATCH(Paramètres!J49,Paramètres!$G$5:$G$57,0)))+IF(RIGHT(TRIM(Paramètres!K49),3)="Fin",1-$H1291,IF(LEFT(TRIM(Paramètres!K49),1)="F",1,0)))),IF(Paramètres!L49="",0,IF(Paramètres!M49="",NA(),IF(LEFT(TRIM(Paramètres!M49),1)="F",INDEX($F$1247:$F$1299,MATCH(Paramètres!L49,Paramètres!$G$5:$G$57,0)),INDEX($E$1247:$E$1299,MATCH(Paramètres!L49,Paramètres!$G$5:$G$57,0)))+IF(RIGHT(TRIM(Paramètres!M49),3)="Fin",1-$H1291,IF(LEFT(TRIM(Paramètres!M49),1)="F",1,0)))),IF(Paramètres!N49="",0,IF(Paramètres!O49="",NA(),IF(LEFT(TRIM(Paramètres!O49),1)="F",INDEX($F$1247:$F$1299,MATCH(Paramètres!N49,Paramètres!$G$5:$G$57,0)),INDEX($E$1247:$E$1299,MATCH(Paramètres!N49,Paramètres!$G$5:$G$57,0)))+IF(RIGHT(TRIM(Paramètres!O49),3)="Fin",1-$H1291,IF(LEFT(TRIM(Paramètres!O49),1)="F",1,0)))))))</f>
        <v/>
      </c>
      <c r="F1291" s="19">
        <f>IF($A1291="","",E1291+$H1291-1)</f>
        <v/>
      </c>
      <c r="G1291" s="18" t="n"/>
      <c r="H1291" s="18">
        <f>IF($A1291="","",IF(I1291&lt;&gt;"",I1291,Paramètres!B49))</f>
        <v/>
      </c>
      <c r="I1291" s="18" t="n"/>
    </row>
    <row r="1292">
      <c r="A1292" s="18">
        <f>IF(ISNUMBER(Dossiers!$D$27),Dossiers!$A$27&amp;" · "&amp;Dossiers!$B$27,"")</f>
        <v/>
      </c>
      <c r="B1292" s="18">
        <f>IF($A1292="","",Paramètres!G50)</f>
        <v/>
      </c>
      <c r="C1292" s="18">
        <f>IF($A1292="","",IF(Paramètres!H50="","",Paramètres!H50))</f>
        <v/>
      </c>
      <c r="D1292" s="18">
        <f>IF($A1292="","",IF(Paramètres!I50="","",Paramètres!I50))</f>
        <v/>
      </c>
      <c r="E1292" s="19">
        <f>IF($A1292="","",IF(Paramètres!J50&amp;Paramètres!L50&amp;Paramètres!N50="",Dossiers!$D$27,MAX(IF(Paramètres!J50="",0,IF(Paramètres!K50="",NA(),IF(LEFT(TRIM(Paramètres!K50),1)="F",INDEX($F$1247:$F$1299,MATCH(Paramètres!J50,Paramètres!$G$5:$G$57,0)),INDEX($E$1247:$E$1299,MATCH(Paramètres!J50,Paramètres!$G$5:$G$57,0)))+IF(RIGHT(TRIM(Paramètres!K50),3)="Fin",1-$H1292,IF(LEFT(TRIM(Paramètres!K50),1)="F",1,0)))),IF(Paramètres!L50="",0,IF(Paramètres!M50="",NA(),IF(LEFT(TRIM(Paramètres!M50),1)="F",INDEX($F$1247:$F$1299,MATCH(Paramètres!L50,Paramètres!$G$5:$G$57,0)),INDEX($E$1247:$E$1299,MATCH(Paramètres!L50,Paramètres!$G$5:$G$57,0)))+IF(RIGHT(TRIM(Paramètres!M50),3)="Fin",1-$H1292,IF(LEFT(TRIM(Paramètres!M50),1)="F",1,0)))),IF(Paramètres!N50="",0,IF(Paramètres!O50="",NA(),IF(LEFT(TRIM(Paramètres!O50),1)="F",INDEX($F$1247:$F$1299,MATCH(Paramètres!N50,Paramètres!$G$5:$G$57,0)),INDEX($E$1247:$E$1299,MATCH(Paramètres!N50,Paramètres!$G$5:$G$57,0)))+IF(RIGHT(TRIM(Paramètres!O50),3)="Fin",1-$H1292,IF(LEFT(TRIM(Paramètres!O50),1)="F",1,0)))))))</f>
        <v/>
      </c>
      <c r="F1292" s="19">
        <f>IF($A1292="","",E1292+$H1292-1)</f>
        <v/>
      </c>
      <c r="G1292" s="18" t="n"/>
      <c r="H1292" s="18">
        <f>IF($A1292="","",IF(I1292&lt;&gt;"",I1292,Paramètres!B50))</f>
        <v/>
      </c>
      <c r="I1292" s="18" t="n"/>
    </row>
    <row r="1293">
      <c r="A1293" s="18">
        <f>IF(ISNUMBER(Dossiers!$D$27),Dossiers!$A$27&amp;" · "&amp;Dossiers!$B$27,"")</f>
        <v/>
      </c>
      <c r="B1293" s="18">
        <f>IF($A1293="","",Paramètres!G51)</f>
        <v/>
      </c>
      <c r="C1293" s="18">
        <f>IF($A1293="","",IF(Paramètres!H51="","",Paramètres!H51))</f>
        <v/>
      </c>
      <c r="D1293" s="18">
        <f>IF($A1293="","",IF(Paramètres!I51="","",Paramètres!I51))</f>
        <v/>
      </c>
      <c r="E1293" s="19">
        <f>IF($A1293="","",IF(Paramètres!J51&amp;Paramètres!L51&amp;Paramètres!N51="",Dossiers!$D$27,MAX(IF(Paramètres!J51="",0,IF(Paramètres!K51="",NA(),IF(LEFT(TRIM(Paramètres!K51),1)="F",INDEX($F$1247:$F$1299,MATCH(Paramètres!J51,Paramètres!$G$5:$G$57,0)),INDEX($E$1247:$E$1299,MATCH(Paramètres!J51,Paramètres!$G$5:$G$57,0)))+IF(RIGHT(TRIM(Paramètres!K51),3)="Fin",1-$H1293,IF(LEFT(TRIM(Paramètres!K51),1)="F",1,0)))),IF(Paramètres!L51="",0,IF(Paramètres!M51="",NA(),IF(LEFT(TRIM(Paramètres!M51),1)="F",INDEX($F$1247:$F$1299,MATCH(Paramètres!L51,Paramètres!$G$5:$G$57,0)),INDEX($E$1247:$E$1299,MATCH(Paramètres!L51,Paramètres!$G$5:$G$57,0)))+IF(RIGHT(TRIM(Paramètres!M51),3)="Fin",1-$H1293,IF(LEFT(TRIM(Paramètres!M51),1)="F",1,0)))),IF(Paramètres!N51="",0,IF(Paramètres!O51="",NA(),IF(LEFT(TRIM(Paramètres!O51),1)="F",INDEX($F$1247:$F$1299,MATCH(Paramètres!N51,Paramètres!$G$5:$G$57,0)),INDEX($E$1247:$E$1299,MATCH(Paramètres!N51,Paramètres!$G$5:$G$57,0)))+IF(RIGHT(TRIM(Paramètres!O51),3)="Fin",1-$H1293,IF(LEFT(TRIM(Paramètres!O51),1)="F",1,0)))))))</f>
        <v/>
      </c>
      <c r="F1293" s="19">
        <f>IF($A1293="","",E1293+$H1293-1)</f>
        <v/>
      </c>
      <c r="G1293" s="18" t="n"/>
      <c r="H1293" s="18">
        <f>IF($A1293="","",IF(I1293&lt;&gt;"",I1293,Paramètres!B51))</f>
        <v/>
      </c>
      <c r="I1293" s="18" t="n"/>
    </row>
    <row r="1294">
      <c r="A1294" s="18">
        <f>IF(ISNUMBER(Dossiers!$D$27),Dossiers!$A$27&amp;" · "&amp;Dossiers!$B$27,"")</f>
        <v/>
      </c>
      <c r="B1294" s="18">
        <f>IF($A1294="","",Paramètres!G52)</f>
        <v/>
      </c>
      <c r="C1294" s="18">
        <f>IF($A1294="","",IF(Paramètres!H52="","",Paramètres!H52))</f>
        <v/>
      </c>
      <c r="D1294" s="18">
        <f>IF($A1294="","",IF(Paramètres!I52="","",Paramètres!I52))</f>
        <v/>
      </c>
      <c r="E1294" s="19">
        <f>IF($A1294="","",IF(Paramètres!J52&amp;Paramètres!L52&amp;Paramètres!N52="",Dossiers!$D$27,MAX(IF(Paramètres!J52="",0,IF(Paramètres!K52="",NA(),IF(LEFT(TRIM(Paramètres!K52),1)="F",INDEX($F$1247:$F$1299,MATCH(Paramètres!J52,Paramètres!$G$5:$G$57,0)),INDEX($E$1247:$E$1299,MATCH(Paramètres!J52,Paramètres!$G$5:$G$57,0)))+IF(RIGHT(TRIM(Paramètres!K52),3)="Fin",1-$H1294,IF(LEFT(TRIM(Paramètres!K52),1)="F",1,0)))),IF(Paramètres!L52="",0,IF(Paramètres!M52="",NA(),IF(LEFT(TRIM(Paramètres!M52),1)="F",INDEX($F$1247:$F$1299,MATCH(Paramètres!L52,Paramètres!$G$5:$G$57,0)),INDEX($E$1247:$E$1299,MATCH(Paramètres!L52,Paramètres!$G$5:$G$57,0)))+IF(RIGHT(TRIM(Paramètres!M52),3)="Fin",1-$H1294,IF(LEFT(TRIM(Paramètres!M52),1)="F",1,0)))),IF(Paramètres!N52="",0,IF(Paramètres!O52="",NA(),IF(LEFT(TRIM(Paramètres!O52),1)="F",INDEX($F$1247:$F$1299,MATCH(Paramètres!N52,Paramètres!$G$5:$G$57,0)),INDEX($E$1247:$E$1299,MATCH(Paramètres!N52,Paramètres!$G$5:$G$57,0)))+IF(RIGHT(TRIM(Paramètres!O52),3)="Fin",1-$H1294,IF(LEFT(TRIM(Paramètres!O52),1)="F",1,0)))))))</f>
        <v/>
      </c>
      <c r="F1294" s="19">
        <f>IF($A1294="","",E1294+$H1294-1)</f>
        <v/>
      </c>
      <c r="G1294" s="18" t="n"/>
      <c r="H1294" s="18">
        <f>IF($A1294="","",IF(I1294&lt;&gt;"",I1294,Paramètres!B52))</f>
        <v/>
      </c>
      <c r="I1294" s="18" t="n"/>
    </row>
    <row r="1295">
      <c r="A1295" s="18">
        <f>IF(ISNUMBER(Dossiers!$D$27),Dossiers!$A$27&amp;" · "&amp;Dossiers!$B$27,"")</f>
        <v/>
      </c>
      <c r="B1295" s="18">
        <f>IF($A1295="","",Paramètres!G53)</f>
        <v/>
      </c>
      <c r="C1295" s="18">
        <f>IF($A1295="","",IF(Paramètres!H53="","",Paramètres!H53))</f>
        <v/>
      </c>
      <c r="D1295" s="18">
        <f>IF($A1295="","",IF(Paramètres!I53="","",Paramètres!I53))</f>
        <v/>
      </c>
      <c r="E1295" s="19">
        <f>IF($A1295="","",IF(Paramètres!J53&amp;Paramètres!L53&amp;Paramètres!N53="",Dossiers!$D$27,MAX(IF(Paramètres!J53="",0,IF(Paramètres!K53="",NA(),IF(LEFT(TRIM(Paramètres!K53),1)="F",INDEX($F$1247:$F$1299,MATCH(Paramètres!J53,Paramètres!$G$5:$G$57,0)),INDEX($E$1247:$E$1299,MATCH(Paramètres!J53,Paramètres!$G$5:$G$57,0)))+IF(RIGHT(TRIM(Paramètres!K53),3)="Fin",1-$H1295,IF(LEFT(TRIM(Paramètres!K53),1)="F",1,0)))),IF(Paramètres!L53="",0,IF(Paramètres!M53="",NA(),IF(LEFT(TRIM(Paramètres!M53),1)="F",INDEX($F$1247:$F$1299,MATCH(Paramètres!L53,Paramètres!$G$5:$G$57,0)),INDEX($E$1247:$E$1299,MATCH(Paramètres!L53,Paramètres!$G$5:$G$57,0)))+IF(RIGHT(TRIM(Paramètres!M53),3)="Fin",1-$H1295,IF(LEFT(TRIM(Paramètres!M53),1)="F",1,0)))),IF(Paramètres!N53="",0,IF(Paramètres!O53="",NA(),IF(LEFT(TRIM(Paramètres!O53),1)="F",INDEX($F$1247:$F$1299,MATCH(Paramètres!N53,Paramètres!$G$5:$G$57,0)),INDEX($E$1247:$E$1299,MATCH(Paramètres!N53,Paramètres!$G$5:$G$57,0)))+IF(RIGHT(TRIM(Paramètres!O53),3)="Fin",1-$H1295,IF(LEFT(TRIM(Paramètres!O53),1)="F",1,0)))))))</f>
        <v/>
      </c>
      <c r="F1295" s="19">
        <f>IF($A1295="","",E1295+$H1295-1)</f>
        <v/>
      </c>
      <c r="G1295" s="18" t="n"/>
      <c r="H1295" s="18">
        <f>IF($A1295="","",IF(I1295&lt;&gt;"",I1295,Paramètres!B53))</f>
        <v/>
      </c>
      <c r="I1295" s="18" t="n"/>
    </row>
    <row r="1296">
      <c r="A1296" s="18">
        <f>IF(ISNUMBER(Dossiers!$D$27),Dossiers!$A$27&amp;" · "&amp;Dossiers!$B$27,"")</f>
        <v/>
      </c>
      <c r="B1296" s="18">
        <f>IF($A1296="","",Paramètres!G54)</f>
        <v/>
      </c>
      <c r="C1296" s="18">
        <f>IF($A1296="","",IF(Paramètres!H54="","",Paramètres!H54))</f>
        <v/>
      </c>
      <c r="D1296" s="18">
        <f>IF($A1296="","",IF(Paramètres!I54="","",Paramètres!I54))</f>
        <v/>
      </c>
      <c r="E1296" s="19">
        <f>IF($A1296="","",IF(Paramètres!J54&amp;Paramètres!L54&amp;Paramètres!N54="",Dossiers!$D$27,MAX(IF(Paramètres!J54="",0,IF(Paramètres!K54="",NA(),IF(LEFT(TRIM(Paramètres!K54),1)="F",INDEX($F$1247:$F$1299,MATCH(Paramètres!J54,Paramètres!$G$5:$G$57,0)),INDEX($E$1247:$E$1299,MATCH(Paramètres!J54,Paramètres!$G$5:$G$57,0)))+IF(RIGHT(TRIM(Paramètres!K54),3)="Fin",1-$H1296,IF(LEFT(TRIM(Paramètres!K54),1)="F",1,0)))),IF(Paramètres!L54="",0,IF(Paramètres!M54="",NA(),IF(LEFT(TRIM(Paramètres!M54),1)="F",INDEX($F$1247:$F$1299,MATCH(Paramètres!L54,Paramètres!$G$5:$G$57,0)),INDEX($E$1247:$E$1299,MATCH(Paramètres!L54,Paramètres!$G$5:$G$57,0)))+IF(RIGHT(TRIM(Paramètres!M54),3)="Fin",1-$H1296,IF(LEFT(TRIM(Paramètres!M54),1)="F",1,0)))),IF(Paramètres!N54="",0,IF(Paramètres!O54="",NA(),IF(LEFT(TRIM(Paramètres!O54),1)="F",INDEX($F$1247:$F$1299,MATCH(Paramètres!N54,Paramètres!$G$5:$G$57,0)),INDEX($E$1247:$E$1299,MATCH(Paramètres!N54,Paramètres!$G$5:$G$57,0)))+IF(RIGHT(TRIM(Paramètres!O54),3)="Fin",1-$H1296,IF(LEFT(TRIM(Paramètres!O54),1)="F",1,0)))))))</f>
        <v/>
      </c>
      <c r="F1296" s="19">
        <f>IF($A1296="","",E1296+$H1296-1)</f>
        <v/>
      </c>
      <c r="G1296" s="18" t="n"/>
      <c r="H1296" s="18">
        <f>IF($A1296="","",IF(I1296&lt;&gt;"",I1296,Paramètres!B54))</f>
        <v/>
      </c>
      <c r="I1296" s="18" t="n"/>
    </row>
    <row r="1297">
      <c r="A1297" s="18">
        <f>IF(ISNUMBER(Dossiers!$D$27),Dossiers!$A$27&amp;" · "&amp;Dossiers!$B$27,"")</f>
        <v/>
      </c>
      <c r="B1297" s="18">
        <f>IF($A1297="","",Paramètres!G55)</f>
        <v/>
      </c>
      <c r="C1297" s="18">
        <f>IF($A1297="","",IF(Paramètres!H55="","",Paramètres!H55))</f>
        <v/>
      </c>
      <c r="D1297" s="18">
        <f>IF($A1297="","",IF(Paramètres!I55="","",Paramètres!I55))</f>
        <v/>
      </c>
      <c r="E1297" s="19">
        <f>IF($A1297="","",IF(Paramètres!J55&amp;Paramètres!L55&amp;Paramètres!N55="",Dossiers!$D$27,MAX(IF(Paramètres!J55="",0,IF(Paramètres!K55="",NA(),IF(LEFT(TRIM(Paramètres!K55),1)="F",INDEX($F$1247:$F$1299,MATCH(Paramètres!J55,Paramètres!$G$5:$G$57,0)),INDEX($E$1247:$E$1299,MATCH(Paramètres!J55,Paramètres!$G$5:$G$57,0)))+IF(RIGHT(TRIM(Paramètres!K55),3)="Fin",1-$H1297,IF(LEFT(TRIM(Paramètres!K55),1)="F",1,0)))),IF(Paramètres!L55="",0,IF(Paramètres!M55="",NA(),IF(LEFT(TRIM(Paramètres!M55),1)="F",INDEX($F$1247:$F$1299,MATCH(Paramètres!L55,Paramètres!$G$5:$G$57,0)),INDEX($E$1247:$E$1299,MATCH(Paramètres!L55,Paramètres!$G$5:$G$57,0)))+IF(RIGHT(TRIM(Paramètres!M55),3)="Fin",1-$H1297,IF(LEFT(TRIM(Paramètres!M55),1)="F",1,0)))),IF(Paramètres!N55="",0,IF(Paramètres!O55="",NA(),IF(LEFT(TRIM(Paramètres!O55),1)="F",INDEX($F$1247:$F$1299,MATCH(Paramètres!N55,Paramètres!$G$5:$G$57,0)),INDEX($E$1247:$E$1299,MATCH(Paramètres!N55,Paramètres!$G$5:$G$57,0)))+IF(RIGHT(TRIM(Paramètres!O55),3)="Fin",1-$H1297,IF(LEFT(TRIM(Paramètres!O55),1)="F",1,0)))))))</f>
        <v/>
      </c>
      <c r="F1297" s="19">
        <f>IF($A1297="","",E1297+$H1297-1)</f>
        <v/>
      </c>
      <c r="G1297" s="18" t="n"/>
      <c r="H1297" s="18">
        <f>IF($A1297="","",IF(I1297&lt;&gt;"",I1297,Paramètres!B55))</f>
        <v/>
      </c>
      <c r="I1297" s="18" t="n"/>
    </row>
    <row r="1298">
      <c r="A1298" s="18">
        <f>IF(ISNUMBER(Dossiers!$D$27),Dossiers!$A$27&amp;" · "&amp;Dossiers!$B$27,"")</f>
        <v/>
      </c>
      <c r="B1298" s="18">
        <f>IF($A1298="","",Paramètres!G56)</f>
        <v/>
      </c>
      <c r="C1298" s="18">
        <f>IF($A1298="","",IF(Paramètres!H56="","",Paramètres!H56))</f>
        <v/>
      </c>
      <c r="D1298" s="18">
        <f>IF($A1298="","",IF(Paramètres!I56="","",Paramètres!I56))</f>
        <v/>
      </c>
      <c r="E1298" s="19">
        <f>IF($A1298="","",MIN(E1299:E1299))</f>
        <v/>
      </c>
      <c r="F1298" s="19">
        <f>IF($A1298="","",MAX(F1299:F1299))</f>
        <v/>
      </c>
      <c r="G1298" s="18" t="n"/>
      <c r="H1298" s="18">
        <f>IF($A1298="","",F1298-E1298+1)</f>
        <v/>
      </c>
      <c r="I1298" s="18" t="n"/>
    </row>
    <row r="1299">
      <c r="A1299" s="18">
        <f>IF(ISNUMBER(Dossiers!$D$27),Dossiers!$A$27&amp;" · "&amp;Dossiers!$B$27,"")</f>
        <v/>
      </c>
      <c r="B1299" s="18">
        <f>IF($A1299="","",Paramètres!G57)</f>
        <v/>
      </c>
      <c r="C1299" s="18">
        <f>IF($A1299="","",IF(Paramètres!H57="","",Paramètres!H57))</f>
        <v/>
      </c>
      <c r="D1299" s="18">
        <f>IF($A1299="","",IF(Paramètres!I57="","",Paramètres!I57))</f>
        <v/>
      </c>
      <c r="E1299" s="19">
        <f>IF($A1299="","",IF(Paramètres!J57&amp;Paramètres!L57&amp;Paramètres!N57="",Dossiers!$D$27,MAX(IF(Paramètres!J57="",0,IF(Paramètres!K57="",NA(),IF(LEFT(TRIM(Paramètres!K57),1)="F",INDEX($F$1247:$F$1299,MATCH(Paramètres!J57,Paramètres!$G$5:$G$57,0)),INDEX($E$1247:$E$1299,MATCH(Paramètres!J57,Paramètres!$G$5:$G$57,0)))+IF(RIGHT(TRIM(Paramètres!K57),3)="Fin",1-$H1299,IF(LEFT(TRIM(Paramètres!K57),1)="F",1,0)))),IF(Paramètres!L57="",0,IF(Paramètres!M57="",NA(),IF(LEFT(TRIM(Paramètres!M57),1)="F",INDEX($F$1247:$F$1299,MATCH(Paramètres!L57,Paramètres!$G$5:$G$57,0)),INDEX($E$1247:$E$1299,MATCH(Paramètres!L57,Paramètres!$G$5:$G$57,0)))+IF(RIGHT(TRIM(Paramètres!M57),3)="Fin",1-$H1299,IF(LEFT(TRIM(Paramètres!M57),1)="F",1,0)))),IF(Paramètres!N57="",0,IF(Paramètres!O57="",NA(),IF(LEFT(TRIM(Paramètres!O57),1)="F",INDEX($F$1247:$F$1299,MATCH(Paramètres!N57,Paramètres!$G$5:$G$57,0)),INDEX($E$1247:$E$1299,MATCH(Paramètres!N57,Paramètres!$G$5:$G$57,0)))+IF(RIGHT(TRIM(Paramètres!O57),3)="Fin",1-$H1299,IF(LEFT(TRIM(Paramètres!O57),1)="F",1,0)))))))</f>
        <v/>
      </c>
      <c r="F1299" s="19">
        <f>IF($A1299="","",E1299+$H1299-1)</f>
        <v/>
      </c>
      <c r="G1299" s="18" t="n"/>
      <c r="H1299" s="18">
        <f>IF($A1299="","",IF(I1299&lt;&gt;"",I1299,Paramètres!B57))</f>
        <v/>
      </c>
      <c r="I1299" s="18" t="n"/>
    </row>
    <row r="1300">
      <c r="A1300" s="16">
        <f>IF(ISNUMBER(Dossiers!$D$28),Dossiers!$E$28,"")</f>
        <v/>
      </c>
      <c r="B1300" s="16">
        <f>IF($A1300="","","Identifiant")</f>
        <v/>
      </c>
      <c r="C1300" s="16">
        <f>IF($A1300="","","Macro Etape")</f>
        <v/>
      </c>
      <c r="D1300" s="16">
        <f>IF($A1300="","","Etape")</f>
        <v/>
      </c>
      <c r="E1300" s="17">
        <f>IF($A1300="","","Début le")</f>
        <v/>
      </c>
      <c r="F1300" s="17">
        <f>IF($A1300="","","Fin prévue le")</f>
        <v/>
      </c>
      <c r="G1300" s="16">
        <f>IF($A1300="","","Statut")</f>
        <v/>
      </c>
      <c r="H1300" s="16">
        <f>IF($A1300="","","Durée (jours)")</f>
        <v/>
      </c>
      <c r="I1300" s="16">
        <f>IF($A1300="","","Durée particulière")</f>
        <v/>
      </c>
      <c r="J1300" s="10">
        <f>IF($A1300="","",HYPERLINK("#'Tableau de bord'!A1","↑ Tableau de bord"))</f>
        <v/>
      </c>
    </row>
    <row r="1301">
      <c r="A1301" s="18">
        <f>IF(ISNUMBER(Dossiers!$D$28),Dossiers!$A$28&amp;" · "&amp;Dossiers!$B$28,"")</f>
        <v/>
      </c>
      <c r="B1301" s="18">
        <f>IF($A1301="","",Paramètres!G5)</f>
        <v/>
      </c>
      <c r="C1301" s="18">
        <f>IF($A1301="","",IF(Paramètres!H5="","",Paramètres!H5))</f>
        <v/>
      </c>
      <c r="D1301" s="18">
        <f>IF($A1301="","",IF(Paramètres!I5="","",Paramètres!I5))</f>
        <v/>
      </c>
      <c r="E1301" s="19">
        <f>IF($A1301="","",MIN(E1302:E1305))</f>
        <v/>
      </c>
      <c r="F1301" s="19">
        <f>IF($A1301="","",MAX(F1302:F1305))</f>
        <v/>
      </c>
      <c r="G1301" s="18" t="n"/>
      <c r="H1301" s="18">
        <f>IF($A1301="","",F1301-E1301+1)</f>
        <v/>
      </c>
      <c r="I1301" s="18" t="n"/>
    </row>
    <row r="1302">
      <c r="A1302" s="18">
        <f>IF(ISNUMBER(Dossiers!$D$28),Dossiers!$A$28&amp;" · "&amp;Dossiers!$B$28,"")</f>
        <v/>
      </c>
      <c r="B1302" s="18">
        <f>IF($A1302="","",Paramètres!G6)</f>
        <v/>
      </c>
      <c r="C1302" s="18">
        <f>IF($A1302="","",IF(Paramètres!H6="","",Paramètres!H6))</f>
        <v/>
      </c>
      <c r="D1302" s="18">
        <f>IF($A1302="","",IF(Paramètres!I6="","",Paramètres!I6))</f>
        <v/>
      </c>
      <c r="E1302" s="19">
        <f>IF($A1302="","",IF(Paramètres!J6&amp;Paramètres!L6&amp;Paramètres!N6="",Dossiers!$D$28,MAX(IF(Paramètres!J6="",0,IF(Paramètres!K6="",NA(),IF(LEFT(TRIM(Paramètres!K6),1)="F",INDEX($F$1301:$F$1353,MATCH(Paramètres!J6,Paramètres!$G$5:$G$57,0)),INDEX($E$1301:$E$1353,MATCH(Paramètres!J6,Paramètres!$G$5:$G$57,0)))+IF(RIGHT(TRIM(Paramètres!K6),3)="Fin",1-$H1302,IF(LEFT(TRIM(Paramètres!K6),1)="F",1,0)))),IF(Paramètres!L6="",0,IF(Paramètres!M6="",NA(),IF(LEFT(TRIM(Paramètres!M6),1)="F",INDEX($F$1301:$F$1353,MATCH(Paramètres!L6,Paramètres!$G$5:$G$57,0)),INDEX($E$1301:$E$1353,MATCH(Paramètres!L6,Paramètres!$G$5:$G$57,0)))+IF(RIGHT(TRIM(Paramètres!M6),3)="Fin",1-$H1302,IF(LEFT(TRIM(Paramètres!M6),1)="F",1,0)))),IF(Paramètres!N6="",0,IF(Paramètres!O6="",NA(),IF(LEFT(TRIM(Paramètres!O6),1)="F",INDEX($F$1301:$F$1353,MATCH(Paramètres!N6,Paramètres!$G$5:$G$57,0)),INDEX($E$1301:$E$1353,MATCH(Paramètres!N6,Paramètres!$G$5:$G$57,0)))+IF(RIGHT(TRIM(Paramètres!O6),3)="Fin",1-$H1302,IF(LEFT(TRIM(Paramètres!O6),1)="F",1,0)))))))</f>
        <v/>
      </c>
      <c r="F1302" s="19">
        <f>IF($A1302="","",E1302+$H1302-1)</f>
        <v/>
      </c>
      <c r="G1302" s="18" t="n"/>
      <c r="H1302" s="18">
        <f>IF($A1302="","",IF(I1302&lt;&gt;"",I1302,Paramètres!B6))</f>
        <v/>
      </c>
      <c r="I1302" s="18" t="n"/>
    </row>
    <row r="1303">
      <c r="A1303" s="18">
        <f>IF(ISNUMBER(Dossiers!$D$28),Dossiers!$A$28&amp;" · "&amp;Dossiers!$B$28,"")</f>
        <v/>
      </c>
      <c r="B1303" s="18">
        <f>IF($A1303="","",Paramètres!G7)</f>
        <v/>
      </c>
      <c r="C1303" s="18">
        <f>IF($A1303="","",IF(Paramètres!H7="","",Paramètres!H7))</f>
        <v/>
      </c>
      <c r="D1303" s="18">
        <f>IF($A1303="","",IF(Paramètres!I7="","",Paramètres!I7))</f>
        <v/>
      </c>
      <c r="E1303" s="19">
        <f>IF($A1303="","",IF(Paramètres!J7&amp;Paramètres!L7&amp;Paramètres!N7="",Dossiers!$D$28,MAX(IF(Paramètres!J7="",0,IF(Paramètres!K7="",NA(),IF(LEFT(TRIM(Paramètres!K7),1)="F",INDEX($F$1301:$F$1353,MATCH(Paramètres!J7,Paramètres!$G$5:$G$57,0)),INDEX($E$1301:$E$1353,MATCH(Paramètres!J7,Paramètres!$G$5:$G$57,0)))+IF(RIGHT(TRIM(Paramètres!K7),3)="Fin",1-$H1303,IF(LEFT(TRIM(Paramètres!K7),1)="F",1,0)))),IF(Paramètres!L7="",0,IF(Paramètres!M7="",NA(),IF(LEFT(TRIM(Paramètres!M7),1)="F",INDEX($F$1301:$F$1353,MATCH(Paramètres!L7,Paramètres!$G$5:$G$57,0)),INDEX($E$1301:$E$1353,MATCH(Paramètres!L7,Paramètres!$G$5:$G$57,0)))+IF(RIGHT(TRIM(Paramètres!M7),3)="Fin",1-$H1303,IF(LEFT(TRIM(Paramètres!M7),1)="F",1,0)))),IF(Paramètres!N7="",0,IF(Paramètres!O7="",NA(),IF(LEFT(TRIM(Paramètres!O7),1)="F",INDEX($F$1301:$F$1353,MATCH(Paramètres!N7,Paramètres!$G$5:$G$57,0)),INDEX($E$1301:$E$1353,MATCH(Paramètres!N7,Paramètres!$G$5:$G$57,0)))+IF(RIGHT(TRIM(Paramètres!O7),3)="Fin",1-$H1303,IF(LEFT(TRIM(Paramètres!O7),1)="F",1,0)))))))</f>
        <v/>
      </c>
      <c r="F1303" s="19">
        <f>IF($A1303="","",E1303+$H1303-1)</f>
        <v/>
      </c>
      <c r="G1303" s="18" t="n"/>
      <c r="H1303" s="18">
        <f>IF($A1303="","",IF(I1303&lt;&gt;"",I1303,Paramètres!B7))</f>
        <v/>
      </c>
      <c r="I1303" s="18" t="n"/>
    </row>
    <row r="1304">
      <c r="A1304" s="18">
        <f>IF(ISNUMBER(Dossiers!$D$28),Dossiers!$A$28&amp;" · "&amp;Dossiers!$B$28,"")</f>
        <v/>
      </c>
      <c r="B1304" s="18">
        <f>IF($A1304="","",Paramètres!G8)</f>
        <v/>
      </c>
      <c r="C1304" s="18">
        <f>IF($A1304="","",IF(Paramètres!H8="","",Paramètres!H8))</f>
        <v/>
      </c>
      <c r="D1304" s="18">
        <f>IF($A1304="","",IF(Paramètres!I8="","",Paramètres!I8))</f>
        <v/>
      </c>
      <c r="E1304" s="19">
        <f>IF($A1304="","",IF(Paramètres!J8&amp;Paramètres!L8&amp;Paramètres!N8="",Dossiers!$D$28,MAX(IF(Paramètres!J8="",0,IF(Paramètres!K8="",NA(),IF(LEFT(TRIM(Paramètres!K8),1)="F",INDEX($F$1301:$F$1353,MATCH(Paramètres!J8,Paramètres!$G$5:$G$57,0)),INDEX($E$1301:$E$1353,MATCH(Paramètres!J8,Paramètres!$G$5:$G$57,0)))+IF(RIGHT(TRIM(Paramètres!K8),3)="Fin",1-$H1304,IF(LEFT(TRIM(Paramètres!K8),1)="F",1,0)))),IF(Paramètres!L8="",0,IF(Paramètres!M8="",NA(),IF(LEFT(TRIM(Paramètres!M8),1)="F",INDEX($F$1301:$F$1353,MATCH(Paramètres!L8,Paramètres!$G$5:$G$57,0)),INDEX($E$1301:$E$1353,MATCH(Paramètres!L8,Paramètres!$G$5:$G$57,0)))+IF(RIGHT(TRIM(Paramètres!M8),3)="Fin",1-$H1304,IF(LEFT(TRIM(Paramètres!M8),1)="F",1,0)))),IF(Paramètres!N8="",0,IF(Paramètres!O8="",NA(),IF(LEFT(TRIM(Paramètres!O8),1)="F",INDEX($F$1301:$F$1353,MATCH(Paramètres!N8,Paramètres!$G$5:$G$57,0)),INDEX($E$1301:$E$1353,MATCH(Paramètres!N8,Paramètres!$G$5:$G$57,0)))+IF(RIGHT(TRIM(Paramètres!O8),3)="Fin",1-$H1304,IF(LEFT(TRIM(Paramètres!O8),1)="F",1,0)))))))</f>
        <v/>
      </c>
      <c r="F1304" s="19">
        <f>IF($A1304="","",E1304+$H1304-1)</f>
        <v/>
      </c>
      <c r="G1304" s="18" t="n"/>
      <c r="H1304" s="18">
        <f>IF($A1304="","",IF(I1304&lt;&gt;"",I1304,Paramètres!B8))</f>
        <v/>
      </c>
      <c r="I1304" s="18" t="n"/>
    </row>
    <row r="1305">
      <c r="A1305" s="18">
        <f>IF(ISNUMBER(Dossiers!$D$28),Dossiers!$A$28&amp;" · "&amp;Dossiers!$B$28,"")</f>
        <v/>
      </c>
      <c r="B1305" s="18">
        <f>IF($A1305="","",Paramètres!G9)</f>
        <v/>
      </c>
      <c r="C1305" s="18">
        <f>IF($A1305="","",IF(Paramètres!H9="","",Paramètres!H9))</f>
        <v/>
      </c>
      <c r="D1305" s="18">
        <f>IF($A1305="","",IF(Paramètres!I9="","",Paramètres!I9))</f>
        <v/>
      </c>
      <c r="E1305" s="19">
        <f>IF($A1305="","",IF(Paramètres!J9&amp;Paramètres!L9&amp;Paramètres!N9="",Dossiers!$D$28,MAX(IF(Paramètres!J9="",0,IF(Paramètres!K9="",NA(),IF(LEFT(TRIM(Paramètres!K9),1)="F",INDEX($F$1301:$F$1353,MATCH(Paramètres!J9,Paramètres!$G$5:$G$57,0)),INDEX($E$1301:$E$1353,MATCH(Paramètres!J9,Paramètres!$G$5:$G$57,0)))+IF(RIGHT(TRIM(Paramètres!K9),3)="Fin",1-$H1305,IF(LEFT(TRIM(Paramètres!K9),1)="F",1,0)))),IF(Paramètres!L9="",0,IF(Paramètres!M9="",NA(),IF(LEFT(TRIM(Paramètres!M9),1)="F",INDEX($F$1301:$F$1353,MATCH(Paramètres!L9,Paramètres!$G$5:$G$57,0)),INDEX($E$1301:$E$1353,MATCH(Paramètres!L9,Paramètres!$G$5:$G$57,0)))+IF(RIGHT(TRIM(Paramètres!M9),3)="Fin",1-$H1305,IF(LEFT(TRIM(Paramètres!M9),1)="F",1,0)))),IF(Paramètres!N9="",0,IF(Paramètres!O9="",NA(),IF(LEFT(TRIM(Paramètres!O9),1)="F",INDEX($F$1301:$F$1353,MATCH(Paramètres!N9,Paramètres!$G$5:$G$57,0)),INDEX($E$1301:$E$1353,MATCH(Paramètres!N9,Paramètres!$G$5:$G$57,0)))+IF(RIGHT(TRIM(Paramètres!O9),3)="Fin",1-$H1305,IF(LEFT(TRIM(Paramètres!O9),1)="F",1,0)))))))</f>
        <v/>
      </c>
      <c r="F1305" s="19">
        <f>IF($A1305="","",E1305+$H1305-1)</f>
        <v/>
      </c>
      <c r="G1305" s="18" t="n"/>
      <c r="H1305" s="18">
        <f>IF($A1305="","",IF(I1305&lt;&gt;"",I1305,Paramètres!B9))</f>
        <v/>
      </c>
      <c r="I1305" s="18" t="n"/>
    </row>
    <row r="1306">
      <c r="A1306" s="18">
        <f>IF(ISNUMBER(Dossiers!$D$28),Dossiers!$A$28&amp;" · "&amp;Dossiers!$B$28,"")</f>
        <v/>
      </c>
      <c r="B1306" s="18">
        <f>IF($A1306="","",Paramètres!G10)</f>
        <v/>
      </c>
      <c r="C1306" s="18">
        <f>IF($A1306="","",IF(Paramètres!H10="","",Paramètres!H10))</f>
        <v/>
      </c>
      <c r="D1306" s="18">
        <f>IF($A1306="","",IF(Paramètres!I10="","",Paramètres!I10))</f>
        <v/>
      </c>
      <c r="E1306" s="19">
        <f>IF($A1306="","",MIN(E1307:E1310))</f>
        <v/>
      </c>
      <c r="F1306" s="19">
        <f>IF($A1306="","",MAX(F1307:F1310))</f>
        <v/>
      </c>
      <c r="G1306" s="18" t="n"/>
      <c r="H1306" s="18">
        <f>IF($A1306="","",F1306-E1306+1)</f>
        <v/>
      </c>
      <c r="I1306" s="18" t="n"/>
    </row>
    <row r="1307">
      <c r="A1307" s="18">
        <f>IF(ISNUMBER(Dossiers!$D$28),Dossiers!$A$28&amp;" · "&amp;Dossiers!$B$28,"")</f>
        <v/>
      </c>
      <c r="B1307" s="18">
        <f>IF($A1307="","",Paramètres!G11)</f>
        <v/>
      </c>
      <c r="C1307" s="18">
        <f>IF($A1307="","",IF(Paramètres!H11="","",Paramètres!H11))</f>
        <v/>
      </c>
      <c r="D1307" s="18">
        <f>IF($A1307="","",IF(Paramètres!I11="","",Paramètres!I11))</f>
        <v/>
      </c>
      <c r="E1307" s="19">
        <f>IF($A1307="","",IF(Paramètres!J11&amp;Paramètres!L11&amp;Paramètres!N11="",Dossiers!$D$28,MAX(IF(Paramètres!J11="",0,IF(Paramètres!K11="",NA(),IF(LEFT(TRIM(Paramètres!K11),1)="F",INDEX($F$1301:$F$1353,MATCH(Paramètres!J11,Paramètres!$G$5:$G$57,0)),INDEX($E$1301:$E$1353,MATCH(Paramètres!J11,Paramètres!$G$5:$G$57,0)))+IF(RIGHT(TRIM(Paramètres!K11),3)="Fin",1-$H1307,IF(LEFT(TRIM(Paramètres!K11),1)="F",1,0)))),IF(Paramètres!L11="",0,IF(Paramètres!M11="",NA(),IF(LEFT(TRIM(Paramètres!M11),1)="F",INDEX($F$1301:$F$1353,MATCH(Paramètres!L11,Paramètres!$G$5:$G$57,0)),INDEX($E$1301:$E$1353,MATCH(Paramètres!L11,Paramètres!$G$5:$G$57,0)))+IF(RIGHT(TRIM(Paramètres!M11),3)="Fin",1-$H1307,IF(LEFT(TRIM(Paramètres!M11),1)="F",1,0)))),IF(Paramètres!N11="",0,IF(Paramètres!O11="",NA(),IF(LEFT(TRIM(Paramètres!O11),1)="F",INDEX($F$1301:$F$1353,MATCH(Paramètres!N11,Paramètres!$G$5:$G$57,0)),INDEX($E$1301:$E$1353,MATCH(Paramètres!N11,Paramètres!$G$5:$G$57,0)))+IF(RIGHT(TRIM(Paramètres!O11),3)="Fin",1-$H1307,IF(LEFT(TRIM(Paramètres!O11),1)="F",1,0)))))))</f>
        <v/>
      </c>
      <c r="F1307" s="19">
        <f>IF($A1307="","",E1307+$H1307-1)</f>
        <v/>
      </c>
      <c r="G1307" s="18" t="n"/>
      <c r="H1307" s="18">
        <f>IF($A1307="","",IF(I1307&lt;&gt;"",I1307,Paramètres!B11))</f>
        <v/>
      </c>
      <c r="I1307" s="18" t="n"/>
    </row>
    <row r="1308">
      <c r="A1308" s="18">
        <f>IF(ISNUMBER(Dossiers!$D$28),Dossiers!$A$28&amp;" · "&amp;Dossiers!$B$28,"")</f>
        <v/>
      </c>
      <c r="B1308" s="18">
        <f>IF($A1308="","",Paramètres!G12)</f>
        <v/>
      </c>
      <c r="C1308" s="18">
        <f>IF($A1308="","",IF(Paramètres!H12="","",Paramètres!H12))</f>
        <v/>
      </c>
      <c r="D1308" s="18">
        <f>IF($A1308="","",IF(Paramètres!I12="","",Paramètres!I12))</f>
        <v/>
      </c>
      <c r="E1308" s="19">
        <f>IF($A1308="","",IF(Paramètres!J12&amp;Paramètres!L12&amp;Paramètres!N12="",Dossiers!$D$28,MAX(IF(Paramètres!J12="",0,IF(Paramètres!K12="",NA(),IF(LEFT(TRIM(Paramètres!K12),1)="F",INDEX($F$1301:$F$1353,MATCH(Paramètres!J12,Paramètres!$G$5:$G$57,0)),INDEX($E$1301:$E$1353,MATCH(Paramètres!J12,Paramètres!$G$5:$G$57,0)))+IF(RIGHT(TRIM(Paramètres!K12),3)="Fin",1-$H1308,IF(LEFT(TRIM(Paramètres!K12),1)="F",1,0)))),IF(Paramètres!L12="",0,IF(Paramètres!M12="",NA(),IF(LEFT(TRIM(Paramètres!M12),1)="F",INDEX($F$1301:$F$1353,MATCH(Paramètres!L12,Paramètres!$G$5:$G$57,0)),INDEX($E$1301:$E$1353,MATCH(Paramètres!L12,Paramètres!$G$5:$G$57,0)))+IF(RIGHT(TRIM(Paramètres!M12),3)="Fin",1-$H1308,IF(LEFT(TRIM(Paramètres!M12),1)="F",1,0)))),IF(Paramètres!N12="",0,IF(Paramètres!O12="",NA(),IF(LEFT(TRIM(Paramètres!O12),1)="F",INDEX($F$1301:$F$1353,MATCH(Paramètres!N12,Paramètres!$G$5:$G$57,0)),INDEX($E$1301:$E$1353,MATCH(Paramètres!N12,Paramètres!$G$5:$G$57,0)))+IF(RIGHT(TRIM(Paramètres!O12),3)="Fin",1-$H1308,IF(LEFT(TRIM(Paramètres!O12),1)="F",1,0)))))))</f>
        <v/>
      </c>
      <c r="F1308" s="19">
        <f>IF($A1308="","",E1308+$H1308-1)</f>
        <v/>
      </c>
      <c r="G1308" s="18" t="n"/>
      <c r="H1308" s="18">
        <f>IF($A1308="","",IF(I1308&lt;&gt;"",I1308,Paramètres!B12))</f>
        <v/>
      </c>
      <c r="I1308" s="18" t="n"/>
    </row>
    <row r="1309">
      <c r="A1309" s="18">
        <f>IF(ISNUMBER(Dossiers!$D$28),Dossiers!$A$28&amp;" · "&amp;Dossiers!$B$28,"")</f>
        <v/>
      </c>
      <c r="B1309" s="18">
        <f>IF($A1309="","",Paramètres!G13)</f>
        <v/>
      </c>
      <c r="C1309" s="18">
        <f>IF($A1309="","",IF(Paramètres!H13="","",Paramètres!H13))</f>
        <v/>
      </c>
      <c r="D1309" s="18">
        <f>IF($A1309="","",IF(Paramètres!I13="","",Paramètres!I13))</f>
        <v/>
      </c>
      <c r="E1309" s="19">
        <f>IF($A1309="","",IF(Paramètres!J13&amp;Paramètres!L13&amp;Paramètres!N13="",Dossiers!$D$28,MAX(IF(Paramètres!J13="",0,IF(Paramètres!K13="",NA(),IF(LEFT(TRIM(Paramètres!K13),1)="F",INDEX($F$1301:$F$1353,MATCH(Paramètres!J13,Paramètres!$G$5:$G$57,0)),INDEX($E$1301:$E$1353,MATCH(Paramètres!J13,Paramètres!$G$5:$G$57,0)))+IF(RIGHT(TRIM(Paramètres!K13),3)="Fin",1-$H1309,IF(LEFT(TRIM(Paramètres!K13),1)="F",1,0)))),IF(Paramètres!L13="",0,IF(Paramètres!M13="",NA(),IF(LEFT(TRIM(Paramètres!M13),1)="F",INDEX($F$1301:$F$1353,MATCH(Paramètres!L13,Paramètres!$G$5:$G$57,0)),INDEX($E$1301:$E$1353,MATCH(Paramètres!L13,Paramètres!$G$5:$G$57,0)))+IF(RIGHT(TRIM(Paramètres!M13),3)="Fin",1-$H1309,IF(LEFT(TRIM(Paramètres!M13),1)="F",1,0)))),IF(Paramètres!N13="",0,IF(Paramètres!O13="",NA(),IF(LEFT(TRIM(Paramètres!O13),1)="F",INDEX($F$1301:$F$1353,MATCH(Paramètres!N13,Paramètres!$G$5:$G$57,0)),INDEX($E$1301:$E$1353,MATCH(Paramètres!N13,Paramètres!$G$5:$G$57,0)))+IF(RIGHT(TRIM(Paramètres!O13),3)="Fin",1-$H1309,IF(LEFT(TRIM(Paramètres!O13),1)="F",1,0)))))))</f>
        <v/>
      </c>
      <c r="F1309" s="19">
        <f>IF($A1309="","",E1309+$H1309-1)</f>
        <v/>
      </c>
      <c r="G1309" s="18" t="n"/>
      <c r="H1309" s="18">
        <f>IF($A1309="","",IF(I1309&lt;&gt;"",I1309,Paramètres!B13))</f>
        <v/>
      </c>
      <c r="I1309" s="18" t="n"/>
    </row>
    <row r="1310">
      <c r="A1310" s="18">
        <f>IF(ISNUMBER(Dossiers!$D$28),Dossiers!$A$28&amp;" · "&amp;Dossiers!$B$28,"")</f>
        <v/>
      </c>
      <c r="B1310" s="18">
        <f>IF($A1310="","",Paramètres!G14)</f>
        <v/>
      </c>
      <c r="C1310" s="18">
        <f>IF($A1310="","",IF(Paramètres!H14="","",Paramètres!H14))</f>
        <v/>
      </c>
      <c r="D1310" s="18">
        <f>IF($A1310="","",IF(Paramètres!I14="","",Paramètres!I14))</f>
        <v/>
      </c>
      <c r="E1310" s="19">
        <f>IF($A1310="","",IF(Paramètres!J14&amp;Paramètres!L14&amp;Paramètres!N14="",Dossiers!$D$28,MAX(IF(Paramètres!J14="",0,IF(Paramètres!K14="",NA(),IF(LEFT(TRIM(Paramètres!K14),1)="F",INDEX($F$1301:$F$1353,MATCH(Paramètres!J14,Paramètres!$G$5:$G$57,0)),INDEX($E$1301:$E$1353,MATCH(Paramètres!J14,Paramètres!$G$5:$G$57,0)))+IF(RIGHT(TRIM(Paramètres!K14),3)="Fin",1-$H1310,IF(LEFT(TRIM(Paramètres!K14),1)="F",1,0)))),IF(Paramètres!L14="",0,IF(Paramètres!M14="",NA(),IF(LEFT(TRIM(Paramètres!M14),1)="F",INDEX($F$1301:$F$1353,MATCH(Paramètres!L14,Paramètres!$G$5:$G$57,0)),INDEX($E$1301:$E$1353,MATCH(Paramètres!L14,Paramètres!$G$5:$G$57,0)))+IF(RIGHT(TRIM(Paramètres!M14),3)="Fin",1-$H1310,IF(LEFT(TRIM(Paramètres!M14),1)="F",1,0)))),IF(Paramètres!N14="",0,IF(Paramètres!O14="",NA(),IF(LEFT(TRIM(Paramètres!O14),1)="F",INDEX($F$1301:$F$1353,MATCH(Paramètres!N14,Paramètres!$G$5:$G$57,0)),INDEX($E$1301:$E$1353,MATCH(Paramètres!N14,Paramètres!$G$5:$G$57,0)))+IF(RIGHT(TRIM(Paramètres!O14),3)="Fin",1-$H1310,IF(LEFT(TRIM(Paramètres!O14),1)="F",1,0)))))))</f>
        <v/>
      </c>
      <c r="F1310" s="19">
        <f>IF($A1310="","",E1310+$H1310-1)</f>
        <v/>
      </c>
      <c r="G1310" s="18" t="n"/>
      <c r="H1310" s="18">
        <f>IF($A1310="","",IF(I1310&lt;&gt;"",I1310,Paramètres!B14))</f>
        <v/>
      </c>
      <c r="I1310" s="18" t="n"/>
    </row>
    <row r="1311">
      <c r="A1311" s="18">
        <f>IF(ISNUMBER(Dossiers!$D$28),Dossiers!$A$28&amp;" · "&amp;Dossiers!$B$28,"")</f>
        <v/>
      </c>
      <c r="B1311" s="18">
        <f>IF($A1311="","",Paramètres!G15)</f>
        <v/>
      </c>
      <c r="C1311" s="18">
        <f>IF($A1311="","",IF(Paramètres!H15="","",Paramètres!H15))</f>
        <v/>
      </c>
      <c r="D1311" s="18">
        <f>IF($A1311="","",IF(Paramètres!I15="","",Paramètres!I15))</f>
        <v/>
      </c>
      <c r="E1311" s="19">
        <f>IF($A1311="","",MIN(E1312:E1327))</f>
        <v/>
      </c>
      <c r="F1311" s="19">
        <f>IF($A1311="","",MAX(F1312:F1327))</f>
        <v/>
      </c>
      <c r="G1311" s="18" t="n"/>
      <c r="H1311" s="18">
        <f>IF($A1311="","",F1311-E1311+1)</f>
        <v/>
      </c>
      <c r="I1311" s="18" t="n"/>
    </row>
    <row r="1312">
      <c r="A1312" s="18">
        <f>IF(ISNUMBER(Dossiers!$D$28),Dossiers!$A$28&amp;" · "&amp;Dossiers!$B$28,"")</f>
        <v/>
      </c>
      <c r="B1312" s="18">
        <f>IF($A1312="","",Paramètres!G16)</f>
        <v/>
      </c>
      <c r="C1312" s="18">
        <f>IF($A1312="","",IF(Paramètres!H16="","",Paramètres!H16))</f>
        <v/>
      </c>
      <c r="D1312" s="18">
        <f>IF($A1312="","",IF(Paramètres!I16="","",Paramètres!I16))</f>
        <v/>
      </c>
      <c r="E1312" s="19">
        <f>IF($A1312="","",IF(Paramètres!J16&amp;Paramètres!L16&amp;Paramètres!N16="",Dossiers!$D$28,MAX(IF(Paramètres!J16="",0,IF(Paramètres!K16="",NA(),IF(LEFT(TRIM(Paramètres!K16),1)="F",INDEX($F$1301:$F$1353,MATCH(Paramètres!J16,Paramètres!$G$5:$G$57,0)),INDEX($E$1301:$E$1353,MATCH(Paramètres!J16,Paramètres!$G$5:$G$57,0)))+IF(RIGHT(TRIM(Paramètres!K16),3)="Fin",1-$H1312,IF(LEFT(TRIM(Paramètres!K16),1)="F",1,0)))),IF(Paramètres!L16="",0,IF(Paramètres!M16="",NA(),IF(LEFT(TRIM(Paramètres!M16),1)="F",INDEX($F$1301:$F$1353,MATCH(Paramètres!L16,Paramètres!$G$5:$G$57,0)),INDEX($E$1301:$E$1353,MATCH(Paramètres!L16,Paramètres!$G$5:$G$57,0)))+IF(RIGHT(TRIM(Paramètres!M16),3)="Fin",1-$H1312,IF(LEFT(TRIM(Paramètres!M16),1)="F",1,0)))),IF(Paramètres!N16="",0,IF(Paramètres!O16="",NA(),IF(LEFT(TRIM(Paramètres!O16),1)="F",INDEX($F$1301:$F$1353,MATCH(Paramètres!N16,Paramètres!$G$5:$G$57,0)),INDEX($E$1301:$E$1353,MATCH(Paramètres!N16,Paramètres!$G$5:$G$57,0)))+IF(RIGHT(TRIM(Paramètres!O16),3)="Fin",1-$H1312,IF(LEFT(TRIM(Paramètres!O16),1)="F",1,0)))))))</f>
        <v/>
      </c>
      <c r="F1312" s="19">
        <f>IF($A1312="","",E1312+$H1312-1)</f>
        <v/>
      </c>
      <c r="G1312" s="18" t="n"/>
      <c r="H1312" s="18">
        <f>IF($A1312="","",IF(I1312&lt;&gt;"",I1312,Paramètres!B16))</f>
        <v/>
      </c>
      <c r="I1312" s="18" t="n"/>
    </row>
    <row r="1313">
      <c r="A1313" s="18">
        <f>IF(ISNUMBER(Dossiers!$D$28),Dossiers!$A$28&amp;" · "&amp;Dossiers!$B$28,"")</f>
        <v/>
      </c>
      <c r="B1313" s="18">
        <f>IF($A1313="","",Paramètres!G17)</f>
        <v/>
      </c>
      <c r="C1313" s="18">
        <f>IF($A1313="","",IF(Paramètres!H17="","",Paramètres!H17))</f>
        <v/>
      </c>
      <c r="D1313" s="18">
        <f>IF($A1313="","",IF(Paramètres!I17="","",Paramètres!I17))</f>
        <v/>
      </c>
      <c r="E1313" s="19">
        <f>IF($A1313="","",IF(Paramètres!J17&amp;Paramètres!L17&amp;Paramètres!N17="",Dossiers!$D$28,MAX(IF(Paramètres!J17="",0,IF(Paramètres!K17="",NA(),IF(LEFT(TRIM(Paramètres!K17),1)="F",INDEX($F$1301:$F$1353,MATCH(Paramètres!J17,Paramètres!$G$5:$G$57,0)),INDEX($E$1301:$E$1353,MATCH(Paramètres!J17,Paramètres!$G$5:$G$57,0)))+IF(RIGHT(TRIM(Paramètres!K17),3)="Fin",1-$H1313,IF(LEFT(TRIM(Paramètres!K17),1)="F",1,0)))),IF(Paramètres!L17="",0,IF(Paramètres!M17="",NA(),IF(LEFT(TRIM(Paramètres!M17),1)="F",INDEX($F$1301:$F$1353,MATCH(Paramètres!L17,Paramètres!$G$5:$G$57,0)),INDEX($E$1301:$E$1353,MATCH(Paramètres!L17,Paramètres!$G$5:$G$57,0)))+IF(RIGHT(TRIM(Paramètres!M17),3)="Fin",1-$H1313,IF(LEFT(TRIM(Paramètres!M17),1)="F",1,0)))),IF(Paramètres!N17="",0,IF(Paramètres!O17="",NA(),IF(LEFT(TRIM(Paramètres!O17),1)="F",INDEX($F$1301:$F$1353,MATCH(Paramètres!N17,Paramètres!$G$5:$G$57,0)),INDEX($E$1301:$E$1353,MATCH(Paramètres!N17,Paramètres!$G$5:$G$57,0)))+IF(RIGHT(TRIM(Paramètres!O17),3)="Fin",1-$H1313,IF(LEFT(TRIM(Paramètres!O17),1)="F",1,0)))))))</f>
        <v/>
      </c>
      <c r="F1313" s="19">
        <f>IF($A1313="","",E1313+$H1313-1)</f>
        <v/>
      </c>
      <c r="G1313" s="18" t="n"/>
      <c r="H1313" s="18">
        <f>IF($A1313="","",IF(I1313&lt;&gt;"",I1313,Paramètres!B17))</f>
        <v/>
      </c>
      <c r="I1313" s="18" t="n"/>
    </row>
    <row r="1314">
      <c r="A1314" s="18">
        <f>IF(ISNUMBER(Dossiers!$D$28),Dossiers!$A$28&amp;" · "&amp;Dossiers!$B$28,"")</f>
        <v/>
      </c>
      <c r="B1314" s="18">
        <f>IF($A1314="","",Paramètres!G18)</f>
        <v/>
      </c>
      <c r="C1314" s="18">
        <f>IF($A1314="","",IF(Paramètres!H18="","",Paramètres!H18))</f>
        <v/>
      </c>
      <c r="D1314" s="18">
        <f>IF($A1314="","",IF(Paramètres!I18="","",Paramètres!I18))</f>
        <v/>
      </c>
      <c r="E1314" s="19">
        <f>IF($A1314="","",IF(Paramètres!J18&amp;Paramètres!L18&amp;Paramètres!N18="",Dossiers!$D$28,MAX(IF(Paramètres!J18="",0,IF(Paramètres!K18="",NA(),IF(LEFT(TRIM(Paramètres!K18),1)="F",INDEX($F$1301:$F$1353,MATCH(Paramètres!J18,Paramètres!$G$5:$G$57,0)),INDEX($E$1301:$E$1353,MATCH(Paramètres!J18,Paramètres!$G$5:$G$57,0)))+IF(RIGHT(TRIM(Paramètres!K18),3)="Fin",1-$H1314,IF(LEFT(TRIM(Paramètres!K18),1)="F",1,0)))),IF(Paramètres!L18="",0,IF(Paramètres!M18="",NA(),IF(LEFT(TRIM(Paramètres!M18),1)="F",INDEX($F$1301:$F$1353,MATCH(Paramètres!L18,Paramètres!$G$5:$G$57,0)),INDEX($E$1301:$E$1353,MATCH(Paramètres!L18,Paramètres!$G$5:$G$57,0)))+IF(RIGHT(TRIM(Paramètres!M18),3)="Fin",1-$H1314,IF(LEFT(TRIM(Paramètres!M18),1)="F",1,0)))),IF(Paramètres!N18="",0,IF(Paramètres!O18="",NA(),IF(LEFT(TRIM(Paramètres!O18),1)="F",INDEX($F$1301:$F$1353,MATCH(Paramètres!N18,Paramètres!$G$5:$G$57,0)),INDEX($E$1301:$E$1353,MATCH(Paramètres!N18,Paramètres!$G$5:$G$57,0)))+IF(RIGHT(TRIM(Paramètres!O18),3)="Fin",1-$H1314,IF(LEFT(TRIM(Paramètres!O18),1)="F",1,0)))))))</f>
        <v/>
      </c>
      <c r="F1314" s="19">
        <f>IF($A1314="","",E1314+$H1314-1)</f>
        <v/>
      </c>
      <c r="G1314" s="18" t="n"/>
      <c r="H1314" s="18">
        <f>IF($A1314="","",IF(I1314&lt;&gt;"",I1314,Paramètres!B18))</f>
        <v/>
      </c>
      <c r="I1314" s="18" t="n"/>
    </row>
    <row r="1315">
      <c r="A1315" s="18">
        <f>IF(ISNUMBER(Dossiers!$D$28),Dossiers!$A$28&amp;" · "&amp;Dossiers!$B$28,"")</f>
        <v/>
      </c>
      <c r="B1315" s="18">
        <f>IF($A1315="","",Paramètres!G19)</f>
        <v/>
      </c>
      <c r="C1315" s="18">
        <f>IF($A1315="","",IF(Paramètres!H19="","",Paramètres!H19))</f>
        <v/>
      </c>
      <c r="D1315" s="18">
        <f>IF($A1315="","",IF(Paramètres!I19="","",Paramètres!I19))</f>
        <v/>
      </c>
      <c r="E1315" s="19">
        <f>IF($A1315="","",IF(Paramètres!J19&amp;Paramètres!L19&amp;Paramètres!N19="",Dossiers!$D$28,MAX(IF(Paramètres!J19="",0,IF(Paramètres!K19="",NA(),IF(LEFT(TRIM(Paramètres!K19),1)="F",INDEX($F$1301:$F$1353,MATCH(Paramètres!J19,Paramètres!$G$5:$G$57,0)),INDEX($E$1301:$E$1353,MATCH(Paramètres!J19,Paramètres!$G$5:$G$57,0)))+IF(RIGHT(TRIM(Paramètres!K19),3)="Fin",1-$H1315,IF(LEFT(TRIM(Paramètres!K19),1)="F",1,0)))),IF(Paramètres!L19="",0,IF(Paramètres!M19="",NA(),IF(LEFT(TRIM(Paramètres!M19),1)="F",INDEX($F$1301:$F$1353,MATCH(Paramètres!L19,Paramètres!$G$5:$G$57,0)),INDEX($E$1301:$E$1353,MATCH(Paramètres!L19,Paramètres!$G$5:$G$57,0)))+IF(RIGHT(TRIM(Paramètres!M19),3)="Fin",1-$H1315,IF(LEFT(TRIM(Paramètres!M19),1)="F",1,0)))),IF(Paramètres!N19="",0,IF(Paramètres!O19="",NA(),IF(LEFT(TRIM(Paramètres!O19),1)="F",INDEX($F$1301:$F$1353,MATCH(Paramètres!N19,Paramètres!$G$5:$G$57,0)),INDEX($E$1301:$E$1353,MATCH(Paramètres!N19,Paramètres!$G$5:$G$57,0)))+IF(RIGHT(TRIM(Paramètres!O19),3)="Fin",1-$H1315,IF(LEFT(TRIM(Paramètres!O19),1)="F",1,0)))))))</f>
        <v/>
      </c>
      <c r="F1315" s="19">
        <f>IF($A1315="","",E1315+$H1315-1)</f>
        <v/>
      </c>
      <c r="G1315" s="18" t="n"/>
      <c r="H1315" s="18">
        <f>IF($A1315="","",IF(I1315&lt;&gt;"",I1315,Paramètres!B19))</f>
        <v/>
      </c>
      <c r="I1315" s="18" t="n"/>
    </row>
    <row r="1316">
      <c r="A1316" s="18">
        <f>IF(ISNUMBER(Dossiers!$D$28),Dossiers!$A$28&amp;" · "&amp;Dossiers!$B$28,"")</f>
        <v/>
      </c>
      <c r="B1316" s="18">
        <f>IF($A1316="","",Paramètres!G20)</f>
        <v/>
      </c>
      <c r="C1316" s="18">
        <f>IF($A1316="","",IF(Paramètres!H20="","",Paramètres!H20))</f>
        <v/>
      </c>
      <c r="D1316" s="18">
        <f>IF($A1316="","",IF(Paramètres!I20="","",Paramètres!I20))</f>
        <v/>
      </c>
      <c r="E1316" s="19">
        <f>IF($A1316="","",IF(Paramètres!J20&amp;Paramètres!L20&amp;Paramètres!N20="",Dossiers!$D$28,MAX(IF(Paramètres!J20="",0,IF(Paramètres!K20="",NA(),IF(LEFT(TRIM(Paramètres!K20),1)="F",INDEX($F$1301:$F$1353,MATCH(Paramètres!J20,Paramètres!$G$5:$G$57,0)),INDEX($E$1301:$E$1353,MATCH(Paramètres!J20,Paramètres!$G$5:$G$57,0)))+IF(RIGHT(TRIM(Paramètres!K20),3)="Fin",1-$H1316,IF(LEFT(TRIM(Paramètres!K20),1)="F",1,0)))),IF(Paramètres!L20="",0,IF(Paramètres!M20="",NA(),IF(LEFT(TRIM(Paramètres!M20),1)="F",INDEX($F$1301:$F$1353,MATCH(Paramètres!L20,Paramètres!$G$5:$G$57,0)),INDEX($E$1301:$E$1353,MATCH(Paramètres!L20,Paramètres!$G$5:$G$57,0)))+IF(RIGHT(TRIM(Paramètres!M20),3)="Fin",1-$H1316,IF(LEFT(TRIM(Paramètres!M20),1)="F",1,0)))),IF(Paramètres!N20="",0,IF(Paramètres!O20="",NA(),IF(LEFT(TRIM(Paramètres!O20),1)="F",INDEX($F$1301:$F$1353,MATCH(Paramètres!N20,Paramètres!$G$5:$G$57,0)),INDEX($E$1301:$E$1353,MATCH(Paramètres!N20,Paramètres!$G$5:$G$57,0)))+IF(RIGHT(TRIM(Paramètres!O20),3)="Fin",1-$H1316,IF(LEFT(TRIM(Paramètres!O20),1)="F",1,0)))))))</f>
        <v/>
      </c>
      <c r="F1316" s="19">
        <f>IF($A1316="","",E1316+$H1316-1)</f>
        <v/>
      </c>
      <c r="G1316" s="18" t="n"/>
      <c r="H1316" s="18">
        <f>IF($A1316="","",IF(I1316&lt;&gt;"",I1316,Paramètres!B20))</f>
        <v/>
      </c>
      <c r="I1316" s="18" t="n"/>
    </row>
    <row r="1317">
      <c r="A1317" s="18">
        <f>IF(ISNUMBER(Dossiers!$D$28),Dossiers!$A$28&amp;" · "&amp;Dossiers!$B$28,"")</f>
        <v/>
      </c>
      <c r="B1317" s="18">
        <f>IF($A1317="","",Paramètres!G21)</f>
        <v/>
      </c>
      <c r="C1317" s="18">
        <f>IF($A1317="","",IF(Paramètres!H21="","",Paramètres!H21))</f>
        <v/>
      </c>
      <c r="D1317" s="18">
        <f>IF($A1317="","",IF(Paramètres!I21="","",Paramètres!I21))</f>
        <v/>
      </c>
      <c r="E1317" s="19">
        <f>IF($A1317="","",IF(Paramètres!J21&amp;Paramètres!L21&amp;Paramètres!N21="",Dossiers!$D$28,MAX(IF(Paramètres!J21="",0,IF(Paramètres!K21="",NA(),IF(LEFT(TRIM(Paramètres!K21),1)="F",INDEX($F$1301:$F$1353,MATCH(Paramètres!J21,Paramètres!$G$5:$G$57,0)),INDEX($E$1301:$E$1353,MATCH(Paramètres!J21,Paramètres!$G$5:$G$57,0)))+IF(RIGHT(TRIM(Paramètres!K21),3)="Fin",1-$H1317,IF(LEFT(TRIM(Paramètres!K21),1)="F",1,0)))),IF(Paramètres!L21="",0,IF(Paramètres!M21="",NA(),IF(LEFT(TRIM(Paramètres!M21),1)="F",INDEX($F$1301:$F$1353,MATCH(Paramètres!L21,Paramètres!$G$5:$G$57,0)),INDEX($E$1301:$E$1353,MATCH(Paramètres!L21,Paramètres!$G$5:$G$57,0)))+IF(RIGHT(TRIM(Paramètres!M21),3)="Fin",1-$H1317,IF(LEFT(TRIM(Paramètres!M21),1)="F",1,0)))),IF(Paramètres!N21="",0,IF(Paramètres!O21="",NA(),IF(LEFT(TRIM(Paramètres!O21),1)="F",INDEX($F$1301:$F$1353,MATCH(Paramètres!N21,Paramètres!$G$5:$G$57,0)),INDEX($E$1301:$E$1353,MATCH(Paramètres!N21,Paramètres!$G$5:$G$57,0)))+IF(RIGHT(TRIM(Paramètres!O21),3)="Fin",1-$H1317,IF(LEFT(TRIM(Paramètres!O21),1)="F",1,0)))))))</f>
        <v/>
      </c>
      <c r="F1317" s="19">
        <f>IF($A1317="","",E1317+$H1317-1)</f>
        <v/>
      </c>
      <c r="G1317" s="18" t="n"/>
      <c r="H1317" s="18">
        <f>IF($A1317="","",IF(I1317&lt;&gt;"",I1317,Paramètres!B21))</f>
        <v/>
      </c>
      <c r="I1317" s="18" t="n"/>
    </row>
    <row r="1318">
      <c r="A1318" s="18">
        <f>IF(ISNUMBER(Dossiers!$D$28),Dossiers!$A$28&amp;" · "&amp;Dossiers!$B$28,"")</f>
        <v/>
      </c>
      <c r="B1318" s="18">
        <f>IF($A1318="","",Paramètres!G22)</f>
        <v/>
      </c>
      <c r="C1318" s="18">
        <f>IF($A1318="","",IF(Paramètres!H22="","",Paramètres!H22))</f>
        <v/>
      </c>
      <c r="D1318" s="18">
        <f>IF($A1318="","",IF(Paramètres!I22="","",Paramètres!I22))</f>
        <v/>
      </c>
      <c r="E1318" s="19">
        <f>IF($A1318="","",IF(Paramètres!J22&amp;Paramètres!L22&amp;Paramètres!N22="",Dossiers!$D$28,MAX(IF(Paramètres!J22="",0,IF(Paramètres!K22="",NA(),IF(LEFT(TRIM(Paramètres!K22),1)="F",INDEX($F$1301:$F$1353,MATCH(Paramètres!J22,Paramètres!$G$5:$G$57,0)),INDEX($E$1301:$E$1353,MATCH(Paramètres!J22,Paramètres!$G$5:$G$57,0)))+IF(RIGHT(TRIM(Paramètres!K22),3)="Fin",1-$H1318,IF(LEFT(TRIM(Paramètres!K22),1)="F",1,0)))),IF(Paramètres!L22="",0,IF(Paramètres!M22="",NA(),IF(LEFT(TRIM(Paramètres!M22),1)="F",INDEX($F$1301:$F$1353,MATCH(Paramètres!L22,Paramètres!$G$5:$G$57,0)),INDEX($E$1301:$E$1353,MATCH(Paramètres!L22,Paramètres!$G$5:$G$57,0)))+IF(RIGHT(TRIM(Paramètres!M22),3)="Fin",1-$H1318,IF(LEFT(TRIM(Paramètres!M22),1)="F",1,0)))),IF(Paramètres!N22="",0,IF(Paramètres!O22="",NA(),IF(LEFT(TRIM(Paramètres!O22),1)="F",INDEX($F$1301:$F$1353,MATCH(Paramètres!N22,Paramètres!$G$5:$G$57,0)),INDEX($E$1301:$E$1353,MATCH(Paramètres!N22,Paramètres!$G$5:$G$57,0)))+IF(RIGHT(TRIM(Paramètres!O22),3)="Fin",1-$H1318,IF(LEFT(TRIM(Paramètres!O22),1)="F",1,0)))))))</f>
        <v/>
      </c>
      <c r="F1318" s="19">
        <f>IF($A1318="","",E1318+$H1318-1)</f>
        <v/>
      </c>
      <c r="G1318" s="18" t="n"/>
      <c r="H1318" s="18">
        <f>IF($A1318="","",IF(I1318&lt;&gt;"",I1318,Paramètres!B22))</f>
        <v/>
      </c>
      <c r="I1318" s="18" t="n"/>
    </row>
    <row r="1319">
      <c r="A1319" s="18">
        <f>IF(ISNUMBER(Dossiers!$D$28),Dossiers!$A$28&amp;" · "&amp;Dossiers!$B$28,"")</f>
        <v/>
      </c>
      <c r="B1319" s="18">
        <f>IF($A1319="","",Paramètres!G23)</f>
        <v/>
      </c>
      <c r="C1319" s="18">
        <f>IF($A1319="","",IF(Paramètres!H23="","",Paramètres!H23))</f>
        <v/>
      </c>
      <c r="D1319" s="18">
        <f>IF($A1319="","",IF(Paramètres!I23="","",Paramètres!I23))</f>
        <v/>
      </c>
      <c r="E1319" s="19">
        <f>IF($A1319="","",IF(Paramètres!J23&amp;Paramètres!L23&amp;Paramètres!N23="",Dossiers!$D$28,MAX(IF(Paramètres!J23="",0,IF(Paramètres!K23="",NA(),IF(LEFT(TRIM(Paramètres!K23),1)="F",INDEX($F$1301:$F$1353,MATCH(Paramètres!J23,Paramètres!$G$5:$G$57,0)),INDEX($E$1301:$E$1353,MATCH(Paramètres!J23,Paramètres!$G$5:$G$57,0)))+IF(RIGHT(TRIM(Paramètres!K23),3)="Fin",1-$H1319,IF(LEFT(TRIM(Paramètres!K23),1)="F",1,0)))),IF(Paramètres!L23="",0,IF(Paramètres!M23="",NA(),IF(LEFT(TRIM(Paramètres!M23),1)="F",INDEX($F$1301:$F$1353,MATCH(Paramètres!L23,Paramètres!$G$5:$G$57,0)),INDEX($E$1301:$E$1353,MATCH(Paramètres!L23,Paramètres!$G$5:$G$57,0)))+IF(RIGHT(TRIM(Paramètres!M23),3)="Fin",1-$H1319,IF(LEFT(TRIM(Paramètres!M23),1)="F",1,0)))),IF(Paramètres!N23="",0,IF(Paramètres!O23="",NA(),IF(LEFT(TRIM(Paramètres!O23),1)="F",INDEX($F$1301:$F$1353,MATCH(Paramètres!N23,Paramètres!$G$5:$G$57,0)),INDEX($E$1301:$E$1353,MATCH(Paramètres!N23,Paramètres!$G$5:$G$57,0)))+IF(RIGHT(TRIM(Paramètres!O23),3)="Fin",1-$H1319,IF(LEFT(TRIM(Paramètres!O23),1)="F",1,0)))))))</f>
        <v/>
      </c>
      <c r="F1319" s="19">
        <f>IF($A1319="","",E1319+$H1319-1)</f>
        <v/>
      </c>
      <c r="G1319" s="18" t="n"/>
      <c r="H1319" s="18">
        <f>IF($A1319="","",IF(I1319&lt;&gt;"",I1319,Paramètres!B23))</f>
        <v/>
      </c>
      <c r="I1319" s="18" t="n"/>
    </row>
    <row r="1320">
      <c r="A1320" s="18">
        <f>IF(ISNUMBER(Dossiers!$D$28),Dossiers!$A$28&amp;" · "&amp;Dossiers!$B$28,"")</f>
        <v/>
      </c>
      <c r="B1320" s="18">
        <f>IF($A1320="","",Paramètres!G24)</f>
        <v/>
      </c>
      <c r="C1320" s="18">
        <f>IF($A1320="","",IF(Paramètres!H24="","",Paramètres!H24))</f>
        <v/>
      </c>
      <c r="D1320" s="18">
        <f>IF($A1320="","",IF(Paramètres!I24="","",Paramètres!I24))</f>
        <v/>
      </c>
      <c r="E1320" s="19">
        <f>IF($A1320="","",IF(Paramètres!J24&amp;Paramètres!L24&amp;Paramètres!N24="",Dossiers!$D$28,MAX(IF(Paramètres!J24="",0,IF(Paramètres!K24="",NA(),IF(LEFT(TRIM(Paramètres!K24),1)="F",INDEX($F$1301:$F$1353,MATCH(Paramètres!J24,Paramètres!$G$5:$G$57,0)),INDEX($E$1301:$E$1353,MATCH(Paramètres!J24,Paramètres!$G$5:$G$57,0)))+IF(RIGHT(TRIM(Paramètres!K24),3)="Fin",1-$H1320,IF(LEFT(TRIM(Paramètres!K24),1)="F",1,0)))),IF(Paramètres!L24="",0,IF(Paramètres!M24="",NA(),IF(LEFT(TRIM(Paramètres!M24),1)="F",INDEX($F$1301:$F$1353,MATCH(Paramètres!L24,Paramètres!$G$5:$G$57,0)),INDEX($E$1301:$E$1353,MATCH(Paramètres!L24,Paramètres!$G$5:$G$57,0)))+IF(RIGHT(TRIM(Paramètres!M24),3)="Fin",1-$H1320,IF(LEFT(TRIM(Paramètres!M24),1)="F",1,0)))),IF(Paramètres!N24="",0,IF(Paramètres!O24="",NA(),IF(LEFT(TRIM(Paramètres!O24),1)="F",INDEX($F$1301:$F$1353,MATCH(Paramètres!N24,Paramètres!$G$5:$G$57,0)),INDEX($E$1301:$E$1353,MATCH(Paramètres!N24,Paramètres!$G$5:$G$57,0)))+IF(RIGHT(TRIM(Paramètres!O24),3)="Fin",1-$H1320,IF(LEFT(TRIM(Paramètres!O24),1)="F",1,0)))))))</f>
        <v/>
      </c>
      <c r="F1320" s="19">
        <f>IF($A1320="","",E1320+$H1320-1)</f>
        <v/>
      </c>
      <c r="G1320" s="18" t="n"/>
      <c r="H1320" s="18">
        <f>IF($A1320="","",IF(I1320&lt;&gt;"",I1320,Paramètres!B24))</f>
        <v/>
      </c>
      <c r="I1320" s="18" t="n"/>
    </row>
    <row r="1321">
      <c r="A1321" s="18">
        <f>IF(ISNUMBER(Dossiers!$D$28),Dossiers!$A$28&amp;" · "&amp;Dossiers!$B$28,"")</f>
        <v/>
      </c>
      <c r="B1321" s="18">
        <f>IF($A1321="","",Paramètres!G25)</f>
        <v/>
      </c>
      <c r="C1321" s="18">
        <f>IF($A1321="","",IF(Paramètres!H25="","",Paramètres!H25))</f>
        <v/>
      </c>
      <c r="D1321" s="18">
        <f>IF($A1321="","",IF(Paramètres!I25="","",Paramètres!I25))</f>
        <v/>
      </c>
      <c r="E1321" s="19">
        <f>IF($A1321="","",IF(Paramètres!J25&amp;Paramètres!L25&amp;Paramètres!N25="",Dossiers!$D$28,MAX(IF(Paramètres!J25="",0,IF(Paramètres!K25="",NA(),IF(LEFT(TRIM(Paramètres!K25),1)="F",INDEX($F$1301:$F$1353,MATCH(Paramètres!J25,Paramètres!$G$5:$G$57,0)),INDEX($E$1301:$E$1353,MATCH(Paramètres!J25,Paramètres!$G$5:$G$57,0)))+IF(RIGHT(TRIM(Paramètres!K25),3)="Fin",1-$H1321,IF(LEFT(TRIM(Paramètres!K25),1)="F",1,0)))),IF(Paramètres!L25="",0,IF(Paramètres!M25="",NA(),IF(LEFT(TRIM(Paramètres!M25),1)="F",INDEX($F$1301:$F$1353,MATCH(Paramètres!L25,Paramètres!$G$5:$G$57,0)),INDEX($E$1301:$E$1353,MATCH(Paramètres!L25,Paramètres!$G$5:$G$57,0)))+IF(RIGHT(TRIM(Paramètres!M25),3)="Fin",1-$H1321,IF(LEFT(TRIM(Paramètres!M25),1)="F",1,0)))),IF(Paramètres!N25="",0,IF(Paramètres!O25="",NA(),IF(LEFT(TRIM(Paramètres!O25),1)="F",INDEX($F$1301:$F$1353,MATCH(Paramètres!N25,Paramètres!$G$5:$G$57,0)),INDEX($E$1301:$E$1353,MATCH(Paramètres!N25,Paramètres!$G$5:$G$57,0)))+IF(RIGHT(TRIM(Paramètres!O25),3)="Fin",1-$H1321,IF(LEFT(TRIM(Paramètres!O25),1)="F",1,0)))))))</f>
        <v/>
      </c>
      <c r="F1321" s="19">
        <f>IF($A1321="","",E1321+$H1321-1)</f>
        <v/>
      </c>
      <c r="G1321" s="18" t="n"/>
      <c r="H1321" s="18">
        <f>IF($A1321="","",IF(I1321&lt;&gt;"",I1321,Paramètres!B25))</f>
        <v/>
      </c>
      <c r="I1321" s="18" t="n"/>
    </row>
    <row r="1322">
      <c r="A1322" s="18">
        <f>IF(ISNUMBER(Dossiers!$D$28),Dossiers!$A$28&amp;" · "&amp;Dossiers!$B$28,"")</f>
        <v/>
      </c>
      <c r="B1322" s="18">
        <f>IF($A1322="","",Paramètres!G26)</f>
        <v/>
      </c>
      <c r="C1322" s="18">
        <f>IF($A1322="","",IF(Paramètres!H26="","",Paramètres!H26))</f>
        <v/>
      </c>
      <c r="D1322" s="18">
        <f>IF($A1322="","",IF(Paramètres!I26="","",Paramètres!I26))</f>
        <v/>
      </c>
      <c r="E1322" s="19">
        <f>IF($A1322="","",IF(Paramètres!J26&amp;Paramètres!L26&amp;Paramètres!N26="",Dossiers!$D$28,MAX(IF(Paramètres!J26="",0,IF(Paramètres!K26="",NA(),IF(LEFT(TRIM(Paramètres!K26),1)="F",INDEX($F$1301:$F$1353,MATCH(Paramètres!J26,Paramètres!$G$5:$G$57,0)),INDEX($E$1301:$E$1353,MATCH(Paramètres!J26,Paramètres!$G$5:$G$57,0)))+IF(RIGHT(TRIM(Paramètres!K26),3)="Fin",1-$H1322,IF(LEFT(TRIM(Paramètres!K26),1)="F",1,0)))),IF(Paramètres!L26="",0,IF(Paramètres!M26="",NA(),IF(LEFT(TRIM(Paramètres!M26),1)="F",INDEX($F$1301:$F$1353,MATCH(Paramètres!L26,Paramètres!$G$5:$G$57,0)),INDEX($E$1301:$E$1353,MATCH(Paramètres!L26,Paramètres!$G$5:$G$57,0)))+IF(RIGHT(TRIM(Paramètres!M26),3)="Fin",1-$H1322,IF(LEFT(TRIM(Paramètres!M26),1)="F",1,0)))),IF(Paramètres!N26="",0,IF(Paramètres!O26="",NA(),IF(LEFT(TRIM(Paramètres!O26),1)="F",INDEX($F$1301:$F$1353,MATCH(Paramètres!N26,Paramètres!$G$5:$G$57,0)),INDEX($E$1301:$E$1353,MATCH(Paramètres!N26,Paramètres!$G$5:$G$57,0)))+IF(RIGHT(TRIM(Paramètres!O26),3)="Fin",1-$H1322,IF(LEFT(TRIM(Paramètres!O26),1)="F",1,0)))))))</f>
        <v/>
      </c>
      <c r="F1322" s="19">
        <f>IF($A1322="","",E1322+$H1322-1)</f>
        <v/>
      </c>
      <c r="G1322" s="18" t="n"/>
      <c r="H1322" s="18">
        <f>IF($A1322="","",IF(I1322&lt;&gt;"",I1322,Paramètres!B26))</f>
        <v/>
      </c>
      <c r="I1322" s="18" t="n"/>
    </row>
    <row r="1323">
      <c r="A1323" s="18">
        <f>IF(ISNUMBER(Dossiers!$D$28),Dossiers!$A$28&amp;" · "&amp;Dossiers!$B$28,"")</f>
        <v/>
      </c>
      <c r="B1323" s="18">
        <f>IF($A1323="","",Paramètres!G27)</f>
        <v/>
      </c>
      <c r="C1323" s="18">
        <f>IF($A1323="","",IF(Paramètres!H27="","",Paramètres!H27))</f>
        <v/>
      </c>
      <c r="D1323" s="18">
        <f>IF($A1323="","",IF(Paramètres!I27="","",Paramètres!I27))</f>
        <v/>
      </c>
      <c r="E1323" s="19">
        <f>IF($A1323="","",IF(Paramètres!J27&amp;Paramètres!L27&amp;Paramètres!N27="",Dossiers!$D$28,MAX(IF(Paramètres!J27="",0,IF(Paramètres!K27="",NA(),IF(LEFT(TRIM(Paramètres!K27),1)="F",INDEX($F$1301:$F$1353,MATCH(Paramètres!J27,Paramètres!$G$5:$G$57,0)),INDEX($E$1301:$E$1353,MATCH(Paramètres!J27,Paramètres!$G$5:$G$57,0)))+IF(RIGHT(TRIM(Paramètres!K27),3)="Fin",1-$H1323,IF(LEFT(TRIM(Paramètres!K27),1)="F",1,0)))),IF(Paramètres!L27="",0,IF(Paramètres!M27="",NA(),IF(LEFT(TRIM(Paramètres!M27),1)="F",INDEX($F$1301:$F$1353,MATCH(Paramètres!L27,Paramètres!$G$5:$G$57,0)),INDEX($E$1301:$E$1353,MATCH(Paramètres!L27,Paramètres!$G$5:$G$57,0)))+IF(RIGHT(TRIM(Paramètres!M27),3)="Fin",1-$H1323,IF(LEFT(TRIM(Paramètres!M27),1)="F",1,0)))),IF(Paramètres!N27="",0,IF(Paramètres!O27="",NA(),IF(LEFT(TRIM(Paramètres!O27),1)="F",INDEX($F$1301:$F$1353,MATCH(Paramètres!N27,Paramètres!$G$5:$G$57,0)),INDEX($E$1301:$E$1353,MATCH(Paramètres!N27,Paramètres!$G$5:$G$57,0)))+IF(RIGHT(TRIM(Paramètres!O27),3)="Fin",1-$H1323,IF(LEFT(TRIM(Paramètres!O27),1)="F",1,0)))))))</f>
        <v/>
      </c>
      <c r="F1323" s="19">
        <f>IF($A1323="","",E1323+$H1323-1)</f>
        <v/>
      </c>
      <c r="G1323" s="18" t="n"/>
      <c r="H1323" s="18">
        <f>IF($A1323="","",IF(I1323&lt;&gt;"",I1323,Paramètres!B27))</f>
        <v/>
      </c>
      <c r="I1323" s="18" t="n"/>
    </row>
    <row r="1324">
      <c r="A1324" s="18">
        <f>IF(ISNUMBER(Dossiers!$D$28),Dossiers!$A$28&amp;" · "&amp;Dossiers!$B$28,"")</f>
        <v/>
      </c>
      <c r="B1324" s="18">
        <f>IF($A1324="","",Paramètres!G28)</f>
        <v/>
      </c>
      <c r="C1324" s="18">
        <f>IF($A1324="","",IF(Paramètres!H28="","",Paramètres!H28))</f>
        <v/>
      </c>
      <c r="D1324" s="18">
        <f>IF($A1324="","",IF(Paramètres!I28="","",Paramètres!I28))</f>
        <v/>
      </c>
      <c r="E1324" s="19">
        <f>IF($A1324="","",IF(Paramètres!J28&amp;Paramètres!L28&amp;Paramètres!N28="",Dossiers!$D$28,MAX(IF(Paramètres!J28="",0,IF(Paramètres!K28="",NA(),IF(LEFT(TRIM(Paramètres!K28),1)="F",INDEX($F$1301:$F$1353,MATCH(Paramètres!J28,Paramètres!$G$5:$G$57,0)),INDEX($E$1301:$E$1353,MATCH(Paramètres!J28,Paramètres!$G$5:$G$57,0)))+IF(RIGHT(TRIM(Paramètres!K28),3)="Fin",1-$H1324,IF(LEFT(TRIM(Paramètres!K28),1)="F",1,0)))),IF(Paramètres!L28="",0,IF(Paramètres!M28="",NA(),IF(LEFT(TRIM(Paramètres!M28),1)="F",INDEX($F$1301:$F$1353,MATCH(Paramètres!L28,Paramètres!$G$5:$G$57,0)),INDEX($E$1301:$E$1353,MATCH(Paramètres!L28,Paramètres!$G$5:$G$57,0)))+IF(RIGHT(TRIM(Paramètres!M28),3)="Fin",1-$H1324,IF(LEFT(TRIM(Paramètres!M28),1)="F",1,0)))),IF(Paramètres!N28="",0,IF(Paramètres!O28="",NA(),IF(LEFT(TRIM(Paramètres!O28),1)="F",INDEX($F$1301:$F$1353,MATCH(Paramètres!N28,Paramètres!$G$5:$G$57,0)),INDEX($E$1301:$E$1353,MATCH(Paramètres!N28,Paramètres!$G$5:$G$57,0)))+IF(RIGHT(TRIM(Paramètres!O28),3)="Fin",1-$H1324,IF(LEFT(TRIM(Paramètres!O28),1)="F",1,0)))))))</f>
        <v/>
      </c>
      <c r="F1324" s="19">
        <f>IF($A1324="","",E1324+$H1324-1)</f>
        <v/>
      </c>
      <c r="G1324" s="18" t="n"/>
      <c r="H1324" s="18">
        <f>IF($A1324="","",IF(I1324&lt;&gt;"",I1324,Paramètres!B28))</f>
        <v/>
      </c>
      <c r="I1324" s="18" t="n"/>
    </row>
    <row r="1325">
      <c r="A1325" s="18">
        <f>IF(ISNUMBER(Dossiers!$D$28),Dossiers!$A$28&amp;" · "&amp;Dossiers!$B$28,"")</f>
        <v/>
      </c>
      <c r="B1325" s="18">
        <f>IF($A1325="","",Paramètres!G29)</f>
        <v/>
      </c>
      <c r="C1325" s="18">
        <f>IF($A1325="","",IF(Paramètres!H29="","",Paramètres!H29))</f>
        <v/>
      </c>
      <c r="D1325" s="18">
        <f>IF($A1325="","",IF(Paramètres!I29="","",Paramètres!I29))</f>
        <v/>
      </c>
      <c r="E1325" s="19">
        <f>IF($A1325="","",IF(Paramètres!J29&amp;Paramètres!L29&amp;Paramètres!N29="",Dossiers!$D$28,MAX(IF(Paramètres!J29="",0,IF(Paramètres!K29="",NA(),IF(LEFT(TRIM(Paramètres!K29),1)="F",INDEX($F$1301:$F$1353,MATCH(Paramètres!J29,Paramètres!$G$5:$G$57,0)),INDEX($E$1301:$E$1353,MATCH(Paramètres!J29,Paramètres!$G$5:$G$57,0)))+IF(RIGHT(TRIM(Paramètres!K29),3)="Fin",1-$H1325,IF(LEFT(TRIM(Paramètres!K29),1)="F",1,0)))),IF(Paramètres!L29="",0,IF(Paramètres!M29="",NA(),IF(LEFT(TRIM(Paramètres!M29),1)="F",INDEX($F$1301:$F$1353,MATCH(Paramètres!L29,Paramètres!$G$5:$G$57,0)),INDEX($E$1301:$E$1353,MATCH(Paramètres!L29,Paramètres!$G$5:$G$57,0)))+IF(RIGHT(TRIM(Paramètres!M29),3)="Fin",1-$H1325,IF(LEFT(TRIM(Paramètres!M29),1)="F",1,0)))),IF(Paramètres!N29="",0,IF(Paramètres!O29="",NA(),IF(LEFT(TRIM(Paramètres!O29),1)="F",INDEX($F$1301:$F$1353,MATCH(Paramètres!N29,Paramètres!$G$5:$G$57,0)),INDEX($E$1301:$E$1353,MATCH(Paramètres!N29,Paramètres!$G$5:$G$57,0)))+IF(RIGHT(TRIM(Paramètres!O29),3)="Fin",1-$H1325,IF(LEFT(TRIM(Paramètres!O29),1)="F",1,0)))))))</f>
        <v/>
      </c>
      <c r="F1325" s="19">
        <f>IF($A1325="","",E1325+$H1325-1)</f>
        <v/>
      </c>
      <c r="G1325" s="18" t="n"/>
      <c r="H1325" s="18">
        <f>IF($A1325="","",IF(I1325&lt;&gt;"",I1325,Paramètres!B29))</f>
        <v/>
      </c>
      <c r="I1325" s="18" t="n"/>
    </row>
    <row r="1326">
      <c r="A1326" s="18">
        <f>IF(ISNUMBER(Dossiers!$D$28),Dossiers!$A$28&amp;" · "&amp;Dossiers!$B$28,"")</f>
        <v/>
      </c>
      <c r="B1326" s="18">
        <f>IF($A1326="","",Paramètres!G30)</f>
        <v/>
      </c>
      <c r="C1326" s="18">
        <f>IF($A1326="","",IF(Paramètres!H30="","",Paramètres!H30))</f>
        <v/>
      </c>
      <c r="D1326" s="18">
        <f>IF($A1326="","",IF(Paramètres!I30="","",Paramètres!I30))</f>
        <v/>
      </c>
      <c r="E1326" s="19">
        <f>IF($A1326="","",IF(Paramètres!J30&amp;Paramètres!L30&amp;Paramètres!N30="",Dossiers!$D$28,MAX(IF(Paramètres!J30="",0,IF(Paramètres!K30="",NA(),IF(LEFT(TRIM(Paramètres!K30),1)="F",INDEX($F$1301:$F$1353,MATCH(Paramètres!J30,Paramètres!$G$5:$G$57,0)),INDEX($E$1301:$E$1353,MATCH(Paramètres!J30,Paramètres!$G$5:$G$57,0)))+IF(RIGHT(TRIM(Paramètres!K30),3)="Fin",1-$H1326,IF(LEFT(TRIM(Paramètres!K30),1)="F",1,0)))),IF(Paramètres!L30="",0,IF(Paramètres!M30="",NA(),IF(LEFT(TRIM(Paramètres!M30),1)="F",INDEX($F$1301:$F$1353,MATCH(Paramètres!L30,Paramètres!$G$5:$G$57,0)),INDEX($E$1301:$E$1353,MATCH(Paramètres!L30,Paramètres!$G$5:$G$57,0)))+IF(RIGHT(TRIM(Paramètres!M30),3)="Fin",1-$H1326,IF(LEFT(TRIM(Paramètres!M30),1)="F",1,0)))),IF(Paramètres!N30="",0,IF(Paramètres!O30="",NA(),IF(LEFT(TRIM(Paramètres!O30),1)="F",INDEX($F$1301:$F$1353,MATCH(Paramètres!N30,Paramètres!$G$5:$G$57,0)),INDEX($E$1301:$E$1353,MATCH(Paramètres!N30,Paramètres!$G$5:$G$57,0)))+IF(RIGHT(TRIM(Paramètres!O30),3)="Fin",1-$H1326,IF(LEFT(TRIM(Paramètres!O30),1)="F",1,0)))))))</f>
        <v/>
      </c>
      <c r="F1326" s="19">
        <f>IF($A1326="","",E1326+$H1326-1)</f>
        <v/>
      </c>
      <c r="G1326" s="18" t="n"/>
      <c r="H1326" s="18">
        <f>IF($A1326="","",IF(I1326&lt;&gt;"",I1326,Paramètres!B30))</f>
        <v/>
      </c>
      <c r="I1326" s="18" t="n"/>
    </row>
    <row r="1327">
      <c r="A1327" s="18">
        <f>IF(ISNUMBER(Dossiers!$D$28),Dossiers!$A$28&amp;" · "&amp;Dossiers!$B$28,"")</f>
        <v/>
      </c>
      <c r="B1327" s="18">
        <f>IF($A1327="","",Paramètres!G31)</f>
        <v/>
      </c>
      <c r="C1327" s="20">
        <f>IF($A1327="","",IF(Dossiers!$F$28="","",Dossiers!$F$28))</f>
        <v/>
      </c>
      <c r="D1327" s="18">
        <f>IF($A1327="","",IF(Paramètres!I31="","",Paramètres!I31))</f>
        <v/>
      </c>
      <c r="E1327" s="19">
        <f>IF($A1327="","",IF(Paramètres!J31&amp;Paramètres!L31&amp;Paramètres!N31="",Dossiers!$D$28,MAX(IF(Paramètres!J31="",0,IF(Paramètres!K31="",NA(),IF(LEFT(TRIM(Paramètres!K31),1)="F",INDEX($F$1301:$F$1353,MATCH(Paramètres!J31,Paramètres!$G$5:$G$57,0)),INDEX($E$1301:$E$1353,MATCH(Paramètres!J31,Paramètres!$G$5:$G$57,0)))+IF(RIGHT(TRIM(Paramètres!K31),3)="Fin",1-$H1327,IF(LEFT(TRIM(Paramètres!K31),1)="F",1,0)))),IF(Paramètres!L31="",0,IF(Paramètres!M31="",NA(),IF(LEFT(TRIM(Paramètres!M31),1)="F",INDEX($F$1301:$F$1353,MATCH(Paramètres!L31,Paramètres!$G$5:$G$57,0)),INDEX($E$1301:$E$1353,MATCH(Paramètres!L31,Paramètres!$G$5:$G$57,0)))+IF(RIGHT(TRIM(Paramètres!M31),3)="Fin",1-$H1327,IF(LEFT(TRIM(Paramètres!M31),1)="F",1,0)))),IF(Paramètres!N31="",0,IF(Paramètres!O31="",NA(),IF(LEFT(TRIM(Paramètres!O31),1)="F",INDEX($F$1301:$F$1353,MATCH(Paramètres!N31,Paramètres!$G$5:$G$57,0)),INDEX($E$1301:$E$1353,MATCH(Paramètres!N31,Paramètres!$G$5:$G$57,0)))+IF(RIGHT(TRIM(Paramètres!O31),3)="Fin",1-$H1327,IF(LEFT(TRIM(Paramètres!O31),1)="F",1,0)))))))</f>
        <v/>
      </c>
      <c r="F1327" s="19">
        <f>IF($A1327="","",E1327+$H1327-1)</f>
        <v/>
      </c>
      <c r="G1327" s="18" t="n"/>
      <c r="H1327" s="18">
        <f>IF($A1327="","",IF(I1327&lt;&gt;"",I1327,Paramètres!B31))</f>
        <v/>
      </c>
      <c r="I1327" s="18" t="n"/>
    </row>
    <row r="1328">
      <c r="A1328" s="18">
        <f>IF(ISNUMBER(Dossiers!$D$28),Dossiers!$A$28&amp;" · "&amp;Dossiers!$B$28,"")</f>
        <v/>
      </c>
      <c r="B1328" s="18">
        <f>IF($A1328="","",Paramètres!G32)</f>
        <v/>
      </c>
      <c r="C1328" s="18">
        <f>IF($A1328="","",IF(Paramètres!H32="","",Paramètres!H32))</f>
        <v/>
      </c>
      <c r="D1328" s="18">
        <f>IF($A1328="","",IF(Paramètres!I32="","",Paramètres!I32))</f>
        <v/>
      </c>
      <c r="E1328" s="19">
        <f>IF($A1328="","",MIN(E1329:E1332))</f>
        <v/>
      </c>
      <c r="F1328" s="19">
        <f>IF($A1328="","",MAX(F1329:F1332))</f>
        <v/>
      </c>
      <c r="G1328" s="18" t="n"/>
      <c r="H1328" s="18">
        <f>IF($A1328="","",F1328-E1328+1)</f>
        <v/>
      </c>
      <c r="I1328" s="18" t="n"/>
    </row>
    <row r="1329">
      <c r="A1329" s="18">
        <f>IF(ISNUMBER(Dossiers!$D$28),Dossiers!$A$28&amp;" · "&amp;Dossiers!$B$28,"")</f>
        <v/>
      </c>
      <c r="B1329" s="18">
        <f>IF($A1329="","",Paramètres!G33)</f>
        <v/>
      </c>
      <c r="C1329" s="18">
        <f>IF($A1329="","",IF(Paramètres!H33="","",Paramètres!H33))</f>
        <v/>
      </c>
      <c r="D1329" s="18">
        <f>IF($A1329="","",IF(Paramètres!I33="","",Paramètres!I33))</f>
        <v/>
      </c>
      <c r="E1329" s="19">
        <f>IF($A1329="","",IF(Paramètres!J33&amp;Paramètres!L33&amp;Paramètres!N33="",Dossiers!$D$28,MAX(IF(Paramètres!J33="",0,IF(Paramètres!K33="",NA(),IF(LEFT(TRIM(Paramètres!K33),1)="F",INDEX($F$1301:$F$1353,MATCH(Paramètres!J33,Paramètres!$G$5:$G$57,0)),INDEX($E$1301:$E$1353,MATCH(Paramètres!J33,Paramètres!$G$5:$G$57,0)))+IF(RIGHT(TRIM(Paramètres!K33),3)="Fin",1-$H1329,IF(LEFT(TRIM(Paramètres!K33),1)="F",1,0)))),IF(Paramètres!L33="",0,IF(Paramètres!M33="",NA(),IF(LEFT(TRIM(Paramètres!M33),1)="F",INDEX($F$1301:$F$1353,MATCH(Paramètres!L33,Paramètres!$G$5:$G$57,0)),INDEX($E$1301:$E$1353,MATCH(Paramètres!L33,Paramètres!$G$5:$G$57,0)))+IF(RIGHT(TRIM(Paramètres!M33),3)="Fin",1-$H1329,IF(LEFT(TRIM(Paramètres!M33),1)="F",1,0)))),IF(Paramètres!N33="",0,IF(Paramètres!O33="",NA(),IF(LEFT(TRIM(Paramètres!O33),1)="F",INDEX($F$1301:$F$1353,MATCH(Paramètres!N33,Paramètres!$G$5:$G$57,0)),INDEX($E$1301:$E$1353,MATCH(Paramètres!N33,Paramètres!$G$5:$G$57,0)))+IF(RIGHT(TRIM(Paramètres!O33),3)="Fin",1-$H1329,IF(LEFT(TRIM(Paramètres!O33),1)="F",1,0)))))))</f>
        <v/>
      </c>
      <c r="F1329" s="19">
        <f>IF($A1329="","",E1329+$H1329-1)</f>
        <v/>
      </c>
      <c r="G1329" s="18" t="n"/>
      <c r="H1329" s="18">
        <f>IF($A1329="","",IF(I1329&lt;&gt;"",I1329,Paramètres!B33))</f>
        <v/>
      </c>
      <c r="I1329" s="18" t="n"/>
    </row>
    <row r="1330">
      <c r="A1330" s="18">
        <f>IF(ISNUMBER(Dossiers!$D$28),Dossiers!$A$28&amp;" · "&amp;Dossiers!$B$28,"")</f>
        <v/>
      </c>
      <c r="B1330" s="18">
        <f>IF($A1330="","",Paramètres!G34)</f>
        <v/>
      </c>
      <c r="C1330" s="18">
        <f>IF($A1330="","",IF(Paramètres!H34="","",Paramètres!H34))</f>
        <v/>
      </c>
      <c r="D1330" s="18">
        <f>IF($A1330="","",IF(Paramètres!I34="","",Paramètres!I34))</f>
        <v/>
      </c>
      <c r="E1330" s="19">
        <f>IF($A1330="","",IF(Paramètres!J34&amp;Paramètres!L34&amp;Paramètres!N34="",Dossiers!$D$28,MAX(IF(Paramètres!J34="",0,IF(Paramètres!K34="",NA(),IF(LEFT(TRIM(Paramètres!K34),1)="F",INDEX($F$1301:$F$1353,MATCH(Paramètres!J34,Paramètres!$G$5:$G$57,0)),INDEX($E$1301:$E$1353,MATCH(Paramètres!J34,Paramètres!$G$5:$G$57,0)))+IF(RIGHT(TRIM(Paramètres!K34),3)="Fin",1-$H1330,IF(LEFT(TRIM(Paramètres!K34),1)="F",1,0)))),IF(Paramètres!L34="",0,IF(Paramètres!M34="",NA(),IF(LEFT(TRIM(Paramètres!M34),1)="F",INDEX($F$1301:$F$1353,MATCH(Paramètres!L34,Paramètres!$G$5:$G$57,0)),INDEX($E$1301:$E$1353,MATCH(Paramètres!L34,Paramètres!$G$5:$G$57,0)))+IF(RIGHT(TRIM(Paramètres!M34),3)="Fin",1-$H1330,IF(LEFT(TRIM(Paramètres!M34),1)="F",1,0)))),IF(Paramètres!N34="",0,IF(Paramètres!O34="",NA(),IF(LEFT(TRIM(Paramètres!O34),1)="F",INDEX($F$1301:$F$1353,MATCH(Paramètres!N34,Paramètres!$G$5:$G$57,0)),INDEX($E$1301:$E$1353,MATCH(Paramètres!N34,Paramètres!$G$5:$G$57,0)))+IF(RIGHT(TRIM(Paramètres!O34),3)="Fin",1-$H1330,IF(LEFT(TRIM(Paramètres!O34),1)="F",1,0)))))))</f>
        <v/>
      </c>
      <c r="F1330" s="19">
        <f>IF($A1330="","",E1330+$H1330-1)</f>
        <v/>
      </c>
      <c r="G1330" s="18" t="n"/>
      <c r="H1330" s="18">
        <f>IF($A1330="","",IF(I1330&lt;&gt;"",I1330,Paramètres!B34))</f>
        <v/>
      </c>
      <c r="I1330" s="18" t="n"/>
    </row>
    <row r="1331">
      <c r="A1331" s="18">
        <f>IF(ISNUMBER(Dossiers!$D$28),Dossiers!$A$28&amp;" · "&amp;Dossiers!$B$28,"")</f>
        <v/>
      </c>
      <c r="B1331" s="18">
        <f>IF($A1331="","",Paramètres!G35)</f>
        <v/>
      </c>
      <c r="C1331" s="18">
        <f>IF($A1331="","",IF(Paramètres!H35="","",Paramètres!H35))</f>
        <v/>
      </c>
      <c r="D1331" s="18">
        <f>IF($A1331="","",IF(Paramètres!I35="","",Paramètres!I35))</f>
        <v/>
      </c>
      <c r="E1331" s="19">
        <f>IF($A1331="","",IF(Paramètres!J35&amp;Paramètres!L35&amp;Paramètres!N35="",Dossiers!$D$28,MAX(IF(Paramètres!J35="",0,IF(Paramètres!K35="",NA(),IF(LEFT(TRIM(Paramètres!K35),1)="F",INDEX($F$1301:$F$1353,MATCH(Paramètres!J35,Paramètres!$G$5:$G$57,0)),INDEX($E$1301:$E$1353,MATCH(Paramètres!J35,Paramètres!$G$5:$G$57,0)))+IF(RIGHT(TRIM(Paramètres!K35),3)="Fin",1-$H1331,IF(LEFT(TRIM(Paramètres!K35),1)="F",1,0)))),IF(Paramètres!L35="",0,IF(Paramètres!M35="",NA(),IF(LEFT(TRIM(Paramètres!M35),1)="F",INDEX($F$1301:$F$1353,MATCH(Paramètres!L35,Paramètres!$G$5:$G$57,0)),INDEX($E$1301:$E$1353,MATCH(Paramètres!L35,Paramètres!$G$5:$G$57,0)))+IF(RIGHT(TRIM(Paramètres!M35),3)="Fin",1-$H1331,IF(LEFT(TRIM(Paramètres!M35),1)="F",1,0)))),IF(Paramètres!N35="",0,IF(Paramètres!O35="",NA(),IF(LEFT(TRIM(Paramètres!O35),1)="F",INDEX($F$1301:$F$1353,MATCH(Paramètres!N35,Paramètres!$G$5:$G$57,0)),INDEX($E$1301:$E$1353,MATCH(Paramètres!N35,Paramètres!$G$5:$G$57,0)))+IF(RIGHT(TRIM(Paramètres!O35),3)="Fin",1-$H1331,IF(LEFT(TRIM(Paramètres!O35),1)="F",1,0)))))))</f>
        <v/>
      </c>
      <c r="F1331" s="19">
        <f>IF($A1331="","",E1331+$H1331-1)</f>
        <v/>
      </c>
      <c r="G1331" s="18" t="n"/>
      <c r="H1331" s="18">
        <f>IF($A1331="","",IF(I1331&lt;&gt;"",I1331,Paramètres!B35))</f>
        <v/>
      </c>
      <c r="I1331" s="18" t="n"/>
    </row>
    <row r="1332">
      <c r="A1332" s="18">
        <f>IF(ISNUMBER(Dossiers!$D$28),Dossiers!$A$28&amp;" · "&amp;Dossiers!$B$28,"")</f>
        <v/>
      </c>
      <c r="B1332" s="18">
        <f>IF($A1332="","",Paramètres!G36)</f>
        <v/>
      </c>
      <c r="C1332" s="18">
        <f>IF($A1332="","",IF(Paramètres!H36="","",Paramètres!H36))</f>
        <v/>
      </c>
      <c r="D1332" s="18">
        <f>IF($A1332="","",IF(Paramètres!I36="","",Paramètres!I36))</f>
        <v/>
      </c>
      <c r="E1332" s="19">
        <f>IF($A1332="","",IF(Paramètres!J36&amp;Paramètres!L36&amp;Paramètres!N36="",Dossiers!$D$28,MAX(IF(Paramètres!J36="",0,IF(Paramètres!K36="",NA(),IF(LEFT(TRIM(Paramètres!K36),1)="F",INDEX($F$1301:$F$1353,MATCH(Paramètres!J36,Paramètres!$G$5:$G$57,0)),INDEX($E$1301:$E$1353,MATCH(Paramètres!J36,Paramètres!$G$5:$G$57,0)))+IF(RIGHT(TRIM(Paramètres!K36),3)="Fin",1-$H1332,IF(LEFT(TRIM(Paramètres!K36),1)="F",1,0)))),IF(Paramètres!L36="",0,IF(Paramètres!M36="",NA(),IF(LEFT(TRIM(Paramètres!M36),1)="F",INDEX($F$1301:$F$1353,MATCH(Paramètres!L36,Paramètres!$G$5:$G$57,0)),INDEX($E$1301:$E$1353,MATCH(Paramètres!L36,Paramètres!$G$5:$G$57,0)))+IF(RIGHT(TRIM(Paramètres!M36),3)="Fin",1-$H1332,IF(LEFT(TRIM(Paramètres!M36),1)="F",1,0)))),IF(Paramètres!N36="",0,IF(Paramètres!O36="",NA(),IF(LEFT(TRIM(Paramètres!O36),1)="F",INDEX($F$1301:$F$1353,MATCH(Paramètres!N36,Paramètres!$G$5:$G$57,0)),INDEX($E$1301:$E$1353,MATCH(Paramètres!N36,Paramètres!$G$5:$G$57,0)))+IF(RIGHT(TRIM(Paramètres!O36),3)="Fin",1-$H1332,IF(LEFT(TRIM(Paramètres!O36),1)="F",1,0)))))))</f>
        <v/>
      </c>
      <c r="F1332" s="19">
        <f>IF($A1332="","",E1332+$H1332-1)</f>
        <v/>
      </c>
      <c r="G1332" s="18" t="n"/>
      <c r="H1332" s="18">
        <f>IF($A1332="","",IF(I1332&lt;&gt;"",I1332,Paramètres!B36))</f>
        <v/>
      </c>
      <c r="I1332" s="18" t="n"/>
    </row>
    <row r="1333">
      <c r="A1333" s="18">
        <f>IF(ISNUMBER(Dossiers!$D$28),Dossiers!$A$28&amp;" · "&amp;Dossiers!$B$28,"")</f>
        <v/>
      </c>
      <c r="B1333" s="18">
        <f>IF($A1333="","",Paramètres!G37)</f>
        <v/>
      </c>
      <c r="C1333" s="18">
        <f>IF($A1333="","",IF(Paramètres!H37="","",Paramètres!H37))</f>
        <v/>
      </c>
      <c r="D1333" s="18">
        <f>IF($A1333="","",IF(Paramètres!I37="","",Paramètres!I37))</f>
        <v/>
      </c>
      <c r="E1333" s="19">
        <f>IF($A1333="","",MIN(E1334:E1351))</f>
        <v/>
      </c>
      <c r="F1333" s="19">
        <f>IF($A1333="","",MAX(F1334:F1351))</f>
        <v/>
      </c>
      <c r="G1333" s="18" t="n"/>
      <c r="H1333" s="18">
        <f>IF($A1333="","",F1333-E1333+1)</f>
        <v/>
      </c>
      <c r="I1333" s="18" t="n"/>
    </row>
    <row r="1334">
      <c r="A1334" s="18">
        <f>IF(ISNUMBER(Dossiers!$D$28),Dossiers!$A$28&amp;" · "&amp;Dossiers!$B$28,"")</f>
        <v/>
      </c>
      <c r="B1334" s="18">
        <f>IF($A1334="","",Paramètres!G38)</f>
        <v/>
      </c>
      <c r="C1334" s="18">
        <f>IF($A1334="","",IF(Paramètres!H38="","",Paramètres!H38))</f>
        <v/>
      </c>
      <c r="D1334" s="18">
        <f>IF($A1334="","",IF(Paramètres!I38="","",Paramètres!I38))</f>
        <v/>
      </c>
      <c r="E1334" s="19">
        <f>IF($A1334="","",IF(Paramètres!J38&amp;Paramètres!L38&amp;Paramètres!N38="",Dossiers!$D$28,MAX(IF(Paramètres!J38="",0,IF(Paramètres!K38="",NA(),IF(LEFT(TRIM(Paramètres!K38),1)="F",INDEX($F$1301:$F$1353,MATCH(Paramètres!J38,Paramètres!$G$5:$G$57,0)),INDEX($E$1301:$E$1353,MATCH(Paramètres!J38,Paramètres!$G$5:$G$57,0)))+IF(RIGHT(TRIM(Paramètres!K38),3)="Fin",1-$H1334,IF(LEFT(TRIM(Paramètres!K38),1)="F",1,0)))),IF(Paramètres!L38="",0,IF(Paramètres!M38="",NA(),IF(LEFT(TRIM(Paramètres!M38),1)="F",INDEX($F$1301:$F$1353,MATCH(Paramètres!L38,Paramètres!$G$5:$G$57,0)),INDEX($E$1301:$E$1353,MATCH(Paramètres!L38,Paramètres!$G$5:$G$57,0)))+IF(RIGHT(TRIM(Paramètres!M38),3)="Fin",1-$H1334,IF(LEFT(TRIM(Paramètres!M38),1)="F",1,0)))),IF(Paramètres!N38="",0,IF(Paramètres!O38="",NA(),IF(LEFT(TRIM(Paramètres!O38),1)="F",INDEX($F$1301:$F$1353,MATCH(Paramètres!N38,Paramètres!$G$5:$G$57,0)),INDEX($E$1301:$E$1353,MATCH(Paramètres!N38,Paramètres!$G$5:$G$57,0)))+IF(RIGHT(TRIM(Paramètres!O38),3)="Fin",1-$H1334,IF(LEFT(TRIM(Paramètres!O38),1)="F",1,0)))))))</f>
        <v/>
      </c>
      <c r="F1334" s="19">
        <f>IF($A1334="","",E1334+$H1334-1)</f>
        <v/>
      </c>
      <c r="G1334" s="18" t="n"/>
      <c r="H1334" s="18">
        <f>IF($A1334="","",IF(I1334&lt;&gt;"",I1334,Paramètres!B38))</f>
        <v/>
      </c>
      <c r="I1334" s="18" t="n"/>
    </row>
    <row r="1335">
      <c r="A1335" s="18">
        <f>IF(ISNUMBER(Dossiers!$D$28),Dossiers!$A$28&amp;" · "&amp;Dossiers!$B$28,"")</f>
        <v/>
      </c>
      <c r="B1335" s="18">
        <f>IF($A1335="","",Paramètres!G39)</f>
        <v/>
      </c>
      <c r="C1335" s="18">
        <f>IF($A1335="","",IF(Paramètres!H39="","",Paramètres!H39))</f>
        <v/>
      </c>
      <c r="D1335" s="18">
        <f>IF($A1335="","",IF(Paramètres!I39="","",Paramètres!I39))</f>
        <v/>
      </c>
      <c r="E1335" s="19">
        <f>IF($A1335="","",IF(Paramètres!J39&amp;Paramètres!L39&amp;Paramètres!N39="",Dossiers!$D$28,MAX(IF(Paramètres!J39="",0,IF(Paramètres!K39="",NA(),IF(LEFT(TRIM(Paramètres!K39),1)="F",INDEX($F$1301:$F$1353,MATCH(Paramètres!J39,Paramètres!$G$5:$G$57,0)),INDEX($E$1301:$E$1353,MATCH(Paramètres!J39,Paramètres!$G$5:$G$57,0)))+IF(RIGHT(TRIM(Paramètres!K39),3)="Fin",1-$H1335,IF(LEFT(TRIM(Paramètres!K39),1)="F",1,0)))),IF(Paramètres!L39="",0,IF(Paramètres!M39="",NA(),IF(LEFT(TRIM(Paramètres!M39),1)="F",INDEX($F$1301:$F$1353,MATCH(Paramètres!L39,Paramètres!$G$5:$G$57,0)),INDEX($E$1301:$E$1353,MATCH(Paramètres!L39,Paramètres!$G$5:$G$57,0)))+IF(RIGHT(TRIM(Paramètres!M39),3)="Fin",1-$H1335,IF(LEFT(TRIM(Paramètres!M39),1)="F",1,0)))),IF(Paramètres!N39="",0,IF(Paramètres!O39="",NA(),IF(LEFT(TRIM(Paramètres!O39),1)="F",INDEX($F$1301:$F$1353,MATCH(Paramètres!N39,Paramètres!$G$5:$G$57,0)),INDEX($E$1301:$E$1353,MATCH(Paramètres!N39,Paramètres!$G$5:$G$57,0)))+IF(RIGHT(TRIM(Paramètres!O39),3)="Fin",1-$H1335,IF(LEFT(TRIM(Paramètres!O39),1)="F",1,0)))))))</f>
        <v/>
      </c>
      <c r="F1335" s="19">
        <f>IF($A1335="","",E1335+$H1335-1)</f>
        <v/>
      </c>
      <c r="G1335" s="18" t="n"/>
      <c r="H1335" s="18">
        <f>IF($A1335="","",IF(I1335&lt;&gt;"",I1335,Paramètres!B39))</f>
        <v/>
      </c>
      <c r="I1335" s="18" t="n"/>
    </row>
    <row r="1336">
      <c r="A1336" s="18">
        <f>IF(ISNUMBER(Dossiers!$D$28),Dossiers!$A$28&amp;" · "&amp;Dossiers!$B$28,"")</f>
        <v/>
      </c>
      <c r="B1336" s="18">
        <f>IF($A1336="","",Paramètres!G40)</f>
        <v/>
      </c>
      <c r="C1336" s="18">
        <f>IF($A1336="","",IF(Paramètres!H40="","",Paramètres!H40))</f>
        <v/>
      </c>
      <c r="D1336" s="18">
        <f>IF($A1336="","",IF(Paramètres!I40="","",Paramètres!I40))</f>
        <v/>
      </c>
      <c r="E1336" s="19">
        <f>IF($A1336="","",IF(Paramètres!J40&amp;Paramètres!L40&amp;Paramètres!N40="",Dossiers!$D$28,MAX(IF(Paramètres!J40="",0,IF(Paramètres!K40="",NA(),IF(LEFT(TRIM(Paramètres!K40),1)="F",INDEX($F$1301:$F$1353,MATCH(Paramètres!J40,Paramètres!$G$5:$G$57,0)),INDEX($E$1301:$E$1353,MATCH(Paramètres!J40,Paramètres!$G$5:$G$57,0)))+IF(RIGHT(TRIM(Paramètres!K40),3)="Fin",1-$H1336,IF(LEFT(TRIM(Paramètres!K40),1)="F",1,0)))),IF(Paramètres!L40="",0,IF(Paramètres!M40="",NA(),IF(LEFT(TRIM(Paramètres!M40),1)="F",INDEX($F$1301:$F$1353,MATCH(Paramètres!L40,Paramètres!$G$5:$G$57,0)),INDEX($E$1301:$E$1353,MATCH(Paramètres!L40,Paramètres!$G$5:$G$57,0)))+IF(RIGHT(TRIM(Paramètres!M40),3)="Fin",1-$H1336,IF(LEFT(TRIM(Paramètres!M40),1)="F",1,0)))),IF(Paramètres!N40="",0,IF(Paramètres!O40="",NA(),IF(LEFT(TRIM(Paramètres!O40),1)="F",INDEX($F$1301:$F$1353,MATCH(Paramètres!N40,Paramètres!$G$5:$G$57,0)),INDEX($E$1301:$E$1353,MATCH(Paramètres!N40,Paramètres!$G$5:$G$57,0)))+IF(RIGHT(TRIM(Paramètres!O40),3)="Fin",1-$H1336,IF(LEFT(TRIM(Paramètres!O40),1)="F",1,0)))))))</f>
        <v/>
      </c>
      <c r="F1336" s="19">
        <f>IF($A1336="","",E1336+$H1336-1)</f>
        <v/>
      </c>
      <c r="G1336" s="18" t="n"/>
      <c r="H1336" s="18">
        <f>IF($A1336="","",IF(I1336&lt;&gt;"",I1336,Paramètres!B40))</f>
        <v/>
      </c>
      <c r="I1336" s="18" t="n"/>
    </row>
    <row r="1337">
      <c r="A1337" s="18">
        <f>IF(ISNUMBER(Dossiers!$D$28),Dossiers!$A$28&amp;" · "&amp;Dossiers!$B$28,"")</f>
        <v/>
      </c>
      <c r="B1337" s="18">
        <f>IF($A1337="","",Paramètres!G41)</f>
        <v/>
      </c>
      <c r="C1337" s="18">
        <f>IF($A1337="","",IF(Paramètres!H41="","",Paramètres!H41))</f>
        <v/>
      </c>
      <c r="D1337" s="18">
        <f>IF($A1337="","",IF(Paramètres!I41="","",Paramètres!I41))</f>
        <v/>
      </c>
      <c r="E1337" s="19">
        <f>IF($A1337="","",IF(Paramètres!J41&amp;Paramètres!L41&amp;Paramètres!N41="",Dossiers!$D$28,MAX(IF(Paramètres!J41="",0,IF(Paramètres!K41="",NA(),IF(LEFT(TRIM(Paramètres!K41),1)="F",INDEX($F$1301:$F$1353,MATCH(Paramètres!J41,Paramètres!$G$5:$G$57,0)),INDEX($E$1301:$E$1353,MATCH(Paramètres!J41,Paramètres!$G$5:$G$57,0)))+IF(RIGHT(TRIM(Paramètres!K41),3)="Fin",1-$H1337,IF(LEFT(TRIM(Paramètres!K41),1)="F",1,0)))),IF(Paramètres!L41="",0,IF(Paramètres!M41="",NA(),IF(LEFT(TRIM(Paramètres!M41),1)="F",INDEX($F$1301:$F$1353,MATCH(Paramètres!L41,Paramètres!$G$5:$G$57,0)),INDEX($E$1301:$E$1353,MATCH(Paramètres!L41,Paramètres!$G$5:$G$57,0)))+IF(RIGHT(TRIM(Paramètres!M41),3)="Fin",1-$H1337,IF(LEFT(TRIM(Paramètres!M41),1)="F",1,0)))),IF(Paramètres!N41="",0,IF(Paramètres!O41="",NA(),IF(LEFT(TRIM(Paramètres!O41),1)="F",INDEX($F$1301:$F$1353,MATCH(Paramètres!N41,Paramètres!$G$5:$G$57,0)),INDEX($E$1301:$E$1353,MATCH(Paramètres!N41,Paramètres!$G$5:$G$57,0)))+IF(RIGHT(TRIM(Paramètres!O41),3)="Fin",1-$H1337,IF(LEFT(TRIM(Paramètres!O41),1)="F",1,0)))))))</f>
        <v/>
      </c>
      <c r="F1337" s="19">
        <f>IF($A1337="","",E1337+$H1337-1)</f>
        <v/>
      </c>
      <c r="G1337" s="18" t="n"/>
      <c r="H1337" s="18">
        <f>IF($A1337="","",IF(I1337&lt;&gt;"",I1337,Paramètres!B41))</f>
        <v/>
      </c>
      <c r="I1337" s="18" t="n"/>
    </row>
    <row r="1338">
      <c r="A1338" s="18">
        <f>IF(ISNUMBER(Dossiers!$D$28),Dossiers!$A$28&amp;" · "&amp;Dossiers!$B$28,"")</f>
        <v/>
      </c>
      <c r="B1338" s="18">
        <f>IF($A1338="","",Paramètres!G42)</f>
        <v/>
      </c>
      <c r="C1338" s="18">
        <f>IF($A1338="","",IF(Paramètres!H42="","",Paramètres!H42))</f>
        <v/>
      </c>
      <c r="D1338" s="18">
        <f>IF($A1338="","",IF(Paramètres!I42="","",Paramètres!I42))</f>
        <v/>
      </c>
      <c r="E1338" s="19">
        <f>IF($A1338="","",IF(Paramètres!J42&amp;Paramètres!L42&amp;Paramètres!N42="",Dossiers!$D$28,MAX(IF(Paramètres!J42="",0,IF(Paramètres!K42="",NA(),IF(LEFT(TRIM(Paramètres!K42),1)="F",INDEX($F$1301:$F$1353,MATCH(Paramètres!J42,Paramètres!$G$5:$G$57,0)),INDEX($E$1301:$E$1353,MATCH(Paramètres!J42,Paramètres!$G$5:$G$57,0)))+IF(RIGHT(TRIM(Paramètres!K42),3)="Fin",1-$H1338,IF(LEFT(TRIM(Paramètres!K42),1)="F",1,0)))),IF(Paramètres!L42="",0,IF(Paramètres!M42="",NA(),IF(LEFT(TRIM(Paramètres!M42),1)="F",INDEX($F$1301:$F$1353,MATCH(Paramètres!L42,Paramètres!$G$5:$G$57,0)),INDEX($E$1301:$E$1353,MATCH(Paramètres!L42,Paramètres!$G$5:$G$57,0)))+IF(RIGHT(TRIM(Paramètres!M42),3)="Fin",1-$H1338,IF(LEFT(TRIM(Paramètres!M42),1)="F",1,0)))),IF(Paramètres!N42="",0,IF(Paramètres!O42="",NA(),IF(LEFT(TRIM(Paramètres!O42),1)="F",INDEX($F$1301:$F$1353,MATCH(Paramètres!N42,Paramètres!$G$5:$G$57,0)),INDEX($E$1301:$E$1353,MATCH(Paramètres!N42,Paramètres!$G$5:$G$57,0)))+IF(RIGHT(TRIM(Paramètres!O42),3)="Fin",1-$H1338,IF(LEFT(TRIM(Paramètres!O42),1)="F",1,0)))))))</f>
        <v/>
      </c>
      <c r="F1338" s="19">
        <f>IF($A1338="","",E1338+$H1338-1)</f>
        <v/>
      </c>
      <c r="G1338" s="18" t="n"/>
      <c r="H1338" s="18">
        <f>IF($A1338="","",IF(I1338&lt;&gt;"",I1338,Paramètres!B42))</f>
        <v/>
      </c>
      <c r="I1338" s="18" t="n"/>
    </row>
    <row r="1339">
      <c r="A1339" s="18">
        <f>IF(ISNUMBER(Dossiers!$D$28),Dossiers!$A$28&amp;" · "&amp;Dossiers!$B$28,"")</f>
        <v/>
      </c>
      <c r="B1339" s="18">
        <f>IF($A1339="","",Paramètres!G43)</f>
        <v/>
      </c>
      <c r="C1339" s="18">
        <f>IF($A1339="","",IF(Paramètres!H43="","",Paramètres!H43))</f>
        <v/>
      </c>
      <c r="D1339" s="18">
        <f>IF($A1339="","",IF(Paramètres!I43="","",Paramètres!I43))</f>
        <v/>
      </c>
      <c r="E1339" s="19">
        <f>IF($A1339="","",IF(Paramètres!J43&amp;Paramètres!L43&amp;Paramètres!N43="",Dossiers!$D$28,MAX(IF(Paramètres!J43="",0,IF(Paramètres!K43="",NA(),IF(LEFT(TRIM(Paramètres!K43),1)="F",INDEX($F$1301:$F$1353,MATCH(Paramètres!J43,Paramètres!$G$5:$G$57,0)),INDEX($E$1301:$E$1353,MATCH(Paramètres!J43,Paramètres!$G$5:$G$57,0)))+IF(RIGHT(TRIM(Paramètres!K43),3)="Fin",1-$H1339,IF(LEFT(TRIM(Paramètres!K43),1)="F",1,0)))),IF(Paramètres!L43="",0,IF(Paramètres!M43="",NA(),IF(LEFT(TRIM(Paramètres!M43),1)="F",INDEX($F$1301:$F$1353,MATCH(Paramètres!L43,Paramètres!$G$5:$G$57,0)),INDEX($E$1301:$E$1353,MATCH(Paramètres!L43,Paramètres!$G$5:$G$57,0)))+IF(RIGHT(TRIM(Paramètres!M43),3)="Fin",1-$H1339,IF(LEFT(TRIM(Paramètres!M43),1)="F",1,0)))),IF(Paramètres!N43="",0,IF(Paramètres!O43="",NA(),IF(LEFT(TRIM(Paramètres!O43),1)="F",INDEX($F$1301:$F$1353,MATCH(Paramètres!N43,Paramètres!$G$5:$G$57,0)),INDEX($E$1301:$E$1353,MATCH(Paramètres!N43,Paramètres!$G$5:$G$57,0)))+IF(RIGHT(TRIM(Paramètres!O43),3)="Fin",1-$H1339,IF(LEFT(TRIM(Paramètres!O43),1)="F",1,0)))))))</f>
        <v/>
      </c>
      <c r="F1339" s="19">
        <f>IF($A1339="","",E1339+$H1339-1)</f>
        <v/>
      </c>
      <c r="G1339" s="18" t="n"/>
      <c r="H1339" s="18">
        <f>IF($A1339="","",IF(I1339&lt;&gt;"",I1339,Paramètres!B43))</f>
        <v/>
      </c>
      <c r="I1339" s="18" t="n"/>
    </row>
    <row r="1340">
      <c r="A1340" s="18">
        <f>IF(ISNUMBER(Dossiers!$D$28),Dossiers!$A$28&amp;" · "&amp;Dossiers!$B$28,"")</f>
        <v/>
      </c>
      <c r="B1340" s="18">
        <f>IF($A1340="","",Paramètres!G44)</f>
        <v/>
      </c>
      <c r="C1340" s="18">
        <f>IF($A1340="","",IF(Paramètres!H44="","",Paramètres!H44))</f>
        <v/>
      </c>
      <c r="D1340" s="18">
        <f>IF($A1340="","",IF(Paramètres!I44="","",Paramètres!I44))</f>
        <v/>
      </c>
      <c r="E1340" s="19">
        <f>IF($A1340="","",IF(Paramètres!J44&amp;Paramètres!L44&amp;Paramètres!N44="",Dossiers!$D$28,MAX(IF(Paramètres!J44="",0,IF(Paramètres!K44="",NA(),IF(LEFT(TRIM(Paramètres!K44),1)="F",INDEX($F$1301:$F$1353,MATCH(Paramètres!J44,Paramètres!$G$5:$G$57,0)),INDEX($E$1301:$E$1353,MATCH(Paramètres!J44,Paramètres!$G$5:$G$57,0)))+IF(RIGHT(TRIM(Paramètres!K44),3)="Fin",1-$H1340,IF(LEFT(TRIM(Paramètres!K44),1)="F",1,0)))),IF(Paramètres!L44="",0,IF(Paramètres!M44="",NA(),IF(LEFT(TRIM(Paramètres!M44),1)="F",INDEX($F$1301:$F$1353,MATCH(Paramètres!L44,Paramètres!$G$5:$G$57,0)),INDEX($E$1301:$E$1353,MATCH(Paramètres!L44,Paramètres!$G$5:$G$57,0)))+IF(RIGHT(TRIM(Paramètres!M44),3)="Fin",1-$H1340,IF(LEFT(TRIM(Paramètres!M44),1)="F",1,0)))),IF(Paramètres!N44="",0,IF(Paramètres!O44="",NA(),IF(LEFT(TRIM(Paramètres!O44),1)="F",INDEX($F$1301:$F$1353,MATCH(Paramètres!N44,Paramètres!$G$5:$G$57,0)),INDEX($E$1301:$E$1353,MATCH(Paramètres!N44,Paramètres!$G$5:$G$57,0)))+IF(RIGHT(TRIM(Paramètres!O44),3)="Fin",1-$H1340,IF(LEFT(TRIM(Paramètres!O44),1)="F",1,0)))))))</f>
        <v/>
      </c>
      <c r="F1340" s="19">
        <f>IF($A1340="","",E1340+$H1340-1)</f>
        <v/>
      </c>
      <c r="G1340" s="18" t="n"/>
      <c r="H1340" s="18">
        <f>IF($A1340="","",IF(I1340&lt;&gt;"",I1340,Paramètres!B44))</f>
        <v/>
      </c>
      <c r="I1340" s="18" t="n"/>
    </row>
    <row r="1341">
      <c r="A1341" s="18">
        <f>IF(ISNUMBER(Dossiers!$D$28),Dossiers!$A$28&amp;" · "&amp;Dossiers!$B$28,"")</f>
        <v/>
      </c>
      <c r="B1341" s="18">
        <f>IF($A1341="","",Paramètres!G45)</f>
        <v/>
      </c>
      <c r="C1341" s="20">
        <f>IF($A1341="","",IF(Dossiers!$G$28="","",Dossiers!$G$28))</f>
        <v/>
      </c>
      <c r="D1341" s="18">
        <f>IF($A1341="","",IF(Paramètres!I45="","",Paramètres!I45))</f>
        <v/>
      </c>
      <c r="E1341" s="19">
        <f>IF($A1341="","",IF(Paramètres!J45&amp;Paramètres!L45&amp;Paramètres!N45="",Dossiers!$D$28,MAX(IF(Paramètres!J45="",0,IF(Paramètres!K45="",NA(),IF(LEFT(TRIM(Paramètres!K45),1)="F",INDEX($F$1301:$F$1353,MATCH(Paramètres!J45,Paramètres!$G$5:$G$57,0)),INDEX($E$1301:$E$1353,MATCH(Paramètres!J45,Paramètres!$G$5:$G$57,0)))+IF(RIGHT(TRIM(Paramètres!K45),3)="Fin",1-$H1341,IF(LEFT(TRIM(Paramètres!K45),1)="F",1,0)))),IF(Paramètres!L45="",0,IF(Paramètres!M45="",NA(),IF(LEFT(TRIM(Paramètres!M45),1)="F",INDEX($F$1301:$F$1353,MATCH(Paramètres!L45,Paramètres!$G$5:$G$57,0)),INDEX($E$1301:$E$1353,MATCH(Paramètres!L45,Paramètres!$G$5:$G$57,0)))+IF(RIGHT(TRIM(Paramètres!M45),3)="Fin",1-$H1341,IF(LEFT(TRIM(Paramètres!M45),1)="F",1,0)))),IF(Paramètres!N45="",0,IF(Paramètres!O45="",NA(),IF(LEFT(TRIM(Paramètres!O45),1)="F",INDEX($F$1301:$F$1353,MATCH(Paramètres!N45,Paramètres!$G$5:$G$57,0)),INDEX($E$1301:$E$1353,MATCH(Paramètres!N45,Paramètres!$G$5:$G$57,0)))+IF(RIGHT(TRIM(Paramètres!O45),3)="Fin",1-$H1341,IF(LEFT(TRIM(Paramètres!O45),1)="F",1,0)))))))</f>
        <v/>
      </c>
      <c r="F1341" s="19">
        <f>IF($A1341="","",E1341+$H1341-1)</f>
        <v/>
      </c>
      <c r="G1341" s="18" t="n"/>
      <c r="H1341" s="18">
        <f>IF($A1341="","",IF(I1341&lt;&gt;"",I1341,Paramètres!B45))</f>
        <v/>
      </c>
      <c r="I1341" s="18" t="n"/>
    </row>
    <row r="1342">
      <c r="A1342" s="18">
        <f>IF(ISNUMBER(Dossiers!$D$28),Dossiers!$A$28&amp;" · "&amp;Dossiers!$B$28,"")</f>
        <v/>
      </c>
      <c r="B1342" s="18">
        <f>IF($A1342="","",Paramètres!G46)</f>
        <v/>
      </c>
      <c r="C1342" s="18">
        <f>IF($A1342="","",IF(Paramètres!H46="","",Paramètres!H46))</f>
        <v/>
      </c>
      <c r="D1342" s="18">
        <f>IF($A1342="","",IF(Paramètres!I46="","",Paramètres!I46))</f>
        <v/>
      </c>
      <c r="E1342" s="19">
        <f>IF($A1342="","",IF(Paramètres!J46&amp;Paramètres!L46&amp;Paramètres!N46="",Dossiers!$D$28,MAX(IF(Paramètres!J46="",0,IF(Paramètres!K46="",NA(),IF(LEFT(TRIM(Paramètres!K46),1)="F",INDEX($F$1301:$F$1353,MATCH(Paramètres!J46,Paramètres!$G$5:$G$57,0)),INDEX($E$1301:$E$1353,MATCH(Paramètres!J46,Paramètres!$G$5:$G$57,0)))+IF(RIGHT(TRIM(Paramètres!K46),3)="Fin",1-$H1342,IF(LEFT(TRIM(Paramètres!K46),1)="F",1,0)))),IF(Paramètres!L46="",0,IF(Paramètres!M46="",NA(),IF(LEFT(TRIM(Paramètres!M46),1)="F",INDEX($F$1301:$F$1353,MATCH(Paramètres!L46,Paramètres!$G$5:$G$57,0)),INDEX($E$1301:$E$1353,MATCH(Paramètres!L46,Paramètres!$G$5:$G$57,0)))+IF(RIGHT(TRIM(Paramètres!M46),3)="Fin",1-$H1342,IF(LEFT(TRIM(Paramètres!M46),1)="F",1,0)))),IF(Paramètres!N46="",0,IF(Paramètres!O46="",NA(),IF(LEFT(TRIM(Paramètres!O46),1)="F",INDEX($F$1301:$F$1353,MATCH(Paramètres!N46,Paramètres!$G$5:$G$57,0)),INDEX($E$1301:$E$1353,MATCH(Paramètres!N46,Paramètres!$G$5:$G$57,0)))+IF(RIGHT(TRIM(Paramètres!O46),3)="Fin",1-$H1342,IF(LEFT(TRIM(Paramètres!O46),1)="F",1,0)))))))</f>
        <v/>
      </c>
      <c r="F1342" s="19">
        <f>IF($A1342="","",E1342+$H1342-1)</f>
        <v/>
      </c>
      <c r="G1342" s="18" t="n"/>
      <c r="H1342" s="18">
        <f>IF($A1342="","",IF(I1342&lt;&gt;"",I1342,Paramètres!B46))</f>
        <v/>
      </c>
      <c r="I1342" s="18" t="n"/>
    </row>
    <row r="1343">
      <c r="A1343" s="18">
        <f>IF(ISNUMBER(Dossiers!$D$28),Dossiers!$A$28&amp;" · "&amp;Dossiers!$B$28,"")</f>
        <v/>
      </c>
      <c r="B1343" s="18">
        <f>IF($A1343="","",Paramètres!G47)</f>
        <v/>
      </c>
      <c r="C1343" s="18">
        <f>IF($A1343="","",IF(Paramètres!H47="","",Paramètres!H47))</f>
        <v/>
      </c>
      <c r="D1343" s="18">
        <f>IF($A1343="","",IF(Paramètres!I47="","",Paramètres!I47))</f>
        <v/>
      </c>
      <c r="E1343" s="19">
        <f>IF($A1343="","",IF(Paramètres!J47&amp;Paramètres!L47&amp;Paramètres!N47="",Dossiers!$D$28,MAX(IF(Paramètres!J47="",0,IF(Paramètres!K47="",NA(),IF(LEFT(TRIM(Paramètres!K47),1)="F",INDEX($F$1301:$F$1353,MATCH(Paramètres!J47,Paramètres!$G$5:$G$57,0)),INDEX($E$1301:$E$1353,MATCH(Paramètres!J47,Paramètres!$G$5:$G$57,0)))+IF(RIGHT(TRIM(Paramètres!K47),3)="Fin",1-$H1343,IF(LEFT(TRIM(Paramètres!K47),1)="F",1,0)))),IF(Paramètres!L47="",0,IF(Paramètres!M47="",NA(),IF(LEFT(TRIM(Paramètres!M47),1)="F",INDEX($F$1301:$F$1353,MATCH(Paramètres!L47,Paramètres!$G$5:$G$57,0)),INDEX($E$1301:$E$1353,MATCH(Paramètres!L47,Paramètres!$G$5:$G$57,0)))+IF(RIGHT(TRIM(Paramètres!M47),3)="Fin",1-$H1343,IF(LEFT(TRIM(Paramètres!M47),1)="F",1,0)))),IF(Paramètres!N47="",0,IF(Paramètres!O47="",NA(),IF(LEFT(TRIM(Paramètres!O47),1)="F",INDEX($F$1301:$F$1353,MATCH(Paramètres!N47,Paramètres!$G$5:$G$57,0)),INDEX($E$1301:$E$1353,MATCH(Paramètres!N47,Paramètres!$G$5:$G$57,0)))+IF(RIGHT(TRIM(Paramètres!O47),3)="Fin",1-$H1343,IF(LEFT(TRIM(Paramètres!O47),1)="F",1,0)))))))</f>
        <v/>
      </c>
      <c r="F1343" s="19">
        <f>IF($A1343="","",E1343+$H1343-1)</f>
        <v/>
      </c>
      <c r="G1343" s="18" t="n"/>
      <c r="H1343" s="18">
        <f>IF($A1343="","",IF(I1343&lt;&gt;"",I1343,Paramètres!B47))</f>
        <v/>
      </c>
      <c r="I1343" s="18" t="n"/>
    </row>
    <row r="1344">
      <c r="A1344" s="18">
        <f>IF(ISNUMBER(Dossiers!$D$28),Dossiers!$A$28&amp;" · "&amp;Dossiers!$B$28,"")</f>
        <v/>
      </c>
      <c r="B1344" s="18">
        <f>IF($A1344="","",Paramètres!G48)</f>
        <v/>
      </c>
      <c r="C1344" s="18">
        <f>IF($A1344="","",IF(Paramètres!H48="","",Paramètres!H48))</f>
        <v/>
      </c>
      <c r="D1344" s="18">
        <f>IF($A1344="","",IF(Paramètres!I48="","",Paramètres!I48))</f>
        <v/>
      </c>
      <c r="E1344" s="19">
        <f>IF($A1344="","",IF(Paramètres!J48&amp;Paramètres!L48&amp;Paramètres!N48="",Dossiers!$D$28,MAX(IF(Paramètres!J48="",0,IF(Paramètres!K48="",NA(),IF(LEFT(TRIM(Paramètres!K48),1)="F",INDEX($F$1301:$F$1353,MATCH(Paramètres!J48,Paramètres!$G$5:$G$57,0)),INDEX($E$1301:$E$1353,MATCH(Paramètres!J48,Paramètres!$G$5:$G$57,0)))+IF(RIGHT(TRIM(Paramètres!K48),3)="Fin",1-$H1344,IF(LEFT(TRIM(Paramètres!K48),1)="F",1,0)))),IF(Paramètres!L48="",0,IF(Paramètres!M48="",NA(),IF(LEFT(TRIM(Paramètres!M48),1)="F",INDEX($F$1301:$F$1353,MATCH(Paramètres!L48,Paramètres!$G$5:$G$57,0)),INDEX($E$1301:$E$1353,MATCH(Paramètres!L48,Paramètres!$G$5:$G$57,0)))+IF(RIGHT(TRIM(Paramètres!M48),3)="Fin",1-$H1344,IF(LEFT(TRIM(Paramètres!M48),1)="F",1,0)))),IF(Paramètres!N48="",0,IF(Paramètres!O48="",NA(),IF(LEFT(TRIM(Paramètres!O48),1)="F",INDEX($F$1301:$F$1353,MATCH(Paramètres!N48,Paramètres!$G$5:$G$57,0)),INDEX($E$1301:$E$1353,MATCH(Paramètres!N48,Paramètres!$G$5:$G$57,0)))+IF(RIGHT(TRIM(Paramètres!O48),3)="Fin",1-$H1344,IF(LEFT(TRIM(Paramètres!O48),1)="F",1,0)))))))</f>
        <v/>
      </c>
      <c r="F1344" s="19">
        <f>IF($A1344="","",E1344+$H1344-1)</f>
        <v/>
      </c>
      <c r="G1344" s="18" t="n"/>
      <c r="H1344" s="18">
        <f>IF($A1344="","",IF(I1344&lt;&gt;"",I1344,Paramètres!B48))</f>
        <v/>
      </c>
      <c r="I1344" s="18" t="n"/>
    </row>
    <row r="1345">
      <c r="A1345" s="18">
        <f>IF(ISNUMBER(Dossiers!$D$28),Dossiers!$A$28&amp;" · "&amp;Dossiers!$B$28,"")</f>
        <v/>
      </c>
      <c r="B1345" s="18">
        <f>IF($A1345="","",Paramètres!G49)</f>
        <v/>
      </c>
      <c r="C1345" s="18">
        <f>IF($A1345="","",IF(Paramètres!H49="","",Paramètres!H49))</f>
        <v/>
      </c>
      <c r="D1345" s="18">
        <f>IF($A1345="","",IF(Paramètres!I49="","",Paramètres!I49))</f>
        <v/>
      </c>
      <c r="E1345" s="19">
        <f>IF($A1345="","",IF(Paramètres!J49&amp;Paramètres!L49&amp;Paramètres!N49="",Dossiers!$D$28,MAX(IF(Paramètres!J49="",0,IF(Paramètres!K49="",NA(),IF(LEFT(TRIM(Paramètres!K49),1)="F",INDEX($F$1301:$F$1353,MATCH(Paramètres!J49,Paramètres!$G$5:$G$57,0)),INDEX($E$1301:$E$1353,MATCH(Paramètres!J49,Paramètres!$G$5:$G$57,0)))+IF(RIGHT(TRIM(Paramètres!K49),3)="Fin",1-$H1345,IF(LEFT(TRIM(Paramètres!K49),1)="F",1,0)))),IF(Paramètres!L49="",0,IF(Paramètres!M49="",NA(),IF(LEFT(TRIM(Paramètres!M49),1)="F",INDEX($F$1301:$F$1353,MATCH(Paramètres!L49,Paramètres!$G$5:$G$57,0)),INDEX($E$1301:$E$1353,MATCH(Paramètres!L49,Paramètres!$G$5:$G$57,0)))+IF(RIGHT(TRIM(Paramètres!M49),3)="Fin",1-$H1345,IF(LEFT(TRIM(Paramètres!M49),1)="F",1,0)))),IF(Paramètres!N49="",0,IF(Paramètres!O49="",NA(),IF(LEFT(TRIM(Paramètres!O49),1)="F",INDEX($F$1301:$F$1353,MATCH(Paramètres!N49,Paramètres!$G$5:$G$57,0)),INDEX($E$1301:$E$1353,MATCH(Paramètres!N49,Paramètres!$G$5:$G$57,0)))+IF(RIGHT(TRIM(Paramètres!O49),3)="Fin",1-$H1345,IF(LEFT(TRIM(Paramètres!O49),1)="F",1,0)))))))</f>
        <v/>
      </c>
      <c r="F1345" s="19">
        <f>IF($A1345="","",E1345+$H1345-1)</f>
        <v/>
      </c>
      <c r="G1345" s="18" t="n"/>
      <c r="H1345" s="18">
        <f>IF($A1345="","",IF(I1345&lt;&gt;"",I1345,Paramètres!B49))</f>
        <v/>
      </c>
      <c r="I1345" s="18" t="n"/>
    </row>
    <row r="1346">
      <c r="A1346" s="18">
        <f>IF(ISNUMBER(Dossiers!$D$28),Dossiers!$A$28&amp;" · "&amp;Dossiers!$B$28,"")</f>
        <v/>
      </c>
      <c r="B1346" s="18">
        <f>IF($A1346="","",Paramètres!G50)</f>
        <v/>
      </c>
      <c r="C1346" s="18">
        <f>IF($A1346="","",IF(Paramètres!H50="","",Paramètres!H50))</f>
        <v/>
      </c>
      <c r="D1346" s="18">
        <f>IF($A1346="","",IF(Paramètres!I50="","",Paramètres!I50))</f>
        <v/>
      </c>
      <c r="E1346" s="19">
        <f>IF($A1346="","",IF(Paramètres!J50&amp;Paramètres!L50&amp;Paramètres!N50="",Dossiers!$D$28,MAX(IF(Paramètres!J50="",0,IF(Paramètres!K50="",NA(),IF(LEFT(TRIM(Paramètres!K50),1)="F",INDEX($F$1301:$F$1353,MATCH(Paramètres!J50,Paramètres!$G$5:$G$57,0)),INDEX($E$1301:$E$1353,MATCH(Paramètres!J50,Paramètres!$G$5:$G$57,0)))+IF(RIGHT(TRIM(Paramètres!K50),3)="Fin",1-$H1346,IF(LEFT(TRIM(Paramètres!K50),1)="F",1,0)))),IF(Paramètres!L50="",0,IF(Paramètres!M50="",NA(),IF(LEFT(TRIM(Paramètres!M50),1)="F",INDEX($F$1301:$F$1353,MATCH(Paramètres!L50,Paramètres!$G$5:$G$57,0)),INDEX($E$1301:$E$1353,MATCH(Paramètres!L50,Paramètres!$G$5:$G$57,0)))+IF(RIGHT(TRIM(Paramètres!M50),3)="Fin",1-$H1346,IF(LEFT(TRIM(Paramètres!M50),1)="F",1,0)))),IF(Paramètres!N50="",0,IF(Paramètres!O50="",NA(),IF(LEFT(TRIM(Paramètres!O50),1)="F",INDEX($F$1301:$F$1353,MATCH(Paramètres!N50,Paramètres!$G$5:$G$57,0)),INDEX($E$1301:$E$1353,MATCH(Paramètres!N50,Paramètres!$G$5:$G$57,0)))+IF(RIGHT(TRIM(Paramètres!O50),3)="Fin",1-$H1346,IF(LEFT(TRIM(Paramètres!O50),1)="F",1,0)))))))</f>
        <v/>
      </c>
      <c r="F1346" s="19">
        <f>IF($A1346="","",E1346+$H1346-1)</f>
        <v/>
      </c>
      <c r="G1346" s="18" t="n"/>
      <c r="H1346" s="18">
        <f>IF($A1346="","",IF(I1346&lt;&gt;"",I1346,Paramètres!B50))</f>
        <v/>
      </c>
      <c r="I1346" s="18" t="n"/>
    </row>
    <row r="1347">
      <c r="A1347" s="18">
        <f>IF(ISNUMBER(Dossiers!$D$28),Dossiers!$A$28&amp;" · "&amp;Dossiers!$B$28,"")</f>
        <v/>
      </c>
      <c r="B1347" s="18">
        <f>IF($A1347="","",Paramètres!G51)</f>
        <v/>
      </c>
      <c r="C1347" s="18">
        <f>IF($A1347="","",IF(Paramètres!H51="","",Paramètres!H51))</f>
        <v/>
      </c>
      <c r="D1347" s="18">
        <f>IF($A1347="","",IF(Paramètres!I51="","",Paramètres!I51))</f>
        <v/>
      </c>
      <c r="E1347" s="19">
        <f>IF($A1347="","",IF(Paramètres!J51&amp;Paramètres!L51&amp;Paramètres!N51="",Dossiers!$D$28,MAX(IF(Paramètres!J51="",0,IF(Paramètres!K51="",NA(),IF(LEFT(TRIM(Paramètres!K51),1)="F",INDEX($F$1301:$F$1353,MATCH(Paramètres!J51,Paramètres!$G$5:$G$57,0)),INDEX($E$1301:$E$1353,MATCH(Paramètres!J51,Paramètres!$G$5:$G$57,0)))+IF(RIGHT(TRIM(Paramètres!K51),3)="Fin",1-$H1347,IF(LEFT(TRIM(Paramètres!K51),1)="F",1,0)))),IF(Paramètres!L51="",0,IF(Paramètres!M51="",NA(),IF(LEFT(TRIM(Paramètres!M51),1)="F",INDEX($F$1301:$F$1353,MATCH(Paramètres!L51,Paramètres!$G$5:$G$57,0)),INDEX($E$1301:$E$1353,MATCH(Paramètres!L51,Paramètres!$G$5:$G$57,0)))+IF(RIGHT(TRIM(Paramètres!M51),3)="Fin",1-$H1347,IF(LEFT(TRIM(Paramètres!M51),1)="F",1,0)))),IF(Paramètres!N51="",0,IF(Paramètres!O51="",NA(),IF(LEFT(TRIM(Paramètres!O51),1)="F",INDEX($F$1301:$F$1353,MATCH(Paramètres!N51,Paramètres!$G$5:$G$57,0)),INDEX($E$1301:$E$1353,MATCH(Paramètres!N51,Paramètres!$G$5:$G$57,0)))+IF(RIGHT(TRIM(Paramètres!O51),3)="Fin",1-$H1347,IF(LEFT(TRIM(Paramètres!O51),1)="F",1,0)))))))</f>
        <v/>
      </c>
      <c r="F1347" s="19">
        <f>IF($A1347="","",E1347+$H1347-1)</f>
        <v/>
      </c>
      <c r="G1347" s="18" t="n"/>
      <c r="H1347" s="18">
        <f>IF($A1347="","",IF(I1347&lt;&gt;"",I1347,Paramètres!B51))</f>
        <v/>
      </c>
      <c r="I1347" s="18" t="n"/>
    </row>
    <row r="1348">
      <c r="A1348" s="18">
        <f>IF(ISNUMBER(Dossiers!$D$28),Dossiers!$A$28&amp;" · "&amp;Dossiers!$B$28,"")</f>
        <v/>
      </c>
      <c r="B1348" s="18">
        <f>IF($A1348="","",Paramètres!G52)</f>
        <v/>
      </c>
      <c r="C1348" s="18">
        <f>IF($A1348="","",IF(Paramètres!H52="","",Paramètres!H52))</f>
        <v/>
      </c>
      <c r="D1348" s="18">
        <f>IF($A1348="","",IF(Paramètres!I52="","",Paramètres!I52))</f>
        <v/>
      </c>
      <c r="E1348" s="19">
        <f>IF($A1348="","",IF(Paramètres!J52&amp;Paramètres!L52&amp;Paramètres!N52="",Dossiers!$D$28,MAX(IF(Paramètres!J52="",0,IF(Paramètres!K52="",NA(),IF(LEFT(TRIM(Paramètres!K52),1)="F",INDEX($F$1301:$F$1353,MATCH(Paramètres!J52,Paramètres!$G$5:$G$57,0)),INDEX($E$1301:$E$1353,MATCH(Paramètres!J52,Paramètres!$G$5:$G$57,0)))+IF(RIGHT(TRIM(Paramètres!K52),3)="Fin",1-$H1348,IF(LEFT(TRIM(Paramètres!K52),1)="F",1,0)))),IF(Paramètres!L52="",0,IF(Paramètres!M52="",NA(),IF(LEFT(TRIM(Paramètres!M52),1)="F",INDEX($F$1301:$F$1353,MATCH(Paramètres!L52,Paramètres!$G$5:$G$57,0)),INDEX($E$1301:$E$1353,MATCH(Paramètres!L52,Paramètres!$G$5:$G$57,0)))+IF(RIGHT(TRIM(Paramètres!M52),3)="Fin",1-$H1348,IF(LEFT(TRIM(Paramètres!M52),1)="F",1,0)))),IF(Paramètres!N52="",0,IF(Paramètres!O52="",NA(),IF(LEFT(TRIM(Paramètres!O52),1)="F",INDEX($F$1301:$F$1353,MATCH(Paramètres!N52,Paramètres!$G$5:$G$57,0)),INDEX($E$1301:$E$1353,MATCH(Paramètres!N52,Paramètres!$G$5:$G$57,0)))+IF(RIGHT(TRIM(Paramètres!O52),3)="Fin",1-$H1348,IF(LEFT(TRIM(Paramètres!O52),1)="F",1,0)))))))</f>
        <v/>
      </c>
      <c r="F1348" s="19">
        <f>IF($A1348="","",E1348+$H1348-1)</f>
        <v/>
      </c>
      <c r="G1348" s="18" t="n"/>
      <c r="H1348" s="18">
        <f>IF($A1348="","",IF(I1348&lt;&gt;"",I1348,Paramètres!B52))</f>
        <v/>
      </c>
      <c r="I1348" s="18" t="n"/>
    </row>
    <row r="1349">
      <c r="A1349" s="18">
        <f>IF(ISNUMBER(Dossiers!$D$28),Dossiers!$A$28&amp;" · "&amp;Dossiers!$B$28,"")</f>
        <v/>
      </c>
      <c r="B1349" s="18">
        <f>IF($A1349="","",Paramètres!G53)</f>
        <v/>
      </c>
      <c r="C1349" s="18">
        <f>IF($A1349="","",IF(Paramètres!H53="","",Paramètres!H53))</f>
        <v/>
      </c>
      <c r="D1349" s="18">
        <f>IF($A1349="","",IF(Paramètres!I53="","",Paramètres!I53))</f>
        <v/>
      </c>
      <c r="E1349" s="19">
        <f>IF($A1349="","",IF(Paramètres!J53&amp;Paramètres!L53&amp;Paramètres!N53="",Dossiers!$D$28,MAX(IF(Paramètres!J53="",0,IF(Paramètres!K53="",NA(),IF(LEFT(TRIM(Paramètres!K53),1)="F",INDEX($F$1301:$F$1353,MATCH(Paramètres!J53,Paramètres!$G$5:$G$57,0)),INDEX($E$1301:$E$1353,MATCH(Paramètres!J53,Paramètres!$G$5:$G$57,0)))+IF(RIGHT(TRIM(Paramètres!K53),3)="Fin",1-$H1349,IF(LEFT(TRIM(Paramètres!K53),1)="F",1,0)))),IF(Paramètres!L53="",0,IF(Paramètres!M53="",NA(),IF(LEFT(TRIM(Paramètres!M53),1)="F",INDEX($F$1301:$F$1353,MATCH(Paramètres!L53,Paramètres!$G$5:$G$57,0)),INDEX($E$1301:$E$1353,MATCH(Paramètres!L53,Paramètres!$G$5:$G$57,0)))+IF(RIGHT(TRIM(Paramètres!M53),3)="Fin",1-$H1349,IF(LEFT(TRIM(Paramètres!M53),1)="F",1,0)))),IF(Paramètres!N53="",0,IF(Paramètres!O53="",NA(),IF(LEFT(TRIM(Paramètres!O53),1)="F",INDEX($F$1301:$F$1353,MATCH(Paramètres!N53,Paramètres!$G$5:$G$57,0)),INDEX($E$1301:$E$1353,MATCH(Paramètres!N53,Paramètres!$G$5:$G$57,0)))+IF(RIGHT(TRIM(Paramètres!O53),3)="Fin",1-$H1349,IF(LEFT(TRIM(Paramètres!O53),1)="F",1,0)))))))</f>
        <v/>
      </c>
      <c r="F1349" s="19">
        <f>IF($A1349="","",E1349+$H1349-1)</f>
        <v/>
      </c>
      <c r="G1349" s="18" t="n"/>
      <c r="H1349" s="18">
        <f>IF($A1349="","",IF(I1349&lt;&gt;"",I1349,Paramètres!B53))</f>
        <v/>
      </c>
      <c r="I1349" s="18" t="n"/>
    </row>
    <row r="1350">
      <c r="A1350" s="18">
        <f>IF(ISNUMBER(Dossiers!$D$28),Dossiers!$A$28&amp;" · "&amp;Dossiers!$B$28,"")</f>
        <v/>
      </c>
      <c r="B1350" s="18">
        <f>IF($A1350="","",Paramètres!G54)</f>
        <v/>
      </c>
      <c r="C1350" s="18">
        <f>IF($A1350="","",IF(Paramètres!H54="","",Paramètres!H54))</f>
        <v/>
      </c>
      <c r="D1350" s="18">
        <f>IF($A1350="","",IF(Paramètres!I54="","",Paramètres!I54))</f>
        <v/>
      </c>
      <c r="E1350" s="19">
        <f>IF($A1350="","",IF(Paramètres!J54&amp;Paramètres!L54&amp;Paramètres!N54="",Dossiers!$D$28,MAX(IF(Paramètres!J54="",0,IF(Paramètres!K54="",NA(),IF(LEFT(TRIM(Paramètres!K54),1)="F",INDEX($F$1301:$F$1353,MATCH(Paramètres!J54,Paramètres!$G$5:$G$57,0)),INDEX($E$1301:$E$1353,MATCH(Paramètres!J54,Paramètres!$G$5:$G$57,0)))+IF(RIGHT(TRIM(Paramètres!K54),3)="Fin",1-$H1350,IF(LEFT(TRIM(Paramètres!K54),1)="F",1,0)))),IF(Paramètres!L54="",0,IF(Paramètres!M54="",NA(),IF(LEFT(TRIM(Paramètres!M54),1)="F",INDEX($F$1301:$F$1353,MATCH(Paramètres!L54,Paramètres!$G$5:$G$57,0)),INDEX($E$1301:$E$1353,MATCH(Paramètres!L54,Paramètres!$G$5:$G$57,0)))+IF(RIGHT(TRIM(Paramètres!M54),3)="Fin",1-$H1350,IF(LEFT(TRIM(Paramètres!M54),1)="F",1,0)))),IF(Paramètres!N54="",0,IF(Paramètres!O54="",NA(),IF(LEFT(TRIM(Paramètres!O54),1)="F",INDEX($F$1301:$F$1353,MATCH(Paramètres!N54,Paramètres!$G$5:$G$57,0)),INDEX($E$1301:$E$1353,MATCH(Paramètres!N54,Paramètres!$G$5:$G$57,0)))+IF(RIGHT(TRIM(Paramètres!O54),3)="Fin",1-$H1350,IF(LEFT(TRIM(Paramètres!O54),1)="F",1,0)))))))</f>
        <v/>
      </c>
      <c r="F1350" s="19">
        <f>IF($A1350="","",E1350+$H1350-1)</f>
        <v/>
      </c>
      <c r="G1350" s="18" t="n"/>
      <c r="H1350" s="18">
        <f>IF($A1350="","",IF(I1350&lt;&gt;"",I1350,Paramètres!B54))</f>
        <v/>
      </c>
      <c r="I1350" s="18" t="n"/>
    </row>
    <row r="1351">
      <c r="A1351" s="18">
        <f>IF(ISNUMBER(Dossiers!$D$28),Dossiers!$A$28&amp;" · "&amp;Dossiers!$B$28,"")</f>
        <v/>
      </c>
      <c r="B1351" s="18">
        <f>IF($A1351="","",Paramètres!G55)</f>
        <v/>
      </c>
      <c r="C1351" s="18">
        <f>IF($A1351="","",IF(Paramètres!H55="","",Paramètres!H55))</f>
        <v/>
      </c>
      <c r="D1351" s="18">
        <f>IF($A1351="","",IF(Paramètres!I55="","",Paramètres!I55))</f>
        <v/>
      </c>
      <c r="E1351" s="19">
        <f>IF($A1351="","",IF(Paramètres!J55&amp;Paramètres!L55&amp;Paramètres!N55="",Dossiers!$D$28,MAX(IF(Paramètres!J55="",0,IF(Paramètres!K55="",NA(),IF(LEFT(TRIM(Paramètres!K55),1)="F",INDEX($F$1301:$F$1353,MATCH(Paramètres!J55,Paramètres!$G$5:$G$57,0)),INDEX($E$1301:$E$1353,MATCH(Paramètres!J55,Paramètres!$G$5:$G$57,0)))+IF(RIGHT(TRIM(Paramètres!K55),3)="Fin",1-$H1351,IF(LEFT(TRIM(Paramètres!K55),1)="F",1,0)))),IF(Paramètres!L55="",0,IF(Paramètres!M55="",NA(),IF(LEFT(TRIM(Paramètres!M55),1)="F",INDEX($F$1301:$F$1353,MATCH(Paramètres!L55,Paramètres!$G$5:$G$57,0)),INDEX($E$1301:$E$1353,MATCH(Paramètres!L55,Paramètres!$G$5:$G$57,0)))+IF(RIGHT(TRIM(Paramètres!M55),3)="Fin",1-$H1351,IF(LEFT(TRIM(Paramètres!M55),1)="F",1,0)))),IF(Paramètres!N55="",0,IF(Paramètres!O55="",NA(),IF(LEFT(TRIM(Paramètres!O55),1)="F",INDEX($F$1301:$F$1353,MATCH(Paramètres!N55,Paramètres!$G$5:$G$57,0)),INDEX($E$1301:$E$1353,MATCH(Paramètres!N55,Paramètres!$G$5:$G$57,0)))+IF(RIGHT(TRIM(Paramètres!O55),3)="Fin",1-$H1351,IF(LEFT(TRIM(Paramètres!O55),1)="F",1,0)))))))</f>
        <v/>
      </c>
      <c r="F1351" s="19">
        <f>IF($A1351="","",E1351+$H1351-1)</f>
        <v/>
      </c>
      <c r="G1351" s="18" t="n"/>
      <c r="H1351" s="18">
        <f>IF($A1351="","",IF(I1351&lt;&gt;"",I1351,Paramètres!B55))</f>
        <v/>
      </c>
      <c r="I1351" s="18" t="n"/>
    </row>
    <row r="1352">
      <c r="A1352" s="18">
        <f>IF(ISNUMBER(Dossiers!$D$28),Dossiers!$A$28&amp;" · "&amp;Dossiers!$B$28,"")</f>
        <v/>
      </c>
      <c r="B1352" s="18">
        <f>IF($A1352="","",Paramètres!G56)</f>
        <v/>
      </c>
      <c r="C1352" s="18">
        <f>IF($A1352="","",IF(Paramètres!H56="","",Paramètres!H56))</f>
        <v/>
      </c>
      <c r="D1352" s="18">
        <f>IF($A1352="","",IF(Paramètres!I56="","",Paramètres!I56))</f>
        <v/>
      </c>
      <c r="E1352" s="19">
        <f>IF($A1352="","",MIN(E1353:E1353))</f>
        <v/>
      </c>
      <c r="F1352" s="19">
        <f>IF($A1352="","",MAX(F1353:F1353))</f>
        <v/>
      </c>
      <c r="G1352" s="18" t="n"/>
      <c r="H1352" s="18">
        <f>IF($A1352="","",F1352-E1352+1)</f>
        <v/>
      </c>
      <c r="I1352" s="18" t="n"/>
    </row>
    <row r="1353">
      <c r="A1353" s="18">
        <f>IF(ISNUMBER(Dossiers!$D$28),Dossiers!$A$28&amp;" · "&amp;Dossiers!$B$28,"")</f>
        <v/>
      </c>
      <c r="B1353" s="18">
        <f>IF($A1353="","",Paramètres!G57)</f>
        <v/>
      </c>
      <c r="C1353" s="18">
        <f>IF($A1353="","",IF(Paramètres!H57="","",Paramètres!H57))</f>
        <v/>
      </c>
      <c r="D1353" s="18">
        <f>IF($A1353="","",IF(Paramètres!I57="","",Paramètres!I57))</f>
        <v/>
      </c>
      <c r="E1353" s="19">
        <f>IF($A1353="","",IF(Paramètres!J57&amp;Paramètres!L57&amp;Paramètres!N57="",Dossiers!$D$28,MAX(IF(Paramètres!J57="",0,IF(Paramètres!K57="",NA(),IF(LEFT(TRIM(Paramètres!K57),1)="F",INDEX($F$1301:$F$1353,MATCH(Paramètres!J57,Paramètres!$G$5:$G$57,0)),INDEX($E$1301:$E$1353,MATCH(Paramètres!J57,Paramètres!$G$5:$G$57,0)))+IF(RIGHT(TRIM(Paramètres!K57),3)="Fin",1-$H1353,IF(LEFT(TRIM(Paramètres!K57),1)="F",1,0)))),IF(Paramètres!L57="",0,IF(Paramètres!M57="",NA(),IF(LEFT(TRIM(Paramètres!M57),1)="F",INDEX($F$1301:$F$1353,MATCH(Paramètres!L57,Paramètres!$G$5:$G$57,0)),INDEX($E$1301:$E$1353,MATCH(Paramètres!L57,Paramètres!$G$5:$G$57,0)))+IF(RIGHT(TRIM(Paramètres!M57),3)="Fin",1-$H1353,IF(LEFT(TRIM(Paramètres!M57),1)="F",1,0)))),IF(Paramètres!N57="",0,IF(Paramètres!O57="",NA(),IF(LEFT(TRIM(Paramètres!O57),1)="F",INDEX($F$1301:$F$1353,MATCH(Paramètres!N57,Paramètres!$G$5:$G$57,0)),INDEX($E$1301:$E$1353,MATCH(Paramètres!N57,Paramètres!$G$5:$G$57,0)))+IF(RIGHT(TRIM(Paramètres!O57),3)="Fin",1-$H1353,IF(LEFT(TRIM(Paramètres!O57),1)="F",1,0)))))))</f>
        <v/>
      </c>
      <c r="F1353" s="19">
        <f>IF($A1353="","",E1353+$H1353-1)</f>
        <v/>
      </c>
      <c r="G1353" s="18" t="n"/>
      <c r="H1353" s="18">
        <f>IF($A1353="","",IF(I1353&lt;&gt;"",I1353,Paramètres!B57))</f>
        <v/>
      </c>
      <c r="I1353" s="18" t="n"/>
    </row>
    <row r="1354">
      <c r="A1354" s="16">
        <f>IF(ISNUMBER(Dossiers!$D$29),Dossiers!$E$29,"")</f>
        <v/>
      </c>
      <c r="B1354" s="16">
        <f>IF($A1354="","","Identifiant")</f>
        <v/>
      </c>
      <c r="C1354" s="16">
        <f>IF($A1354="","","Macro Etape")</f>
        <v/>
      </c>
      <c r="D1354" s="16">
        <f>IF($A1354="","","Etape")</f>
        <v/>
      </c>
      <c r="E1354" s="17">
        <f>IF($A1354="","","Début le")</f>
        <v/>
      </c>
      <c r="F1354" s="17">
        <f>IF($A1354="","","Fin prévue le")</f>
        <v/>
      </c>
      <c r="G1354" s="16">
        <f>IF($A1354="","","Statut")</f>
        <v/>
      </c>
      <c r="H1354" s="16">
        <f>IF($A1354="","","Durée (jours)")</f>
        <v/>
      </c>
      <c r="I1354" s="16">
        <f>IF($A1354="","","Durée particulière")</f>
        <v/>
      </c>
      <c r="J1354" s="10">
        <f>IF($A1354="","",HYPERLINK("#'Tableau de bord'!A1","↑ Tableau de bord"))</f>
        <v/>
      </c>
    </row>
    <row r="1355">
      <c r="A1355" s="18">
        <f>IF(ISNUMBER(Dossiers!$D$29),Dossiers!$A$29&amp;" · "&amp;Dossiers!$B$29,"")</f>
        <v/>
      </c>
      <c r="B1355" s="18">
        <f>IF($A1355="","",Paramètres!G5)</f>
        <v/>
      </c>
      <c r="C1355" s="18">
        <f>IF($A1355="","",IF(Paramètres!H5="","",Paramètres!H5))</f>
        <v/>
      </c>
      <c r="D1355" s="18">
        <f>IF($A1355="","",IF(Paramètres!I5="","",Paramètres!I5))</f>
        <v/>
      </c>
      <c r="E1355" s="19">
        <f>IF($A1355="","",MIN(E1356:E1359))</f>
        <v/>
      </c>
      <c r="F1355" s="19">
        <f>IF($A1355="","",MAX(F1356:F1359))</f>
        <v/>
      </c>
      <c r="G1355" s="18" t="n"/>
      <c r="H1355" s="18">
        <f>IF($A1355="","",F1355-E1355+1)</f>
        <v/>
      </c>
      <c r="I1355" s="18" t="n"/>
    </row>
    <row r="1356">
      <c r="A1356" s="18">
        <f>IF(ISNUMBER(Dossiers!$D$29),Dossiers!$A$29&amp;" · "&amp;Dossiers!$B$29,"")</f>
        <v/>
      </c>
      <c r="B1356" s="18">
        <f>IF($A1356="","",Paramètres!G6)</f>
        <v/>
      </c>
      <c r="C1356" s="18">
        <f>IF($A1356="","",IF(Paramètres!H6="","",Paramètres!H6))</f>
        <v/>
      </c>
      <c r="D1356" s="18">
        <f>IF($A1356="","",IF(Paramètres!I6="","",Paramètres!I6))</f>
        <v/>
      </c>
      <c r="E1356" s="19">
        <f>IF($A1356="","",IF(Paramètres!J6&amp;Paramètres!L6&amp;Paramètres!N6="",Dossiers!$D$29,MAX(IF(Paramètres!J6="",0,IF(Paramètres!K6="",NA(),IF(LEFT(TRIM(Paramètres!K6),1)="F",INDEX($F$1355:$F$1407,MATCH(Paramètres!J6,Paramètres!$G$5:$G$57,0)),INDEX($E$1355:$E$1407,MATCH(Paramètres!J6,Paramètres!$G$5:$G$57,0)))+IF(RIGHT(TRIM(Paramètres!K6),3)="Fin",1-$H1356,IF(LEFT(TRIM(Paramètres!K6),1)="F",1,0)))),IF(Paramètres!L6="",0,IF(Paramètres!M6="",NA(),IF(LEFT(TRIM(Paramètres!M6),1)="F",INDEX($F$1355:$F$1407,MATCH(Paramètres!L6,Paramètres!$G$5:$G$57,0)),INDEX($E$1355:$E$1407,MATCH(Paramètres!L6,Paramètres!$G$5:$G$57,0)))+IF(RIGHT(TRIM(Paramètres!M6),3)="Fin",1-$H1356,IF(LEFT(TRIM(Paramètres!M6),1)="F",1,0)))),IF(Paramètres!N6="",0,IF(Paramètres!O6="",NA(),IF(LEFT(TRIM(Paramètres!O6),1)="F",INDEX($F$1355:$F$1407,MATCH(Paramètres!N6,Paramètres!$G$5:$G$57,0)),INDEX($E$1355:$E$1407,MATCH(Paramètres!N6,Paramètres!$G$5:$G$57,0)))+IF(RIGHT(TRIM(Paramètres!O6),3)="Fin",1-$H1356,IF(LEFT(TRIM(Paramètres!O6),1)="F",1,0)))))))</f>
        <v/>
      </c>
      <c r="F1356" s="19">
        <f>IF($A1356="","",E1356+$H1356-1)</f>
        <v/>
      </c>
      <c r="G1356" s="18" t="n"/>
      <c r="H1356" s="18">
        <f>IF($A1356="","",IF(I1356&lt;&gt;"",I1356,Paramètres!B6))</f>
        <v/>
      </c>
      <c r="I1356" s="18" t="n"/>
    </row>
    <row r="1357">
      <c r="A1357" s="18">
        <f>IF(ISNUMBER(Dossiers!$D$29),Dossiers!$A$29&amp;" · "&amp;Dossiers!$B$29,"")</f>
        <v/>
      </c>
      <c r="B1357" s="18">
        <f>IF($A1357="","",Paramètres!G7)</f>
        <v/>
      </c>
      <c r="C1357" s="18">
        <f>IF($A1357="","",IF(Paramètres!H7="","",Paramètres!H7))</f>
        <v/>
      </c>
      <c r="D1357" s="18">
        <f>IF($A1357="","",IF(Paramètres!I7="","",Paramètres!I7))</f>
        <v/>
      </c>
      <c r="E1357" s="19">
        <f>IF($A1357="","",IF(Paramètres!J7&amp;Paramètres!L7&amp;Paramètres!N7="",Dossiers!$D$29,MAX(IF(Paramètres!J7="",0,IF(Paramètres!K7="",NA(),IF(LEFT(TRIM(Paramètres!K7),1)="F",INDEX($F$1355:$F$1407,MATCH(Paramètres!J7,Paramètres!$G$5:$G$57,0)),INDEX($E$1355:$E$1407,MATCH(Paramètres!J7,Paramètres!$G$5:$G$57,0)))+IF(RIGHT(TRIM(Paramètres!K7),3)="Fin",1-$H1357,IF(LEFT(TRIM(Paramètres!K7),1)="F",1,0)))),IF(Paramètres!L7="",0,IF(Paramètres!M7="",NA(),IF(LEFT(TRIM(Paramètres!M7),1)="F",INDEX($F$1355:$F$1407,MATCH(Paramètres!L7,Paramètres!$G$5:$G$57,0)),INDEX($E$1355:$E$1407,MATCH(Paramètres!L7,Paramètres!$G$5:$G$57,0)))+IF(RIGHT(TRIM(Paramètres!M7),3)="Fin",1-$H1357,IF(LEFT(TRIM(Paramètres!M7),1)="F",1,0)))),IF(Paramètres!N7="",0,IF(Paramètres!O7="",NA(),IF(LEFT(TRIM(Paramètres!O7),1)="F",INDEX($F$1355:$F$1407,MATCH(Paramètres!N7,Paramètres!$G$5:$G$57,0)),INDEX($E$1355:$E$1407,MATCH(Paramètres!N7,Paramètres!$G$5:$G$57,0)))+IF(RIGHT(TRIM(Paramètres!O7),3)="Fin",1-$H1357,IF(LEFT(TRIM(Paramètres!O7),1)="F",1,0)))))))</f>
        <v/>
      </c>
      <c r="F1357" s="19">
        <f>IF($A1357="","",E1357+$H1357-1)</f>
        <v/>
      </c>
      <c r="G1357" s="18" t="n"/>
      <c r="H1357" s="18">
        <f>IF($A1357="","",IF(I1357&lt;&gt;"",I1357,Paramètres!B7))</f>
        <v/>
      </c>
      <c r="I1357" s="18" t="n"/>
    </row>
    <row r="1358">
      <c r="A1358" s="18">
        <f>IF(ISNUMBER(Dossiers!$D$29),Dossiers!$A$29&amp;" · "&amp;Dossiers!$B$29,"")</f>
        <v/>
      </c>
      <c r="B1358" s="18">
        <f>IF($A1358="","",Paramètres!G8)</f>
        <v/>
      </c>
      <c r="C1358" s="18">
        <f>IF($A1358="","",IF(Paramètres!H8="","",Paramètres!H8))</f>
        <v/>
      </c>
      <c r="D1358" s="18">
        <f>IF($A1358="","",IF(Paramètres!I8="","",Paramètres!I8))</f>
        <v/>
      </c>
      <c r="E1358" s="19">
        <f>IF($A1358="","",IF(Paramètres!J8&amp;Paramètres!L8&amp;Paramètres!N8="",Dossiers!$D$29,MAX(IF(Paramètres!J8="",0,IF(Paramètres!K8="",NA(),IF(LEFT(TRIM(Paramètres!K8),1)="F",INDEX($F$1355:$F$1407,MATCH(Paramètres!J8,Paramètres!$G$5:$G$57,0)),INDEX($E$1355:$E$1407,MATCH(Paramètres!J8,Paramètres!$G$5:$G$57,0)))+IF(RIGHT(TRIM(Paramètres!K8),3)="Fin",1-$H1358,IF(LEFT(TRIM(Paramètres!K8),1)="F",1,0)))),IF(Paramètres!L8="",0,IF(Paramètres!M8="",NA(),IF(LEFT(TRIM(Paramètres!M8),1)="F",INDEX($F$1355:$F$1407,MATCH(Paramètres!L8,Paramètres!$G$5:$G$57,0)),INDEX($E$1355:$E$1407,MATCH(Paramètres!L8,Paramètres!$G$5:$G$57,0)))+IF(RIGHT(TRIM(Paramètres!M8),3)="Fin",1-$H1358,IF(LEFT(TRIM(Paramètres!M8),1)="F",1,0)))),IF(Paramètres!N8="",0,IF(Paramètres!O8="",NA(),IF(LEFT(TRIM(Paramètres!O8),1)="F",INDEX($F$1355:$F$1407,MATCH(Paramètres!N8,Paramètres!$G$5:$G$57,0)),INDEX($E$1355:$E$1407,MATCH(Paramètres!N8,Paramètres!$G$5:$G$57,0)))+IF(RIGHT(TRIM(Paramètres!O8),3)="Fin",1-$H1358,IF(LEFT(TRIM(Paramètres!O8),1)="F",1,0)))))))</f>
        <v/>
      </c>
      <c r="F1358" s="19">
        <f>IF($A1358="","",E1358+$H1358-1)</f>
        <v/>
      </c>
      <c r="G1358" s="18" t="n"/>
      <c r="H1358" s="18">
        <f>IF($A1358="","",IF(I1358&lt;&gt;"",I1358,Paramètres!B8))</f>
        <v/>
      </c>
      <c r="I1358" s="18" t="n"/>
    </row>
    <row r="1359">
      <c r="A1359" s="18">
        <f>IF(ISNUMBER(Dossiers!$D$29),Dossiers!$A$29&amp;" · "&amp;Dossiers!$B$29,"")</f>
        <v/>
      </c>
      <c r="B1359" s="18">
        <f>IF($A1359="","",Paramètres!G9)</f>
        <v/>
      </c>
      <c r="C1359" s="18">
        <f>IF($A1359="","",IF(Paramètres!H9="","",Paramètres!H9))</f>
        <v/>
      </c>
      <c r="D1359" s="18">
        <f>IF($A1359="","",IF(Paramètres!I9="","",Paramètres!I9))</f>
        <v/>
      </c>
      <c r="E1359" s="19">
        <f>IF($A1359="","",IF(Paramètres!J9&amp;Paramètres!L9&amp;Paramètres!N9="",Dossiers!$D$29,MAX(IF(Paramètres!J9="",0,IF(Paramètres!K9="",NA(),IF(LEFT(TRIM(Paramètres!K9),1)="F",INDEX($F$1355:$F$1407,MATCH(Paramètres!J9,Paramètres!$G$5:$G$57,0)),INDEX($E$1355:$E$1407,MATCH(Paramètres!J9,Paramètres!$G$5:$G$57,0)))+IF(RIGHT(TRIM(Paramètres!K9),3)="Fin",1-$H1359,IF(LEFT(TRIM(Paramètres!K9),1)="F",1,0)))),IF(Paramètres!L9="",0,IF(Paramètres!M9="",NA(),IF(LEFT(TRIM(Paramètres!M9),1)="F",INDEX($F$1355:$F$1407,MATCH(Paramètres!L9,Paramètres!$G$5:$G$57,0)),INDEX($E$1355:$E$1407,MATCH(Paramètres!L9,Paramètres!$G$5:$G$57,0)))+IF(RIGHT(TRIM(Paramètres!M9),3)="Fin",1-$H1359,IF(LEFT(TRIM(Paramètres!M9),1)="F",1,0)))),IF(Paramètres!N9="",0,IF(Paramètres!O9="",NA(),IF(LEFT(TRIM(Paramètres!O9),1)="F",INDEX($F$1355:$F$1407,MATCH(Paramètres!N9,Paramètres!$G$5:$G$57,0)),INDEX($E$1355:$E$1407,MATCH(Paramètres!N9,Paramètres!$G$5:$G$57,0)))+IF(RIGHT(TRIM(Paramètres!O9),3)="Fin",1-$H1359,IF(LEFT(TRIM(Paramètres!O9),1)="F",1,0)))))))</f>
        <v/>
      </c>
      <c r="F1359" s="19">
        <f>IF($A1359="","",E1359+$H1359-1)</f>
        <v/>
      </c>
      <c r="G1359" s="18" t="n"/>
      <c r="H1359" s="18">
        <f>IF($A1359="","",IF(I1359&lt;&gt;"",I1359,Paramètres!B9))</f>
        <v/>
      </c>
      <c r="I1359" s="18" t="n"/>
    </row>
    <row r="1360">
      <c r="A1360" s="18">
        <f>IF(ISNUMBER(Dossiers!$D$29),Dossiers!$A$29&amp;" · "&amp;Dossiers!$B$29,"")</f>
        <v/>
      </c>
      <c r="B1360" s="18">
        <f>IF($A1360="","",Paramètres!G10)</f>
        <v/>
      </c>
      <c r="C1360" s="18">
        <f>IF($A1360="","",IF(Paramètres!H10="","",Paramètres!H10))</f>
        <v/>
      </c>
      <c r="D1360" s="18">
        <f>IF($A1360="","",IF(Paramètres!I10="","",Paramètres!I10))</f>
        <v/>
      </c>
      <c r="E1360" s="19">
        <f>IF($A1360="","",MIN(E1361:E1364))</f>
        <v/>
      </c>
      <c r="F1360" s="19">
        <f>IF($A1360="","",MAX(F1361:F1364))</f>
        <v/>
      </c>
      <c r="G1360" s="18" t="n"/>
      <c r="H1360" s="18">
        <f>IF($A1360="","",F1360-E1360+1)</f>
        <v/>
      </c>
      <c r="I1360" s="18" t="n"/>
    </row>
    <row r="1361">
      <c r="A1361" s="18">
        <f>IF(ISNUMBER(Dossiers!$D$29),Dossiers!$A$29&amp;" · "&amp;Dossiers!$B$29,"")</f>
        <v/>
      </c>
      <c r="B1361" s="18">
        <f>IF($A1361="","",Paramètres!G11)</f>
        <v/>
      </c>
      <c r="C1361" s="18">
        <f>IF($A1361="","",IF(Paramètres!H11="","",Paramètres!H11))</f>
        <v/>
      </c>
      <c r="D1361" s="18">
        <f>IF($A1361="","",IF(Paramètres!I11="","",Paramètres!I11))</f>
        <v/>
      </c>
      <c r="E1361" s="19">
        <f>IF($A1361="","",IF(Paramètres!J11&amp;Paramètres!L11&amp;Paramètres!N11="",Dossiers!$D$29,MAX(IF(Paramètres!J11="",0,IF(Paramètres!K11="",NA(),IF(LEFT(TRIM(Paramètres!K11),1)="F",INDEX($F$1355:$F$1407,MATCH(Paramètres!J11,Paramètres!$G$5:$G$57,0)),INDEX($E$1355:$E$1407,MATCH(Paramètres!J11,Paramètres!$G$5:$G$57,0)))+IF(RIGHT(TRIM(Paramètres!K11),3)="Fin",1-$H1361,IF(LEFT(TRIM(Paramètres!K11),1)="F",1,0)))),IF(Paramètres!L11="",0,IF(Paramètres!M11="",NA(),IF(LEFT(TRIM(Paramètres!M11),1)="F",INDEX($F$1355:$F$1407,MATCH(Paramètres!L11,Paramètres!$G$5:$G$57,0)),INDEX($E$1355:$E$1407,MATCH(Paramètres!L11,Paramètres!$G$5:$G$57,0)))+IF(RIGHT(TRIM(Paramètres!M11),3)="Fin",1-$H1361,IF(LEFT(TRIM(Paramètres!M11),1)="F",1,0)))),IF(Paramètres!N11="",0,IF(Paramètres!O11="",NA(),IF(LEFT(TRIM(Paramètres!O11),1)="F",INDEX($F$1355:$F$1407,MATCH(Paramètres!N11,Paramètres!$G$5:$G$57,0)),INDEX($E$1355:$E$1407,MATCH(Paramètres!N11,Paramètres!$G$5:$G$57,0)))+IF(RIGHT(TRIM(Paramètres!O11),3)="Fin",1-$H1361,IF(LEFT(TRIM(Paramètres!O11),1)="F",1,0)))))))</f>
        <v/>
      </c>
      <c r="F1361" s="19">
        <f>IF($A1361="","",E1361+$H1361-1)</f>
        <v/>
      </c>
      <c r="G1361" s="18" t="n"/>
      <c r="H1361" s="18">
        <f>IF($A1361="","",IF(I1361&lt;&gt;"",I1361,Paramètres!B11))</f>
        <v/>
      </c>
      <c r="I1361" s="18" t="n"/>
    </row>
    <row r="1362">
      <c r="A1362" s="18">
        <f>IF(ISNUMBER(Dossiers!$D$29),Dossiers!$A$29&amp;" · "&amp;Dossiers!$B$29,"")</f>
        <v/>
      </c>
      <c r="B1362" s="18">
        <f>IF($A1362="","",Paramètres!G12)</f>
        <v/>
      </c>
      <c r="C1362" s="18">
        <f>IF($A1362="","",IF(Paramètres!H12="","",Paramètres!H12))</f>
        <v/>
      </c>
      <c r="D1362" s="18">
        <f>IF($A1362="","",IF(Paramètres!I12="","",Paramètres!I12))</f>
        <v/>
      </c>
      <c r="E1362" s="19">
        <f>IF($A1362="","",IF(Paramètres!J12&amp;Paramètres!L12&amp;Paramètres!N12="",Dossiers!$D$29,MAX(IF(Paramètres!J12="",0,IF(Paramètres!K12="",NA(),IF(LEFT(TRIM(Paramètres!K12),1)="F",INDEX($F$1355:$F$1407,MATCH(Paramètres!J12,Paramètres!$G$5:$G$57,0)),INDEX($E$1355:$E$1407,MATCH(Paramètres!J12,Paramètres!$G$5:$G$57,0)))+IF(RIGHT(TRIM(Paramètres!K12),3)="Fin",1-$H1362,IF(LEFT(TRIM(Paramètres!K12),1)="F",1,0)))),IF(Paramètres!L12="",0,IF(Paramètres!M12="",NA(),IF(LEFT(TRIM(Paramètres!M12),1)="F",INDEX($F$1355:$F$1407,MATCH(Paramètres!L12,Paramètres!$G$5:$G$57,0)),INDEX($E$1355:$E$1407,MATCH(Paramètres!L12,Paramètres!$G$5:$G$57,0)))+IF(RIGHT(TRIM(Paramètres!M12),3)="Fin",1-$H1362,IF(LEFT(TRIM(Paramètres!M12),1)="F",1,0)))),IF(Paramètres!N12="",0,IF(Paramètres!O12="",NA(),IF(LEFT(TRIM(Paramètres!O12),1)="F",INDEX($F$1355:$F$1407,MATCH(Paramètres!N12,Paramètres!$G$5:$G$57,0)),INDEX($E$1355:$E$1407,MATCH(Paramètres!N12,Paramètres!$G$5:$G$57,0)))+IF(RIGHT(TRIM(Paramètres!O12),3)="Fin",1-$H1362,IF(LEFT(TRIM(Paramètres!O12),1)="F",1,0)))))))</f>
        <v/>
      </c>
      <c r="F1362" s="19">
        <f>IF($A1362="","",E1362+$H1362-1)</f>
        <v/>
      </c>
      <c r="G1362" s="18" t="n"/>
      <c r="H1362" s="18">
        <f>IF($A1362="","",IF(I1362&lt;&gt;"",I1362,Paramètres!B12))</f>
        <v/>
      </c>
      <c r="I1362" s="18" t="n"/>
    </row>
    <row r="1363">
      <c r="A1363" s="18">
        <f>IF(ISNUMBER(Dossiers!$D$29),Dossiers!$A$29&amp;" · "&amp;Dossiers!$B$29,"")</f>
        <v/>
      </c>
      <c r="B1363" s="18">
        <f>IF($A1363="","",Paramètres!G13)</f>
        <v/>
      </c>
      <c r="C1363" s="18">
        <f>IF($A1363="","",IF(Paramètres!H13="","",Paramètres!H13))</f>
        <v/>
      </c>
      <c r="D1363" s="18">
        <f>IF($A1363="","",IF(Paramètres!I13="","",Paramètres!I13))</f>
        <v/>
      </c>
      <c r="E1363" s="19">
        <f>IF($A1363="","",IF(Paramètres!J13&amp;Paramètres!L13&amp;Paramètres!N13="",Dossiers!$D$29,MAX(IF(Paramètres!J13="",0,IF(Paramètres!K13="",NA(),IF(LEFT(TRIM(Paramètres!K13),1)="F",INDEX($F$1355:$F$1407,MATCH(Paramètres!J13,Paramètres!$G$5:$G$57,0)),INDEX($E$1355:$E$1407,MATCH(Paramètres!J13,Paramètres!$G$5:$G$57,0)))+IF(RIGHT(TRIM(Paramètres!K13),3)="Fin",1-$H1363,IF(LEFT(TRIM(Paramètres!K13),1)="F",1,0)))),IF(Paramètres!L13="",0,IF(Paramètres!M13="",NA(),IF(LEFT(TRIM(Paramètres!M13),1)="F",INDEX($F$1355:$F$1407,MATCH(Paramètres!L13,Paramètres!$G$5:$G$57,0)),INDEX($E$1355:$E$1407,MATCH(Paramètres!L13,Paramètres!$G$5:$G$57,0)))+IF(RIGHT(TRIM(Paramètres!M13),3)="Fin",1-$H1363,IF(LEFT(TRIM(Paramètres!M13),1)="F",1,0)))),IF(Paramètres!N13="",0,IF(Paramètres!O13="",NA(),IF(LEFT(TRIM(Paramètres!O13),1)="F",INDEX($F$1355:$F$1407,MATCH(Paramètres!N13,Paramètres!$G$5:$G$57,0)),INDEX($E$1355:$E$1407,MATCH(Paramètres!N13,Paramètres!$G$5:$G$57,0)))+IF(RIGHT(TRIM(Paramètres!O13),3)="Fin",1-$H1363,IF(LEFT(TRIM(Paramètres!O13),1)="F",1,0)))))))</f>
        <v/>
      </c>
      <c r="F1363" s="19">
        <f>IF($A1363="","",E1363+$H1363-1)</f>
        <v/>
      </c>
      <c r="G1363" s="18" t="n"/>
      <c r="H1363" s="18">
        <f>IF($A1363="","",IF(I1363&lt;&gt;"",I1363,Paramètres!B13))</f>
        <v/>
      </c>
      <c r="I1363" s="18" t="n"/>
    </row>
    <row r="1364">
      <c r="A1364" s="18">
        <f>IF(ISNUMBER(Dossiers!$D$29),Dossiers!$A$29&amp;" · "&amp;Dossiers!$B$29,"")</f>
        <v/>
      </c>
      <c r="B1364" s="18">
        <f>IF($A1364="","",Paramètres!G14)</f>
        <v/>
      </c>
      <c r="C1364" s="18">
        <f>IF($A1364="","",IF(Paramètres!H14="","",Paramètres!H14))</f>
        <v/>
      </c>
      <c r="D1364" s="18">
        <f>IF($A1364="","",IF(Paramètres!I14="","",Paramètres!I14))</f>
        <v/>
      </c>
      <c r="E1364" s="19">
        <f>IF($A1364="","",IF(Paramètres!J14&amp;Paramètres!L14&amp;Paramètres!N14="",Dossiers!$D$29,MAX(IF(Paramètres!J14="",0,IF(Paramètres!K14="",NA(),IF(LEFT(TRIM(Paramètres!K14),1)="F",INDEX($F$1355:$F$1407,MATCH(Paramètres!J14,Paramètres!$G$5:$G$57,0)),INDEX($E$1355:$E$1407,MATCH(Paramètres!J14,Paramètres!$G$5:$G$57,0)))+IF(RIGHT(TRIM(Paramètres!K14),3)="Fin",1-$H1364,IF(LEFT(TRIM(Paramètres!K14),1)="F",1,0)))),IF(Paramètres!L14="",0,IF(Paramètres!M14="",NA(),IF(LEFT(TRIM(Paramètres!M14),1)="F",INDEX($F$1355:$F$1407,MATCH(Paramètres!L14,Paramètres!$G$5:$G$57,0)),INDEX($E$1355:$E$1407,MATCH(Paramètres!L14,Paramètres!$G$5:$G$57,0)))+IF(RIGHT(TRIM(Paramètres!M14),3)="Fin",1-$H1364,IF(LEFT(TRIM(Paramètres!M14),1)="F",1,0)))),IF(Paramètres!N14="",0,IF(Paramètres!O14="",NA(),IF(LEFT(TRIM(Paramètres!O14),1)="F",INDEX($F$1355:$F$1407,MATCH(Paramètres!N14,Paramètres!$G$5:$G$57,0)),INDEX($E$1355:$E$1407,MATCH(Paramètres!N14,Paramètres!$G$5:$G$57,0)))+IF(RIGHT(TRIM(Paramètres!O14),3)="Fin",1-$H1364,IF(LEFT(TRIM(Paramètres!O14),1)="F",1,0)))))))</f>
        <v/>
      </c>
      <c r="F1364" s="19">
        <f>IF($A1364="","",E1364+$H1364-1)</f>
        <v/>
      </c>
      <c r="G1364" s="18" t="n"/>
      <c r="H1364" s="18">
        <f>IF($A1364="","",IF(I1364&lt;&gt;"",I1364,Paramètres!B14))</f>
        <v/>
      </c>
      <c r="I1364" s="18" t="n"/>
    </row>
    <row r="1365">
      <c r="A1365" s="18">
        <f>IF(ISNUMBER(Dossiers!$D$29),Dossiers!$A$29&amp;" · "&amp;Dossiers!$B$29,"")</f>
        <v/>
      </c>
      <c r="B1365" s="18">
        <f>IF($A1365="","",Paramètres!G15)</f>
        <v/>
      </c>
      <c r="C1365" s="18">
        <f>IF($A1365="","",IF(Paramètres!H15="","",Paramètres!H15))</f>
        <v/>
      </c>
      <c r="D1365" s="18">
        <f>IF($A1365="","",IF(Paramètres!I15="","",Paramètres!I15))</f>
        <v/>
      </c>
      <c r="E1365" s="19">
        <f>IF($A1365="","",MIN(E1366:E1381))</f>
        <v/>
      </c>
      <c r="F1365" s="19">
        <f>IF($A1365="","",MAX(F1366:F1381))</f>
        <v/>
      </c>
      <c r="G1365" s="18" t="n"/>
      <c r="H1365" s="18">
        <f>IF($A1365="","",F1365-E1365+1)</f>
        <v/>
      </c>
      <c r="I1365" s="18" t="n"/>
    </row>
    <row r="1366">
      <c r="A1366" s="18">
        <f>IF(ISNUMBER(Dossiers!$D$29),Dossiers!$A$29&amp;" · "&amp;Dossiers!$B$29,"")</f>
        <v/>
      </c>
      <c r="B1366" s="18">
        <f>IF($A1366="","",Paramètres!G16)</f>
        <v/>
      </c>
      <c r="C1366" s="18">
        <f>IF($A1366="","",IF(Paramètres!H16="","",Paramètres!H16))</f>
        <v/>
      </c>
      <c r="D1366" s="18">
        <f>IF($A1366="","",IF(Paramètres!I16="","",Paramètres!I16))</f>
        <v/>
      </c>
      <c r="E1366" s="19">
        <f>IF($A1366="","",IF(Paramètres!J16&amp;Paramètres!L16&amp;Paramètres!N16="",Dossiers!$D$29,MAX(IF(Paramètres!J16="",0,IF(Paramètres!K16="",NA(),IF(LEFT(TRIM(Paramètres!K16),1)="F",INDEX($F$1355:$F$1407,MATCH(Paramètres!J16,Paramètres!$G$5:$G$57,0)),INDEX($E$1355:$E$1407,MATCH(Paramètres!J16,Paramètres!$G$5:$G$57,0)))+IF(RIGHT(TRIM(Paramètres!K16),3)="Fin",1-$H1366,IF(LEFT(TRIM(Paramètres!K16),1)="F",1,0)))),IF(Paramètres!L16="",0,IF(Paramètres!M16="",NA(),IF(LEFT(TRIM(Paramètres!M16),1)="F",INDEX($F$1355:$F$1407,MATCH(Paramètres!L16,Paramètres!$G$5:$G$57,0)),INDEX($E$1355:$E$1407,MATCH(Paramètres!L16,Paramètres!$G$5:$G$57,0)))+IF(RIGHT(TRIM(Paramètres!M16),3)="Fin",1-$H1366,IF(LEFT(TRIM(Paramètres!M16),1)="F",1,0)))),IF(Paramètres!N16="",0,IF(Paramètres!O16="",NA(),IF(LEFT(TRIM(Paramètres!O16),1)="F",INDEX($F$1355:$F$1407,MATCH(Paramètres!N16,Paramètres!$G$5:$G$57,0)),INDEX($E$1355:$E$1407,MATCH(Paramètres!N16,Paramètres!$G$5:$G$57,0)))+IF(RIGHT(TRIM(Paramètres!O16),3)="Fin",1-$H1366,IF(LEFT(TRIM(Paramètres!O16),1)="F",1,0)))))))</f>
        <v/>
      </c>
      <c r="F1366" s="19">
        <f>IF($A1366="","",E1366+$H1366-1)</f>
        <v/>
      </c>
      <c r="G1366" s="18" t="n"/>
      <c r="H1366" s="18">
        <f>IF($A1366="","",IF(I1366&lt;&gt;"",I1366,Paramètres!B16))</f>
        <v/>
      </c>
      <c r="I1366" s="18" t="n"/>
    </row>
    <row r="1367">
      <c r="A1367" s="18">
        <f>IF(ISNUMBER(Dossiers!$D$29),Dossiers!$A$29&amp;" · "&amp;Dossiers!$B$29,"")</f>
        <v/>
      </c>
      <c r="B1367" s="18">
        <f>IF($A1367="","",Paramètres!G17)</f>
        <v/>
      </c>
      <c r="C1367" s="18">
        <f>IF($A1367="","",IF(Paramètres!H17="","",Paramètres!H17))</f>
        <v/>
      </c>
      <c r="D1367" s="18">
        <f>IF($A1367="","",IF(Paramètres!I17="","",Paramètres!I17))</f>
        <v/>
      </c>
      <c r="E1367" s="19">
        <f>IF($A1367="","",IF(Paramètres!J17&amp;Paramètres!L17&amp;Paramètres!N17="",Dossiers!$D$29,MAX(IF(Paramètres!J17="",0,IF(Paramètres!K17="",NA(),IF(LEFT(TRIM(Paramètres!K17),1)="F",INDEX($F$1355:$F$1407,MATCH(Paramètres!J17,Paramètres!$G$5:$G$57,0)),INDEX($E$1355:$E$1407,MATCH(Paramètres!J17,Paramètres!$G$5:$G$57,0)))+IF(RIGHT(TRIM(Paramètres!K17),3)="Fin",1-$H1367,IF(LEFT(TRIM(Paramètres!K17),1)="F",1,0)))),IF(Paramètres!L17="",0,IF(Paramètres!M17="",NA(),IF(LEFT(TRIM(Paramètres!M17),1)="F",INDEX($F$1355:$F$1407,MATCH(Paramètres!L17,Paramètres!$G$5:$G$57,0)),INDEX($E$1355:$E$1407,MATCH(Paramètres!L17,Paramètres!$G$5:$G$57,0)))+IF(RIGHT(TRIM(Paramètres!M17),3)="Fin",1-$H1367,IF(LEFT(TRIM(Paramètres!M17),1)="F",1,0)))),IF(Paramètres!N17="",0,IF(Paramètres!O17="",NA(),IF(LEFT(TRIM(Paramètres!O17),1)="F",INDEX($F$1355:$F$1407,MATCH(Paramètres!N17,Paramètres!$G$5:$G$57,0)),INDEX($E$1355:$E$1407,MATCH(Paramètres!N17,Paramètres!$G$5:$G$57,0)))+IF(RIGHT(TRIM(Paramètres!O17),3)="Fin",1-$H1367,IF(LEFT(TRIM(Paramètres!O17),1)="F",1,0)))))))</f>
        <v/>
      </c>
      <c r="F1367" s="19">
        <f>IF($A1367="","",E1367+$H1367-1)</f>
        <v/>
      </c>
      <c r="G1367" s="18" t="n"/>
      <c r="H1367" s="18">
        <f>IF($A1367="","",IF(I1367&lt;&gt;"",I1367,Paramètres!B17))</f>
        <v/>
      </c>
      <c r="I1367" s="18" t="n"/>
    </row>
    <row r="1368">
      <c r="A1368" s="18">
        <f>IF(ISNUMBER(Dossiers!$D$29),Dossiers!$A$29&amp;" · "&amp;Dossiers!$B$29,"")</f>
        <v/>
      </c>
      <c r="B1368" s="18">
        <f>IF($A1368="","",Paramètres!G18)</f>
        <v/>
      </c>
      <c r="C1368" s="18">
        <f>IF($A1368="","",IF(Paramètres!H18="","",Paramètres!H18))</f>
        <v/>
      </c>
      <c r="D1368" s="18">
        <f>IF($A1368="","",IF(Paramètres!I18="","",Paramètres!I18))</f>
        <v/>
      </c>
      <c r="E1368" s="19">
        <f>IF($A1368="","",IF(Paramètres!J18&amp;Paramètres!L18&amp;Paramètres!N18="",Dossiers!$D$29,MAX(IF(Paramètres!J18="",0,IF(Paramètres!K18="",NA(),IF(LEFT(TRIM(Paramètres!K18),1)="F",INDEX($F$1355:$F$1407,MATCH(Paramètres!J18,Paramètres!$G$5:$G$57,0)),INDEX($E$1355:$E$1407,MATCH(Paramètres!J18,Paramètres!$G$5:$G$57,0)))+IF(RIGHT(TRIM(Paramètres!K18),3)="Fin",1-$H1368,IF(LEFT(TRIM(Paramètres!K18),1)="F",1,0)))),IF(Paramètres!L18="",0,IF(Paramètres!M18="",NA(),IF(LEFT(TRIM(Paramètres!M18),1)="F",INDEX($F$1355:$F$1407,MATCH(Paramètres!L18,Paramètres!$G$5:$G$57,0)),INDEX($E$1355:$E$1407,MATCH(Paramètres!L18,Paramètres!$G$5:$G$57,0)))+IF(RIGHT(TRIM(Paramètres!M18),3)="Fin",1-$H1368,IF(LEFT(TRIM(Paramètres!M18),1)="F",1,0)))),IF(Paramètres!N18="",0,IF(Paramètres!O18="",NA(),IF(LEFT(TRIM(Paramètres!O18),1)="F",INDEX($F$1355:$F$1407,MATCH(Paramètres!N18,Paramètres!$G$5:$G$57,0)),INDEX($E$1355:$E$1407,MATCH(Paramètres!N18,Paramètres!$G$5:$G$57,0)))+IF(RIGHT(TRIM(Paramètres!O18),3)="Fin",1-$H1368,IF(LEFT(TRIM(Paramètres!O18),1)="F",1,0)))))))</f>
        <v/>
      </c>
      <c r="F1368" s="19">
        <f>IF($A1368="","",E1368+$H1368-1)</f>
        <v/>
      </c>
      <c r="G1368" s="18" t="n"/>
      <c r="H1368" s="18">
        <f>IF($A1368="","",IF(I1368&lt;&gt;"",I1368,Paramètres!B18))</f>
        <v/>
      </c>
      <c r="I1368" s="18" t="n"/>
    </row>
    <row r="1369">
      <c r="A1369" s="18">
        <f>IF(ISNUMBER(Dossiers!$D$29),Dossiers!$A$29&amp;" · "&amp;Dossiers!$B$29,"")</f>
        <v/>
      </c>
      <c r="B1369" s="18">
        <f>IF($A1369="","",Paramètres!G19)</f>
        <v/>
      </c>
      <c r="C1369" s="18">
        <f>IF($A1369="","",IF(Paramètres!H19="","",Paramètres!H19))</f>
        <v/>
      </c>
      <c r="D1369" s="18">
        <f>IF($A1369="","",IF(Paramètres!I19="","",Paramètres!I19))</f>
        <v/>
      </c>
      <c r="E1369" s="19">
        <f>IF($A1369="","",IF(Paramètres!J19&amp;Paramètres!L19&amp;Paramètres!N19="",Dossiers!$D$29,MAX(IF(Paramètres!J19="",0,IF(Paramètres!K19="",NA(),IF(LEFT(TRIM(Paramètres!K19),1)="F",INDEX($F$1355:$F$1407,MATCH(Paramètres!J19,Paramètres!$G$5:$G$57,0)),INDEX($E$1355:$E$1407,MATCH(Paramètres!J19,Paramètres!$G$5:$G$57,0)))+IF(RIGHT(TRIM(Paramètres!K19),3)="Fin",1-$H1369,IF(LEFT(TRIM(Paramètres!K19),1)="F",1,0)))),IF(Paramètres!L19="",0,IF(Paramètres!M19="",NA(),IF(LEFT(TRIM(Paramètres!M19),1)="F",INDEX($F$1355:$F$1407,MATCH(Paramètres!L19,Paramètres!$G$5:$G$57,0)),INDEX($E$1355:$E$1407,MATCH(Paramètres!L19,Paramètres!$G$5:$G$57,0)))+IF(RIGHT(TRIM(Paramètres!M19),3)="Fin",1-$H1369,IF(LEFT(TRIM(Paramètres!M19),1)="F",1,0)))),IF(Paramètres!N19="",0,IF(Paramètres!O19="",NA(),IF(LEFT(TRIM(Paramètres!O19),1)="F",INDEX($F$1355:$F$1407,MATCH(Paramètres!N19,Paramètres!$G$5:$G$57,0)),INDEX($E$1355:$E$1407,MATCH(Paramètres!N19,Paramètres!$G$5:$G$57,0)))+IF(RIGHT(TRIM(Paramètres!O19),3)="Fin",1-$H1369,IF(LEFT(TRIM(Paramètres!O19),1)="F",1,0)))))))</f>
        <v/>
      </c>
      <c r="F1369" s="19">
        <f>IF($A1369="","",E1369+$H1369-1)</f>
        <v/>
      </c>
      <c r="G1369" s="18" t="n"/>
      <c r="H1369" s="18">
        <f>IF($A1369="","",IF(I1369&lt;&gt;"",I1369,Paramètres!B19))</f>
        <v/>
      </c>
      <c r="I1369" s="18" t="n"/>
    </row>
    <row r="1370">
      <c r="A1370" s="18">
        <f>IF(ISNUMBER(Dossiers!$D$29),Dossiers!$A$29&amp;" · "&amp;Dossiers!$B$29,"")</f>
        <v/>
      </c>
      <c r="B1370" s="18">
        <f>IF($A1370="","",Paramètres!G20)</f>
        <v/>
      </c>
      <c r="C1370" s="18">
        <f>IF($A1370="","",IF(Paramètres!H20="","",Paramètres!H20))</f>
        <v/>
      </c>
      <c r="D1370" s="18">
        <f>IF($A1370="","",IF(Paramètres!I20="","",Paramètres!I20))</f>
        <v/>
      </c>
      <c r="E1370" s="19">
        <f>IF($A1370="","",IF(Paramètres!J20&amp;Paramètres!L20&amp;Paramètres!N20="",Dossiers!$D$29,MAX(IF(Paramètres!J20="",0,IF(Paramètres!K20="",NA(),IF(LEFT(TRIM(Paramètres!K20),1)="F",INDEX($F$1355:$F$1407,MATCH(Paramètres!J20,Paramètres!$G$5:$G$57,0)),INDEX($E$1355:$E$1407,MATCH(Paramètres!J20,Paramètres!$G$5:$G$57,0)))+IF(RIGHT(TRIM(Paramètres!K20),3)="Fin",1-$H1370,IF(LEFT(TRIM(Paramètres!K20),1)="F",1,0)))),IF(Paramètres!L20="",0,IF(Paramètres!M20="",NA(),IF(LEFT(TRIM(Paramètres!M20),1)="F",INDEX($F$1355:$F$1407,MATCH(Paramètres!L20,Paramètres!$G$5:$G$57,0)),INDEX($E$1355:$E$1407,MATCH(Paramètres!L20,Paramètres!$G$5:$G$57,0)))+IF(RIGHT(TRIM(Paramètres!M20),3)="Fin",1-$H1370,IF(LEFT(TRIM(Paramètres!M20),1)="F",1,0)))),IF(Paramètres!N20="",0,IF(Paramètres!O20="",NA(),IF(LEFT(TRIM(Paramètres!O20),1)="F",INDEX($F$1355:$F$1407,MATCH(Paramètres!N20,Paramètres!$G$5:$G$57,0)),INDEX($E$1355:$E$1407,MATCH(Paramètres!N20,Paramètres!$G$5:$G$57,0)))+IF(RIGHT(TRIM(Paramètres!O20),3)="Fin",1-$H1370,IF(LEFT(TRIM(Paramètres!O20),1)="F",1,0)))))))</f>
        <v/>
      </c>
      <c r="F1370" s="19">
        <f>IF($A1370="","",E1370+$H1370-1)</f>
        <v/>
      </c>
      <c r="G1370" s="18" t="n"/>
      <c r="H1370" s="18">
        <f>IF($A1370="","",IF(I1370&lt;&gt;"",I1370,Paramètres!B20))</f>
        <v/>
      </c>
      <c r="I1370" s="18" t="n"/>
    </row>
    <row r="1371">
      <c r="A1371" s="18">
        <f>IF(ISNUMBER(Dossiers!$D$29),Dossiers!$A$29&amp;" · "&amp;Dossiers!$B$29,"")</f>
        <v/>
      </c>
      <c r="B1371" s="18">
        <f>IF($A1371="","",Paramètres!G21)</f>
        <v/>
      </c>
      <c r="C1371" s="18">
        <f>IF($A1371="","",IF(Paramètres!H21="","",Paramètres!H21))</f>
        <v/>
      </c>
      <c r="D1371" s="18">
        <f>IF($A1371="","",IF(Paramètres!I21="","",Paramètres!I21))</f>
        <v/>
      </c>
      <c r="E1371" s="19">
        <f>IF($A1371="","",IF(Paramètres!J21&amp;Paramètres!L21&amp;Paramètres!N21="",Dossiers!$D$29,MAX(IF(Paramètres!J21="",0,IF(Paramètres!K21="",NA(),IF(LEFT(TRIM(Paramètres!K21),1)="F",INDEX($F$1355:$F$1407,MATCH(Paramètres!J21,Paramètres!$G$5:$G$57,0)),INDEX($E$1355:$E$1407,MATCH(Paramètres!J21,Paramètres!$G$5:$G$57,0)))+IF(RIGHT(TRIM(Paramètres!K21),3)="Fin",1-$H1371,IF(LEFT(TRIM(Paramètres!K21),1)="F",1,0)))),IF(Paramètres!L21="",0,IF(Paramètres!M21="",NA(),IF(LEFT(TRIM(Paramètres!M21),1)="F",INDEX($F$1355:$F$1407,MATCH(Paramètres!L21,Paramètres!$G$5:$G$57,0)),INDEX($E$1355:$E$1407,MATCH(Paramètres!L21,Paramètres!$G$5:$G$57,0)))+IF(RIGHT(TRIM(Paramètres!M21),3)="Fin",1-$H1371,IF(LEFT(TRIM(Paramètres!M21),1)="F",1,0)))),IF(Paramètres!N21="",0,IF(Paramètres!O21="",NA(),IF(LEFT(TRIM(Paramètres!O21),1)="F",INDEX($F$1355:$F$1407,MATCH(Paramètres!N21,Paramètres!$G$5:$G$57,0)),INDEX($E$1355:$E$1407,MATCH(Paramètres!N21,Paramètres!$G$5:$G$57,0)))+IF(RIGHT(TRIM(Paramètres!O21),3)="Fin",1-$H1371,IF(LEFT(TRIM(Paramètres!O21),1)="F",1,0)))))))</f>
        <v/>
      </c>
      <c r="F1371" s="19">
        <f>IF($A1371="","",E1371+$H1371-1)</f>
        <v/>
      </c>
      <c r="G1371" s="18" t="n"/>
      <c r="H1371" s="18">
        <f>IF($A1371="","",IF(I1371&lt;&gt;"",I1371,Paramètres!B21))</f>
        <v/>
      </c>
      <c r="I1371" s="18" t="n"/>
    </row>
    <row r="1372">
      <c r="A1372" s="18">
        <f>IF(ISNUMBER(Dossiers!$D$29),Dossiers!$A$29&amp;" · "&amp;Dossiers!$B$29,"")</f>
        <v/>
      </c>
      <c r="B1372" s="18">
        <f>IF($A1372="","",Paramètres!G22)</f>
        <v/>
      </c>
      <c r="C1372" s="18">
        <f>IF($A1372="","",IF(Paramètres!H22="","",Paramètres!H22))</f>
        <v/>
      </c>
      <c r="D1372" s="18">
        <f>IF($A1372="","",IF(Paramètres!I22="","",Paramètres!I22))</f>
        <v/>
      </c>
      <c r="E1372" s="19">
        <f>IF($A1372="","",IF(Paramètres!J22&amp;Paramètres!L22&amp;Paramètres!N22="",Dossiers!$D$29,MAX(IF(Paramètres!J22="",0,IF(Paramètres!K22="",NA(),IF(LEFT(TRIM(Paramètres!K22),1)="F",INDEX($F$1355:$F$1407,MATCH(Paramètres!J22,Paramètres!$G$5:$G$57,0)),INDEX($E$1355:$E$1407,MATCH(Paramètres!J22,Paramètres!$G$5:$G$57,0)))+IF(RIGHT(TRIM(Paramètres!K22),3)="Fin",1-$H1372,IF(LEFT(TRIM(Paramètres!K22),1)="F",1,0)))),IF(Paramètres!L22="",0,IF(Paramètres!M22="",NA(),IF(LEFT(TRIM(Paramètres!M22),1)="F",INDEX($F$1355:$F$1407,MATCH(Paramètres!L22,Paramètres!$G$5:$G$57,0)),INDEX($E$1355:$E$1407,MATCH(Paramètres!L22,Paramètres!$G$5:$G$57,0)))+IF(RIGHT(TRIM(Paramètres!M22),3)="Fin",1-$H1372,IF(LEFT(TRIM(Paramètres!M22),1)="F",1,0)))),IF(Paramètres!N22="",0,IF(Paramètres!O22="",NA(),IF(LEFT(TRIM(Paramètres!O22),1)="F",INDEX($F$1355:$F$1407,MATCH(Paramètres!N22,Paramètres!$G$5:$G$57,0)),INDEX($E$1355:$E$1407,MATCH(Paramètres!N22,Paramètres!$G$5:$G$57,0)))+IF(RIGHT(TRIM(Paramètres!O22),3)="Fin",1-$H1372,IF(LEFT(TRIM(Paramètres!O22),1)="F",1,0)))))))</f>
        <v/>
      </c>
      <c r="F1372" s="19">
        <f>IF($A1372="","",E1372+$H1372-1)</f>
        <v/>
      </c>
      <c r="G1372" s="18" t="n"/>
      <c r="H1372" s="18">
        <f>IF($A1372="","",IF(I1372&lt;&gt;"",I1372,Paramètres!B22))</f>
        <v/>
      </c>
      <c r="I1372" s="18" t="n"/>
    </row>
    <row r="1373">
      <c r="A1373" s="18">
        <f>IF(ISNUMBER(Dossiers!$D$29),Dossiers!$A$29&amp;" · "&amp;Dossiers!$B$29,"")</f>
        <v/>
      </c>
      <c r="B1373" s="18">
        <f>IF($A1373="","",Paramètres!G23)</f>
        <v/>
      </c>
      <c r="C1373" s="18">
        <f>IF($A1373="","",IF(Paramètres!H23="","",Paramètres!H23))</f>
        <v/>
      </c>
      <c r="D1373" s="18">
        <f>IF($A1373="","",IF(Paramètres!I23="","",Paramètres!I23))</f>
        <v/>
      </c>
      <c r="E1373" s="19">
        <f>IF($A1373="","",IF(Paramètres!J23&amp;Paramètres!L23&amp;Paramètres!N23="",Dossiers!$D$29,MAX(IF(Paramètres!J23="",0,IF(Paramètres!K23="",NA(),IF(LEFT(TRIM(Paramètres!K23),1)="F",INDEX($F$1355:$F$1407,MATCH(Paramètres!J23,Paramètres!$G$5:$G$57,0)),INDEX($E$1355:$E$1407,MATCH(Paramètres!J23,Paramètres!$G$5:$G$57,0)))+IF(RIGHT(TRIM(Paramètres!K23),3)="Fin",1-$H1373,IF(LEFT(TRIM(Paramètres!K23),1)="F",1,0)))),IF(Paramètres!L23="",0,IF(Paramètres!M23="",NA(),IF(LEFT(TRIM(Paramètres!M23),1)="F",INDEX($F$1355:$F$1407,MATCH(Paramètres!L23,Paramètres!$G$5:$G$57,0)),INDEX($E$1355:$E$1407,MATCH(Paramètres!L23,Paramètres!$G$5:$G$57,0)))+IF(RIGHT(TRIM(Paramètres!M23),3)="Fin",1-$H1373,IF(LEFT(TRIM(Paramètres!M23),1)="F",1,0)))),IF(Paramètres!N23="",0,IF(Paramètres!O23="",NA(),IF(LEFT(TRIM(Paramètres!O23),1)="F",INDEX($F$1355:$F$1407,MATCH(Paramètres!N23,Paramètres!$G$5:$G$57,0)),INDEX($E$1355:$E$1407,MATCH(Paramètres!N23,Paramètres!$G$5:$G$57,0)))+IF(RIGHT(TRIM(Paramètres!O23),3)="Fin",1-$H1373,IF(LEFT(TRIM(Paramètres!O23),1)="F",1,0)))))))</f>
        <v/>
      </c>
      <c r="F1373" s="19">
        <f>IF($A1373="","",E1373+$H1373-1)</f>
        <v/>
      </c>
      <c r="G1373" s="18" t="n"/>
      <c r="H1373" s="18">
        <f>IF($A1373="","",IF(I1373&lt;&gt;"",I1373,Paramètres!B23))</f>
        <v/>
      </c>
      <c r="I1373" s="18" t="n"/>
    </row>
    <row r="1374">
      <c r="A1374" s="18">
        <f>IF(ISNUMBER(Dossiers!$D$29),Dossiers!$A$29&amp;" · "&amp;Dossiers!$B$29,"")</f>
        <v/>
      </c>
      <c r="B1374" s="18">
        <f>IF($A1374="","",Paramètres!G24)</f>
        <v/>
      </c>
      <c r="C1374" s="18">
        <f>IF($A1374="","",IF(Paramètres!H24="","",Paramètres!H24))</f>
        <v/>
      </c>
      <c r="D1374" s="18">
        <f>IF($A1374="","",IF(Paramètres!I24="","",Paramètres!I24))</f>
        <v/>
      </c>
      <c r="E1374" s="19">
        <f>IF($A1374="","",IF(Paramètres!J24&amp;Paramètres!L24&amp;Paramètres!N24="",Dossiers!$D$29,MAX(IF(Paramètres!J24="",0,IF(Paramètres!K24="",NA(),IF(LEFT(TRIM(Paramètres!K24),1)="F",INDEX($F$1355:$F$1407,MATCH(Paramètres!J24,Paramètres!$G$5:$G$57,0)),INDEX($E$1355:$E$1407,MATCH(Paramètres!J24,Paramètres!$G$5:$G$57,0)))+IF(RIGHT(TRIM(Paramètres!K24),3)="Fin",1-$H1374,IF(LEFT(TRIM(Paramètres!K24),1)="F",1,0)))),IF(Paramètres!L24="",0,IF(Paramètres!M24="",NA(),IF(LEFT(TRIM(Paramètres!M24),1)="F",INDEX($F$1355:$F$1407,MATCH(Paramètres!L24,Paramètres!$G$5:$G$57,0)),INDEX($E$1355:$E$1407,MATCH(Paramètres!L24,Paramètres!$G$5:$G$57,0)))+IF(RIGHT(TRIM(Paramètres!M24),3)="Fin",1-$H1374,IF(LEFT(TRIM(Paramètres!M24),1)="F",1,0)))),IF(Paramètres!N24="",0,IF(Paramètres!O24="",NA(),IF(LEFT(TRIM(Paramètres!O24),1)="F",INDEX($F$1355:$F$1407,MATCH(Paramètres!N24,Paramètres!$G$5:$G$57,0)),INDEX($E$1355:$E$1407,MATCH(Paramètres!N24,Paramètres!$G$5:$G$57,0)))+IF(RIGHT(TRIM(Paramètres!O24),3)="Fin",1-$H1374,IF(LEFT(TRIM(Paramètres!O24),1)="F",1,0)))))))</f>
        <v/>
      </c>
      <c r="F1374" s="19">
        <f>IF($A1374="","",E1374+$H1374-1)</f>
        <v/>
      </c>
      <c r="G1374" s="18" t="n"/>
      <c r="H1374" s="18">
        <f>IF($A1374="","",IF(I1374&lt;&gt;"",I1374,Paramètres!B24))</f>
        <v/>
      </c>
      <c r="I1374" s="18" t="n"/>
    </row>
    <row r="1375">
      <c r="A1375" s="18">
        <f>IF(ISNUMBER(Dossiers!$D$29),Dossiers!$A$29&amp;" · "&amp;Dossiers!$B$29,"")</f>
        <v/>
      </c>
      <c r="B1375" s="18">
        <f>IF($A1375="","",Paramètres!G25)</f>
        <v/>
      </c>
      <c r="C1375" s="18">
        <f>IF($A1375="","",IF(Paramètres!H25="","",Paramètres!H25))</f>
        <v/>
      </c>
      <c r="D1375" s="18">
        <f>IF($A1375="","",IF(Paramètres!I25="","",Paramètres!I25))</f>
        <v/>
      </c>
      <c r="E1375" s="19">
        <f>IF($A1375="","",IF(Paramètres!J25&amp;Paramètres!L25&amp;Paramètres!N25="",Dossiers!$D$29,MAX(IF(Paramètres!J25="",0,IF(Paramètres!K25="",NA(),IF(LEFT(TRIM(Paramètres!K25),1)="F",INDEX($F$1355:$F$1407,MATCH(Paramètres!J25,Paramètres!$G$5:$G$57,0)),INDEX($E$1355:$E$1407,MATCH(Paramètres!J25,Paramètres!$G$5:$G$57,0)))+IF(RIGHT(TRIM(Paramètres!K25),3)="Fin",1-$H1375,IF(LEFT(TRIM(Paramètres!K25),1)="F",1,0)))),IF(Paramètres!L25="",0,IF(Paramètres!M25="",NA(),IF(LEFT(TRIM(Paramètres!M25),1)="F",INDEX($F$1355:$F$1407,MATCH(Paramètres!L25,Paramètres!$G$5:$G$57,0)),INDEX($E$1355:$E$1407,MATCH(Paramètres!L25,Paramètres!$G$5:$G$57,0)))+IF(RIGHT(TRIM(Paramètres!M25),3)="Fin",1-$H1375,IF(LEFT(TRIM(Paramètres!M25),1)="F",1,0)))),IF(Paramètres!N25="",0,IF(Paramètres!O25="",NA(),IF(LEFT(TRIM(Paramètres!O25),1)="F",INDEX($F$1355:$F$1407,MATCH(Paramètres!N25,Paramètres!$G$5:$G$57,0)),INDEX($E$1355:$E$1407,MATCH(Paramètres!N25,Paramètres!$G$5:$G$57,0)))+IF(RIGHT(TRIM(Paramètres!O25),3)="Fin",1-$H1375,IF(LEFT(TRIM(Paramètres!O25),1)="F",1,0)))))))</f>
        <v/>
      </c>
      <c r="F1375" s="19">
        <f>IF($A1375="","",E1375+$H1375-1)</f>
        <v/>
      </c>
      <c r="G1375" s="18" t="n"/>
      <c r="H1375" s="18">
        <f>IF($A1375="","",IF(I1375&lt;&gt;"",I1375,Paramètres!B25))</f>
        <v/>
      </c>
      <c r="I1375" s="18" t="n"/>
    </row>
    <row r="1376">
      <c r="A1376" s="18">
        <f>IF(ISNUMBER(Dossiers!$D$29),Dossiers!$A$29&amp;" · "&amp;Dossiers!$B$29,"")</f>
        <v/>
      </c>
      <c r="B1376" s="18">
        <f>IF($A1376="","",Paramètres!G26)</f>
        <v/>
      </c>
      <c r="C1376" s="18">
        <f>IF($A1376="","",IF(Paramètres!H26="","",Paramètres!H26))</f>
        <v/>
      </c>
      <c r="D1376" s="18">
        <f>IF($A1376="","",IF(Paramètres!I26="","",Paramètres!I26))</f>
        <v/>
      </c>
      <c r="E1376" s="19">
        <f>IF($A1376="","",IF(Paramètres!J26&amp;Paramètres!L26&amp;Paramètres!N26="",Dossiers!$D$29,MAX(IF(Paramètres!J26="",0,IF(Paramètres!K26="",NA(),IF(LEFT(TRIM(Paramètres!K26),1)="F",INDEX($F$1355:$F$1407,MATCH(Paramètres!J26,Paramètres!$G$5:$G$57,0)),INDEX($E$1355:$E$1407,MATCH(Paramètres!J26,Paramètres!$G$5:$G$57,0)))+IF(RIGHT(TRIM(Paramètres!K26),3)="Fin",1-$H1376,IF(LEFT(TRIM(Paramètres!K26),1)="F",1,0)))),IF(Paramètres!L26="",0,IF(Paramètres!M26="",NA(),IF(LEFT(TRIM(Paramètres!M26),1)="F",INDEX($F$1355:$F$1407,MATCH(Paramètres!L26,Paramètres!$G$5:$G$57,0)),INDEX($E$1355:$E$1407,MATCH(Paramètres!L26,Paramètres!$G$5:$G$57,0)))+IF(RIGHT(TRIM(Paramètres!M26),3)="Fin",1-$H1376,IF(LEFT(TRIM(Paramètres!M26),1)="F",1,0)))),IF(Paramètres!N26="",0,IF(Paramètres!O26="",NA(),IF(LEFT(TRIM(Paramètres!O26),1)="F",INDEX($F$1355:$F$1407,MATCH(Paramètres!N26,Paramètres!$G$5:$G$57,0)),INDEX($E$1355:$E$1407,MATCH(Paramètres!N26,Paramètres!$G$5:$G$57,0)))+IF(RIGHT(TRIM(Paramètres!O26),3)="Fin",1-$H1376,IF(LEFT(TRIM(Paramètres!O26),1)="F",1,0)))))))</f>
        <v/>
      </c>
      <c r="F1376" s="19">
        <f>IF($A1376="","",E1376+$H1376-1)</f>
        <v/>
      </c>
      <c r="G1376" s="18" t="n"/>
      <c r="H1376" s="18">
        <f>IF($A1376="","",IF(I1376&lt;&gt;"",I1376,Paramètres!B26))</f>
        <v/>
      </c>
      <c r="I1376" s="18" t="n"/>
    </row>
    <row r="1377">
      <c r="A1377" s="18">
        <f>IF(ISNUMBER(Dossiers!$D$29),Dossiers!$A$29&amp;" · "&amp;Dossiers!$B$29,"")</f>
        <v/>
      </c>
      <c r="B1377" s="18">
        <f>IF($A1377="","",Paramètres!G27)</f>
        <v/>
      </c>
      <c r="C1377" s="18">
        <f>IF($A1377="","",IF(Paramètres!H27="","",Paramètres!H27))</f>
        <v/>
      </c>
      <c r="D1377" s="18">
        <f>IF($A1377="","",IF(Paramètres!I27="","",Paramètres!I27))</f>
        <v/>
      </c>
      <c r="E1377" s="19">
        <f>IF($A1377="","",IF(Paramètres!J27&amp;Paramètres!L27&amp;Paramètres!N27="",Dossiers!$D$29,MAX(IF(Paramètres!J27="",0,IF(Paramètres!K27="",NA(),IF(LEFT(TRIM(Paramètres!K27),1)="F",INDEX($F$1355:$F$1407,MATCH(Paramètres!J27,Paramètres!$G$5:$G$57,0)),INDEX($E$1355:$E$1407,MATCH(Paramètres!J27,Paramètres!$G$5:$G$57,0)))+IF(RIGHT(TRIM(Paramètres!K27),3)="Fin",1-$H1377,IF(LEFT(TRIM(Paramètres!K27),1)="F",1,0)))),IF(Paramètres!L27="",0,IF(Paramètres!M27="",NA(),IF(LEFT(TRIM(Paramètres!M27),1)="F",INDEX($F$1355:$F$1407,MATCH(Paramètres!L27,Paramètres!$G$5:$G$57,0)),INDEX($E$1355:$E$1407,MATCH(Paramètres!L27,Paramètres!$G$5:$G$57,0)))+IF(RIGHT(TRIM(Paramètres!M27),3)="Fin",1-$H1377,IF(LEFT(TRIM(Paramètres!M27),1)="F",1,0)))),IF(Paramètres!N27="",0,IF(Paramètres!O27="",NA(),IF(LEFT(TRIM(Paramètres!O27),1)="F",INDEX($F$1355:$F$1407,MATCH(Paramètres!N27,Paramètres!$G$5:$G$57,0)),INDEX($E$1355:$E$1407,MATCH(Paramètres!N27,Paramètres!$G$5:$G$57,0)))+IF(RIGHT(TRIM(Paramètres!O27),3)="Fin",1-$H1377,IF(LEFT(TRIM(Paramètres!O27),1)="F",1,0)))))))</f>
        <v/>
      </c>
      <c r="F1377" s="19">
        <f>IF($A1377="","",E1377+$H1377-1)</f>
        <v/>
      </c>
      <c r="G1377" s="18" t="n"/>
      <c r="H1377" s="18">
        <f>IF($A1377="","",IF(I1377&lt;&gt;"",I1377,Paramètres!B27))</f>
        <v/>
      </c>
      <c r="I1377" s="18" t="n"/>
    </row>
    <row r="1378">
      <c r="A1378" s="18">
        <f>IF(ISNUMBER(Dossiers!$D$29),Dossiers!$A$29&amp;" · "&amp;Dossiers!$B$29,"")</f>
        <v/>
      </c>
      <c r="B1378" s="18">
        <f>IF($A1378="","",Paramètres!G28)</f>
        <v/>
      </c>
      <c r="C1378" s="18">
        <f>IF($A1378="","",IF(Paramètres!H28="","",Paramètres!H28))</f>
        <v/>
      </c>
      <c r="D1378" s="18">
        <f>IF($A1378="","",IF(Paramètres!I28="","",Paramètres!I28))</f>
        <v/>
      </c>
      <c r="E1378" s="19">
        <f>IF($A1378="","",IF(Paramètres!J28&amp;Paramètres!L28&amp;Paramètres!N28="",Dossiers!$D$29,MAX(IF(Paramètres!J28="",0,IF(Paramètres!K28="",NA(),IF(LEFT(TRIM(Paramètres!K28),1)="F",INDEX($F$1355:$F$1407,MATCH(Paramètres!J28,Paramètres!$G$5:$G$57,0)),INDEX($E$1355:$E$1407,MATCH(Paramètres!J28,Paramètres!$G$5:$G$57,0)))+IF(RIGHT(TRIM(Paramètres!K28),3)="Fin",1-$H1378,IF(LEFT(TRIM(Paramètres!K28),1)="F",1,0)))),IF(Paramètres!L28="",0,IF(Paramètres!M28="",NA(),IF(LEFT(TRIM(Paramètres!M28),1)="F",INDEX($F$1355:$F$1407,MATCH(Paramètres!L28,Paramètres!$G$5:$G$57,0)),INDEX($E$1355:$E$1407,MATCH(Paramètres!L28,Paramètres!$G$5:$G$57,0)))+IF(RIGHT(TRIM(Paramètres!M28),3)="Fin",1-$H1378,IF(LEFT(TRIM(Paramètres!M28),1)="F",1,0)))),IF(Paramètres!N28="",0,IF(Paramètres!O28="",NA(),IF(LEFT(TRIM(Paramètres!O28),1)="F",INDEX($F$1355:$F$1407,MATCH(Paramètres!N28,Paramètres!$G$5:$G$57,0)),INDEX($E$1355:$E$1407,MATCH(Paramètres!N28,Paramètres!$G$5:$G$57,0)))+IF(RIGHT(TRIM(Paramètres!O28),3)="Fin",1-$H1378,IF(LEFT(TRIM(Paramètres!O28),1)="F",1,0)))))))</f>
        <v/>
      </c>
      <c r="F1378" s="19">
        <f>IF($A1378="","",E1378+$H1378-1)</f>
        <v/>
      </c>
      <c r="G1378" s="18" t="n"/>
      <c r="H1378" s="18">
        <f>IF($A1378="","",IF(I1378&lt;&gt;"",I1378,Paramètres!B28))</f>
        <v/>
      </c>
      <c r="I1378" s="18" t="n"/>
    </row>
    <row r="1379">
      <c r="A1379" s="18">
        <f>IF(ISNUMBER(Dossiers!$D$29),Dossiers!$A$29&amp;" · "&amp;Dossiers!$B$29,"")</f>
        <v/>
      </c>
      <c r="B1379" s="18">
        <f>IF($A1379="","",Paramètres!G29)</f>
        <v/>
      </c>
      <c r="C1379" s="18">
        <f>IF($A1379="","",IF(Paramètres!H29="","",Paramètres!H29))</f>
        <v/>
      </c>
      <c r="D1379" s="18">
        <f>IF($A1379="","",IF(Paramètres!I29="","",Paramètres!I29))</f>
        <v/>
      </c>
      <c r="E1379" s="19">
        <f>IF($A1379="","",IF(Paramètres!J29&amp;Paramètres!L29&amp;Paramètres!N29="",Dossiers!$D$29,MAX(IF(Paramètres!J29="",0,IF(Paramètres!K29="",NA(),IF(LEFT(TRIM(Paramètres!K29),1)="F",INDEX($F$1355:$F$1407,MATCH(Paramètres!J29,Paramètres!$G$5:$G$57,0)),INDEX($E$1355:$E$1407,MATCH(Paramètres!J29,Paramètres!$G$5:$G$57,0)))+IF(RIGHT(TRIM(Paramètres!K29),3)="Fin",1-$H1379,IF(LEFT(TRIM(Paramètres!K29),1)="F",1,0)))),IF(Paramètres!L29="",0,IF(Paramètres!M29="",NA(),IF(LEFT(TRIM(Paramètres!M29),1)="F",INDEX($F$1355:$F$1407,MATCH(Paramètres!L29,Paramètres!$G$5:$G$57,0)),INDEX($E$1355:$E$1407,MATCH(Paramètres!L29,Paramètres!$G$5:$G$57,0)))+IF(RIGHT(TRIM(Paramètres!M29),3)="Fin",1-$H1379,IF(LEFT(TRIM(Paramètres!M29),1)="F",1,0)))),IF(Paramètres!N29="",0,IF(Paramètres!O29="",NA(),IF(LEFT(TRIM(Paramètres!O29),1)="F",INDEX($F$1355:$F$1407,MATCH(Paramètres!N29,Paramètres!$G$5:$G$57,0)),INDEX($E$1355:$E$1407,MATCH(Paramètres!N29,Paramètres!$G$5:$G$57,0)))+IF(RIGHT(TRIM(Paramètres!O29),3)="Fin",1-$H1379,IF(LEFT(TRIM(Paramètres!O29),1)="F",1,0)))))))</f>
        <v/>
      </c>
      <c r="F1379" s="19">
        <f>IF($A1379="","",E1379+$H1379-1)</f>
        <v/>
      </c>
      <c r="G1379" s="18" t="n"/>
      <c r="H1379" s="18">
        <f>IF($A1379="","",IF(I1379&lt;&gt;"",I1379,Paramètres!B29))</f>
        <v/>
      </c>
      <c r="I1379" s="18" t="n"/>
    </row>
    <row r="1380">
      <c r="A1380" s="18">
        <f>IF(ISNUMBER(Dossiers!$D$29),Dossiers!$A$29&amp;" · "&amp;Dossiers!$B$29,"")</f>
        <v/>
      </c>
      <c r="B1380" s="18">
        <f>IF($A1380="","",Paramètres!G30)</f>
        <v/>
      </c>
      <c r="C1380" s="18">
        <f>IF($A1380="","",IF(Paramètres!H30="","",Paramètres!H30))</f>
        <v/>
      </c>
      <c r="D1380" s="18">
        <f>IF($A1380="","",IF(Paramètres!I30="","",Paramètres!I30))</f>
        <v/>
      </c>
      <c r="E1380" s="19">
        <f>IF($A1380="","",IF(Paramètres!J30&amp;Paramètres!L30&amp;Paramètres!N30="",Dossiers!$D$29,MAX(IF(Paramètres!J30="",0,IF(Paramètres!K30="",NA(),IF(LEFT(TRIM(Paramètres!K30),1)="F",INDEX($F$1355:$F$1407,MATCH(Paramètres!J30,Paramètres!$G$5:$G$57,0)),INDEX($E$1355:$E$1407,MATCH(Paramètres!J30,Paramètres!$G$5:$G$57,0)))+IF(RIGHT(TRIM(Paramètres!K30),3)="Fin",1-$H1380,IF(LEFT(TRIM(Paramètres!K30),1)="F",1,0)))),IF(Paramètres!L30="",0,IF(Paramètres!M30="",NA(),IF(LEFT(TRIM(Paramètres!M30),1)="F",INDEX($F$1355:$F$1407,MATCH(Paramètres!L30,Paramètres!$G$5:$G$57,0)),INDEX($E$1355:$E$1407,MATCH(Paramètres!L30,Paramètres!$G$5:$G$57,0)))+IF(RIGHT(TRIM(Paramètres!M30),3)="Fin",1-$H1380,IF(LEFT(TRIM(Paramètres!M30),1)="F",1,0)))),IF(Paramètres!N30="",0,IF(Paramètres!O30="",NA(),IF(LEFT(TRIM(Paramètres!O30),1)="F",INDEX($F$1355:$F$1407,MATCH(Paramètres!N30,Paramètres!$G$5:$G$57,0)),INDEX($E$1355:$E$1407,MATCH(Paramètres!N30,Paramètres!$G$5:$G$57,0)))+IF(RIGHT(TRIM(Paramètres!O30),3)="Fin",1-$H1380,IF(LEFT(TRIM(Paramètres!O30),1)="F",1,0)))))))</f>
        <v/>
      </c>
      <c r="F1380" s="19">
        <f>IF($A1380="","",E1380+$H1380-1)</f>
        <v/>
      </c>
      <c r="G1380" s="18" t="n"/>
      <c r="H1380" s="18">
        <f>IF($A1380="","",IF(I1380&lt;&gt;"",I1380,Paramètres!B30))</f>
        <v/>
      </c>
      <c r="I1380" s="18" t="n"/>
    </row>
    <row r="1381">
      <c r="A1381" s="18">
        <f>IF(ISNUMBER(Dossiers!$D$29),Dossiers!$A$29&amp;" · "&amp;Dossiers!$B$29,"")</f>
        <v/>
      </c>
      <c r="B1381" s="18">
        <f>IF($A1381="","",Paramètres!G31)</f>
        <v/>
      </c>
      <c r="C1381" s="20">
        <f>IF($A1381="","",IF(Dossiers!$F$29="","",Dossiers!$F$29))</f>
        <v/>
      </c>
      <c r="D1381" s="18">
        <f>IF($A1381="","",IF(Paramètres!I31="","",Paramètres!I31))</f>
        <v/>
      </c>
      <c r="E1381" s="19">
        <f>IF($A1381="","",IF(Paramètres!J31&amp;Paramètres!L31&amp;Paramètres!N31="",Dossiers!$D$29,MAX(IF(Paramètres!J31="",0,IF(Paramètres!K31="",NA(),IF(LEFT(TRIM(Paramètres!K31),1)="F",INDEX($F$1355:$F$1407,MATCH(Paramètres!J31,Paramètres!$G$5:$G$57,0)),INDEX($E$1355:$E$1407,MATCH(Paramètres!J31,Paramètres!$G$5:$G$57,0)))+IF(RIGHT(TRIM(Paramètres!K31),3)="Fin",1-$H1381,IF(LEFT(TRIM(Paramètres!K31),1)="F",1,0)))),IF(Paramètres!L31="",0,IF(Paramètres!M31="",NA(),IF(LEFT(TRIM(Paramètres!M31),1)="F",INDEX($F$1355:$F$1407,MATCH(Paramètres!L31,Paramètres!$G$5:$G$57,0)),INDEX($E$1355:$E$1407,MATCH(Paramètres!L31,Paramètres!$G$5:$G$57,0)))+IF(RIGHT(TRIM(Paramètres!M31),3)="Fin",1-$H1381,IF(LEFT(TRIM(Paramètres!M31),1)="F",1,0)))),IF(Paramètres!N31="",0,IF(Paramètres!O31="",NA(),IF(LEFT(TRIM(Paramètres!O31),1)="F",INDEX($F$1355:$F$1407,MATCH(Paramètres!N31,Paramètres!$G$5:$G$57,0)),INDEX($E$1355:$E$1407,MATCH(Paramètres!N31,Paramètres!$G$5:$G$57,0)))+IF(RIGHT(TRIM(Paramètres!O31),3)="Fin",1-$H1381,IF(LEFT(TRIM(Paramètres!O31),1)="F",1,0)))))))</f>
        <v/>
      </c>
      <c r="F1381" s="19">
        <f>IF($A1381="","",E1381+$H1381-1)</f>
        <v/>
      </c>
      <c r="G1381" s="18" t="n"/>
      <c r="H1381" s="18">
        <f>IF($A1381="","",IF(I1381&lt;&gt;"",I1381,Paramètres!B31))</f>
        <v/>
      </c>
      <c r="I1381" s="18" t="n"/>
    </row>
    <row r="1382">
      <c r="A1382" s="18">
        <f>IF(ISNUMBER(Dossiers!$D$29),Dossiers!$A$29&amp;" · "&amp;Dossiers!$B$29,"")</f>
        <v/>
      </c>
      <c r="B1382" s="18">
        <f>IF($A1382="","",Paramètres!G32)</f>
        <v/>
      </c>
      <c r="C1382" s="18">
        <f>IF($A1382="","",IF(Paramètres!H32="","",Paramètres!H32))</f>
        <v/>
      </c>
      <c r="D1382" s="18">
        <f>IF($A1382="","",IF(Paramètres!I32="","",Paramètres!I32))</f>
        <v/>
      </c>
      <c r="E1382" s="19">
        <f>IF($A1382="","",MIN(E1383:E1386))</f>
        <v/>
      </c>
      <c r="F1382" s="19">
        <f>IF($A1382="","",MAX(F1383:F1386))</f>
        <v/>
      </c>
      <c r="G1382" s="18" t="n"/>
      <c r="H1382" s="18">
        <f>IF($A1382="","",F1382-E1382+1)</f>
        <v/>
      </c>
      <c r="I1382" s="18" t="n"/>
    </row>
    <row r="1383">
      <c r="A1383" s="18">
        <f>IF(ISNUMBER(Dossiers!$D$29),Dossiers!$A$29&amp;" · "&amp;Dossiers!$B$29,"")</f>
        <v/>
      </c>
      <c r="B1383" s="18">
        <f>IF($A1383="","",Paramètres!G33)</f>
        <v/>
      </c>
      <c r="C1383" s="18">
        <f>IF($A1383="","",IF(Paramètres!H33="","",Paramètres!H33))</f>
        <v/>
      </c>
      <c r="D1383" s="18">
        <f>IF($A1383="","",IF(Paramètres!I33="","",Paramètres!I33))</f>
        <v/>
      </c>
      <c r="E1383" s="19">
        <f>IF($A1383="","",IF(Paramètres!J33&amp;Paramètres!L33&amp;Paramètres!N33="",Dossiers!$D$29,MAX(IF(Paramètres!J33="",0,IF(Paramètres!K33="",NA(),IF(LEFT(TRIM(Paramètres!K33),1)="F",INDEX($F$1355:$F$1407,MATCH(Paramètres!J33,Paramètres!$G$5:$G$57,0)),INDEX($E$1355:$E$1407,MATCH(Paramètres!J33,Paramètres!$G$5:$G$57,0)))+IF(RIGHT(TRIM(Paramètres!K33),3)="Fin",1-$H1383,IF(LEFT(TRIM(Paramètres!K33),1)="F",1,0)))),IF(Paramètres!L33="",0,IF(Paramètres!M33="",NA(),IF(LEFT(TRIM(Paramètres!M33),1)="F",INDEX($F$1355:$F$1407,MATCH(Paramètres!L33,Paramètres!$G$5:$G$57,0)),INDEX($E$1355:$E$1407,MATCH(Paramètres!L33,Paramètres!$G$5:$G$57,0)))+IF(RIGHT(TRIM(Paramètres!M33),3)="Fin",1-$H1383,IF(LEFT(TRIM(Paramètres!M33),1)="F",1,0)))),IF(Paramètres!N33="",0,IF(Paramètres!O33="",NA(),IF(LEFT(TRIM(Paramètres!O33),1)="F",INDEX($F$1355:$F$1407,MATCH(Paramètres!N33,Paramètres!$G$5:$G$57,0)),INDEX($E$1355:$E$1407,MATCH(Paramètres!N33,Paramètres!$G$5:$G$57,0)))+IF(RIGHT(TRIM(Paramètres!O33),3)="Fin",1-$H1383,IF(LEFT(TRIM(Paramètres!O33),1)="F",1,0)))))))</f>
        <v/>
      </c>
      <c r="F1383" s="19">
        <f>IF($A1383="","",E1383+$H1383-1)</f>
        <v/>
      </c>
      <c r="G1383" s="18" t="n"/>
      <c r="H1383" s="18">
        <f>IF($A1383="","",IF(I1383&lt;&gt;"",I1383,Paramètres!B33))</f>
        <v/>
      </c>
      <c r="I1383" s="18" t="n"/>
    </row>
    <row r="1384">
      <c r="A1384" s="18">
        <f>IF(ISNUMBER(Dossiers!$D$29),Dossiers!$A$29&amp;" · "&amp;Dossiers!$B$29,"")</f>
        <v/>
      </c>
      <c r="B1384" s="18">
        <f>IF($A1384="","",Paramètres!G34)</f>
        <v/>
      </c>
      <c r="C1384" s="18">
        <f>IF($A1384="","",IF(Paramètres!H34="","",Paramètres!H34))</f>
        <v/>
      </c>
      <c r="D1384" s="18">
        <f>IF($A1384="","",IF(Paramètres!I34="","",Paramètres!I34))</f>
        <v/>
      </c>
      <c r="E1384" s="19">
        <f>IF($A1384="","",IF(Paramètres!J34&amp;Paramètres!L34&amp;Paramètres!N34="",Dossiers!$D$29,MAX(IF(Paramètres!J34="",0,IF(Paramètres!K34="",NA(),IF(LEFT(TRIM(Paramètres!K34),1)="F",INDEX($F$1355:$F$1407,MATCH(Paramètres!J34,Paramètres!$G$5:$G$57,0)),INDEX($E$1355:$E$1407,MATCH(Paramètres!J34,Paramètres!$G$5:$G$57,0)))+IF(RIGHT(TRIM(Paramètres!K34),3)="Fin",1-$H1384,IF(LEFT(TRIM(Paramètres!K34),1)="F",1,0)))),IF(Paramètres!L34="",0,IF(Paramètres!M34="",NA(),IF(LEFT(TRIM(Paramètres!M34),1)="F",INDEX($F$1355:$F$1407,MATCH(Paramètres!L34,Paramètres!$G$5:$G$57,0)),INDEX($E$1355:$E$1407,MATCH(Paramètres!L34,Paramètres!$G$5:$G$57,0)))+IF(RIGHT(TRIM(Paramètres!M34),3)="Fin",1-$H1384,IF(LEFT(TRIM(Paramètres!M34),1)="F",1,0)))),IF(Paramètres!N34="",0,IF(Paramètres!O34="",NA(),IF(LEFT(TRIM(Paramètres!O34),1)="F",INDEX($F$1355:$F$1407,MATCH(Paramètres!N34,Paramètres!$G$5:$G$57,0)),INDEX($E$1355:$E$1407,MATCH(Paramètres!N34,Paramètres!$G$5:$G$57,0)))+IF(RIGHT(TRIM(Paramètres!O34),3)="Fin",1-$H1384,IF(LEFT(TRIM(Paramètres!O34),1)="F",1,0)))))))</f>
        <v/>
      </c>
      <c r="F1384" s="19">
        <f>IF($A1384="","",E1384+$H1384-1)</f>
        <v/>
      </c>
      <c r="G1384" s="18" t="n"/>
      <c r="H1384" s="18">
        <f>IF($A1384="","",IF(I1384&lt;&gt;"",I1384,Paramètres!B34))</f>
        <v/>
      </c>
      <c r="I1384" s="18" t="n"/>
    </row>
    <row r="1385">
      <c r="A1385" s="18">
        <f>IF(ISNUMBER(Dossiers!$D$29),Dossiers!$A$29&amp;" · "&amp;Dossiers!$B$29,"")</f>
        <v/>
      </c>
      <c r="B1385" s="18">
        <f>IF($A1385="","",Paramètres!G35)</f>
        <v/>
      </c>
      <c r="C1385" s="18">
        <f>IF($A1385="","",IF(Paramètres!H35="","",Paramètres!H35))</f>
        <v/>
      </c>
      <c r="D1385" s="18">
        <f>IF($A1385="","",IF(Paramètres!I35="","",Paramètres!I35))</f>
        <v/>
      </c>
      <c r="E1385" s="19">
        <f>IF($A1385="","",IF(Paramètres!J35&amp;Paramètres!L35&amp;Paramètres!N35="",Dossiers!$D$29,MAX(IF(Paramètres!J35="",0,IF(Paramètres!K35="",NA(),IF(LEFT(TRIM(Paramètres!K35),1)="F",INDEX($F$1355:$F$1407,MATCH(Paramètres!J35,Paramètres!$G$5:$G$57,0)),INDEX($E$1355:$E$1407,MATCH(Paramètres!J35,Paramètres!$G$5:$G$57,0)))+IF(RIGHT(TRIM(Paramètres!K35),3)="Fin",1-$H1385,IF(LEFT(TRIM(Paramètres!K35),1)="F",1,0)))),IF(Paramètres!L35="",0,IF(Paramètres!M35="",NA(),IF(LEFT(TRIM(Paramètres!M35),1)="F",INDEX($F$1355:$F$1407,MATCH(Paramètres!L35,Paramètres!$G$5:$G$57,0)),INDEX($E$1355:$E$1407,MATCH(Paramètres!L35,Paramètres!$G$5:$G$57,0)))+IF(RIGHT(TRIM(Paramètres!M35),3)="Fin",1-$H1385,IF(LEFT(TRIM(Paramètres!M35),1)="F",1,0)))),IF(Paramètres!N35="",0,IF(Paramètres!O35="",NA(),IF(LEFT(TRIM(Paramètres!O35),1)="F",INDEX($F$1355:$F$1407,MATCH(Paramètres!N35,Paramètres!$G$5:$G$57,0)),INDEX($E$1355:$E$1407,MATCH(Paramètres!N35,Paramètres!$G$5:$G$57,0)))+IF(RIGHT(TRIM(Paramètres!O35),3)="Fin",1-$H1385,IF(LEFT(TRIM(Paramètres!O35),1)="F",1,0)))))))</f>
        <v/>
      </c>
      <c r="F1385" s="19">
        <f>IF($A1385="","",E1385+$H1385-1)</f>
        <v/>
      </c>
      <c r="G1385" s="18" t="n"/>
      <c r="H1385" s="18">
        <f>IF($A1385="","",IF(I1385&lt;&gt;"",I1385,Paramètres!B35))</f>
        <v/>
      </c>
      <c r="I1385" s="18" t="n"/>
    </row>
    <row r="1386">
      <c r="A1386" s="18">
        <f>IF(ISNUMBER(Dossiers!$D$29),Dossiers!$A$29&amp;" · "&amp;Dossiers!$B$29,"")</f>
        <v/>
      </c>
      <c r="B1386" s="18">
        <f>IF($A1386="","",Paramètres!G36)</f>
        <v/>
      </c>
      <c r="C1386" s="18">
        <f>IF($A1386="","",IF(Paramètres!H36="","",Paramètres!H36))</f>
        <v/>
      </c>
      <c r="D1386" s="18">
        <f>IF($A1386="","",IF(Paramètres!I36="","",Paramètres!I36))</f>
        <v/>
      </c>
      <c r="E1386" s="19">
        <f>IF($A1386="","",IF(Paramètres!J36&amp;Paramètres!L36&amp;Paramètres!N36="",Dossiers!$D$29,MAX(IF(Paramètres!J36="",0,IF(Paramètres!K36="",NA(),IF(LEFT(TRIM(Paramètres!K36),1)="F",INDEX($F$1355:$F$1407,MATCH(Paramètres!J36,Paramètres!$G$5:$G$57,0)),INDEX($E$1355:$E$1407,MATCH(Paramètres!J36,Paramètres!$G$5:$G$57,0)))+IF(RIGHT(TRIM(Paramètres!K36),3)="Fin",1-$H1386,IF(LEFT(TRIM(Paramètres!K36),1)="F",1,0)))),IF(Paramètres!L36="",0,IF(Paramètres!M36="",NA(),IF(LEFT(TRIM(Paramètres!M36),1)="F",INDEX($F$1355:$F$1407,MATCH(Paramètres!L36,Paramètres!$G$5:$G$57,0)),INDEX($E$1355:$E$1407,MATCH(Paramètres!L36,Paramètres!$G$5:$G$57,0)))+IF(RIGHT(TRIM(Paramètres!M36),3)="Fin",1-$H1386,IF(LEFT(TRIM(Paramètres!M36),1)="F",1,0)))),IF(Paramètres!N36="",0,IF(Paramètres!O36="",NA(),IF(LEFT(TRIM(Paramètres!O36),1)="F",INDEX($F$1355:$F$1407,MATCH(Paramètres!N36,Paramètres!$G$5:$G$57,0)),INDEX($E$1355:$E$1407,MATCH(Paramètres!N36,Paramètres!$G$5:$G$57,0)))+IF(RIGHT(TRIM(Paramètres!O36),3)="Fin",1-$H1386,IF(LEFT(TRIM(Paramètres!O36),1)="F",1,0)))))))</f>
        <v/>
      </c>
      <c r="F1386" s="19">
        <f>IF($A1386="","",E1386+$H1386-1)</f>
        <v/>
      </c>
      <c r="G1386" s="18" t="n"/>
      <c r="H1386" s="18">
        <f>IF($A1386="","",IF(I1386&lt;&gt;"",I1386,Paramètres!B36))</f>
        <v/>
      </c>
      <c r="I1386" s="18" t="n"/>
    </row>
    <row r="1387">
      <c r="A1387" s="18">
        <f>IF(ISNUMBER(Dossiers!$D$29),Dossiers!$A$29&amp;" · "&amp;Dossiers!$B$29,"")</f>
        <v/>
      </c>
      <c r="B1387" s="18">
        <f>IF($A1387="","",Paramètres!G37)</f>
        <v/>
      </c>
      <c r="C1387" s="18">
        <f>IF($A1387="","",IF(Paramètres!H37="","",Paramètres!H37))</f>
        <v/>
      </c>
      <c r="D1387" s="18">
        <f>IF($A1387="","",IF(Paramètres!I37="","",Paramètres!I37))</f>
        <v/>
      </c>
      <c r="E1387" s="19">
        <f>IF($A1387="","",MIN(E1388:E1405))</f>
        <v/>
      </c>
      <c r="F1387" s="19">
        <f>IF($A1387="","",MAX(F1388:F1405))</f>
        <v/>
      </c>
      <c r="G1387" s="18" t="n"/>
      <c r="H1387" s="18">
        <f>IF($A1387="","",F1387-E1387+1)</f>
        <v/>
      </c>
      <c r="I1387" s="18" t="n"/>
    </row>
    <row r="1388">
      <c r="A1388" s="18">
        <f>IF(ISNUMBER(Dossiers!$D$29),Dossiers!$A$29&amp;" · "&amp;Dossiers!$B$29,"")</f>
        <v/>
      </c>
      <c r="B1388" s="18">
        <f>IF($A1388="","",Paramètres!G38)</f>
        <v/>
      </c>
      <c r="C1388" s="18">
        <f>IF($A1388="","",IF(Paramètres!H38="","",Paramètres!H38))</f>
        <v/>
      </c>
      <c r="D1388" s="18">
        <f>IF($A1388="","",IF(Paramètres!I38="","",Paramètres!I38))</f>
        <v/>
      </c>
      <c r="E1388" s="19">
        <f>IF($A1388="","",IF(Paramètres!J38&amp;Paramètres!L38&amp;Paramètres!N38="",Dossiers!$D$29,MAX(IF(Paramètres!J38="",0,IF(Paramètres!K38="",NA(),IF(LEFT(TRIM(Paramètres!K38),1)="F",INDEX($F$1355:$F$1407,MATCH(Paramètres!J38,Paramètres!$G$5:$G$57,0)),INDEX($E$1355:$E$1407,MATCH(Paramètres!J38,Paramètres!$G$5:$G$57,0)))+IF(RIGHT(TRIM(Paramètres!K38),3)="Fin",1-$H1388,IF(LEFT(TRIM(Paramètres!K38),1)="F",1,0)))),IF(Paramètres!L38="",0,IF(Paramètres!M38="",NA(),IF(LEFT(TRIM(Paramètres!M38),1)="F",INDEX($F$1355:$F$1407,MATCH(Paramètres!L38,Paramètres!$G$5:$G$57,0)),INDEX($E$1355:$E$1407,MATCH(Paramètres!L38,Paramètres!$G$5:$G$57,0)))+IF(RIGHT(TRIM(Paramètres!M38),3)="Fin",1-$H1388,IF(LEFT(TRIM(Paramètres!M38),1)="F",1,0)))),IF(Paramètres!N38="",0,IF(Paramètres!O38="",NA(),IF(LEFT(TRIM(Paramètres!O38),1)="F",INDEX($F$1355:$F$1407,MATCH(Paramètres!N38,Paramètres!$G$5:$G$57,0)),INDEX($E$1355:$E$1407,MATCH(Paramètres!N38,Paramètres!$G$5:$G$57,0)))+IF(RIGHT(TRIM(Paramètres!O38),3)="Fin",1-$H1388,IF(LEFT(TRIM(Paramètres!O38),1)="F",1,0)))))))</f>
        <v/>
      </c>
      <c r="F1388" s="19">
        <f>IF($A1388="","",E1388+$H1388-1)</f>
        <v/>
      </c>
      <c r="G1388" s="18" t="n"/>
      <c r="H1388" s="18">
        <f>IF($A1388="","",IF(I1388&lt;&gt;"",I1388,Paramètres!B38))</f>
        <v/>
      </c>
      <c r="I1388" s="18" t="n"/>
    </row>
    <row r="1389">
      <c r="A1389" s="18">
        <f>IF(ISNUMBER(Dossiers!$D$29),Dossiers!$A$29&amp;" · "&amp;Dossiers!$B$29,"")</f>
        <v/>
      </c>
      <c r="B1389" s="18">
        <f>IF($A1389="","",Paramètres!G39)</f>
        <v/>
      </c>
      <c r="C1389" s="18">
        <f>IF($A1389="","",IF(Paramètres!H39="","",Paramètres!H39))</f>
        <v/>
      </c>
      <c r="D1389" s="18">
        <f>IF($A1389="","",IF(Paramètres!I39="","",Paramètres!I39))</f>
        <v/>
      </c>
      <c r="E1389" s="19">
        <f>IF($A1389="","",IF(Paramètres!J39&amp;Paramètres!L39&amp;Paramètres!N39="",Dossiers!$D$29,MAX(IF(Paramètres!J39="",0,IF(Paramètres!K39="",NA(),IF(LEFT(TRIM(Paramètres!K39),1)="F",INDEX($F$1355:$F$1407,MATCH(Paramètres!J39,Paramètres!$G$5:$G$57,0)),INDEX($E$1355:$E$1407,MATCH(Paramètres!J39,Paramètres!$G$5:$G$57,0)))+IF(RIGHT(TRIM(Paramètres!K39),3)="Fin",1-$H1389,IF(LEFT(TRIM(Paramètres!K39),1)="F",1,0)))),IF(Paramètres!L39="",0,IF(Paramètres!M39="",NA(),IF(LEFT(TRIM(Paramètres!M39),1)="F",INDEX($F$1355:$F$1407,MATCH(Paramètres!L39,Paramètres!$G$5:$G$57,0)),INDEX($E$1355:$E$1407,MATCH(Paramètres!L39,Paramètres!$G$5:$G$57,0)))+IF(RIGHT(TRIM(Paramètres!M39),3)="Fin",1-$H1389,IF(LEFT(TRIM(Paramètres!M39),1)="F",1,0)))),IF(Paramètres!N39="",0,IF(Paramètres!O39="",NA(),IF(LEFT(TRIM(Paramètres!O39),1)="F",INDEX($F$1355:$F$1407,MATCH(Paramètres!N39,Paramètres!$G$5:$G$57,0)),INDEX($E$1355:$E$1407,MATCH(Paramètres!N39,Paramètres!$G$5:$G$57,0)))+IF(RIGHT(TRIM(Paramètres!O39),3)="Fin",1-$H1389,IF(LEFT(TRIM(Paramètres!O39),1)="F",1,0)))))))</f>
        <v/>
      </c>
      <c r="F1389" s="19">
        <f>IF($A1389="","",E1389+$H1389-1)</f>
        <v/>
      </c>
      <c r="G1389" s="18" t="n"/>
      <c r="H1389" s="18">
        <f>IF($A1389="","",IF(I1389&lt;&gt;"",I1389,Paramètres!B39))</f>
        <v/>
      </c>
      <c r="I1389" s="18" t="n"/>
    </row>
    <row r="1390">
      <c r="A1390" s="18">
        <f>IF(ISNUMBER(Dossiers!$D$29),Dossiers!$A$29&amp;" · "&amp;Dossiers!$B$29,"")</f>
        <v/>
      </c>
      <c r="B1390" s="18">
        <f>IF($A1390="","",Paramètres!G40)</f>
        <v/>
      </c>
      <c r="C1390" s="18">
        <f>IF($A1390="","",IF(Paramètres!H40="","",Paramètres!H40))</f>
        <v/>
      </c>
      <c r="D1390" s="18">
        <f>IF($A1390="","",IF(Paramètres!I40="","",Paramètres!I40))</f>
        <v/>
      </c>
      <c r="E1390" s="19">
        <f>IF($A1390="","",IF(Paramètres!J40&amp;Paramètres!L40&amp;Paramètres!N40="",Dossiers!$D$29,MAX(IF(Paramètres!J40="",0,IF(Paramètres!K40="",NA(),IF(LEFT(TRIM(Paramètres!K40),1)="F",INDEX($F$1355:$F$1407,MATCH(Paramètres!J40,Paramètres!$G$5:$G$57,0)),INDEX($E$1355:$E$1407,MATCH(Paramètres!J40,Paramètres!$G$5:$G$57,0)))+IF(RIGHT(TRIM(Paramètres!K40),3)="Fin",1-$H1390,IF(LEFT(TRIM(Paramètres!K40),1)="F",1,0)))),IF(Paramètres!L40="",0,IF(Paramètres!M40="",NA(),IF(LEFT(TRIM(Paramètres!M40),1)="F",INDEX($F$1355:$F$1407,MATCH(Paramètres!L40,Paramètres!$G$5:$G$57,0)),INDEX($E$1355:$E$1407,MATCH(Paramètres!L40,Paramètres!$G$5:$G$57,0)))+IF(RIGHT(TRIM(Paramètres!M40),3)="Fin",1-$H1390,IF(LEFT(TRIM(Paramètres!M40),1)="F",1,0)))),IF(Paramètres!N40="",0,IF(Paramètres!O40="",NA(),IF(LEFT(TRIM(Paramètres!O40),1)="F",INDEX($F$1355:$F$1407,MATCH(Paramètres!N40,Paramètres!$G$5:$G$57,0)),INDEX($E$1355:$E$1407,MATCH(Paramètres!N40,Paramètres!$G$5:$G$57,0)))+IF(RIGHT(TRIM(Paramètres!O40),3)="Fin",1-$H1390,IF(LEFT(TRIM(Paramètres!O40),1)="F",1,0)))))))</f>
        <v/>
      </c>
      <c r="F1390" s="19">
        <f>IF($A1390="","",E1390+$H1390-1)</f>
        <v/>
      </c>
      <c r="G1390" s="18" t="n"/>
      <c r="H1390" s="18">
        <f>IF($A1390="","",IF(I1390&lt;&gt;"",I1390,Paramètres!B40))</f>
        <v/>
      </c>
      <c r="I1390" s="18" t="n"/>
    </row>
    <row r="1391">
      <c r="A1391" s="18">
        <f>IF(ISNUMBER(Dossiers!$D$29),Dossiers!$A$29&amp;" · "&amp;Dossiers!$B$29,"")</f>
        <v/>
      </c>
      <c r="B1391" s="18">
        <f>IF($A1391="","",Paramètres!G41)</f>
        <v/>
      </c>
      <c r="C1391" s="18">
        <f>IF($A1391="","",IF(Paramètres!H41="","",Paramètres!H41))</f>
        <v/>
      </c>
      <c r="D1391" s="18">
        <f>IF($A1391="","",IF(Paramètres!I41="","",Paramètres!I41))</f>
        <v/>
      </c>
      <c r="E1391" s="19">
        <f>IF($A1391="","",IF(Paramètres!J41&amp;Paramètres!L41&amp;Paramètres!N41="",Dossiers!$D$29,MAX(IF(Paramètres!J41="",0,IF(Paramètres!K41="",NA(),IF(LEFT(TRIM(Paramètres!K41),1)="F",INDEX($F$1355:$F$1407,MATCH(Paramètres!J41,Paramètres!$G$5:$G$57,0)),INDEX($E$1355:$E$1407,MATCH(Paramètres!J41,Paramètres!$G$5:$G$57,0)))+IF(RIGHT(TRIM(Paramètres!K41),3)="Fin",1-$H1391,IF(LEFT(TRIM(Paramètres!K41),1)="F",1,0)))),IF(Paramètres!L41="",0,IF(Paramètres!M41="",NA(),IF(LEFT(TRIM(Paramètres!M41),1)="F",INDEX($F$1355:$F$1407,MATCH(Paramètres!L41,Paramètres!$G$5:$G$57,0)),INDEX($E$1355:$E$1407,MATCH(Paramètres!L41,Paramètres!$G$5:$G$57,0)))+IF(RIGHT(TRIM(Paramètres!M41),3)="Fin",1-$H1391,IF(LEFT(TRIM(Paramètres!M41),1)="F",1,0)))),IF(Paramètres!N41="",0,IF(Paramètres!O41="",NA(),IF(LEFT(TRIM(Paramètres!O41),1)="F",INDEX($F$1355:$F$1407,MATCH(Paramètres!N41,Paramètres!$G$5:$G$57,0)),INDEX($E$1355:$E$1407,MATCH(Paramètres!N41,Paramètres!$G$5:$G$57,0)))+IF(RIGHT(TRIM(Paramètres!O41),3)="Fin",1-$H1391,IF(LEFT(TRIM(Paramètres!O41),1)="F",1,0)))))))</f>
        <v/>
      </c>
      <c r="F1391" s="19">
        <f>IF($A1391="","",E1391+$H1391-1)</f>
        <v/>
      </c>
      <c r="G1391" s="18" t="n"/>
      <c r="H1391" s="18">
        <f>IF($A1391="","",IF(I1391&lt;&gt;"",I1391,Paramètres!B41))</f>
        <v/>
      </c>
      <c r="I1391" s="18" t="n"/>
    </row>
    <row r="1392">
      <c r="A1392" s="18">
        <f>IF(ISNUMBER(Dossiers!$D$29),Dossiers!$A$29&amp;" · "&amp;Dossiers!$B$29,"")</f>
        <v/>
      </c>
      <c r="B1392" s="18">
        <f>IF($A1392="","",Paramètres!G42)</f>
        <v/>
      </c>
      <c r="C1392" s="18">
        <f>IF($A1392="","",IF(Paramètres!H42="","",Paramètres!H42))</f>
        <v/>
      </c>
      <c r="D1392" s="18">
        <f>IF($A1392="","",IF(Paramètres!I42="","",Paramètres!I42))</f>
        <v/>
      </c>
      <c r="E1392" s="19">
        <f>IF($A1392="","",IF(Paramètres!J42&amp;Paramètres!L42&amp;Paramètres!N42="",Dossiers!$D$29,MAX(IF(Paramètres!J42="",0,IF(Paramètres!K42="",NA(),IF(LEFT(TRIM(Paramètres!K42),1)="F",INDEX($F$1355:$F$1407,MATCH(Paramètres!J42,Paramètres!$G$5:$G$57,0)),INDEX($E$1355:$E$1407,MATCH(Paramètres!J42,Paramètres!$G$5:$G$57,0)))+IF(RIGHT(TRIM(Paramètres!K42),3)="Fin",1-$H1392,IF(LEFT(TRIM(Paramètres!K42),1)="F",1,0)))),IF(Paramètres!L42="",0,IF(Paramètres!M42="",NA(),IF(LEFT(TRIM(Paramètres!M42),1)="F",INDEX($F$1355:$F$1407,MATCH(Paramètres!L42,Paramètres!$G$5:$G$57,0)),INDEX($E$1355:$E$1407,MATCH(Paramètres!L42,Paramètres!$G$5:$G$57,0)))+IF(RIGHT(TRIM(Paramètres!M42),3)="Fin",1-$H1392,IF(LEFT(TRIM(Paramètres!M42),1)="F",1,0)))),IF(Paramètres!N42="",0,IF(Paramètres!O42="",NA(),IF(LEFT(TRIM(Paramètres!O42),1)="F",INDEX($F$1355:$F$1407,MATCH(Paramètres!N42,Paramètres!$G$5:$G$57,0)),INDEX($E$1355:$E$1407,MATCH(Paramètres!N42,Paramètres!$G$5:$G$57,0)))+IF(RIGHT(TRIM(Paramètres!O42),3)="Fin",1-$H1392,IF(LEFT(TRIM(Paramètres!O42),1)="F",1,0)))))))</f>
        <v/>
      </c>
      <c r="F1392" s="19">
        <f>IF($A1392="","",E1392+$H1392-1)</f>
        <v/>
      </c>
      <c r="G1392" s="18" t="n"/>
      <c r="H1392" s="18">
        <f>IF($A1392="","",IF(I1392&lt;&gt;"",I1392,Paramètres!B42))</f>
        <v/>
      </c>
      <c r="I1392" s="18" t="n"/>
    </row>
    <row r="1393">
      <c r="A1393" s="18">
        <f>IF(ISNUMBER(Dossiers!$D$29),Dossiers!$A$29&amp;" · "&amp;Dossiers!$B$29,"")</f>
        <v/>
      </c>
      <c r="B1393" s="18">
        <f>IF($A1393="","",Paramètres!G43)</f>
        <v/>
      </c>
      <c r="C1393" s="18">
        <f>IF($A1393="","",IF(Paramètres!H43="","",Paramètres!H43))</f>
        <v/>
      </c>
      <c r="D1393" s="18">
        <f>IF($A1393="","",IF(Paramètres!I43="","",Paramètres!I43))</f>
        <v/>
      </c>
      <c r="E1393" s="19">
        <f>IF($A1393="","",IF(Paramètres!J43&amp;Paramètres!L43&amp;Paramètres!N43="",Dossiers!$D$29,MAX(IF(Paramètres!J43="",0,IF(Paramètres!K43="",NA(),IF(LEFT(TRIM(Paramètres!K43),1)="F",INDEX($F$1355:$F$1407,MATCH(Paramètres!J43,Paramètres!$G$5:$G$57,0)),INDEX($E$1355:$E$1407,MATCH(Paramètres!J43,Paramètres!$G$5:$G$57,0)))+IF(RIGHT(TRIM(Paramètres!K43),3)="Fin",1-$H1393,IF(LEFT(TRIM(Paramètres!K43),1)="F",1,0)))),IF(Paramètres!L43="",0,IF(Paramètres!M43="",NA(),IF(LEFT(TRIM(Paramètres!M43),1)="F",INDEX($F$1355:$F$1407,MATCH(Paramètres!L43,Paramètres!$G$5:$G$57,0)),INDEX($E$1355:$E$1407,MATCH(Paramètres!L43,Paramètres!$G$5:$G$57,0)))+IF(RIGHT(TRIM(Paramètres!M43),3)="Fin",1-$H1393,IF(LEFT(TRIM(Paramètres!M43),1)="F",1,0)))),IF(Paramètres!N43="",0,IF(Paramètres!O43="",NA(),IF(LEFT(TRIM(Paramètres!O43),1)="F",INDEX($F$1355:$F$1407,MATCH(Paramètres!N43,Paramètres!$G$5:$G$57,0)),INDEX($E$1355:$E$1407,MATCH(Paramètres!N43,Paramètres!$G$5:$G$57,0)))+IF(RIGHT(TRIM(Paramètres!O43),3)="Fin",1-$H1393,IF(LEFT(TRIM(Paramètres!O43),1)="F",1,0)))))))</f>
        <v/>
      </c>
      <c r="F1393" s="19">
        <f>IF($A1393="","",E1393+$H1393-1)</f>
        <v/>
      </c>
      <c r="G1393" s="18" t="n"/>
      <c r="H1393" s="18">
        <f>IF($A1393="","",IF(I1393&lt;&gt;"",I1393,Paramètres!B43))</f>
        <v/>
      </c>
      <c r="I1393" s="18" t="n"/>
    </row>
    <row r="1394">
      <c r="A1394" s="18">
        <f>IF(ISNUMBER(Dossiers!$D$29),Dossiers!$A$29&amp;" · "&amp;Dossiers!$B$29,"")</f>
        <v/>
      </c>
      <c r="B1394" s="18">
        <f>IF($A1394="","",Paramètres!G44)</f>
        <v/>
      </c>
      <c r="C1394" s="18">
        <f>IF($A1394="","",IF(Paramètres!H44="","",Paramètres!H44))</f>
        <v/>
      </c>
      <c r="D1394" s="18">
        <f>IF($A1394="","",IF(Paramètres!I44="","",Paramètres!I44))</f>
        <v/>
      </c>
      <c r="E1394" s="19">
        <f>IF($A1394="","",IF(Paramètres!J44&amp;Paramètres!L44&amp;Paramètres!N44="",Dossiers!$D$29,MAX(IF(Paramètres!J44="",0,IF(Paramètres!K44="",NA(),IF(LEFT(TRIM(Paramètres!K44),1)="F",INDEX($F$1355:$F$1407,MATCH(Paramètres!J44,Paramètres!$G$5:$G$57,0)),INDEX($E$1355:$E$1407,MATCH(Paramètres!J44,Paramètres!$G$5:$G$57,0)))+IF(RIGHT(TRIM(Paramètres!K44),3)="Fin",1-$H1394,IF(LEFT(TRIM(Paramètres!K44),1)="F",1,0)))),IF(Paramètres!L44="",0,IF(Paramètres!M44="",NA(),IF(LEFT(TRIM(Paramètres!M44),1)="F",INDEX($F$1355:$F$1407,MATCH(Paramètres!L44,Paramètres!$G$5:$G$57,0)),INDEX($E$1355:$E$1407,MATCH(Paramètres!L44,Paramètres!$G$5:$G$57,0)))+IF(RIGHT(TRIM(Paramètres!M44),3)="Fin",1-$H1394,IF(LEFT(TRIM(Paramètres!M44),1)="F",1,0)))),IF(Paramètres!N44="",0,IF(Paramètres!O44="",NA(),IF(LEFT(TRIM(Paramètres!O44),1)="F",INDEX($F$1355:$F$1407,MATCH(Paramètres!N44,Paramètres!$G$5:$G$57,0)),INDEX($E$1355:$E$1407,MATCH(Paramètres!N44,Paramètres!$G$5:$G$57,0)))+IF(RIGHT(TRIM(Paramètres!O44),3)="Fin",1-$H1394,IF(LEFT(TRIM(Paramètres!O44),1)="F",1,0)))))))</f>
        <v/>
      </c>
      <c r="F1394" s="19">
        <f>IF($A1394="","",E1394+$H1394-1)</f>
        <v/>
      </c>
      <c r="G1394" s="18" t="n"/>
      <c r="H1394" s="18">
        <f>IF($A1394="","",IF(I1394&lt;&gt;"",I1394,Paramètres!B44))</f>
        <v/>
      </c>
      <c r="I1394" s="18" t="n"/>
    </row>
    <row r="1395">
      <c r="A1395" s="18">
        <f>IF(ISNUMBER(Dossiers!$D$29),Dossiers!$A$29&amp;" · "&amp;Dossiers!$B$29,"")</f>
        <v/>
      </c>
      <c r="B1395" s="18">
        <f>IF($A1395="","",Paramètres!G45)</f>
        <v/>
      </c>
      <c r="C1395" s="20">
        <f>IF($A1395="","",IF(Dossiers!$G$29="","",Dossiers!$G$29))</f>
        <v/>
      </c>
      <c r="D1395" s="18">
        <f>IF($A1395="","",IF(Paramètres!I45="","",Paramètres!I45))</f>
        <v/>
      </c>
      <c r="E1395" s="19">
        <f>IF($A1395="","",IF(Paramètres!J45&amp;Paramètres!L45&amp;Paramètres!N45="",Dossiers!$D$29,MAX(IF(Paramètres!J45="",0,IF(Paramètres!K45="",NA(),IF(LEFT(TRIM(Paramètres!K45),1)="F",INDEX($F$1355:$F$1407,MATCH(Paramètres!J45,Paramètres!$G$5:$G$57,0)),INDEX($E$1355:$E$1407,MATCH(Paramètres!J45,Paramètres!$G$5:$G$57,0)))+IF(RIGHT(TRIM(Paramètres!K45),3)="Fin",1-$H1395,IF(LEFT(TRIM(Paramètres!K45),1)="F",1,0)))),IF(Paramètres!L45="",0,IF(Paramètres!M45="",NA(),IF(LEFT(TRIM(Paramètres!M45),1)="F",INDEX($F$1355:$F$1407,MATCH(Paramètres!L45,Paramètres!$G$5:$G$57,0)),INDEX($E$1355:$E$1407,MATCH(Paramètres!L45,Paramètres!$G$5:$G$57,0)))+IF(RIGHT(TRIM(Paramètres!M45),3)="Fin",1-$H1395,IF(LEFT(TRIM(Paramètres!M45),1)="F",1,0)))),IF(Paramètres!N45="",0,IF(Paramètres!O45="",NA(),IF(LEFT(TRIM(Paramètres!O45),1)="F",INDEX($F$1355:$F$1407,MATCH(Paramètres!N45,Paramètres!$G$5:$G$57,0)),INDEX($E$1355:$E$1407,MATCH(Paramètres!N45,Paramètres!$G$5:$G$57,0)))+IF(RIGHT(TRIM(Paramètres!O45),3)="Fin",1-$H1395,IF(LEFT(TRIM(Paramètres!O45),1)="F",1,0)))))))</f>
        <v/>
      </c>
      <c r="F1395" s="19">
        <f>IF($A1395="","",E1395+$H1395-1)</f>
        <v/>
      </c>
      <c r="G1395" s="18" t="n"/>
      <c r="H1395" s="18">
        <f>IF($A1395="","",IF(I1395&lt;&gt;"",I1395,Paramètres!B45))</f>
        <v/>
      </c>
      <c r="I1395" s="18" t="n"/>
    </row>
    <row r="1396">
      <c r="A1396" s="18">
        <f>IF(ISNUMBER(Dossiers!$D$29),Dossiers!$A$29&amp;" · "&amp;Dossiers!$B$29,"")</f>
        <v/>
      </c>
      <c r="B1396" s="18">
        <f>IF($A1396="","",Paramètres!G46)</f>
        <v/>
      </c>
      <c r="C1396" s="18">
        <f>IF($A1396="","",IF(Paramètres!H46="","",Paramètres!H46))</f>
        <v/>
      </c>
      <c r="D1396" s="18">
        <f>IF($A1396="","",IF(Paramètres!I46="","",Paramètres!I46))</f>
        <v/>
      </c>
      <c r="E1396" s="19">
        <f>IF($A1396="","",IF(Paramètres!J46&amp;Paramètres!L46&amp;Paramètres!N46="",Dossiers!$D$29,MAX(IF(Paramètres!J46="",0,IF(Paramètres!K46="",NA(),IF(LEFT(TRIM(Paramètres!K46),1)="F",INDEX($F$1355:$F$1407,MATCH(Paramètres!J46,Paramètres!$G$5:$G$57,0)),INDEX($E$1355:$E$1407,MATCH(Paramètres!J46,Paramètres!$G$5:$G$57,0)))+IF(RIGHT(TRIM(Paramètres!K46),3)="Fin",1-$H1396,IF(LEFT(TRIM(Paramètres!K46),1)="F",1,0)))),IF(Paramètres!L46="",0,IF(Paramètres!M46="",NA(),IF(LEFT(TRIM(Paramètres!M46),1)="F",INDEX($F$1355:$F$1407,MATCH(Paramètres!L46,Paramètres!$G$5:$G$57,0)),INDEX($E$1355:$E$1407,MATCH(Paramètres!L46,Paramètres!$G$5:$G$57,0)))+IF(RIGHT(TRIM(Paramètres!M46),3)="Fin",1-$H1396,IF(LEFT(TRIM(Paramètres!M46),1)="F",1,0)))),IF(Paramètres!N46="",0,IF(Paramètres!O46="",NA(),IF(LEFT(TRIM(Paramètres!O46),1)="F",INDEX($F$1355:$F$1407,MATCH(Paramètres!N46,Paramètres!$G$5:$G$57,0)),INDEX($E$1355:$E$1407,MATCH(Paramètres!N46,Paramètres!$G$5:$G$57,0)))+IF(RIGHT(TRIM(Paramètres!O46),3)="Fin",1-$H1396,IF(LEFT(TRIM(Paramètres!O46),1)="F",1,0)))))))</f>
        <v/>
      </c>
      <c r="F1396" s="19">
        <f>IF($A1396="","",E1396+$H1396-1)</f>
        <v/>
      </c>
      <c r="G1396" s="18" t="n"/>
      <c r="H1396" s="18">
        <f>IF($A1396="","",IF(I1396&lt;&gt;"",I1396,Paramètres!B46))</f>
        <v/>
      </c>
      <c r="I1396" s="18" t="n"/>
    </row>
    <row r="1397">
      <c r="A1397" s="18">
        <f>IF(ISNUMBER(Dossiers!$D$29),Dossiers!$A$29&amp;" · "&amp;Dossiers!$B$29,"")</f>
        <v/>
      </c>
      <c r="B1397" s="18">
        <f>IF($A1397="","",Paramètres!G47)</f>
        <v/>
      </c>
      <c r="C1397" s="18">
        <f>IF($A1397="","",IF(Paramètres!H47="","",Paramètres!H47))</f>
        <v/>
      </c>
      <c r="D1397" s="18">
        <f>IF($A1397="","",IF(Paramètres!I47="","",Paramètres!I47))</f>
        <v/>
      </c>
      <c r="E1397" s="19">
        <f>IF($A1397="","",IF(Paramètres!J47&amp;Paramètres!L47&amp;Paramètres!N47="",Dossiers!$D$29,MAX(IF(Paramètres!J47="",0,IF(Paramètres!K47="",NA(),IF(LEFT(TRIM(Paramètres!K47),1)="F",INDEX($F$1355:$F$1407,MATCH(Paramètres!J47,Paramètres!$G$5:$G$57,0)),INDEX($E$1355:$E$1407,MATCH(Paramètres!J47,Paramètres!$G$5:$G$57,0)))+IF(RIGHT(TRIM(Paramètres!K47),3)="Fin",1-$H1397,IF(LEFT(TRIM(Paramètres!K47),1)="F",1,0)))),IF(Paramètres!L47="",0,IF(Paramètres!M47="",NA(),IF(LEFT(TRIM(Paramètres!M47),1)="F",INDEX($F$1355:$F$1407,MATCH(Paramètres!L47,Paramètres!$G$5:$G$57,0)),INDEX($E$1355:$E$1407,MATCH(Paramètres!L47,Paramètres!$G$5:$G$57,0)))+IF(RIGHT(TRIM(Paramètres!M47),3)="Fin",1-$H1397,IF(LEFT(TRIM(Paramètres!M47),1)="F",1,0)))),IF(Paramètres!N47="",0,IF(Paramètres!O47="",NA(),IF(LEFT(TRIM(Paramètres!O47),1)="F",INDEX($F$1355:$F$1407,MATCH(Paramètres!N47,Paramètres!$G$5:$G$57,0)),INDEX($E$1355:$E$1407,MATCH(Paramètres!N47,Paramètres!$G$5:$G$57,0)))+IF(RIGHT(TRIM(Paramètres!O47),3)="Fin",1-$H1397,IF(LEFT(TRIM(Paramètres!O47),1)="F",1,0)))))))</f>
        <v/>
      </c>
      <c r="F1397" s="19">
        <f>IF($A1397="","",E1397+$H1397-1)</f>
        <v/>
      </c>
      <c r="G1397" s="18" t="n"/>
      <c r="H1397" s="18">
        <f>IF($A1397="","",IF(I1397&lt;&gt;"",I1397,Paramètres!B47))</f>
        <v/>
      </c>
      <c r="I1397" s="18" t="n"/>
    </row>
    <row r="1398">
      <c r="A1398" s="18">
        <f>IF(ISNUMBER(Dossiers!$D$29),Dossiers!$A$29&amp;" · "&amp;Dossiers!$B$29,"")</f>
        <v/>
      </c>
      <c r="B1398" s="18">
        <f>IF($A1398="","",Paramètres!G48)</f>
        <v/>
      </c>
      <c r="C1398" s="18">
        <f>IF($A1398="","",IF(Paramètres!H48="","",Paramètres!H48))</f>
        <v/>
      </c>
      <c r="D1398" s="18">
        <f>IF($A1398="","",IF(Paramètres!I48="","",Paramètres!I48))</f>
        <v/>
      </c>
      <c r="E1398" s="19">
        <f>IF($A1398="","",IF(Paramètres!J48&amp;Paramètres!L48&amp;Paramètres!N48="",Dossiers!$D$29,MAX(IF(Paramètres!J48="",0,IF(Paramètres!K48="",NA(),IF(LEFT(TRIM(Paramètres!K48),1)="F",INDEX($F$1355:$F$1407,MATCH(Paramètres!J48,Paramètres!$G$5:$G$57,0)),INDEX($E$1355:$E$1407,MATCH(Paramètres!J48,Paramètres!$G$5:$G$57,0)))+IF(RIGHT(TRIM(Paramètres!K48),3)="Fin",1-$H1398,IF(LEFT(TRIM(Paramètres!K48),1)="F",1,0)))),IF(Paramètres!L48="",0,IF(Paramètres!M48="",NA(),IF(LEFT(TRIM(Paramètres!M48),1)="F",INDEX($F$1355:$F$1407,MATCH(Paramètres!L48,Paramètres!$G$5:$G$57,0)),INDEX($E$1355:$E$1407,MATCH(Paramètres!L48,Paramètres!$G$5:$G$57,0)))+IF(RIGHT(TRIM(Paramètres!M48),3)="Fin",1-$H1398,IF(LEFT(TRIM(Paramètres!M48),1)="F",1,0)))),IF(Paramètres!N48="",0,IF(Paramètres!O48="",NA(),IF(LEFT(TRIM(Paramètres!O48),1)="F",INDEX($F$1355:$F$1407,MATCH(Paramètres!N48,Paramètres!$G$5:$G$57,0)),INDEX($E$1355:$E$1407,MATCH(Paramètres!N48,Paramètres!$G$5:$G$57,0)))+IF(RIGHT(TRIM(Paramètres!O48),3)="Fin",1-$H1398,IF(LEFT(TRIM(Paramètres!O48),1)="F",1,0)))))))</f>
        <v/>
      </c>
      <c r="F1398" s="19">
        <f>IF($A1398="","",E1398+$H1398-1)</f>
        <v/>
      </c>
      <c r="G1398" s="18" t="n"/>
      <c r="H1398" s="18">
        <f>IF($A1398="","",IF(I1398&lt;&gt;"",I1398,Paramètres!B48))</f>
        <v/>
      </c>
      <c r="I1398" s="18" t="n"/>
    </row>
    <row r="1399">
      <c r="A1399" s="18">
        <f>IF(ISNUMBER(Dossiers!$D$29),Dossiers!$A$29&amp;" · "&amp;Dossiers!$B$29,"")</f>
        <v/>
      </c>
      <c r="B1399" s="18">
        <f>IF($A1399="","",Paramètres!G49)</f>
        <v/>
      </c>
      <c r="C1399" s="18">
        <f>IF($A1399="","",IF(Paramètres!H49="","",Paramètres!H49))</f>
        <v/>
      </c>
      <c r="D1399" s="18">
        <f>IF($A1399="","",IF(Paramètres!I49="","",Paramètres!I49))</f>
        <v/>
      </c>
      <c r="E1399" s="19">
        <f>IF($A1399="","",IF(Paramètres!J49&amp;Paramètres!L49&amp;Paramètres!N49="",Dossiers!$D$29,MAX(IF(Paramètres!J49="",0,IF(Paramètres!K49="",NA(),IF(LEFT(TRIM(Paramètres!K49),1)="F",INDEX($F$1355:$F$1407,MATCH(Paramètres!J49,Paramètres!$G$5:$G$57,0)),INDEX($E$1355:$E$1407,MATCH(Paramètres!J49,Paramètres!$G$5:$G$57,0)))+IF(RIGHT(TRIM(Paramètres!K49),3)="Fin",1-$H1399,IF(LEFT(TRIM(Paramètres!K49),1)="F",1,0)))),IF(Paramètres!L49="",0,IF(Paramètres!M49="",NA(),IF(LEFT(TRIM(Paramètres!M49),1)="F",INDEX($F$1355:$F$1407,MATCH(Paramètres!L49,Paramètres!$G$5:$G$57,0)),INDEX($E$1355:$E$1407,MATCH(Paramètres!L49,Paramètres!$G$5:$G$57,0)))+IF(RIGHT(TRIM(Paramètres!M49),3)="Fin",1-$H1399,IF(LEFT(TRIM(Paramètres!M49),1)="F",1,0)))),IF(Paramètres!N49="",0,IF(Paramètres!O49="",NA(),IF(LEFT(TRIM(Paramètres!O49),1)="F",INDEX($F$1355:$F$1407,MATCH(Paramètres!N49,Paramètres!$G$5:$G$57,0)),INDEX($E$1355:$E$1407,MATCH(Paramètres!N49,Paramètres!$G$5:$G$57,0)))+IF(RIGHT(TRIM(Paramètres!O49),3)="Fin",1-$H1399,IF(LEFT(TRIM(Paramètres!O49),1)="F",1,0)))))))</f>
        <v/>
      </c>
      <c r="F1399" s="19">
        <f>IF($A1399="","",E1399+$H1399-1)</f>
        <v/>
      </c>
      <c r="G1399" s="18" t="n"/>
      <c r="H1399" s="18">
        <f>IF($A1399="","",IF(I1399&lt;&gt;"",I1399,Paramètres!B49))</f>
        <v/>
      </c>
      <c r="I1399" s="18" t="n"/>
    </row>
    <row r="1400">
      <c r="A1400" s="18">
        <f>IF(ISNUMBER(Dossiers!$D$29),Dossiers!$A$29&amp;" · "&amp;Dossiers!$B$29,"")</f>
        <v/>
      </c>
      <c r="B1400" s="18">
        <f>IF($A1400="","",Paramètres!G50)</f>
        <v/>
      </c>
      <c r="C1400" s="18">
        <f>IF($A1400="","",IF(Paramètres!H50="","",Paramètres!H50))</f>
        <v/>
      </c>
      <c r="D1400" s="18">
        <f>IF($A1400="","",IF(Paramètres!I50="","",Paramètres!I50))</f>
        <v/>
      </c>
      <c r="E1400" s="19">
        <f>IF($A1400="","",IF(Paramètres!J50&amp;Paramètres!L50&amp;Paramètres!N50="",Dossiers!$D$29,MAX(IF(Paramètres!J50="",0,IF(Paramètres!K50="",NA(),IF(LEFT(TRIM(Paramètres!K50),1)="F",INDEX($F$1355:$F$1407,MATCH(Paramètres!J50,Paramètres!$G$5:$G$57,0)),INDEX($E$1355:$E$1407,MATCH(Paramètres!J50,Paramètres!$G$5:$G$57,0)))+IF(RIGHT(TRIM(Paramètres!K50),3)="Fin",1-$H1400,IF(LEFT(TRIM(Paramètres!K50),1)="F",1,0)))),IF(Paramètres!L50="",0,IF(Paramètres!M50="",NA(),IF(LEFT(TRIM(Paramètres!M50),1)="F",INDEX($F$1355:$F$1407,MATCH(Paramètres!L50,Paramètres!$G$5:$G$57,0)),INDEX($E$1355:$E$1407,MATCH(Paramètres!L50,Paramètres!$G$5:$G$57,0)))+IF(RIGHT(TRIM(Paramètres!M50),3)="Fin",1-$H1400,IF(LEFT(TRIM(Paramètres!M50),1)="F",1,0)))),IF(Paramètres!N50="",0,IF(Paramètres!O50="",NA(),IF(LEFT(TRIM(Paramètres!O50),1)="F",INDEX($F$1355:$F$1407,MATCH(Paramètres!N50,Paramètres!$G$5:$G$57,0)),INDEX($E$1355:$E$1407,MATCH(Paramètres!N50,Paramètres!$G$5:$G$57,0)))+IF(RIGHT(TRIM(Paramètres!O50),3)="Fin",1-$H1400,IF(LEFT(TRIM(Paramètres!O50),1)="F",1,0)))))))</f>
        <v/>
      </c>
      <c r="F1400" s="19">
        <f>IF($A1400="","",E1400+$H1400-1)</f>
        <v/>
      </c>
      <c r="G1400" s="18" t="n"/>
      <c r="H1400" s="18">
        <f>IF($A1400="","",IF(I1400&lt;&gt;"",I1400,Paramètres!B50))</f>
        <v/>
      </c>
      <c r="I1400" s="18" t="n"/>
    </row>
    <row r="1401">
      <c r="A1401" s="18">
        <f>IF(ISNUMBER(Dossiers!$D$29),Dossiers!$A$29&amp;" · "&amp;Dossiers!$B$29,"")</f>
        <v/>
      </c>
      <c r="B1401" s="18">
        <f>IF($A1401="","",Paramètres!G51)</f>
        <v/>
      </c>
      <c r="C1401" s="18">
        <f>IF($A1401="","",IF(Paramètres!H51="","",Paramètres!H51))</f>
        <v/>
      </c>
      <c r="D1401" s="18">
        <f>IF($A1401="","",IF(Paramètres!I51="","",Paramètres!I51))</f>
        <v/>
      </c>
      <c r="E1401" s="19">
        <f>IF($A1401="","",IF(Paramètres!J51&amp;Paramètres!L51&amp;Paramètres!N51="",Dossiers!$D$29,MAX(IF(Paramètres!J51="",0,IF(Paramètres!K51="",NA(),IF(LEFT(TRIM(Paramètres!K51),1)="F",INDEX($F$1355:$F$1407,MATCH(Paramètres!J51,Paramètres!$G$5:$G$57,0)),INDEX($E$1355:$E$1407,MATCH(Paramètres!J51,Paramètres!$G$5:$G$57,0)))+IF(RIGHT(TRIM(Paramètres!K51),3)="Fin",1-$H1401,IF(LEFT(TRIM(Paramètres!K51),1)="F",1,0)))),IF(Paramètres!L51="",0,IF(Paramètres!M51="",NA(),IF(LEFT(TRIM(Paramètres!M51),1)="F",INDEX($F$1355:$F$1407,MATCH(Paramètres!L51,Paramètres!$G$5:$G$57,0)),INDEX($E$1355:$E$1407,MATCH(Paramètres!L51,Paramètres!$G$5:$G$57,0)))+IF(RIGHT(TRIM(Paramètres!M51),3)="Fin",1-$H1401,IF(LEFT(TRIM(Paramètres!M51),1)="F",1,0)))),IF(Paramètres!N51="",0,IF(Paramètres!O51="",NA(),IF(LEFT(TRIM(Paramètres!O51),1)="F",INDEX($F$1355:$F$1407,MATCH(Paramètres!N51,Paramètres!$G$5:$G$57,0)),INDEX($E$1355:$E$1407,MATCH(Paramètres!N51,Paramètres!$G$5:$G$57,0)))+IF(RIGHT(TRIM(Paramètres!O51),3)="Fin",1-$H1401,IF(LEFT(TRIM(Paramètres!O51),1)="F",1,0)))))))</f>
        <v/>
      </c>
      <c r="F1401" s="19">
        <f>IF($A1401="","",E1401+$H1401-1)</f>
        <v/>
      </c>
      <c r="G1401" s="18" t="n"/>
      <c r="H1401" s="18">
        <f>IF($A1401="","",IF(I1401&lt;&gt;"",I1401,Paramètres!B51))</f>
        <v/>
      </c>
      <c r="I1401" s="18" t="n"/>
    </row>
    <row r="1402">
      <c r="A1402" s="18">
        <f>IF(ISNUMBER(Dossiers!$D$29),Dossiers!$A$29&amp;" · "&amp;Dossiers!$B$29,"")</f>
        <v/>
      </c>
      <c r="B1402" s="18">
        <f>IF($A1402="","",Paramètres!G52)</f>
        <v/>
      </c>
      <c r="C1402" s="18">
        <f>IF($A1402="","",IF(Paramètres!H52="","",Paramètres!H52))</f>
        <v/>
      </c>
      <c r="D1402" s="18">
        <f>IF($A1402="","",IF(Paramètres!I52="","",Paramètres!I52))</f>
        <v/>
      </c>
      <c r="E1402" s="19">
        <f>IF($A1402="","",IF(Paramètres!J52&amp;Paramètres!L52&amp;Paramètres!N52="",Dossiers!$D$29,MAX(IF(Paramètres!J52="",0,IF(Paramètres!K52="",NA(),IF(LEFT(TRIM(Paramètres!K52),1)="F",INDEX($F$1355:$F$1407,MATCH(Paramètres!J52,Paramètres!$G$5:$G$57,0)),INDEX($E$1355:$E$1407,MATCH(Paramètres!J52,Paramètres!$G$5:$G$57,0)))+IF(RIGHT(TRIM(Paramètres!K52),3)="Fin",1-$H1402,IF(LEFT(TRIM(Paramètres!K52),1)="F",1,0)))),IF(Paramètres!L52="",0,IF(Paramètres!M52="",NA(),IF(LEFT(TRIM(Paramètres!M52),1)="F",INDEX($F$1355:$F$1407,MATCH(Paramètres!L52,Paramètres!$G$5:$G$57,0)),INDEX($E$1355:$E$1407,MATCH(Paramètres!L52,Paramètres!$G$5:$G$57,0)))+IF(RIGHT(TRIM(Paramètres!M52),3)="Fin",1-$H1402,IF(LEFT(TRIM(Paramètres!M52),1)="F",1,0)))),IF(Paramètres!N52="",0,IF(Paramètres!O52="",NA(),IF(LEFT(TRIM(Paramètres!O52),1)="F",INDEX($F$1355:$F$1407,MATCH(Paramètres!N52,Paramètres!$G$5:$G$57,0)),INDEX($E$1355:$E$1407,MATCH(Paramètres!N52,Paramètres!$G$5:$G$57,0)))+IF(RIGHT(TRIM(Paramètres!O52),3)="Fin",1-$H1402,IF(LEFT(TRIM(Paramètres!O52),1)="F",1,0)))))))</f>
        <v/>
      </c>
      <c r="F1402" s="19">
        <f>IF($A1402="","",E1402+$H1402-1)</f>
        <v/>
      </c>
      <c r="G1402" s="18" t="n"/>
      <c r="H1402" s="18">
        <f>IF($A1402="","",IF(I1402&lt;&gt;"",I1402,Paramètres!B52))</f>
        <v/>
      </c>
      <c r="I1402" s="18" t="n"/>
    </row>
    <row r="1403">
      <c r="A1403" s="18">
        <f>IF(ISNUMBER(Dossiers!$D$29),Dossiers!$A$29&amp;" · "&amp;Dossiers!$B$29,"")</f>
        <v/>
      </c>
      <c r="B1403" s="18">
        <f>IF($A1403="","",Paramètres!G53)</f>
        <v/>
      </c>
      <c r="C1403" s="18">
        <f>IF($A1403="","",IF(Paramètres!H53="","",Paramètres!H53))</f>
        <v/>
      </c>
      <c r="D1403" s="18">
        <f>IF($A1403="","",IF(Paramètres!I53="","",Paramètres!I53))</f>
        <v/>
      </c>
      <c r="E1403" s="19">
        <f>IF($A1403="","",IF(Paramètres!J53&amp;Paramètres!L53&amp;Paramètres!N53="",Dossiers!$D$29,MAX(IF(Paramètres!J53="",0,IF(Paramètres!K53="",NA(),IF(LEFT(TRIM(Paramètres!K53),1)="F",INDEX($F$1355:$F$1407,MATCH(Paramètres!J53,Paramètres!$G$5:$G$57,0)),INDEX($E$1355:$E$1407,MATCH(Paramètres!J53,Paramètres!$G$5:$G$57,0)))+IF(RIGHT(TRIM(Paramètres!K53),3)="Fin",1-$H1403,IF(LEFT(TRIM(Paramètres!K53),1)="F",1,0)))),IF(Paramètres!L53="",0,IF(Paramètres!M53="",NA(),IF(LEFT(TRIM(Paramètres!M53),1)="F",INDEX($F$1355:$F$1407,MATCH(Paramètres!L53,Paramètres!$G$5:$G$57,0)),INDEX($E$1355:$E$1407,MATCH(Paramètres!L53,Paramètres!$G$5:$G$57,0)))+IF(RIGHT(TRIM(Paramètres!M53),3)="Fin",1-$H1403,IF(LEFT(TRIM(Paramètres!M53),1)="F",1,0)))),IF(Paramètres!N53="",0,IF(Paramètres!O53="",NA(),IF(LEFT(TRIM(Paramètres!O53),1)="F",INDEX($F$1355:$F$1407,MATCH(Paramètres!N53,Paramètres!$G$5:$G$57,0)),INDEX($E$1355:$E$1407,MATCH(Paramètres!N53,Paramètres!$G$5:$G$57,0)))+IF(RIGHT(TRIM(Paramètres!O53),3)="Fin",1-$H1403,IF(LEFT(TRIM(Paramètres!O53),1)="F",1,0)))))))</f>
        <v/>
      </c>
      <c r="F1403" s="19">
        <f>IF($A1403="","",E1403+$H1403-1)</f>
        <v/>
      </c>
      <c r="G1403" s="18" t="n"/>
      <c r="H1403" s="18">
        <f>IF($A1403="","",IF(I1403&lt;&gt;"",I1403,Paramètres!B53))</f>
        <v/>
      </c>
      <c r="I1403" s="18" t="n"/>
    </row>
    <row r="1404">
      <c r="A1404" s="18">
        <f>IF(ISNUMBER(Dossiers!$D$29),Dossiers!$A$29&amp;" · "&amp;Dossiers!$B$29,"")</f>
        <v/>
      </c>
      <c r="B1404" s="18">
        <f>IF($A1404="","",Paramètres!G54)</f>
        <v/>
      </c>
      <c r="C1404" s="18">
        <f>IF($A1404="","",IF(Paramètres!H54="","",Paramètres!H54))</f>
        <v/>
      </c>
      <c r="D1404" s="18">
        <f>IF($A1404="","",IF(Paramètres!I54="","",Paramètres!I54))</f>
        <v/>
      </c>
      <c r="E1404" s="19">
        <f>IF($A1404="","",IF(Paramètres!J54&amp;Paramètres!L54&amp;Paramètres!N54="",Dossiers!$D$29,MAX(IF(Paramètres!J54="",0,IF(Paramètres!K54="",NA(),IF(LEFT(TRIM(Paramètres!K54),1)="F",INDEX($F$1355:$F$1407,MATCH(Paramètres!J54,Paramètres!$G$5:$G$57,0)),INDEX($E$1355:$E$1407,MATCH(Paramètres!J54,Paramètres!$G$5:$G$57,0)))+IF(RIGHT(TRIM(Paramètres!K54),3)="Fin",1-$H1404,IF(LEFT(TRIM(Paramètres!K54),1)="F",1,0)))),IF(Paramètres!L54="",0,IF(Paramètres!M54="",NA(),IF(LEFT(TRIM(Paramètres!M54),1)="F",INDEX($F$1355:$F$1407,MATCH(Paramètres!L54,Paramètres!$G$5:$G$57,0)),INDEX($E$1355:$E$1407,MATCH(Paramètres!L54,Paramètres!$G$5:$G$57,0)))+IF(RIGHT(TRIM(Paramètres!M54),3)="Fin",1-$H1404,IF(LEFT(TRIM(Paramètres!M54),1)="F",1,0)))),IF(Paramètres!N54="",0,IF(Paramètres!O54="",NA(),IF(LEFT(TRIM(Paramètres!O54),1)="F",INDEX($F$1355:$F$1407,MATCH(Paramètres!N54,Paramètres!$G$5:$G$57,0)),INDEX($E$1355:$E$1407,MATCH(Paramètres!N54,Paramètres!$G$5:$G$57,0)))+IF(RIGHT(TRIM(Paramètres!O54),3)="Fin",1-$H1404,IF(LEFT(TRIM(Paramètres!O54),1)="F",1,0)))))))</f>
        <v/>
      </c>
      <c r="F1404" s="19">
        <f>IF($A1404="","",E1404+$H1404-1)</f>
        <v/>
      </c>
      <c r="G1404" s="18" t="n"/>
      <c r="H1404" s="18">
        <f>IF($A1404="","",IF(I1404&lt;&gt;"",I1404,Paramètres!B54))</f>
        <v/>
      </c>
      <c r="I1404" s="18" t="n"/>
    </row>
    <row r="1405">
      <c r="A1405" s="18">
        <f>IF(ISNUMBER(Dossiers!$D$29),Dossiers!$A$29&amp;" · "&amp;Dossiers!$B$29,"")</f>
        <v/>
      </c>
      <c r="B1405" s="18">
        <f>IF($A1405="","",Paramètres!G55)</f>
        <v/>
      </c>
      <c r="C1405" s="18">
        <f>IF($A1405="","",IF(Paramètres!H55="","",Paramètres!H55))</f>
        <v/>
      </c>
      <c r="D1405" s="18">
        <f>IF($A1405="","",IF(Paramètres!I55="","",Paramètres!I55))</f>
        <v/>
      </c>
      <c r="E1405" s="19">
        <f>IF($A1405="","",IF(Paramètres!J55&amp;Paramètres!L55&amp;Paramètres!N55="",Dossiers!$D$29,MAX(IF(Paramètres!J55="",0,IF(Paramètres!K55="",NA(),IF(LEFT(TRIM(Paramètres!K55),1)="F",INDEX($F$1355:$F$1407,MATCH(Paramètres!J55,Paramètres!$G$5:$G$57,0)),INDEX($E$1355:$E$1407,MATCH(Paramètres!J55,Paramètres!$G$5:$G$57,0)))+IF(RIGHT(TRIM(Paramètres!K55),3)="Fin",1-$H1405,IF(LEFT(TRIM(Paramètres!K55),1)="F",1,0)))),IF(Paramètres!L55="",0,IF(Paramètres!M55="",NA(),IF(LEFT(TRIM(Paramètres!M55),1)="F",INDEX($F$1355:$F$1407,MATCH(Paramètres!L55,Paramètres!$G$5:$G$57,0)),INDEX($E$1355:$E$1407,MATCH(Paramètres!L55,Paramètres!$G$5:$G$57,0)))+IF(RIGHT(TRIM(Paramètres!M55),3)="Fin",1-$H1405,IF(LEFT(TRIM(Paramètres!M55),1)="F",1,0)))),IF(Paramètres!N55="",0,IF(Paramètres!O55="",NA(),IF(LEFT(TRIM(Paramètres!O55),1)="F",INDEX($F$1355:$F$1407,MATCH(Paramètres!N55,Paramètres!$G$5:$G$57,0)),INDEX($E$1355:$E$1407,MATCH(Paramètres!N55,Paramètres!$G$5:$G$57,0)))+IF(RIGHT(TRIM(Paramètres!O55),3)="Fin",1-$H1405,IF(LEFT(TRIM(Paramètres!O55),1)="F",1,0)))))))</f>
        <v/>
      </c>
      <c r="F1405" s="19">
        <f>IF($A1405="","",E1405+$H1405-1)</f>
        <v/>
      </c>
      <c r="G1405" s="18" t="n"/>
      <c r="H1405" s="18">
        <f>IF($A1405="","",IF(I1405&lt;&gt;"",I1405,Paramètres!B55))</f>
        <v/>
      </c>
      <c r="I1405" s="18" t="n"/>
    </row>
    <row r="1406">
      <c r="A1406" s="18">
        <f>IF(ISNUMBER(Dossiers!$D$29),Dossiers!$A$29&amp;" · "&amp;Dossiers!$B$29,"")</f>
        <v/>
      </c>
      <c r="B1406" s="18">
        <f>IF($A1406="","",Paramètres!G56)</f>
        <v/>
      </c>
      <c r="C1406" s="18">
        <f>IF($A1406="","",IF(Paramètres!H56="","",Paramètres!H56))</f>
        <v/>
      </c>
      <c r="D1406" s="18">
        <f>IF($A1406="","",IF(Paramètres!I56="","",Paramètres!I56))</f>
        <v/>
      </c>
      <c r="E1406" s="19">
        <f>IF($A1406="","",MIN(E1407:E1407))</f>
        <v/>
      </c>
      <c r="F1406" s="19">
        <f>IF($A1406="","",MAX(F1407:F1407))</f>
        <v/>
      </c>
      <c r="G1406" s="18" t="n"/>
      <c r="H1406" s="18">
        <f>IF($A1406="","",F1406-E1406+1)</f>
        <v/>
      </c>
      <c r="I1406" s="18" t="n"/>
    </row>
    <row r="1407">
      <c r="A1407" s="18">
        <f>IF(ISNUMBER(Dossiers!$D$29),Dossiers!$A$29&amp;" · "&amp;Dossiers!$B$29,"")</f>
        <v/>
      </c>
      <c r="B1407" s="18">
        <f>IF($A1407="","",Paramètres!G57)</f>
        <v/>
      </c>
      <c r="C1407" s="18">
        <f>IF($A1407="","",IF(Paramètres!H57="","",Paramètres!H57))</f>
        <v/>
      </c>
      <c r="D1407" s="18">
        <f>IF($A1407="","",IF(Paramètres!I57="","",Paramètres!I57))</f>
        <v/>
      </c>
      <c r="E1407" s="19">
        <f>IF($A1407="","",IF(Paramètres!J57&amp;Paramètres!L57&amp;Paramètres!N57="",Dossiers!$D$29,MAX(IF(Paramètres!J57="",0,IF(Paramètres!K57="",NA(),IF(LEFT(TRIM(Paramètres!K57),1)="F",INDEX($F$1355:$F$1407,MATCH(Paramètres!J57,Paramètres!$G$5:$G$57,0)),INDEX($E$1355:$E$1407,MATCH(Paramètres!J57,Paramètres!$G$5:$G$57,0)))+IF(RIGHT(TRIM(Paramètres!K57),3)="Fin",1-$H1407,IF(LEFT(TRIM(Paramètres!K57),1)="F",1,0)))),IF(Paramètres!L57="",0,IF(Paramètres!M57="",NA(),IF(LEFT(TRIM(Paramètres!M57),1)="F",INDEX($F$1355:$F$1407,MATCH(Paramètres!L57,Paramètres!$G$5:$G$57,0)),INDEX($E$1355:$E$1407,MATCH(Paramètres!L57,Paramètres!$G$5:$G$57,0)))+IF(RIGHT(TRIM(Paramètres!M57),3)="Fin",1-$H1407,IF(LEFT(TRIM(Paramètres!M57),1)="F",1,0)))),IF(Paramètres!N57="",0,IF(Paramètres!O57="",NA(),IF(LEFT(TRIM(Paramètres!O57),1)="F",INDEX($F$1355:$F$1407,MATCH(Paramètres!N57,Paramètres!$G$5:$G$57,0)),INDEX($E$1355:$E$1407,MATCH(Paramètres!N57,Paramètres!$G$5:$G$57,0)))+IF(RIGHT(TRIM(Paramètres!O57),3)="Fin",1-$H1407,IF(LEFT(TRIM(Paramètres!O57),1)="F",1,0)))))))</f>
        <v/>
      </c>
      <c r="F1407" s="19">
        <f>IF($A1407="","",E1407+$H1407-1)</f>
        <v/>
      </c>
      <c r="G1407" s="18" t="n"/>
      <c r="H1407" s="18">
        <f>IF($A1407="","",IF(I1407&lt;&gt;"",I1407,Paramètres!B57))</f>
        <v/>
      </c>
      <c r="I1407" s="18" t="n"/>
    </row>
    <row r="1408">
      <c r="A1408" s="16">
        <f>IF(ISNUMBER(Dossiers!$D$30),Dossiers!$E$30,"")</f>
        <v/>
      </c>
      <c r="B1408" s="16">
        <f>IF($A1408="","","Identifiant")</f>
        <v/>
      </c>
      <c r="C1408" s="16">
        <f>IF($A1408="","","Macro Etape")</f>
        <v/>
      </c>
      <c r="D1408" s="16">
        <f>IF($A1408="","","Etape")</f>
        <v/>
      </c>
      <c r="E1408" s="17">
        <f>IF($A1408="","","Début le")</f>
        <v/>
      </c>
      <c r="F1408" s="17">
        <f>IF($A1408="","","Fin prévue le")</f>
        <v/>
      </c>
      <c r="G1408" s="16">
        <f>IF($A1408="","","Statut")</f>
        <v/>
      </c>
      <c r="H1408" s="16">
        <f>IF($A1408="","","Durée (jours)")</f>
        <v/>
      </c>
      <c r="I1408" s="16">
        <f>IF($A1408="","","Durée particulière")</f>
        <v/>
      </c>
      <c r="J1408" s="10">
        <f>IF($A1408="","",HYPERLINK("#'Tableau de bord'!A1","↑ Tableau de bord"))</f>
        <v/>
      </c>
    </row>
    <row r="1409">
      <c r="A1409" s="18">
        <f>IF(ISNUMBER(Dossiers!$D$30),Dossiers!$A$30&amp;" · "&amp;Dossiers!$B$30,"")</f>
        <v/>
      </c>
      <c r="B1409" s="18">
        <f>IF($A1409="","",Paramètres!G5)</f>
        <v/>
      </c>
      <c r="C1409" s="18">
        <f>IF($A1409="","",IF(Paramètres!H5="","",Paramètres!H5))</f>
        <v/>
      </c>
      <c r="D1409" s="18">
        <f>IF($A1409="","",IF(Paramètres!I5="","",Paramètres!I5))</f>
        <v/>
      </c>
      <c r="E1409" s="19">
        <f>IF($A1409="","",MIN(E1410:E1413))</f>
        <v/>
      </c>
      <c r="F1409" s="19">
        <f>IF($A1409="","",MAX(F1410:F1413))</f>
        <v/>
      </c>
      <c r="G1409" s="18" t="n"/>
      <c r="H1409" s="18">
        <f>IF($A1409="","",F1409-E1409+1)</f>
        <v/>
      </c>
      <c r="I1409" s="18" t="n"/>
    </row>
    <row r="1410">
      <c r="A1410" s="18">
        <f>IF(ISNUMBER(Dossiers!$D$30),Dossiers!$A$30&amp;" · "&amp;Dossiers!$B$30,"")</f>
        <v/>
      </c>
      <c r="B1410" s="18">
        <f>IF($A1410="","",Paramètres!G6)</f>
        <v/>
      </c>
      <c r="C1410" s="18">
        <f>IF($A1410="","",IF(Paramètres!H6="","",Paramètres!H6))</f>
        <v/>
      </c>
      <c r="D1410" s="18">
        <f>IF($A1410="","",IF(Paramètres!I6="","",Paramètres!I6))</f>
        <v/>
      </c>
      <c r="E1410" s="19">
        <f>IF($A1410="","",IF(Paramètres!J6&amp;Paramètres!L6&amp;Paramètres!N6="",Dossiers!$D$30,MAX(IF(Paramètres!J6="",0,IF(Paramètres!K6="",NA(),IF(LEFT(TRIM(Paramètres!K6),1)="F",INDEX($F$1409:$F$1461,MATCH(Paramètres!J6,Paramètres!$G$5:$G$57,0)),INDEX($E$1409:$E$1461,MATCH(Paramètres!J6,Paramètres!$G$5:$G$57,0)))+IF(RIGHT(TRIM(Paramètres!K6),3)="Fin",1-$H1410,IF(LEFT(TRIM(Paramètres!K6),1)="F",1,0)))),IF(Paramètres!L6="",0,IF(Paramètres!M6="",NA(),IF(LEFT(TRIM(Paramètres!M6),1)="F",INDEX($F$1409:$F$1461,MATCH(Paramètres!L6,Paramètres!$G$5:$G$57,0)),INDEX($E$1409:$E$1461,MATCH(Paramètres!L6,Paramètres!$G$5:$G$57,0)))+IF(RIGHT(TRIM(Paramètres!M6),3)="Fin",1-$H1410,IF(LEFT(TRIM(Paramètres!M6),1)="F",1,0)))),IF(Paramètres!N6="",0,IF(Paramètres!O6="",NA(),IF(LEFT(TRIM(Paramètres!O6),1)="F",INDEX($F$1409:$F$1461,MATCH(Paramètres!N6,Paramètres!$G$5:$G$57,0)),INDEX($E$1409:$E$1461,MATCH(Paramètres!N6,Paramètres!$G$5:$G$57,0)))+IF(RIGHT(TRIM(Paramètres!O6),3)="Fin",1-$H1410,IF(LEFT(TRIM(Paramètres!O6),1)="F",1,0)))))))</f>
        <v/>
      </c>
      <c r="F1410" s="19">
        <f>IF($A1410="","",E1410+$H1410-1)</f>
        <v/>
      </c>
      <c r="G1410" s="18" t="n"/>
      <c r="H1410" s="18">
        <f>IF($A1410="","",IF(I1410&lt;&gt;"",I1410,Paramètres!B6))</f>
        <v/>
      </c>
      <c r="I1410" s="18" t="n"/>
    </row>
    <row r="1411">
      <c r="A1411" s="18">
        <f>IF(ISNUMBER(Dossiers!$D$30),Dossiers!$A$30&amp;" · "&amp;Dossiers!$B$30,"")</f>
        <v/>
      </c>
      <c r="B1411" s="18">
        <f>IF($A1411="","",Paramètres!G7)</f>
        <v/>
      </c>
      <c r="C1411" s="18">
        <f>IF($A1411="","",IF(Paramètres!H7="","",Paramètres!H7))</f>
        <v/>
      </c>
      <c r="D1411" s="18">
        <f>IF($A1411="","",IF(Paramètres!I7="","",Paramètres!I7))</f>
        <v/>
      </c>
      <c r="E1411" s="19">
        <f>IF($A1411="","",IF(Paramètres!J7&amp;Paramètres!L7&amp;Paramètres!N7="",Dossiers!$D$30,MAX(IF(Paramètres!J7="",0,IF(Paramètres!K7="",NA(),IF(LEFT(TRIM(Paramètres!K7),1)="F",INDEX($F$1409:$F$1461,MATCH(Paramètres!J7,Paramètres!$G$5:$G$57,0)),INDEX($E$1409:$E$1461,MATCH(Paramètres!J7,Paramètres!$G$5:$G$57,0)))+IF(RIGHT(TRIM(Paramètres!K7),3)="Fin",1-$H1411,IF(LEFT(TRIM(Paramètres!K7),1)="F",1,0)))),IF(Paramètres!L7="",0,IF(Paramètres!M7="",NA(),IF(LEFT(TRIM(Paramètres!M7),1)="F",INDEX($F$1409:$F$1461,MATCH(Paramètres!L7,Paramètres!$G$5:$G$57,0)),INDEX($E$1409:$E$1461,MATCH(Paramètres!L7,Paramètres!$G$5:$G$57,0)))+IF(RIGHT(TRIM(Paramètres!M7),3)="Fin",1-$H1411,IF(LEFT(TRIM(Paramètres!M7),1)="F",1,0)))),IF(Paramètres!N7="",0,IF(Paramètres!O7="",NA(),IF(LEFT(TRIM(Paramètres!O7),1)="F",INDEX($F$1409:$F$1461,MATCH(Paramètres!N7,Paramètres!$G$5:$G$57,0)),INDEX($E$1409:$E$1461,MATCH(Paramètres!N7,Paramètres!$G$5:$G$57,0)))+IF(RIGHT(TRIM(Paramètres!O7),3)="Fin",1-$H1411,IF(LEFT(TRIM(Paramètres!O7),1)="F",1,0)))))))</f>
        <v/>
      </c>
      <c r="F1411" s="19">
        <f>IF($A1411="","",E1411+$H1411-1)</f>
        <v/>
      </c>
      <c r="G1411" s="18" t="n"/>
      <c r="H1411" s="18">
        <f>IF($A1411="","",IF(I1411&lt;&gt;"",I1411,Paramètres!B7))</f>
        <v/>
      </c>
      <c r="I1411" s="18" t="n"/>
    </row>
    <row r="1412">
      <c r="A1412" s="18">
        <f>IF(ISNUMBER(Dossiers!$D$30),Dossiers!$A$30&amp;" · "&amp;Dossiers!$B$30,"")</f>
        <v/>
      </c>
      <c r="B1412" s="18">
        <f>IF($A1412="","",Paramètres!G8)</f>
        <v/>
      </c>
      <c r="C1412" s="18">
        <f>IF($A1412="","",IF(Paramètres!H8="","",Paramètres!H8))</f>
        <v/>
      </c>
      <c r="D1412" s="18">
        <f>IF($A1412="","",IF(Paramètres!I8="","",Paramètres!I8))</f>
        <v/>
      </c>
      <c r="E1412" s="19">
        <f>IF($A1412="","",IF(Paramètres!J8&amp;Paramètres!L8&amp;Paramètres!N8="",Dossiers!$D$30,MAX(IF(Paramètres!J8="",0,IF(Paramètres!K8="",NA(),IF(LEFT(TRIM(Paramètres!K8),1)="F",INDEX($F$1409:$F$1461,MATCH(Paramètres!J8,Paramètres!$G$5:$G$57,0)),INDEX($E$1409:$E$1461,MATCH(Paramètres!J8,Paramètres!$G$5:$G$57,0)))+IF(RIGHT(TRIM(Paramètres!K8),3)="Fin",1-$H1412,IF(LEFT(TRIM(Paramètres!K8),1)="F",1,0)))),IF(Paramètres!L8="",0,IF(Paramètres!M8="",NA(),IF(LEFT(TRIM(Paramètres!M8),1)="F",INDEX($F$1409:$F$1461,MATCH(Paramètres!L8,Paramètres!$G$5:$G$57,0)),INDEX($E$1409:$E$1461,MATCH(Paramètres!L8,Paramètres!$G$5:$G$57,0)))+IF(RIGHT(TRIM(Paramètres!M8),3)="Fin",1-$H1412,IF(LEFT(TRIM(Paramètres!M8),1)="F",1,0)))),IF(Paramètres!N8="",0,IF(Paramètres!O8="",NA(),IF(LEFT(TRIM(Paramètres!O8),1)="F",INDEX($F$1409:$F$1461,MATCH(Paramètres!N8,Paramètres!$G$5:$G$57,0)),INDEX($E$1409:$E$1461,MATCH(Paramètres!N8,Paramètres!$G$5:$G$57,0)))+IF(RIGHT(TRIM(Paramètres!O8),3)="Fin",1-$H1412,IF(LEFT(TRIM(Paramètres!O8),1)="F",1,0)))))))</f>
        <v/>
      </c>
      <c r="F1412" s="19">
        <f>IF($A1412="","",E1412+$H1412-1)</f>
        <v/>
      </c>
      <c r="G1412" s="18" t="n"/>
      <c r="H1412" s="18">
        <f>IF($A1412="","",IF(I1412&lt;&gt;"",I1412,Paramètres!B8))</f>
        <v/>
      </c>
      <c r="I1412" s="18" t="n"/>
    </row>
    <row r="1413">
      <c r="A1413" s="18">
        <f>IF(ISNUMBER(Dossiers!$D$30),Dossiers!$A$30&amp;" · "&amp;Dossiers!$B$30,"")</f>
        <v/>
      </c>
      <c r="B1413" s="18">
        <f>IF($A1413="","",Paramètres!G9)</f>
        <v/>
      </c>
      <c r="C1413" s="18">
        <f>IF($A1413="","",IF(Paramètres!H9="","",Paramètres!H9))</f>
        <v/>
      </c>
      <c r="D1413" s="18">
        <f>IF($A1413="","",IF(Paramètres!I9="","",Paramètres!I9))</f>
        <v/>
      </c>
      <c r="E1413" s="19">
        <f>IF($A1413="","",IF(Paramètres!J9&amp;Paramètres!L9&amp;Paramètres!N9="",Dossiers!$D$30,MAX(IF(Paramètres!J9="",0,IF(Paramètres!K9="",NA(),IF(LEFT(TRIM(Paramètres!K9),1)="F",INDEX($F$1409:$F$1461,MATCH(Paramètres!J9,Paramètres!$G$5:$G$57,0)),INDEX($E$1409:$E$1461,MATCH(Paramètres!J9,Paramètres!$G$5:$G$57,0)))+IF(RIGHT(TRIM(Paramètres!K9),3)="Fin",1-$H1413,IF(LEFT(TRIM(Paramètres!K9),1)="F",1,0)))),IF(Paramètres!L9="",0,IF(Paramètres!M9="",NA(),IF(LEFT(TRIM(Paramètres!M9),1)="F",INDEX($F$1409:$F$1461,MATCH(Paramètres!L9,Paramètres!$G$5:$G$57,0)),INDEX($E$1409:$E$1461,MATCH(Paramètres!L9,Paramètres!$G$5:$G$57,0)))+IF(RIGHT(TRIM(Paramètres!M9),3)="Fin",1-$H1413,IF(LEFT(TRIM(Paramètres!M9),1)="F",1,0)))),IF(Paramètres!N9="",0,IF(Paramètres!O9="",NA(),IF(LEFT(TRIM(Paramètres!O9),1)="F",INDEX($F$1409:$F$1461,MATCH(Paramètres!N9,Paramètres!$G$5:$G$57,0)),INDEX($E$1409:$E$1461,MATCH(Paramètres!N9,Paramètres!$G$5:$G$57,0)))+IF(RIGHT(TRIM(Paramètres!O9),3)="Fin",1-$H1413,IF(LEFT(TRIM(Paramètres!O9),1)="F",1,0)))))))</f>
        <v/>
      </c>
      <c r="F1413" s="19">
        <f>IF($A1413="","",E1413+$H1413-1)</f>
        <v/>
      </c>
      <c r="G1413" s="18" t="n"/>
      <c r="H1413" s="18">
        <f>IF($A1413="","",IF(I1413&lt;&gt;"",I1413,Paramètres!B9))</f>
        <v/>
      </c>
      <c r="I1413" s="18" t="n"/>
    </row>
    <row r="1414">
      <c r="A1414" s="18">
        <f>IF(ISNUMBER(Dossiers!$D$30),Dossiers!$A$30&amp;" · "&amp;Dossiers!$B$30,"")</f>
        <v/>
      </c>
      <c r="B1414" s="18">
        <f>IF($A1414="","",Paramètres!G10)</f>
        <v/>
      </c>
      <c r="C1414" s="18">
        <f>IF($A1414="","",IF(Paramètres!H10="","",Paramètres!H10))</f>
        <v/>
      </c>
      <c r="D1414" s="18">
        <f>IF($A1414="","",IF(Paramètres!I10="","",Paramètres!I10))</f>
        <v/>
      </c>
      <c r="E1414" s="19">
        <f>IF($A1414="","",MIN(E1415:E1418))</f>
        <v/>
      </c>
      <c r="F1414" s="19">
        <f>IF($A1414="","",MAX(F1415:F1418))</f>
        <v/>
      </c>
      <c r="G1414" s="18" t="n"/>
      <c r="H1414" s="18">
        <f>IF($A1414="","",F1414-E1414+1)</f>
        <v/>
      </c>
      <c r="I1414" s="18" t="n"/>
    </row>
    <row r="1415">
      <c r="A1415" s="18">
        <f>IF(ISNUMBER(Dossiers!$D$30),Dossiers!$A$30&amp;" · "&amp;Dossiers!$B$30,"")</f>
        <v/>
      </c>
      <c r="B1415" s="18">
        <f>IF($A1415="","",Paramètres!G11)</f>
        <v/>
      </c>
      <c r="C1415" s="18">
        <f>IF($A1415="","",IF(Paramètres!H11="","",Paramètres!H11))</f>
        <v/>
      </c>
      <c r="D1415" s="18">
        <f>IF($A1415="","",IF(Paramètres!I11="","",Paramètres!I11))</f>
        <v/>
      </c>
      <c r="E1415" s="19">
        <f>IF($A1415="","",IF(Paramètres!J11&amp;Paramètres!L11&amp;Paramètres!N11="",Dossiers!$D$30,MAX(IF(Paramètres!J11="",0,IF(Paramètres!K11="",NA(),IF(LEFT(TRIM(Paramètres!K11),1)="F",INDEX($F$1409:$F$1461,MATCH(Paramètres!J11,Paramètres!$G$5:$G$57,0)),INDEX($E$1409:$E$1461,MATCH(Paramètres!J11,Paramètres!$G$5:$G$57,0)))+IF(RIGHT(TRIM(Paramètres!K11),3)="Fin",1-$H1415,IF(LEFT(TRIM(Paramètres!K11),1)="F",1,0)))),IF(Paramètres!L11="",0,IF(Paramètres!M11="",NA(),IF(LEFT(TRIM(Paramètres!M11),1)="F",INDEX($F$1409:$F$1461,MATCH(Paramètres!L11,Paramètres!$G$5:$G$57,0)),INDEX($E$1409:$E$1461,MATCH(Paramètres!L11,Paramètres!$G$5:$G$57,0)))+IF(RIGHT(TRIM(Paramètres!M11),3)="Fin",1-$H1415,IF(LEFT(TRIM(Paramètres!M11),1)="F",1,0)))),IF(Paramètres!N11="",0,IF(Paramètres!O11="",NA(),IF(LEFT(TRIM(Paramètres!O11),1)="F",INDEX($F$1409:$F$1461,MATCH(Paramètres!N11,Paramètres!$G$5:$G$57,0)),INDEX($E$1409:$E$1461,MATCH(Paramètres!N11,Paramètres!$G$5:$G$57,0)))+IF(RIGHT(TRIM(Paramètres!O11),3)="Fin",1-$H1415,IF(LEFT(TRIM(Paramètres!O11),1)="F",1,0)))))))</f>
        <v/>
      </c>
      <c r="F1415" s="19">
        <f>IF($A1415="","",E1415+$H1415-1)</f>
        <v/>
      </c>
      <c r="G1415" s="18" t="n"/>
      <c r="H1415" s="18">
        <f>IF($A1415="","",IF(I1415&lt;&gt;"",I1415,Paramètres!B11))</f>
        <v/>
      </c>
      <c r="I1415" s="18" t="n"/>
    </row>
    <row r="1416">
      <c r="A1416" s="18">
        <f>IF(ISNUMBER(Dossiers!$D$30),Dossiers!$A$30&amp;" · "&amp;Dossiers!$B$30,"")</f>
        <v/>
      </c>
      <c r="B1416" s="18">
        <f>IF($A1416="","",Paramètres!G12)</f>
        <v/>
      </c>
      <c r="C1416" s="18">
        <f>IF($A1416="","",IF(Paramètres!H12="","",Paramètres!H12))</f>
        <v/>
      </c>
      <c r="D1416" s="18">
        <f>IF($A1416="","",IF(Paramètres!I12="","",Paramètres!I12))</f>
        <v/>
      </c>
      <c r="E1416" s="19">
        <f>IF($A1416="","",IF(Paramètres!J12&amp;Paramètres!L12&amp;Paramètres!N12="",Dossiers!$D$30,MAX(IF(Paramètres!J12="",0,IF(Paramètres!K12="",NA(),IF(LEFT(TRIM(Paramètres!K12),1)="F",INDEX($F$1409:$F$1461,MATCH(Paramètres!J12,Paramètres!$G$5:$G$57,0)),INDEX($E$1409:$E$1461,MATCH(Paramètres!J12,Paramètres!$G$5:$G$57,0)))+IF(RIGHT(TRIM(Paramètres!K12),3)="Fin",1-$H1416,IF(LEFT(TRIM(Paramètres!K12),1)="F",1,0)))),IF(Paramètres!L12="",0,IF(Paramètres!M12="",NA(),IF(LEFT(TRIM(Paramètres!M12),1)="F",INDEX($F$1409:$F$1461,MATCH(Paramètres!L12,Paramètres!$G$5:$G$57,0)),INDEX($E$1409:$E$1461,MATCH(Paramètres!L12,Paramètres!$G$5:$G$57,0)))+IF(RIGHT(TRIM(Paramètres!M12),3)="Fin",1-$H1416,IF(LEFT(TRIM(Paramètres!M12),1)="F",1,0)))),IF(Paramètres!N12="",0,IF(Paramètres!O12="",NA(),IF(LEFT(TRIM(Paramètres!O12),1)="F",INDEX($F$1409:$F$1461,MATCH(Paramètres!N12,Paramètres!$G$5:$G$57,0)),INDEX($E$1409:$E$1461,MATCH(Paramètres!N12,Paramètres!$G$5:$G$57,0)))+IF(RIGHT(TRIM(Paramètres!O12),3)="Fin",1-$H1416,IF(LEFT(TRIM(Paramètres!O12),1)="F",1,0)))))))</f>
        <v/>
      </c>
      <c r="F1416" s="19">
        <f>IF($A1416="","",E1416+$H1416-1)</f>
        <v/>
      </c>
      <c r="G1416" s="18" t="n"/>
      <c r="H1416" s="18">
        <f>IF($A1416="","",IF(I1416&lt;&gt;"",I1416,Paramètres!B12))</f>
        <v/>
      </c>
      <c r="I1416" s="18" t="n"/>
    </row>
    <row r="1417">
      <c r="A1417" s="18">
        <f>IF(ISNUMBER(Dossiers!$D$30),Dossiers!$A$30&amp;" · "&amp;Dossiers!$B$30,"")</f>
        <v/>
      </c>
      <c r="B1417" s="18">
        <f>IF($A1417="","",Paramètres!G13)</f>
        <v/>
      </c>
      <c r="C1417" s="18">
        <f>IF($A1417="","",IF(Paramètres!H13="","",Paramètres!H13))</f>
        <v/>
      </c>
      <c r="D1417" s="18">
        <f>IF($A1417="","",IF(Paramètres!I13="","",Paramètres!I13))</f>
        <v/>
      </c>
      <c r="E1417" s="19">
        <f>IF($A1417="","",IF(Paramètres!J13&amp;Paramètres!L13&amp;Paramètres!N13="",Dossiers!$D$30,MAX(IF(Paramètres!J13="",0,IF(Paramètres!K13="",NA(),IF(LEFT(TRIM(Paramètres!K13),1)="F",INDEX($F$1409:$F$1461,MATCH(Paramètres!J13,Paramètres!$G$5:$G$57,0)),INDEX($E$1409:$E$1461,MATCH(Paramètres!J13,Paramètres!$G$5:$G$57,0)))+IF(RIGHT(TRIM(Paramètres!K13),3)="Fin",1-$H1417,IF(LEFT(TRIM(Paramètres!K13),1)="F",1,0)))),IF(Paramètres!L13="",0,IF(Paramètres!M13="",NA(),IF(LEFT(TRIM(Paramètres!M13),1)="F",INDEX($F$1409:$F$1461,MATCH(Paramètres!L13,Paramètres!$G$5:$G$57,0)),INDEX($E$1409:$E$1461,MATCH(Paramètres!L13,Paramètres!$G$5:$G$57,0)))+IF(RIGHT(TRIM(Paramètres!M13),3)="Fin",1-$H1417,IF(LEFT(TRIM(Paramètres!M13),1)="F",1,0)))),IF(Paramètres!N13="",0,IF(Paramètres!O13="",NA(),IF(LEFT(TRIM(Paramètres!O13),1)="F",INDEX($F$1409:$F$1461,MATCH(Paramètres!N13,Paramètres!$G$5:$G$57,0)),INDEX($E$1409:$E$1461,MATCH(Paramètres!N13,Paramètres!$G$5:$G$57,0)))+IF(RIGHT(TRIM(Paramètres!O13),3)="Fin",1-$H1417,IF(LEFT(TRIM(Paramètres!O13),1)="F",1,0)))))))</f>
        <v/>
      </c>
      <c r="F1417" s="19">
        <f>IF($A1417="","",E1417+$H1417-1)</f>
        <v/>
      </c>
      <c r="G1417" s="18" t="n"/>
      <c r="H1417" s="18">
        <f>IF($A1417="","",IF(I1417&lt;&gt;"",I1417,Paramètres!B13))</f>
        <v/>
      </c>
      <c r="I1417" s="18" t="n"/>
    </row>
    <row r="1418">
      <c r="A1418" s="18">
        <f>IF(ISNUMBER(Dossiers!$D$30),Dossiers!$A$30&amp;" · "&amp;Dossiers!$B$30,"")</f>
        <v/>
      </c>
      <c r="B1418" s="18">
        <f>IF($A1418="","",Paramètres!G14)</f>
        <v/>
      </c>
      <c r="C1418" s="18">
        <f>IF($A1418="","",IF(Paramètres!H14="","",Paramètres!H14))</f>
        <v/>
      </c>
      <c r="D1418" s="18">
        <f>IF($A1418="","",IF(Paramètres!I14="","",Paramètres!I14))</f>
        <v/>
      </c>
      <c r="E1418" s="19">
        <f>IF($A1418="","",IF(Paramètres!J14&amp;Paramètres!L14&amp;Paramètres!N14="",Dossiers!$D$30,MAX(IF(Paramètres!J14="",0,IF(Paramètres!K14="",NA(),IF(LEFT(TRIM(Paramètres!K14),1)="F",INDEX($F$1409:$F$1461,MATCH(Paramètres!J14,Paramètres!$G$5:$G$57,0)),INDEX($E$1409:$E$1461,MATCH(Paramètres!J14,Paramètres!$G$5:$G$57,0)))+IF(RIGHT(TRIM(Paramètres!K14),3)="Fin",1-$H1418,IF(LEFT(TRIM(Paramètres!K14),1)="F",1,0)))),IF(Paramètres!L14="",0,IF(Paramètres!M14="",NA(),IF(LEFT(TRIM(Paramètres!M14),1)="F",INDEX($F$1409:$F$1461,MATCH(Paramètres!L14,Paramètres!$G$5:$G$57,0)),INDEX($E$1409:$E$1461,MATCH(Paramètres!L14,Paramètres!$G$5:$G$57,0)))+IF(RIGHT(TRIM(Paramètres!M14),3)="Fin",1-$H1418,IF(LEFT(TRIM(Paramètres!M14),1)="F",1,0)))),IF(Paramètres!N14="",0,IF(Paramètres!O14="",NA(),IF(LEFT(TRIM(Paramètres!O14),1)="F",INDEX($F$1409:$F$1461,MATCH(Paramètres!N14,Paramètres!$G$5:$G$57,0)),INDEX($E$1409:$E$1461,MATCH(Paramètres!N14,Paramètres!$G$5:$G$57,0)))+IF(RIGHT(TRIM(Paramètres!O14),3)="Fin",1-$H1418,IF(LEFT(TRIM(Paramètres!O14),1)="F",1,0)))))))</f>
        <v/>
      </c>
      <c r="F1418" s="19">
        <f>IF($A1418="","",E1418+$H1418-1)</f>
        <v/>
      </c>
      <c r="G1418" s="18" t="n"/>
      <c r="H1418" s="18">
        <f>IF($A1418="","",IF(I1418&lt;&gt;"",I1418,Paramètres!B14))</f>
        <v/>
      </c>
      <c r="I1418" s="18" t="n"/>
    </row>
    <row r="1419">
      <c r="A1419" s="18">
        <f>IF(ISNUMBER(Dossiers!$D$30),Dossiers!$A$30&amp;" · "&amp;Dossiers!$B$30,"")</f>
        <v/>
      </c>
      <c r="B1419" s="18">
        <f>IF($A1419="","",Paramètres!G15)</f>
        <v/>
      </c>
      <c r="C1419" s="18">
        <f>IF($A1419="","",IF(Paramètres!H15="","",Paramètres!H15))</f>
        <v/>
      </c>
      <c r="D1419" s="18">
        <f>IF($A1419="","",IF(Paramètres!I15="","",Paramètres!I15))</f>
        <v/>
      </c>
      <c r="E1419" s="19">
        <f>IF($A1419="","",MIN(E1420:E1435))</f>
        <v/>
      </c>
      <c r="F1419" s="19">
        <f>IF($A1419="","",MAX(F1420:F1435))</f>
        <v/>
      </c>
      <c r="G1419" s="18" t="n"/>
      <c r="H1419" s="18">
        <f>IF($A1419="","",F1419-E1419+1)</f>
        <v/>
      </c>
      <c r="I1419" s="18" t="n"/>
    </row>
    <row r="1420">
      <c r="A1420" s="18">
        <f>IF(ISNUMBER(Dossiers!$D$30),Dossiers!$A$30&amp;" · "&amp;Dossiers!$B$30,"")</f>
        <v/>
      </c>
      <c r="B1420" s="18">
        <f>IF($A1420="","",Paramètres!G16)</f>
        <v/>
      </c>
      <c r="C1420" s="18">
        <f>IF($A1420="","",IF(Paramètres!H16="","",Paramètres!H16))</f>
        <v/>
      </c>
      <c r="D1420" s="18">
        <f>IF($A1420="","",IF(Paramètres!I16="","",Paramètres!I16))</f>
        <v/>
      </c>
      <c r="E1420" s="19">
        <f>IF($A1420="","",IF(Paramètres!J16&amp;Paramètres!L16&amp;Paramètres!N16="",Dossiers!$D$30,MAX(IF(Paramètres!J16="",0,IF(Paramètres!K16="",NA(),IF(LEFT(TRIM(Paramètres!K16),1)="F",INDEX($F$1409:$F$1461,MATCH(Paramètres!J16,Paramètres!$G$5:$G$57,0)),INDEX($E$1409:$E$1461,MATCH(Paramètres!J16,Paramètres!$G$5:$G$57,0)))+IF(RIGHT(TRIM(Paramètres!K16),3)="Fin",1-$H1420,IF(LEFT(TRIM(Paramètres!K16),1)="F",1,0)))),IF(Paramètres!L16="",0,IF(Paramètres!M16="",NA(),IF(LEFT(TRIM(Paramètres!M16),1)="F",INDEX($F$1409:$F$1461,MATCH(Paramètres!L16,Paramètres!$G$5:$G$57,0)),INDEX($E$1409:$E$1461,MATCH(Paramètres!L16,Paramètres!$G$5:$G$57,0)))+IF(RIGHT(TRIM(Paramètres!M16),3)="Fin",1-$H1420,IF(LEFT(TRIM(Paramètres!M16),1)="F",1,0)))),IF(Paramètres!N16="",0,IF(Paramètres!O16="",NA(),IF(LEFT(TRIM(Paramètres!O16),1)="F",INDEX($F$1409:$F$1461,MATCH(Paramètres!N16,Paramètres!$G$5:$G$57,0)),INDEX($E$1409:$E$1461,MATCH(Paramètres!N16,Paramètres!$G$5:$G$57,0)))+IF(RIGHT(TRIM(Paramètres!O16),3)="Fin",1-$H1420,IF(LEFT(TRIM(Paramètres!O16),1)="F",1,0)))))))</f>
        <v/>
      </c>
      <c r="F1420" s="19">
        <f>IF($A1420="","",E1420+$H1420-1)</f>
        <v/>
      </c>
      <c r="G1420" s="18" t="n"/>
      <c r="H1420" s="18">
        <f>IF($A1420="","",IF(I1420&lt;&gt;"",I1420,Paramètres!B16))</f>
        <v/>
      </c>
      <c r="I1420" s="18" t="n"/>
    </row>
    <row r="1421">
      <c r="A1421" s="18">
        <f>IF(ISNUMBER(Dossiers!$D$30),Dossiers!$A$30&amp;" · "&amp;Dossiers!$B$30,"")</f>
        <v/>
      </c>
      <c r="B1421" s="18">
        <f>IF($A1421="","",Paramètres!G17)</f>
        <v/>
      </c>
      <c r="C1421" s="18">
        <f>IF($A1421="","",IF(Paramètres!H17="","",Paramètres!H17))</f>
        <v/>
      </c>
      <c r="D1421" s="18">
        <f>IF($A1421="","",IF(Paramètres!I17="","",Paramètres!I17))</f>
        <v/>
      </c>
      <c r="E1421" s="19">
        <f>IF($A1421="","",IF(Paramètres!J17&amp;Paramètres!L17&amp;Paramètres!N17="",Dossiers!$D$30,MAX(IF(Paramètres!J17="",0,IF(Paramètres!K17="",NA(),IF(LEFT(TRIM(Paramètres!K17),1)="F",INDEX($F$1409:$F$1461,MATCH(Paramètres!J17,Paramètres!$G$5:$G$57,0)),INDEX($E$1409:$E$1461,MATCH(Paramètres!J17,Paramètres!$G$5:$G$57,0)))+IF(RIGHT(TRIM(Paramètres!K17),3)="Fin",1-$H1421,IF(LEFT(TRIM(Paramètres!K17),1)="F",1,0)))),IF(Paramètres!L17="",0,IF(Paramètres!M17="",NA(),IF(LEFT(TRIM(Paramètres!M17),1)="F",INDEX($F$1409:$F$1461,MATCH(Paramètres!L17,Paramètres!$G$5:$G$57,0)),INDEX($E$1409:$E$1461,MATCH(Paramètres!L17,Paramètres!$G$5:$G$57,0)))+IF(RIGHT(TRIM(Paramètres!M17),3)="Fin",1-$H1421,IF(LEFT(TRIM(Paramètres!M17),1)="F",1,0)))),IF(Paramètres!N17="",0,IF(Paramètres!O17="",NA(),IF(LEFT(TRIM(Paramètres!O17),1)="F",INDEX($F$1409:$F$1461,MATCH(Paramètres!N17,Paramètres!$G$5:$G$57,0)),INDEX($E$1409:$E$1461,MATCH(Paramètres!N17,Paramètres!$G$5:$G$57,0)))+IF(RIGHT(TRIM(Paramètres!O17),3)="Fin",1-$H1421,IF(LEFT(TRIM(Paramètres!O17),1)="F",1,0)))))))</f>
        <v/>
      </c>
      <c r="F1421" s="19">
        <f>IF($A1421="","",E1421+$H1421-1)</f>
        <v/>
      </c>
      <c r="G1421" s="18" t="n"/>
      <c r="H1421" s="18">
        <f>IF($A1421="","",IF(I1421&lt;&gt;"",I1421,Paramètres!B17))</f>
        <v/>
      </c>
      <c r="I1421" s="18" t="n"/>
    </row>
    <row r="1422">
      <c r="A1422" s="18">
        <f>IF(ISNUMBER(Dossiers!$D$30),Dossiers!$A$30&amp;" · "&amp;Dossiers!$B$30,"")</f>
        <v/>
      </c>
      <c r="B1422" s="18">
        <f>IF($A1422="","",Paramètres!G18)</f>
        <v/>
      </c>
      <c r="C1422" s="18">
        <f>IF($A1422="","",IF(Paramètres!H18="","",Paramètres!H18))</f>
        <v/>
      </c>
      <c r="D1422" s="18">
        <f>IF($A1422="","",IF(Paramètres!I18="","",Paramètres!I18))</f>
        <v/>
      </c>
      <c r="E1422" s="19">
        <f>IF($A1422="","",IF(Paramètres!J18&amp;Paramètres!L18&amp;Paramètres!N18="",Dossiers!$D$30,MAX(IF(Paramètres!J18="",0,IF(Paramètres!K18="",NA(),IF(LEFT(TRIM(Paramètres!K18),1)="F",INDEX($F$1409:$F$1461,MATCH(Paramètres!J18,Paramètres!$G$5:$G$57,0)),INDEX($E$1409:$E$1461,MATCH(Paramètres!J18,Paramètres!$G$5:$G$57,0)))+IF(RIGHT(TRIM(Paramètres!K18),3)="Fin",1-$H1422,IF(LEFT(TRIM(Paramètres!K18),1)="F",1,0)))),IF(Paramètres!L18="",0,IF(Paramètres!M18="",NA(),IF(LEFT(TRIM(Paramètres!M18),1)="F",INDEX($F$1409:$F$1461,MATCH(Paramètres!L18,Paramètres!$G$5:$G$57,0)),INDEX($E$1409:$E$1461,MATCH(Paramètres!L18,Paramètres!$G$5:$G$57,0)))+IF(RIGHT(TRIM(Paramètres!M18),3)="Fin",1-$H1422,IF(LEFT(TRIM(Paramètres!M18),1)="F",1,0)))),IF(Paramètres!N18="",0,IF(Paramètres!O18="",NA(),IF(LEFT(TRIM(Paramètres!O18),1)="F",INDEX($F$1409:$F$1461,MATCH(Paramètres!N18,Paramètres!$G$5:$G$57,0)),INDEX($E$1409:$E$1461,MATCH(Paramètres!N18,Paramètres!$G$5:$G$57,0)))+IF(RIGHT(TRIM(Paramètres!O18),3)="Fin",1-$H1422,IF(LEFT(TRIM(Paramètres!O18),1)="F",1,0)))))))</f>
        <v/>
      </c>
      <c r="F1422" s="19">
        <f>IF($A1422="","",E1422+$H1422-1)</f>
        <v/>
      </c>
      <c r="G1422" s="18" t="n"/>
      <c r="H1422" s="18">
        <f>IF($A1422="","",IF(I1422&lt;&gt;"",I1422,Paramètres!B18))</f>
        <v/>
      </c>
      <c r="I1422" s="18" t="n"/>
    </row>
    <row r="1423">
      <c r="A1423" s="18">
        <f>IF(ISNUMBER(Dossiers!$D$30),Dossiers!$A$30&amp;" · "&amp;Dossiers!$B$30,"")</f>
        <v/>
      </c>
      <c r="B1423" s="18">
        <f>IF($A1423="","",Paramètres!G19)</f>
        <v/>
      </c>
      <c r="C1423" s="18">
        <f>IF($A1423="","",IF(Paramètres!H19="","",Paramètres!H19))</f>
        <v/>
      </c>
      <c r="D1423" s="18">
        <f>IF($A1423="","",IF(Paramètres!I19="","",Paramètres!I19))</f>
        <v/>
      </c>
      <c r="E1423" s="19">
        <f>IF($A1423="","",IF(Paramètres!J19&amp;Paramètres!L19&amp;Paramètres!N19="",Dossiers!$D$30,MAX(IF(Paramètres!J19="",0,IF(Paramètres!K19="",NA(),IF(LEFT(TRIM(Paramètres!K19),1)="F",INDEX($F$1409:$F$1461,MATCH(Paramètres!J19,Paramètres!$G$5:$G$57,0)),INDEX($E$1409:$E$1461,MATCH(Paramètres!J19,Paramètres!$G$5:$G$57,0)))+IF(RIGHT(TRIM(Paramètres!K19),3)="Fin",1-$H1423,IF(LEFT(TRIM(Paramètres!K19),1)="F",1,0)))),IF(Paramètres!L19="",0,IF(Paramètres!M19="",NA(),IF(LEFT(TRIM(Paramètres!M19),1)="F",INDEX($F$1409:$F$1461,MATCH(Paramètres!L19,Paramètres!$G$5:$G$57,0)),INDEX($E$1409:$E$1461,MATCH(Paramètres!L19,Paramètres!$G$5:$G$57,0)))+IF(RIGHT(TRIM(Paramètres!M19),3)="Fin",1-$H1423,IF(LEFT(TRIM(Paramètres!M19),1)="F",1,0)))),IF(Paramètres!N19="",0,IF(Paramètres!O19="",NA(),IF(LEFT(TRIM(Paramètres!O19),1)="F",INDEX($F$1409:$F$1461,MATCH(Paramètres!N19,Paramètres!$G$5:$G$57,0)),INDEX($E$1409:$E$1461,MATCH(Paramètres!N19,Paramètres!$G$5:$G$57,0)))+IF(RIGHT(TRIM(Paramètres!O19),3)="Fin",1-$H1423,IF(LEFT(TRIM(Paramètres!O19),1)="F",1,0)))))))</f>
        <v/>
      </c>
      <c r="F1423" s="19">
        <f>IF($A1423="","",E1423+$H1423-1)</f>
        <v/>
      </c>
      <c r="G1423" s="18" t="n"/>
      <c r="H1423" s="18">
        <f>IF($A1423="","",IF(I1423&lt;&gt;"",I1423,Paramètres!B19))</f>
        <v/>
      </c>
      <c r="I1423" s="18" t="n"/>
    </row>
    <row r="1424">
      <c r="A1424" s="18">
        <f>IF(ISNUMBER(Dossiers!$D$30),Dossiers!$A$30&amp;" · "&amp;Dossiers!$B$30,"")</f>
        <v/>
      </c>
      <c r="B1424" s="18">
        <f>IF($A1424="","",Paramètres!G20)</f>
        <v/>
      </c>
      <c r="C1424" s="18">
        <f>IF($A1424="","",IF(Paramètres!H20="","",Paramètres!H20))</f>
        <v/>
      </c>
      <c r="D1424" s="18">
        <f>IF($A1424="","",IF(Paramètres!I20="","",Paramètres!I20))</f>
        <v/>
      </c>
      <c r="E1424" s="19">
        <f>IF($A1424="","",IF(Paramètres!J20&amp;Paramètres!L20&amp;Paramètres!N20="",Dossiers!$D$30,MAX(IF(Paramètres!J20="",0,IF(Paramètres!K20="",NA(),IF(LEFT(TRIM(Paramètres!K20),1)="F",INDEX($F$1409:$F$1461,MATCH(Paramètres!J20,Paramètres!$G$5:$G$57,0)),INDEX($E$1409:$E$1461,MATCH(Paramètres!J20,Paramètres!$G$5:$G$57,0)))+IF(RIGHT(TRIM(Paramètres!K20),3)="Fin",1-$H1424,IF(LEFT(TRIM(Paramètres!K20),1)="F",1,0)))),IF(Paramètres!L20="",0,IF(Paramètres!M20="",NA(),IF(LEFT(TRIM(Paramètres!M20),1)="F",INDEX($F$1409:$F$1461,MATCH(Paramètres!L20,Paramètres!$G$5:$G$57,0)),INDEX($E$1409:$E$1461,MATCH(Paramètres!L20,Paramètres!$G$5:$G$57,0)))+IF(RIGHT(TRIM(Paramètres!M20),3)="Fin",1-$H1424,IF(LEFT(TRIM(Paramètres!M20),1)="F",1,0)))),IF(Paramètres!N20="",0,IF(Paramètres!O20="",NA(),IF(LEFT(TRIM(Paramètres!O20),1)="F",INDEX($F$1409:$F$1461,MATCH(Paramètres!N20,Paramètres!$G$5:$G$57,0)),INDEX($E$1409:$E$1461,MATCH(Paramètres!N20,Paramètres!$G$5:$G$57,0)))+IF(RIGHT(TRIM(Paramètres!O20),3)="Fin",1-$H1424,IF(LEFT(TRIM(Paramètres!O20),1)="F",1,0)))))))</f>
        <v/>
      </c>
      <c r="F1424" s="19">
        <f>IF($A1424="","",E1424+$H1424-1)</f>
        <v/>
      </c>
      <c r="G1424" s="18" t="n"/>
      <c r="H1424" s="18">
        <f>IF($A1424="","",IF(I1424&lt;&gt;"",I1424,Paramètres!B20))</f>
        <v/>
      </c>
      <c r="I1424" s="18" t="n"/>
    </row>
    <row r="1425">
      <c r="A1425" s="18">
        <f>IF(ISNUMBER(Dossiers!$D$30),Dossiers!$A$30&amp;" · "&amp;Dossiers!$B$30,"")</f>
        <v/>
      </c>
      <c r="B1425" s="18">
        <f>IF($A1425="","",Paramètres!G21)</f>
        <v/>
      </c>
      <c r="C1425" s="18">
        <f>IF($A1425="","",IF(Paramètres!H21="","",Paramètres!H21))</f>
        <v/>
      </c>
      <c r="D1425" s="18">
        <f>IF($A1425="","",IF(Paramètres!I21="","",Paramètres!I21))</f>
        <v/>
      </c>
      <c r="E1425" s="19">
        <f>IF($A1425="","",IF(Paramètres!J21&amp;Paramètres!L21&amp;Paramètres!N21="",Dossiers!$D$30,MAX(IF(Paramètres!J21="",0,IF(Paramètres!K21="",NA(),IF(LEFT(TRIM(Paramètres!K21),1)="F",INDEX($F$1409:$F$1461,MATCH(Paramètres!J21,Paramètres!$G$5:$G$57,0)),INDEX($E$1409:$E$1461,MATCH(Paramètres!J21,Paramètres!$G$5:$G$57,0)))+IF(RIGHT(TRIM(Paramètres!K21),3)="Fin",1-$H1425,IF(LEFT(TRIM(Paramètres!K21),1)="F",1,0)))),IF(Paramètres!L21="",0,IF(Paramètres!M21="",NA(),IF(LEFT(TRIM(Paramètres!M21),1)="F",INDEX($F$1409:$F$1461,MATCH(Paramètres!L21,Paramètres!$G$5:$G$57,0)),INDEX($E$1409:$E$1461,MATCH(Paramètres!L21,Paramètres!$G$5:$G$57,0)))+IF(RIGHT(TRIM(Paramètres!M21),3)="Fin",1-$H1425,IF(LEFT(TRIM(Paramètres!M21),1)="F",1,0)))),IF(Paramètres!N21="",0,IF(Paramètres!O21="",NA(),IF(LEFT(TRIM(Paramètres!O21),1)="F",INDEX($F$1409:$F$1461,MATCH(Paramètres!N21,Paramètres!$G$5:$G$57,0)),INDEX($E$1409:$E$1461,MATCH(Paramètres!N21,Paramètres!$G$5:$G$57,0)))+IF(RIGHT(TRIM(Paramètres!O21),3)="Fin",1-$H1425,IF(LEFT(TRIM(Paramètres!O21),1)="F",1,0)))))))</f>
        <v/>
      </c>
      <c r="F1425" s="19">
        <f>IF($A1425="","",E1425+$H1425-1)</f>
        <v/>
      </c>
      <c r="G1425" s="18" t="n"/>
      <c r="H1425" s="18">
        <f>IF($A1425="","",IF(I1425&lt;&gt;"",I1425,Paramètres!B21))</f>
        <v/>
      </c>
      <c r="I1425" s="18" t="n"/>
    </row>
    <row r="1426">
      <c r="A1426" s="18">
        <f>IF(ISNUMBER(Dossiers!$D$30),Dossiers!$A$30&amp;" · "&amp;Dossiers!$B$30,"")</f>
        <v/>
      </c>
      <c r="B1426" s="18">
        <f>IF($A1426="","",Paramètres!G22)</f>
        <v/>
      </c>
      <c r="C1426" s="18">
        <f>IF($A1426="","",IF(Paramètres!H22="","",Paramètres!H22))</f>
        <v/>
      </c>
      <c r="D1426" s="18">
        <f>IF($A1426="","",IF(Paramètres!I22="","",Paramètres!I22))</f>
        <v/>
      </c>
      <c r="E1426" s="19">
        <f>IF($A1426="","",IF(Paramètres!J22&amp;Paramètres!L22&amp;Paramètres!N22="",Dossiers!$D$30,MAX(IF(Paramètres!J22="",0,IF(Paramètres!K22="",NA(),IF(LEFT(TRIM(Paramètres!K22),1)="F",INDEX($F$1409:$F$1461,MATCH(Paramètres!J22,Paramètres!$G$5:$G$57,0)),INDEX($E$1409:$E$1461,MATCH(Paramètres!J22,Paramètres!$G$5:$G$57,0)))+IF(RIGHT(TRIM(Paramètres!K22),3)="Fin",1-$H1426,IF(LEFT(TRIM(Paramètres!K22),1)="F",1,0)))),IF(Paramètres!L22="",0,IF(Paramètres!M22="",NA(),IF(LEFT(TRIM(Paramètres!M22),1)="F",INDEX($F$1409:$F$1461,MATCH(Paramètres!L22,Paramètres!$G$5:$G$57,0)),INDEX($E$1409:$E$1461,MATCH(Paramètres!L22,Paramètres!$G$5:$G$57,0)))+IF(RIGHT(TRIM(Paramètres!M22),3)="Fin",1-$H1426,IF(LEFT(TRIM(Paramètres!M22),1)="F",1,0)))),IF(Paramètres!N22="",0,IF(Paramètres!O22="",NA(),IF(LEFT(TRIM(Paramètres!O22),1)="F",INDEX($F$1409:$F$1461,MATCH(Paramètres!N22,Paramètres!$G$5:$G$57,0)),INDEX($E$1409:$E$1461,MATCH(Paramètres!N22,Paramètres!$G$5:$G$57,0)))+IF(RIGHT(TRIM(Paramètres!O22),3)="Fin",1-$H1426,IF(LEFT(TRIM(Paramètres!O22),1)="F",1,0)))))))</f>
        <v/>
      </c>
      <c r="F1426" s="19">
        <f>IF($A1426="","",E1426+$H1426-1)</f>
        <v/>
      </c>
      <c r="G1426" s="18" t="n"/>
      <c r="H1426" s="18">
        <f>IF($A1426="","",IF(I1426&lt;&gt;"",I1426,Paramètres!B22))</f>
        <v/>
      </c>
      <c r="I1426" s="18" t="n"/>
    </row>
    <row r="1427">
      <c r="A1427" s="18">
        <f>IF(ISNUMBER(Dossiers!$D$30),Dossiers!$A$30&amp;" · "&amp;Dossiers!$B$30,"")</f>
        <v/>
      </c>
      <c r="B1427" s="18">
        <f>IF($A1427="","",Paramètres!G23)</f>
        <v/>
      </c>
      <c r="C1427" s="18">
        <f>IF($A1427="","",IF(Paramètres!H23="","",Paramètres!H23))</f>
        <v/>
      </c>
      <c r="D1427" s="18">
        <f>IF($A1427="","",IF(Paramètres!I23="","",Paramètres!I23))</f>
        <v/>
      </c>
      <c r="E1427" s="19">
        <f>IF($A1427="","",IF(Paramètres!J23&amp;Paramètres!L23&amp;Paramètres!N23="",Dossiers!$D$30,MAX(IF(Paramètres!J23="",0,IF(Paramètres!K23="",NA(),IF(LEFT(TRIM(Paramètres!K23),1)="F",INDEX($F$1409:$F$1461,MATCH(Paramètres!J23,Paramètres!$G$5:$G$57,0)),INDEX($E$1409:$E$1461,MATCH(Paramètres!J23,Paramètres!$G$5:$G$57,0)))+IF(RIGHT(TRIM(Paramètres!K23),3)="Fin",1-$H1427,IF(LEFT(TRIM(Paramètres!K23),1)="F",1,0)))),IF(Paramètres!L23="",0,IF(Paramètres!M23="",NA(),IF(LEFT(TRIM(Paramètres!M23),1)="F",INDEX($F$1409:$F$1461,MATCH(Paramètres!L23,Paramètres!$G$5:$G$57,0)),INDEX($E$1409:$E$1461,MATCH(Paramètres!L23,Paramètres!$G$5:$G$57,0)))+IF(RIGHT(TRIM(Paramètres!M23),3)="Fin",1-$H1427,IF(LEFT(TRIM(Paramètres!M23),1)="F",1,0)))),IF(Paramètres!N23="",0,IF(Paramètres!O23="",NA(),IF(LEFT(TRIM(Paramètres!O23),1)="F",INDEX($F$1409:$F$1461,MATCH(Paramètres!N23,Paramètres!$G$5:$G$57,0)),INDEX($E$1409:$E$1461,MATCH(Paramètres!N23,Paramètres!$G$5:$G$57,0)))+IF(RIGHT(TRIM(Paramètres!O23),3)="Fin",1-$H1427,IF(LEFT(TRIM(Paramètres!O23),1)="F",1,0)))))))</f>
        <v/>
      </c>
      <c r="F1427" s="19">
        <f>IF($A1427="","",E1427+$H1427-1)</f>
        <v/>
      </c>
      <c r="G1427" s="18" t="n"/>
      <c r="H1427" s="18">
        <f>IF($A1427="","",IF(I1427&lt;&gt;"",I1427,Paramètres!B23))</f>
        <v/>
      </c>
      <c r="I1427" s="18" t="n"/>
    </row>
    <row r="1428">
      <c r="A1428" s="18">
        <f>IF(ISNUMBER(Dossiers!$D$30),Dossiers!$A$30&amp;" · "&amp;Dossiers!$B$30,"")</f>
        <v/>
      </c>
      <c r="B1428" s="18">
        <f>IF($A1428="","",Paramètres!G24)</f>
        <v/>
      </c>
      <c r="C1428" s="18">
        <f>IF($A1428="","",IF(Paramètres!H24="","",Paramètres!H24))</f>
        <v/>
      </c>
      <c r="D1428" s="18">
        <f>IF($A1428="","",IF(Paramètres!I24="","",Paramètres!I24))</f>
        <v/>
      </c>
      <c r="E1428" s="19">
        <f>IF($A1428="","",IF(Paramètres!J24&amp;Paramètres!L24&amp;Paramètres!N24="",Dossiers!$D$30,MAX(IF(Paramètres!J24="",0,IF(Paramètres!K24="",NA(),IF(LEFT(TRIM(Paramètres!K24),1)="F",INDEX($F$1409:$F$1461,MATCH(Paramètres!J24,Paramètres!$G$5:$G$57,0)),INDEX($E$1409:$E$1461,MATCH(Paramètres!J24,Paramètres!$G$5:$G$57,0)))+IF(RIGHT(TRIM(Paramètres!K24),3)="Fin",1-$H1428,IF(LEFT(TRIM(Paramètres!K24),1)="F",1,0)))),IF(Paramètres!L24="",0,IF(Paramètres!M24="",NA(),IF(LEFT(TRIM(Paramètres!M24),1)="F",INDEX($F$1409:$F$1461,MATCH(Paramètres!L24,Paramètres!$G$5:$G$57,0)),INDEX($E$1409:$E$1461,MATCH(Paramètres!L24,Paramètres!$G$5:$G$57,0)))+IF(RIGHT(TRIM(Paramètres!M24),3)="Fin",1-$H1428,IF(LEFT(TRIM(Paramètres!M24),1)="F",1,0)))),IF(Paramètres!N24="",0,IF(Paramètres!O24="",NA(),IF(LEFT(TRIM(Paramètres!O24),1)="F",INDEX($F$1409:$F$1461,MATCH(Paramètres!N24,Paramètres!$G$5:$G$57,0)),INDEX($E$1409:$E$1461,MATCH(Paramètres!N24,Paramètres!$G$5:$G$57,0)))+IF(RIGHT(TRIM(Paramètres!O24),3)="Fin",1-$H1428,IF(LEFT(TRIM(Paramètres!O24),1)="F",1,0)))))))</f>
        <v/>
      </c>
      <c r="F1428" s="19">
        <f>IF($A1428="","",E1428+$H1428-1)</f>
        <v/>
      </c>
      <c r="G1428" s="18" t="n"/>
      <c r="H1428" s="18">
        <f>IF($A1428="","",IF(I1428&lt;&gt;"",I1428,Paramètres!B24))</f>
        <v/>
      </c>
      <c r="I1428" s="18" t="n"/>
    </row>
    <row r="1429">
      <c r="A1429" s="18">
        <f>IF(ISNUMBER(Dossiers!$D$30),Dossiers!$A$30&amp;" · "&amp;Dossiers!$B$30,"")</f>
        <v/>
      </c>
      <c r="B1429" s="18">
        <f>IF($A1429="","",Paramètres!G25)</f>
        <v/>
      </c>
      <c r="C1429" s="18">
        <f>IF($A1429="","",IF(Paramètres!H25="","",Paramètres!H25))</f>
        <v/>
      </c>
      <c r="D1429" s="18">
        <f>IF($A1429="","",IF(Paramètres!I25="","",Paramètres!I25))</f>
        <v/>
      </c>
      <c r="E1429" s="19">
        <f>IF($A1429="","",IF(Paramètres!J25&amp;Paramètres!L25&amp;Paramètres!N25="",Dossiers!$D$30,MAX(IF(Paramètres!J25="",0,IF(Paramètres!K25="",NA(),IF(LEFT(TRIM(Paramètres!K25),1)="F",INDEX($F$1409:$F$1461,MATCH(Paramètres!J25,Paramètres!$G$5:$G$57,0)),INDEX($E$1409:$E$1461,MATCH(Paramètres!J25,Paramètres!$G$5:$G$57,0)))+IF(RIGHT(TRIM(Paramètres!K25),3)="Fin",1-$H1429,IF(LEFT(TRIM(Paramètres!K25),1)="F",1,0)))),IF(Paramètres!L25="",0,IF(Paramètres!M25="",NA(),IF(LEFT(TRIM(Paramètres!M25),1)="F",INDEX($F$1409:$F$1461,MATCH(Paramètres!L25,Paramètres!$G$5:$G$57,0)),INDEX($E$1409:$E$1461,MATCH(Paramètres!L25,Paramètres!$G$5:$G$57,0)))+IF(RIGHT(TRIM(Paramètres!M25),3)="Fin",1-$H1429,IF(LEFT(TRIM(Paramètres!M25),1)="F",1,0)))),IF(Paramètres!N25="",0,IF(Paramètres!O25="",NA(),IF(LEFT(TRIM(Paramètres!O25),1)="F",INDEX($F$1409:$F$1461,MATCH(Paramètres!N25,Paramètres!$G$5:$G$57,0)),INDEX($E$1409:$E$1461,MATCH(Paramètres!N25,Paramètres!$G$5:$G$57,0)))+IF(RIGHT(TRIM(Paramètres!O25),3)="Fin",1-$H1429,IF(LEFT(TRIM(Paramètres!O25),1)="F",1,0)))))))</f>
        <v/>
      </c>
      <c r="F1429" s="19">
        <f>IF($A1429="","",E1429+$H1429-1)</f>
        <v/>
      </c>
      <c r="G1429" s="18" t="n"/>
      <c r="H1429" s="18">
        <f>IF($A1429="","",IF(I1429&lt;&gt;"",I1429,Paramètres!B25))</f>
        <v/>
      </c>
      <c r="I1429" s="18" t="n"/>
    </row>
    <row r="1430">
      <c r="A1430" s="18">
        <f>IF(ISNUMBER(Dossiers!$D$30),Dossiers!$A$30&amp;" · "&amp;Dossiers!$B$30,"")</f>
        <v/>
      </c>
      <c r="B1430" s="18">
        <f>IF($A1430="","",Paramètres!G26)</f>
        <v/>
      </c>
      <c r="C1430" s="18">
        <f>IF($A1430="","",IF(Paramètres!H26="","",Paramètres!H26))</f>
        <v/>
      </c>
      <c r="D1430" s="18">
        <f>IF($A1430="","",IF(Paramètres!I26="","",Paramètres!I26))</f>
        <v/>
      </c>
      <c r="E1430" s="19">
        <f>IF($A1430="","",IF(Paramètres!J26&amp;Paramètres!L26&amp;Paramètres!N26="",Dossiers!$D$30,MAX(IF(Paramètres!J26="",0,IF(Paramètres!K26="",NA(),IF(LEFT(TRIM(Paramètres!K26),1)="F",INDEX($F$1409:$F$1461,MATCH(Paramètres!J26,Paramètres!$G$5:$G$57,0)),INDEX($E$1409:$E$1461,MATCH(Paramètres!J26,Paramètres!$G$5:$G$57,0)))+IF(RIGHT(TRIM(Paramètres!K26),3)="Fin",1-$H1430,IF(LEFT(TRIM(Paramètres!K26),1)="F",1,0)))),IF(Paramètres!L26="",0,IF(Paramètres!M26="",NA(),IF(LEFT(TRIM(Paramètres!M26),1)="F",INDEX($F$1409:$F$1461,MATCH(Paramètres!L26,Paramètres!$G$5:$G$57,0)),INDEX($E$1409:$E$1461,MATCH(Paramètres!L26,Paramètres!$G$5:$G$57,0)))+IF(RIGHT(TRIM(Paramètres!M26),3)="Fin",1-$H1430,IF(LEFT(TRIM(Paramètres!M26),1)="F",1,0)))),IF(Paramètres!N26="",0,IF(Paramètres!O26="",NA(),IF(LEFT(TRIM(Paramètres!O26),1)="F",INDEX($F$1409:$F$1461,MATCH(Paramètres!N26,Paramètres!$G$5:$G$57,0)),INDEX($E$1409:$E$1461,MATCH(Paramètres!N26,Paramètres!$G$5:$G$57,0)))+IF(RIGHT(TRIM(Paramètres!O26),3)="Fin",1-$H1430,IF(LEFT(TRIM(Paramètres!O26),1)="F",1,0)))))))</f>
        <v/>
      </c>
      <c r="F1430" s="19">
        <f>IF($A1430="","",E1430+$H1430-1)</f>
        <v/>
      </c>
      <c r="G1430" s="18" t="n"/>
      <c r="H1430" s="18">
        <f>IF($A1430="","",IF(I1430&lt;&gt;"",I1430,Paramètres!B26))</f>
        <v/>
      </c>
      <c r="I1430" s="18" t="n"/>
    </row>
    <row r="1431">
      <c r="A1431" s="18">
        <f>IF(ISNUMBER(Dossiers!$D$30),Dossiers!$A$30&amp;" · "&amp;Dossiers!$B$30,"")</f>
        <v/>
      </c>
      <c r="B1431" s="18">
        <f>IF($A1431="","",Paramètres!G27)</f>
        <v/>
      </c>
      <c r="C1431" s="18">
        <f>IF($A1431="","",IF(Paramètres!H27="","",Paramètres!H27))</f>
        <v/>
      </c>
      <c r="D1431" s="18">
        <f>IF($A1431="","",IF(Paramètres!I27="","",Paramètres!I27))</f>
        <v/>
      </c>
      <c r="E1431" s="19">
        <f>IF($A1431="","",IF(Paramètres!J27&amp;Paramètres!L27&amp;Paramètres!N27="",Dossiers!$D$30,MAX(IF(Paramètres!J27="",0,IF(Paramètres!K27="",NA(),IF(LEFT(TRIM(Paramètres!K27),1)="F",INDEX($F$1409:$F$1461,MATCH(Paramètres!J27,Paramètres!$G$5:$G$57,0)),INDEX($E$1409:$E$1461,MATCH(Paramètres!J27,Paramètres!$G$5:$G$57,0)))+IF(RIGHT(TRIM(Paramètres!K27),3)="Fin",1-$H1431,IF(LEFT(TRIM(Paramètres!K27),1)="F",1,0)))),IF(Paramètres!L27="",0,IF(Paramètres!M27="",NA(),IF(LEFT(TRIM(Paramètres!M27),1)="F",INDEX($F$1409:$F$1461,MATCH(Paramètres!L27,Paramètres!$G$5:$G$57,0)),INDEX($E$1409:$E$1461,MATCH(Paramètres!L27,Paramètres!$G$5:$G$57,0)))+IF(RIGHT(TRIM(Paramètres!M27),3)="Fin",1-$H1431,IF(LEFT(TRIM(Paramètres!M27),1)="F",1,0)))),IF(Paramètres!N27="",0,IF(Paramètres!O27="",NA(),IF(LEFT(TRIM(Paramètres!O27),1)="F",INDEX($F$1409:$F$1461,MATCH(Paramètres!N27,Paramètres!$G$5:$G$57,0)),INDEX($E$1409:$E$1461,MATCH(Paramètres!N27,Paramètres!$G$5:$G$57,0)))+IF(RIGHT(TRIM(Paramètres!O27),3)="Fin",1-$H1431,IF(LEFT(TRIM(Paramètres!O27),1)="F",1,0)))))))</f>
        <v/>
      </c>
      <c r="F1431" s="19">
        <f>IF($A1431="","",E1431+$H1431-1)</f>
        <v/>
      </c>
      <c r="G1431" s="18" t="n"/>
      <c r="H1431" s="18">
        <f>IF($A1431="","",IF(I1431&lt;&gt;"",I1431,Paramètres!B27))</f>
        <v/>
      </c>
      <c r="I1431" s="18" t="n"/>
    </row>
    <row r="1432">
      <c r="A1432" s="18">
        <f>IF(ISNUMBER(Dossiers!$D$30),Dossiers!$A$30&amp;" · "&amp;Dossiers!$B$30,"")</f>
        <v/>
      </c>
      <c r="B1432" s="18">
        <f>IF($A1432="","",Paramètres!G28)</f>
        <v/>
      </c>
      <c r="C1432" s="18">
        <f>IF($A1432="","",IF(Paramètres!H28="","",Paramètres!H28))</f>
        <v/>
      </c>
      <c r="D1432" s="18">
        <f>IF($A1432="","",IF(Paramètres!I28="","",Paramètres!I28))</f>
        <v/>
      </c>
      <c r="E1432" s="19">
        <f>IF($A1432="","",IF(Paramètres!J28&amp;Paramètres!L28&amp;Paramètres!N28="",Dossiers!$D$30,MAX(IF(Paramètres!J28="",0,IF(Paramètres!K28="",NA(),IF(LEFT(TRIM(Paramètres!K28),1)="F",INDEX($F$1409:$F$1461,MATCH(Paramètres!J28,Paramètres!$G$5:$G$57,0)),INDEX($E$1409:$E$1461,MATCH(Paramètres!J28,Paramètres!$G$5:$G$57,0)))+IF(RIGHT(TRIM(Paramètres!K28),3)="Fin",1-$H1432,IF(LEFT(TRIM(Paramètres!K28),1)="F",1,0)))),IF(Paramètres!L28="",0,IF(Paramètres!M28="",NA(),IF(LEFT(TRIM(Paramètres!M28),1)="F",INDEX($F$1409:$F$1461,MATCH(Paramètres!L28,Paramètres!$G$5:$G$57,0)),INDEX($E$1409:$E$1461,MATCH(Paramètres!L28,Paramètres!$G$5:$G$57,0)))+IF(RIGHT(TRIM(Paramètres!M28),3)="Fin",1-$H1432,IF(LEFT(TRIM(Paramètres!M28),1)="F",1,0)))),IF(Paramètres!N28="",0,IF(Paramètres!O28="",NA(),IF(LEFT(TRIM(Paramètres!O28),1)="F",INDEX($F$1409:$F$1461,MATCH(Paramètres!N28,Paramètres!$G$5:$G$57,0)),INDEX($E$1409:$E$1461,MATCH(Paramètres!N28,Paramètres!$G$5:$G$57,0)))+IF(RIGHT(TRIM(Paramètres!O28),3)="Fin",1-$H1432,IF(LEFT(TRIM(Paramètres!O28),1)="F",1,0)))))))</f>
        <v/>
      </c>
      <c r="F1432" s="19">
        <f>IF($A1432="","",E1432+$H1432-1)</f>
        <v/>
      </c>
      <c r="G1432" s="18" t="n"/>
      <c r="H1432" s="18">
        <f>IF($A1432="","",IF(I1432&lt;&gt;"",I1432,Paramètres!B28))</f>
        <v/>
      </c>
      <c r="I1432" s="18" t="n"/>
    </row>
    <row r="1433">
      <c r="A1433" s="18">
        <f>IF(ISNUMBER(Dossiers!$D$30),Dossiers!$A$30&amp;" · "&amp;Dossiers!$B$30,"")</f>
        <v/>
      </c>
      <c r="B1433" s="18">
        <f>IF($A1433="","",Paramètres!G29)</f>
        <v/>
      </c>
      <c r="C1433" s="18">
        <f>IF($A1433="","",IF(Paramètres!H29="","",Paramètres!H29))</f>
        <v/>
      </c>
      <c r="D1433" s="18">
        <f>IF($A1433="","",IF(Paramètres!I29="","",Paramètres!I29))</f>
        <v/>
      </c>
      <c r="E1433" s="19">
        <f>IF($A1433="","",IF(Paramètres!J29&amp;Paramètres!L29&amp;Paramètres!N29="",Dossiers!$D$30,MAX(IF(Paramètres!J29="",0,IF(Paramètres!K29="",NA(),IF(LEFT(TRIM(Paramètres!K29),1)="F",INDEX($F$1409:$F$1461,MATCH(Paramètres!J29,Paramètres!$G$5:$G$57,0)),INDEX($E$1409:$E$1461,MATCH(Paramètres!J29,Paramètres!$G$5:$G$57,0)))+IF(RIGHT(TRIM(Paramètres!K29),3)="Fin",1-$H1433,IF(LEFT(TRIM(Paramètres!K29),1)="F",1,0)))),IF(Paramètres!L29="",0,IF(Paramètres!M29="",NA(),IF(LEFT(TRIM(Paramètres!M29),1)="F",INDEX($F$1409:$F$1461,MATCH(Paramètres!L29,Paramètres!$G$5:$G$57,0)),INDEX($E$1409:$E$1461,MATCH(Paramètres!L29,Paramètres!$G$5:$G$57,0)))+IF(RIGHT(TRIM(Paramètres!M29),3)="Fin",1-$H1433,IF(LEFT(TRIM(Paramètres!M29),1)="F",1,0)))),IF(Paramètres!N29="",0,IF(Paramètres!O29="",NA(),IF(LEFT(TRIM(Paramètres!O29),1)="F",INDEX($F$1409:$F$1461,MATCH(Paramètres!N29,Paramètres!$G$5:$G$57,0)),INDEX($E$1409:$E$1461,MATCH(Paramètres!N29,Paramètres!$G$5:$G$57,0)))+IF(RIGHT(TRIM(Paramètres!O29),3)="Fin",1-$H1433,IF(LEFT(TRIM(Paramètres!O29),1)="F",1,0)))))))</f>
        <v/>
      </c>
      <c r="F1433" s="19">
        <f>IF($A1433="","",E1433+$H1433-1)</f>
        <v/>
      </c>
      <c r="G1433" s="18" t="n"/>
      <c r="H1433" s="18">
        <f>IF($A1433="","",IF(I1433&lt;&gt;"",I1433,Paramètres!B29))</f>
        <v/>
      </c>
      <c r="I1433" s="18" t="n"/>
    </row>
    <row r="1434">
      <c r="A1434" s="18">
        <f>IF(ISNUMBER(Dossiers!$D$30),Dossiers!$A$30&amp;" · "&amp;Dossiers!$B$30,"")</f>
        <v/>
      </c>
      <c r="B1434" s="18">
        <f>IF($A1434="","",Paramètres!G30)</f>
        <v/>
      </c>
      <c r="C1434" s="18">
        <f>IF($A1434="","",IF(Paramètres!H30="","",Paramètres!H30))</f>
        <v/>
      </c>
      <c r="D1434" s="18">
        <f>IF($A1434="","",IF(Paramètres!I30="","",Paramètres!I30))</f>
        <v/>
      </c>
      <c r="E1434" s="19">
        <f>IF($A1434="","",IF(Paramètres!J30&amp;Paramètres!L30&amp;Paramètres!N30="",Dossiers!$D$30,MAX(IF(Paramètres!J30="",0,IF(Paramètres!K30="",NA(),IF(LEFT(TRIM(Paramètres!K30),1)="F",INDEX($F$1409:$F$1461,MATCH(Paramètres!J30,Paramètres!$G$5:$G$57,0)),INDEX($E$1409:$E$1461,MATCH(Paramètres!J30,Paramètres!$G$5:$G$57,0)))+IF(RIGHT(TRIM(Paramètres!K30),3)="Fin",1-$H1434,IF(LEFT(TRIM(Paramètres!K30),1)="F",1,0)))),IF(Paramètres!L30="",0,IF(Paramètres!M30="",NA(),IF(LEFT(TRIM(Paramètres!M30),1)="F",INDEX($F$1409:$F$1461,MATCH(Paramètres!L30,Paramètres!$G$5:$G$57,0)),INDEX($E$1409:$E$1461,MATCH(Paramètres!L30,Paramètres!$G$5:$G$57,0)))+IF(RIGHT(TRIM(Paramètres!M30),3)="Fin",1-$H1434,IF(LEFT(TRIM(Paramètres!M30),1)="F",1,0)))),IF(Paramètres!N30="",0,IF(Paramètres!O30="",NA(),IF(LEFT(TRIM(Paramètres!O30),1)="F",INDEX($F$1409:$F$1461,MATCH(Paramètres!N30,Paramètres!$G$5:$G$57,0)),INDEX($E$1409:$E$1461,MATCH(Paramètres!N30,Paramètres!$G$5:$G$57,0)))+IF(RIGHT(TRIM(Paramètres!O30),3)="Fin",1-$H1434,IF(LEFT(TRIM(Paramètres!O30),1)="F",1,0)))))))</f>
        <v/>
      </c>
      <c r="F1434" s="19">
        <f>IF($A1434="","",E1434+$H1434-1)</f>
        <v/>
      </c>
      <c r="G1434" s="18" t="n"/>
      <c r="H1434" s="18">
        <f>IF($A1434="","",IF(I1434&lt;&gt;"",I1434,Paramètres!B30))</f>
        <v/>
      </c>
      <c r="I1434" s="18" t="n"/>
    </row>
    <row r="1435">
      <c r="A1435" s="18">
        <f>IF(ISNUMBER(Dossiers!$D$30),Dossiers!$A$30&amp;" · "&amp;Dossiers!$B$30,"")</f>
        <v/>
      </c>
      <c r="B1435" s="18">
        <f>IF($A1435="","",Paramètres!G31)</f>
        <v/>
      </c>
      <c r="C1435" s="20">
        <f>IF($A1435="","",IF(Dossiers!$F$30="","",Dossiers!$F$30))</f>
        <v/>
      </c>
      <c r="D1435" s="18">
        <f>IF($A1435="","",IF(Paramètres!I31="","",Paramètres!I31))</f>
        <v/>
      </c>
      <c r="E1435" s="19">
        <f>IF($A1435="","",IF(Paramètres!J31&amp;Paramètres!L31&amp;Paramètres!N31="",Dossiers!$D$30,MAX(IF(Paramètres!J31="",0,IF(Paramètres!K31="",NA(),IF(LEFT(TRIM(Paramètres!K31),1)="F",INDEX($F$1409:$F$1461,MATCH(Paramètres!J31,Paramètres!$G$5:$G$57,0)),INDEX($E$1409:$E$1461,MATCH(Paramètres!J31,Paramètres!$G$5:$G$57,0)))+IF(RIGHT(TRIM(Paramètres!K31),3)="Fin",1-$H1435,IF(LEFT(TRIM(Paramètres!K31),1)="F",1,0)))),IF(Paramètres!L31="",0,IF(Paramètres!M31="",NA(),IF(LEFT(TRIM(Paramètres!M31),1)="F",INDEX($F$1409:$F$1461,MATCH(Paramètres!L31,Paramètres!$G$5:$G$57,0)),INDEX($E$1409:$E$1461,MATCH(Paramètres!L31,Paramètres!$G$5:$G$57,0)))+IF(RIGHT(TRIM(Paramètres!M31),3)="Fin",1-$H1435,IF(LEFT(TRIM(Paramètres!M31),1)="F",1,0)))),IF(Paramètres!N31="",0,IF(Paramètres!O31="",NA(),IF(LEFT(TRIM(Paramètres!O31),1)="F",INDEX($F$1409:$F$1461,MATCH(Paramètres!N31,Paramètres!$G$5:$G$57,0)),INDEX($E$1409:$E$1461,MATCH(Paramètres!N31,Paramètres!$G$5:$G$57,0)))+IF(RIGHT(TRIM(Paramètres!O31),3)="Fin",1-$H1435,IF(LEFT(TRIM(Paramètres!O31),1)="F",1,0)))))))</f>
        <v/>
      </c>
      <c r="F1435" s="19">
        <f>IF($A1435="","",E1435+$H1435-1)</f>
        <v/>
      </c>
      <c r="G1435" s="18" t="n"/>
      <c r="H1435" s="18">
        <f>IF($A1435="","",IF(I1435&lt;&gt;"",I1435,Paramètres!B31))</f>
        <v/>
      </c>
      <c r="I1435" s="18" t="n"/>
    </row>
    <row r="1436">
      <c r="A1436" s="18">
        <f>IF(ISNUMBER(Dossiers!$D$30),Dossiers!$A$30&amp;" · "&amp;Dossiers!$B$30,"")</f>
        <v/>
      </c>
      <c r="B1436" s="18">
        <f>IF($A1436="","",Paramètres!G32)</f>
        <v/>
      </c>
      <c r="C1436" s="18">
        <f>IF($A1436="","",IF(Paramètres!H32="","",Paramètres!H32))</f>
        <v/>
      </c>
      <c r="D1436" s="18">
        <f>IF($A1436="","",IF(Paramètres!I32="","",Paramètres!I32))</f>
        <v/>
      </c>
      <c r="E1436" s="19">
        <f>IF($A1436="","",MIN(E1437:E1440))</f>
        <v/>
      </c>
      <c r="F1436" s="19">
        <f>IF($A1436="","",MAX(F1437:F1440))</f>
        <v/>
      </c>
      <c r="G1436" s="18" t="n"/>
      <c r="H1436" s="18">
        <f>IF($A1436="","",F1436-E1436+1)</f>
        <v/>
      </c>
      <c r="I1436" s="18" t="n"/>
    </row>
    <row r="1437">
      <c r="A1437" s="18">
        <f>IF(ISNUMBER(Dossiers!$D$30),Dossiers!$A$30&amp;" · "&amp;Dossiers!$B$30,"")</f>
        <v/>
      </c>
      <c r="B1437" s="18">
        <f>IF($A1437="","",Paramètres!G33)</f>
        <v/>
      </c>
      <c r="C1437" s="18">
        <f>IF($A1437="","",IF(Paramètres!H33="","",Paramètres!H33))</f>
        <v/>
      </c>
      <c r="D1437" s="18">
        <f>IF($A1437="","",IF(Paramètres!I33="","",Paramètres!I33))</f>
        <v/>
      </c>
      <c r="E1437" s="19">
        <f>IF($A1437="","",IF(Paramètres!J33&amp;Paramètres!L33&amp;Paramètres!N33="",Dossiers!$D$30,MAX(IF(Paramètres!J33="",0,IF(Paramètres!K33="",NA(),IF(LEFT(TRIM(Paramètres!K33),1)="F",INDEX($F$1409:$F$1461,MATCH(Paramètres!J33,Paramètres!$G$5:$G$57,0)),INDEX($E$1409:$E$1461,MATCH(Paramètres!J33,Paramètres!$G$5:$G$57,0)))+IF(RIGHT(TRIM(Paramètres!K33),3)="Fin",1-$H1437,IF(LEFT(TRIM(Paramètres!K33),1)="F",1,0)))),IF(Paramètres!L33="",0,IF(Paramètres!M33="",NA(),IF(LEFT(TRIM(Paramètres!M33),1)="F",INDEX($F$1409:$F$1461,MATCH(Paramètres!L33,Paramètres!$G$5:$G$57,0)),INDEX($E$1409:$E$1461,MATCH(Paramètres!L33,Paramètres!$G$5:$G$57,0)))+IF(RIGHT(TRIM(Paramètres!M33),3)="Fin",1-$H1437,IF(LEFT(TRIM(Paramètres!M33),1)="F",1,0)))),IF(Paramètres!N33="",0,IF(Paramètres!O33="",NA(),IF(LEFT(TRIM(Paramètres!O33),1)="F",INDEX($F$1409:$F$1461,MATCH(Paramètres!N33,Paramètres!$G$5:$G$57,0)),INDEX($E$1409:$E$1461,MATCH(Paramètres!N33,Paramètres!$G$5:$G$57,0)))+IF(RIGHT(TRIM(Paramètres!O33),3)="Fin",1-$H1437,IF(LEFT(TRIM(Paramètres!O33),1)="F",1,0)))))))</f>
        <v/>
      </c>
      <c r="F1437" s="19">
        <f>IF($A1437="","",E1437+$H1437-1)</f>
        <v/>
      </c>
      <c r="G1437" s="18" t="n"/>
      <c r="H1437" s="18">
        <f>IF($A1437="","",IF(I1437&lt;&gt;"",I1437,Paramètres!B33))</f>
        <v/>
      </c>
      <c r="I1437" s="18" t="n"/>
    </row>
    <row r="1438">
      <c r="A1438" s="18">
        <f>IF(ISNUMBER(Dossiers!$D$30),Dossiers!$A$30&amp;" · "&amp;Dossiers!$B$30,"")</f>
        <v/>
      </c>
      <c r="B1438" s="18">
        <f>IF($A1438="","",Paramètres!G34)</f>
        <v/>
      </c>
      <c r="C1438" s="18">
        <f>IF($A1438="","",IF(Paramètres!H34="","",Paramètres!H34))</f>
        <v/>
      </c>
      <c r="D1438" s="18">
        <f>IF($A1438="","",IF(Paramètres!I34="","",Paramètres!I34))</f>
        <v/>
      </c>
      <c r="E1438" s="19">
        <f>IF($A1438="","",IF(Paramètres!J34&amp;Paramètres!L34&amp;Paramètres!N34="",Dossiers!$D$30,MAX(IF(Paramètres!J34="",0,IF(Paramètres!K34="",NA(),IF(LEFT(TRIM(Paramètres!K34),1)="F",INDEX($F$1409:$F$1461,MATCH(Paramètres!J34,Paramètres!$G$5:$G$57,0)),INDEX($E$1409:$E$1461,MATCH(Paramètres!J34,Paramètres!$G$5:$G$57,0)))+IF(RIGHT(TRIM(Paramètres!K34),3)="Fin",1-$H1438,IF(LEFT(TRIM(Paramètres!K34),1)="F",1,0)))),IF(Paramètres!L34="",0,IF(Paramètres!M34="",NA(),IF(LEFT(TRIM(Paramètres!M34),1)="F",INDEX($F$1409:$F$1461,MATCH(Paramètres!L34,Paramètres!$G$5:$G$57,0)),INDEX($E$1409:$E$1461,MATCH(Paramètres!L34,Paramètres!$G$5:$G$57,0)))+IF(RIGHT(TRIM(Paramètres!M34),3)="Fin",1-$H1438,IF(LEFT(TRIM(Paramètres!M34),1)="F",1,0)))),IF(Paramètres!N34="",0,IF(Paramètres!O34="",NA(),IF(LEFT(TRIM(Paramètres!O34),1)="F",INDEX($F$1409:$F$1461,MATCH(Paramètres!N34,Paramètres!$G$5:$G$57,0)),INDEX($E$1409:$E$1461,MATCH(Paramètres!N34,Paramètres!$G$5:$G$57,0)))+IF(RIGHT(TRIM(Paramètres!O34),3)="Fin",1-$H1438,IF(LEFT(TRIM(Paramètres!O34),1)="F",1,0)))))))</f>
        <v/>
      </c>
      <c r="F1438" s="19">
        <f>IF($A1438="","",E1438+$H1438-1)</f>
        <v/>
      </c>
      <c r="G1438" s="18" t="n"/>
      <c r="H1438" s="18">
        <f>IF($A1438="","",IF(I1438&lt;&gt;"",I1438,Paramètres!B34))</f>
        <v/>
      </c>
      <c r="I1438" s="18" t="n"/>
    </row>
    <row r="1439">
      <c r="A1439" s="18">
        <f>IF(ISNUMBER(Dossiers!$D$30),Dossiers!$A$30&amp;" · "&amp;Dossiers!$B$30,"")</f>
        <v/>
      </c>
      <c r="B1439" s="18">
        <f>IF($A1439="","",Paramètres!G35)</f>
        <v/>
      </c>
      <c r="C1439" s="18">
        <f>IF($A1439="","",IF(Paramètres!H35="","",Paramètres!H35))</f>
        <v/>
      </c>
      <c r="D1439" s="18">
        <f>IF($A1439="","",IF(Paramètres!I35="","",Paramètres!I35))</f>
        <v/>
      </c>
      <c r="E1439" s="19">
        <f>IF($A1439="","",IF(Paramètres!J35&amp;Paramètres!L35&amp;Paramètres!N35="",Dossiers!$D$30,MAX(IF(Paramètres!J35="",0,IF(Paramètres!K35="",NA(),IF(LEFT(TRIM(Paramètres!K35),1)="F",INDEX($F$1409:$F$1461,MATCH(Paramètres!J35,Paramètres!$G$5:$G$57,0)),INDEX($E$1409:$E$1461,MATCH(Paramètres!J35,Paramètres!$G$5:$G$57,0)))+IF(RIGHT(TRIM(Paramètres!K35),3)="Fin",1-$H1439,IF(LEFT(TRIM(Paramètres!K35),1)="F",1,0)))),IF(Paramètres!L35="",0,IF(Paramètres!M35="",NA(),IF(LEFT(TRIM(Paramètres!M35),1)="F",INDEX($F$1409:$F$1461,MATCH(Paramètres!L35,Paramètres!$G$5:$G$57,0)),INDEX($E$1409:$E$1461,MATCH(Paramètres!L35,Paramètres!$G$5:$G$57,0)))+IF(RIGHT(TRIM(Paramètres!M35),3)="Fin",1-$H1439,IF(LEFT(TRIM(Paramètres!M35),1)="F",1,0)))),IF(Paramètres!N35="",0,IF(Paramètres!O35="",NA(),IF(LEFT(TRIM(Paramètres!O35),1)="F",INDEX($F$1409:$F$1461,MATCH(Paramètres!N35,Paramètres!$G$5:$G$57,0)),INDEX($E$1409:$E$1461,MATCH(Paramètres!N35,Paramètres!$G$5:$G$57,0)))+IF(RIGHT(TRIM(Paramètres!O35),3)="Fin",1-$H1439,IF(LEFT(TRIM(Paramètres!O35),1)="F",1,0)))))))</f>
        <v/>
      </c>
      <c r="F1439" s="19">
        <f>IF($A1439="","",E1439+$H1439-1)</f>
        <v/>
      </c>
      <c r="G1439" s="18" t="n"/>
      <c r="H1439" s="18">
        <f>IF($A1439="","",IF(I1439&lt;&gt;"",I1439,Paramètres!B35))</f>
        <v/>
      </c>
      <c r="I1439" s="18" t="n"/>
    </row>
    <row r="1440">
      <c r="A1440" s="18">
        <f>IF(ISNUMBER(Dossiers!$D$30),Dossiers!$A$30&amp;" · "&amp;Dossiers!$B$30,"")</f>
        <v/>
      </c>
      <c r="B1440" s="18">
        <f>IF($A1440="","",Paramètres!G36)</f>
        <v/>
      </c>
      <c r="C1440" s="18">
        <f>IF($A1440="","",IF(Paramètres!H36="","",Paramètres!H36))</f>
        <v/>
      </c>
      <c r="D1440" s="18">
        <f>IF($A1440="","",IF(Paramètres!I36="","",Paramètres!I36))</f>
        <v/>
      </c>
      <c r="E1440" s="19">
        <f>IF($A1440="","",IF(Paramètres!J36&amp;Paramètres!L36&amp;Paramètres!N36="",Dossiers!$D$30,MAX(IF(Paramètres!J36="",0,IF(Paramètres!K36="",NA(),IF(LEFT(TRIM(Paramètres!K36),1)="F",INDEX($F$1409:$F$1461,MATCH(Paramètres!J36,Paramètres!$G$5:$G$57,0)),INDEX($E$1409:$E$1461,MATCH(Paramètres!J36,Paramètres!$G$5:$G$57,0)))+IF(RIGHT(TRIM(Paramètres!K36),3)="Fin",1-$H1440,IF(LEFT(TRIM(Paramètres!K36),1)="F",1,0)))),IF(Paramètres!L36="",0,IF(Paramètres!M36="",NA(),IF(LEFT(TRIM(Paramètres!M36),1)="F",INDEX($F$1409:$F$1461,MATCH(Paramètres!L36,Paramètres!$G$5:$G$57,0)),INDEX($E$1409:$E$1461,MATCH(Paramètres!L36,Paramètres!$G$5:$G$57,0)))+IF(RIGHT(TRIM(Paramètres!M36),3)="Fin",1-$H1440,IF(LEFT(TRIM(Paramètres!M36),1)="F",1,0)))),IF(Paramètres!N36="",0,IF(Paramètres!O36="",NA(),IF(LEFT(TRIM(Paramètres!O36),1)="F",INDEX($F$1409:$F$1461,MATCH(Paramètres!N36,Paramètres!$G$5:$G$57,0)),INDEX($E$1409:$E$1461,MATCH(Paramètres!N36,Paramètres!$G$5:$G$57,0)))+IF(RIGHT(TRIM(Paramètres!O36),3)="Fin",1-$H1440,IF(LEFT(TRIM(Paramètres!O36),1)="F",1,0)))))))</f>
        <v/>
      </c>
      <c r="F1440" s="19">
        <f>IF($A1440="","",E1440+$H1440-1)</f>
        <v/>
      </c>
      <c r="G1440" s="18" t="n"/>
      <c r="H1440" s="18">
        <f>IF($A1440="","",IF(I1440&lt;&gt;"",I1440,Paramètres!B36))</f>
        <v/>
      </c>
      <c r="I1440" s="18" t="n"/>
    </row>
    <row r="1441">
      <c r="A1441" s="18">
        <f>IF(ISNUMBER(Dossiers!$D$30),Dossiers!$A$30&amp;" · "&amp;Dossiers!$B$30,"")</f>
        <v/>
      </c>
      <c r="B1441" s="18">
        <f>IF($A1441="","",Paramètres!G37)</f>
        <v/>
      </c>
      <c r="C1441" s="18">
        <f>IF($A1441="","",IF(Paramètres!H37="","",Paramètres!H37))</f>
        <v/>
      </c>
      <c r="D1441" s="18">
        <f>IF($A1441="","",IF(Paramètres!I37="","",Paramètres!I37))</f>
        <v/>
      </c>
      <c r="E1441" s="19">
        <f>IF($A1441="","",MIN(E1442:E1459))</f>
        <v/>
      </c>
      <c r="F1441" s="19">
        <f>IF($A1441="","",MAX(F1442:F1459))</f>
        <v/>
      </c>
      <c r="G1441" s="18" t="n"/>
      <c r="H1441" s="18">
        <f>IF($A1441="","",F1441-E1441+1)</f>
        <v/>
      </c>
      <c r="I1441" s="18" t="n"/>
    </row>
    <row r="1442">
      <c r="A1442" s="18">
        <f>IF(ISNUMBER(Dossiers!$D$30),Dossiers!$A$30&amp;" · "&amp;Dossiers!$B$30,"")</f>
        <v/>
      </c>
      <c r="B1442" s="18">
        <f>IF($A1442="","",Paramètres!G38)</f>
        <v/>
      </c>
      <c r="C1442" s="18">
        <f>IF($A1442="","",IF(Paramètres!H38="","",Paramètres!H38))</f>
        <v/>
      </c>
      <c r="D1442" s="18">
        <f>IF($A1442="","",IF(Paramètres!I38="","",Paramètres!I38))</f>
        <v/>
      </c>
      <c r="E1442" s="19">
        <f>IF($A1442="","",IF(Paramètres!J38&amp;Paramètres!L38&amp;Paramètres!N38="",Dossiers!$D$30,MAX(IF(Paramètres!J38="",0,IF(Paramètres!K38="",NA(),IF(LEFT(TRIM(Paramètres!K38),1)="F",INDEX($F$1409:$F$1461,MATCH(Paramètres!J38,Paramètres!$G$5:$G$57,0)),INDEX($E$1409:$E$1461,MATCH(Paramètres!J38,Paramètres!$G$5:$G$57,0)))+IF(RIGHT(TRIM(Paramètres!K38),3)="Fin",1-$H1442,IF(LEFT(TRIM(Paramètres!K38),1)="F",1,0)))),IF(Paramètres!L38="",0,IF(Paramètres!M38="",NA(),IF(LEFT(TRIM(Paramètres!M38),1)="F",INDEX($F$1409:$F$1461,MATCH(Paramètres!L38,Paramètres!$G$5:$G$57,0)),INDEX($E$1409:$E$1461,MATCH(Paramètres!L38,Paramètres!$G$5:$G$57,0)))+IF(RIGHT(TRIM(Paramètres!M38),3)="Fin",1-$H1442,IF(LEFT(TRIM(Paramètres!M38),1)="F",1,0)))),IF(Paramètres!N38="",0,IF(Paramètres!O38="",NA(),IF(LEFT(TRIM(Paramètres!O38),1)="F",INDEX($F$1409:$F$1461,MATCH(Paramètres!N38,Paramètres!$G$5:$G$57,0)),INDEX($E$1409:$E$1461,MATCH(Paramètres!N38,Paramètres!$G$5:$G$57,0)))+IF(RIGHT(TRIM(Paramètres!O38),3)="Fin",1-$H1442,IF(LEFT(TRIM(Paramètres!O38),1)="F",1,0)))))))</f>
        <v/>
      </c>
      <c r="F1442" s="19">
        <f>IF($A1442="","",E1442+$H1442-1)</f>
        <v/>
      </c>
      <c r="G1442" s="18" t="n"/>
      <c r="H1442" s="18">
        <f>IF($A1442="","",IF(I1442&lt;&gt;"",I1442,Paramètres!B38))</f>
        <v/>
      </c>
      <c r="I1442" s="18" t="n"/>
    </row>
    <row r="1443">
      <c r="A1443" s="18">
        <f>IF(ISNUMBER(Dossiers!$D$30),Dossiers!$A$30&amp;" · "&amp;Dossiers!$B$30,"")</f>
        <v/>
      </c>
      <c r="B1443" s="18">
        <f>IF($A1443="","",Paramètres!G39)</f>
        <v/>
      </c>
      <c r="C1443" s="18">
        <f>IF($A1443="","",IF(Paramètres!H39="","",Paramètres!H39))</f>
        <v/>
      </c>
      <c r="D1443" s="18">
        <f>IF($A1443="","",IF(Paramètres!I39="","",Paramètres!I39))</f>
        <v/>
      </c>
      <c r="E1443" s="19">
        <f>IF($A1443="","",IF(Paramètres!J39&amp;Paramètres!L39&amp;Paramètres!N39="",Dossiers!$D$30,MAX(IF(Paramètres!J39="",0,IF(Paramètres!K39="",NA(),IF(LEFT(TRIM(Paramètres!K39),1)="F",INDEX($F$1409:$F$1461,MATCH(Paramètres!J39,Paramètres!$G$5:$G$57,0)),INDEX($E$1409:$E$1461,MATCH(Paramètres!J39,Paramètres!$G$5:$G$57,0)))+IF(RIGHT(TRIM(Paramètres!K39),3)="Fin",1-$H1443,IF(LEFT(TRIM(Paramètres!K39),1)="F",1,0)))),IF(Paramètres!L39="",0,IF(Paramètres!M39="",NA(),IF(LEFT(TRIM(Paramètres!M39),1)="F",INDEX($F$1409:$F$1461,MATCH(Paramètres!L39,Paramètres!$G$5:$G$57,0)),INDEX($E$1409:$E$1461,MATCH(Paramètres!L39,Paramètres!$G$5:$G$57,0)))+IF(RIGHT(TRIM(Paramètres!M39),3)="Fin",1-$H1443,IF(LEFT(TRIM(Paramètres!M39),1)="F",1,0)))),IF(Paramètres!N39="",0,IF(Paramètres!O39="",NA(),IF(LEFT(TRIM(Paramètres!O39),1)="F",INDEX($F$1409:$F$1461,MATCH(Paramètres!N39,Paramètres!$G$5:$G$57,0)),INDEX($E$1409:$E$1461,MATCH(Paramètres!N39,Paramètres!$G$5:$G$57,0)))+IF(RIGHT(TRIM(Paramètres!O39),3)="Fin",1-$H1443,IF(LEFT(TRIM(Paramètres!O39),1)="F",1,0)))))))</f>
        <v/>
      </c>
      <c r="F1443" s="19">
        <f>IF($A1443="","",E1443+$H1443-1)</f>
        <v/>
      </c>
      <c r="G1443" s="18" t="n"/>
      <c r="H1443" s="18">
        <f>IF($A1443="","",IF(I1443&lt;&gt;"",I1443,Paramètres!B39))</f>
        <v/>
      </c>
      <c r="I1443" s="18" t="n"/>
    </row>
    <row r="1444">
      <c r="A1444" s="18">
        <f>IF(ISNUMBER(Dossiers!$D$30),Dossiers!$A$30&amp;" · "&amp;Dossiers!$B$30,"")</f>
        <v/>
      </c>
      <c r="B1444" s="18">
        <f>IF($A1444="","",Paramètres!G40)</f>
        <v/>
      </c>
      <c r="C1444" s="18">
        <f>IF($A1444="","",IF(Paramètres!H40="","",Paramètres!H40))</f>
        <v/>
      </c>
      <c r="D1444" s="18">
        <f>IF($A1444="","",IF(Paramètres!I40="","",Paramètres!I40))</f>
        <v/>
      </c>
      <c r="E1444" s="19">
        <f>IF($A1444="","",IF(Paramètres!J40&amp;Paramètres!L40&amp;Paramètres!N40="",Dossiers!$D$30,MAX(IF(Paramètres!J40="",0,IF(Paramètres!K40="",NA(),IF(LEFT(TRIM(Paramètres!K40),1)="F",INDEX($F$1409:$F$1461,MATCH(Paramètres!J40,Paramètres!$G$5:$G$57,0)),INDEX($E$1409:$E$1461,MATCH(Paramètres!J40,Paramètres!$G$5:$G$57,0)))+IF(RIGHT(TRIM(Paramètres!K40),3)="Fin",1-$H1444,IF(LEFT(TRIM(Paramètres!K40),1)="F",1,0)))),IF(Paramètres!L40="",0,IF(Paramètres!M40="",NA(),IF(LEFT(TRIM(Paramètres!M40),1)="F",INDEX($F$1409:$F$1461,MATCH(Paramètres!L40,Paramètres!$G$5:$G$57,0)),INDEX($E$1409:$E$1461,MATCH(Paramètres!L40,Paramètres!$G$5:$G$57,0)))+IF(RIGHT(TRIM(Paramètres!M40),3)="Fin",1-$H1444,IF(LEFT(TRIM(Paramètres!M40),1)="F",1,0)))),IF(Paramètres!N40="",0,IF(Paramètres!O40="",NA(),IF(LEFT(TRIM(Paramètres!O40),1)="F",INDEX($F$1409:$F$1461,MATCH(Paramètres!N40,Paramètres!$G$5:$G$57,0)),INDEX($E$1409:$E$1461,MATCH(Paramètres!N40,Paramètres!$G$5:$G$57,0)))+IF(RIGHT(TRIM(Paramètres!O40),3)="Fin",1-$H1444,IF(LEFT(TRIM(Paramètres!O40),1)="F",1,0)))))))</f>
        <v/>
      </c>
      <c r="F1444" s="19">
        <f>IF($A1444="","",E1444+$H1444-1)</f>
        <v/>
      </c>
      <c r="G1444" s="18" t="n"/>
      <c r="H1444" s="18">
        <f>IF($A1444="","",IF(I1444&lt;&gt;"",I1444,Paramètres!B40))</f>
        <v/>
      </c>
      <c r="I1444" s="18" t="n"/>
    </row>
    <row r="1445">
      <c r="A1445" s="18">
        <f>IF(ISNUMBER(Dossiers!$D$30),Dossiers!$A$30&amp;" · "&amp;Dossiers!$B$30,"")</f>
        <v/>
      </c>
      <c r="B1445" s="18">
        <f>IF($A1445="","",Paramètres!G41)</f>
        <v/>
      </c>
      <c r="C1445" s="18">
        <f>IF($A1445="","",IF(Paramètres!H41="","",Paramètres!H41))</f>
        <v/>
      </c>
      <c r="D1445" s="18">
        <f>IF($A1445="","",IF(Paramètres!I41="","",Paramètres!I41))</f>
        <v/>
      </c>
      <c r="E1445" s="19">
        <f>IF($A1445="","",IF(Paramètres!J41&amp;Paramètres!L41&amp;Paramètres!N41="",Dossiers!$D$30,MAX(IF(Paramètres!J41="",0,IF(Paramètres!K41="",NA(),IF(LEFT(TRIM(Paramètres!K41),1)="F",INDEX($F$1409:$F$1461,MATCH(Paramètres!J41,Paramètres!$G$5:$G$57,0)),INDEX($E$1409:$E$1461,MATCH(Paramètres!J41,Paramètres!$G$5:$G$57,0)))+IF(RIGHT(TRIM(Paramètres!K41),3)="Fin",1-$H1445,IF(LEFT(TRIM(Paramètres!K41),1)="F",1,0)))),IF(Paramètres!L41="",0,IF(Paramètres!M41="",NA(),IF(LEFT(TRIM(Paramètres!M41),1)="F",INDEX($F$1409:$F$1461,MATCH(Paramètres!L41,Paramètres!$G$5:$G$57,0)),INDEX($E$1409:$E$1461,MATCH(Paramètres!L41,Paramètres!$G$5:$G$57,0)))+IF(RIGHT(TRIM(Paramètres!M41),3)="Fin",1-$H1445,IF(LEFT(TRIM(Paramètres!M41),1)="F",1,0)))),IF(Paramètres!N41="",0,IF(Paramètres!O41="",NA(),IF(LEFT(TRIM(Paramètres!O41),1)="F",INDEX($F$1409:$F$1461,MATCH(Paramètres!N41,Paramètres!$G$5:$G$57,0)),INDEX($E$1409:$E$1461,MATCH(Paramètres!N41,Paramètres!$G$5:$G$57,0)))+IF(RIGHT(TRIM(Paramètres!O41),3)="Fin",1-$H1445,IF(LEFT(TRIM(Paramètres!O41),1)="F",1,0)))))))</f>
        <v/>
      </c>
      <c r="F1445" s="19">
        <f>IF($A1445="","",E1445+$H1445-1)</f>
        <v/>
      </c>
      <c r="G1445" s="18" t="n"/>
      <c r="H1445" s="18">
        <f>IF($A1445="","",IF(I1445&lt;&gt;"",I1445,Paramètres!B41))</f>
        <v/>
      </c>
      <c r="I1445" s="18" t="n"/>
    </row>
    <row r="1446">
      <c r="A1446" s="18">
        <f>IF(ISNUMBER(Dossiers!$D$30),Dossiers!$A$30&amp;" · "&amp;Dossiers!$B$30,"")</f>
        <v/>
      </c>
      <c r="B1446" s="18">
        <f>IF($A1446="","",Paramètres!G42)</f>
        <v/>
      </c>
      <c r="C1446" s="18">
        <f>IF($A1446="","",IF(Paramètres!H42="","",Paramètres!H42))</f>
        <v/>
      </c>
      <c r="D1446" s="18">
        <f>IF($A1446="","",IF(Paramètres!I42="","",Paramètres!I42))</f>
        <v/>
      </c>
      <c r="E1446" s="19">
        <f>IF($A1446="","",IF(Paramètres!J42&amp;Paramètres!L42&amp;Paramètres!N42="",Dossiers!$D$30,MAX(IF(Paramètres!J42="",0,IF(Paramètres!K42="",NA(),IF(LEFT(TRIM(Paramètres!K42),1)="F",INDEX($F$1409:$F$1461,MATCH(Paramètres!J42,Paramètres!$G$5:$G$57,0)),INDEX($E$1409:$E$1461,MATCH(Paramètres!J42,Paramètres!$G$5:$G$57,0)))+IF(RIGHT(TRIM(Paramètres!K42),3)="Fin",1-$H1446,IF(LEFT(TRIM(Paramètres!K42),1)="F",1,0)))),IF(Paramètres!L42="",0,IF(Paramètres!M42="",NA(),IF(LEFT(TRIM(Paramètres!M42),1)="F",INDEX($F$1409:$F$1461,MATCH(Paramètres!L42,Paramètres!$G$5:$G$57,0)),INDEX($E$1409:$E$1461,MATCH(Paramètres!L42,Paramètres!$G$5:$G$57,0)))+IF(RIGHT(TRIM(Paramètres!M42),3)="Fin",1-$H1446,IF(LEFT(TRIM(Paramètres!M42),1)="F",1,0)))),IF(Paramètres!N42="",0,IF(Paramètres!O42="",NA(),IF(LEFT(TRIM(Paramètres!O42),1)="F",INDEX($F$1409:$F$1461,MATCH(Paramètres!N42,Paramètres!$G$5:$G$57,0)),INDEX($E$1409:$E$1461,MATCH(Paramètres!N42,Paramètres!$G$5:$G$57,0)))+IF(RIGHT(TRIM(Paramètres!O42),3)="Fin",1-$H1446,IF(LEFT(TRIM(Paramètres!O42),1)="F",1,0)))))))</f>
        <v/>
      </c>
      <c r="F1446" s="19">
        <f>IF($A1446="","",E1446+$H1446-1)</f>
        <v/>
      </c>
      <c r="G1446" s="18" t="n"/>
      <c r="H1446" s="18">
        <f>IF($A1446="","",IF(I1446&lt;&gt;"",I1446,Paramètres!B42))</f>
        <v/>
      </c>
      <c r="I1446" s="18" t="n"/>
    </row>
    <row r="1447">
      <c r="A1447" s="18">
        <f>IF(ISNUMBER(Dossiers!$D$30),Dossiers!$A$30&amp;" · "&amp;Dossiers!$B$30,"")</f>
        <v/>
      </c>
      <c r="B1447" s="18">
        <f>IF($A1447="","",Paramètres!G43)</f>
        <v/>
      </c>
      <c r="C1447" s="18">
        <f>IF($A1447="","",IF(Paramètres!H43="","",Paramètres!H43))</f>
        <v/>
      </c>
      <c r="D1447" s="18">
        <f>IF($A1447="","",IF(Paramètres!I43="","",Paramètres!I43))</f>
        <v/>
      </c>
      <c r="E1447" s="19">
        <f>IF($A1447="","",IF(Paramètres!J43&amp;Paramètres!L43&amp;Paramètres!N43="",Dossiers!$D$30,MAX(IF(Paramètres!J43="",0,IF(Paramètres!K43="",NA(),IF(LEFT(TRIM(Paramètres!K43),1)="F",INDEX($F$1409:$F$1461,MATCH(Paramètres!J43,Paramètres!$G$5:$G$57,0)),INDEX($E$1409:$E$1461,MATCH(Paramètres!J43,Paramètres!$G$5:$G$57,0)))+IF(RIGHT(TRIM(Paramètres!K43),3)="Fin",1-$H1447,IF(LEFT(TRIM(Paramètres!K43),1)="F",1,0)))),IF(Paramètres!L43="",0,IF(Paramètres!M43="",NA(),IF(LEFT(TRIM(Paramètres!M43),1)="F",INDEX($F$1409:$F$1461,MATCH(Paramètres!L43,Paramètres!$G$5:$G$57,0)),INDEX($E$1409:$E$1461,MATCH(Paramètres!L43,Paramètres!$G$5:$G$57,0)))+IF(RIGHT(TRIM(Paramètres!M43),3)="Fin",1-$H1447,IF(LEFT(TRIM(Paramètres!M43),1)="F",1,0)))),IF(Paramètres!N43="",0,IF(Paramètres!O43="",NA(),IF(LEFT(TRIM(Paramètres!O43),1)="F",INDEX($F$1409:$F$1461,MATCH(Paramètres!N43,Paramètres!$G$5:$G$57,0)),INDEX($E$1409:$E$1461,MATCH(Paramètres!N43,Paramètres!$G$5:$G$57,0)))+IF(RIGHT(TRIM(Paramètres!O43),3)="Fin",1-$H1447,IF(LEFT(TRIM(Paramètres!O43),1)="F",1,0)))))))</f>
        <v/>
      </c>
      <c r="F1447" s="19">
        <f>IF($A1447="","",E1447+$H1447-1)</f>
        <v/>
      </c>
      <c r="G1447" s="18" t="n"/>
      <c r="H1447" s="18">
        <f>IF($A1447="","",IF(I1447&lt;&gt;"",I1447,Paramètres!B43))</f>
        <v/>
      </c>
      <c r="I1447" s="18" t="n"/>
    </row>
    <row r="1448">
      <c r="A1448" s="18">
        <f>IF(ISNUMBER(Dossiers!$D$30),Dossiers!$A$30&amp;" · "&amp;Dossiers!$B$30,"")</f>
        <v/>
      </c>
      <c r="B1448" s="18">
        <f>IF($A1448="","",Paramètres!G44)</f>
        <v/>
      </c>
      <c r="C1448" s="18">
        <f>IF($A1448="","",IF(Paramètres!H44="","",Paramètres!H44))</f>
        <v/>
      </c>
      <c r="D1448" s="18">
        <f>IF($A1448="","",IF(Paramètres!I44="","",Paramètres!I44))</f>
        <v/>
      </c>
      <c r="E1448" s="19">
        <f>IF($A1448="","",IF(Paramètres!J44&amp;Paramètres!L44&amp;Paramètres!N44="",Dossiers!$D$30,MAX(IF(Paramètres!J44="",0,IF(Paramètres!K44="",NA(),IF(LEFT(TRIM(Paramètres!K44),1)="F",INDEX($F$1409:$F$1461,MATCH(Paramètres!J44,Paramètres!$G$5:$G$57,0)),INDEX($E$1409:$E$1461,MATCH(Paramètres!J44,Paramètres!$G$5:$G$57,0)))+IF(RIGHT(TRIM(Paramètres!K44),3)="Fin",1-$H1448,IF(LEFT(TRIM(Paramètres!K44),1)="F",1,0)))),IF(Paramètres!L44="",0,IF(Paramètres!M44="",NA(),IF(LEFT(TRIM(Paramètres!M44),1)="F",INDEX($F$1409:$F$1461,MATCH(Paramètres!L44,Paramètres!$G$5:$G$57,0)),INDEX($E$1409:$E$1461,MATCH(Paramètres!L44,Paramètres!$G$5:$G$57,0)))+IF(RIGHT(TRIM(Paramètres!M44),3)="Fin",1-$H1448,IF(LEFT(TRIM(Paramètres!M44),1)="F",1,0)))),IF(Paramètres!N44="",0,IF(Paramètres!O44="",NA(),IF(LEFT(TRIM(Paramètres!O44),1)="F",INDEX($F$1409:$F$1461,MATCH(Paramètres!N44,Paramètres!$G$5:$G$57,0)),INDEX($E$1409:$E$1461,MATCH(Paramètres!N44,Paramètres!$G$5:$G$57,0)))+IF(RIGHT(TRIM(Paramètres!O44),3)="Fin",1-$H1448,IF(LEFT(TRIM(Paramètres!O44),1)="F",1,0)))))))</f>
        <v/>
      </c>
      <c r="F1448" s="19">
        <f>IF($A1448="","",E1448+$H1448-1)</f>
        <v/>
      </c>
      <c r="G1448" s="18" t="n"/>
      <c r="H1448" s="18">
        <f>IF($A1448="","",IF(I1448&lt;&gt;"",I1448,Paramètres!B44))</f>
        <v/>
      </c>
      <c r="I1448" s="18" t="n"/>
    </row>
    <row r="1449">
      <c r="A1449" s="18">
        <f>IF(ISNUMBER(Dossiers!$D$30),Dossiers!$A$30&amp;" · "&amp;Dossiers!$B$30,"")</f>
        <v/>
      </c>
      <c r="B1449" s="18">
        <f>IF($A1449="","",Paramètres!G45)</f>
        <v/>
      </c>
      <c r="C1449" s="20">
        <f>IF($A1449="","",IF(Dossiers!$G$30="","",Dossiers!$G$30))</f>
        <v/>
      </c>
      <c r="D1449" s="18">
        <f>IF($A1449="","",IF(Paramètres!I45="","",Paramètres!I45))</f>
        <v/>
      </c>
      <c r="E1449" s="19">
        <f>IF($A1449="","",IF(Paramètres!J45&amp;Paramètres!L45&amp;Paramètres!N45="",Dossiers!$D$30,MAX(IF(Paramètres!J45="",0,IF(Paramètres!K45="",NA(),IF(LEFT(TRIM(Paramètres!K45),1)="F",INDEX($F$1409:$F$1461,MATCH(Paramètres!J45,Paramètres!$G$5:$G$57,0)),INDEX($E$1409:$E$1461,MATCH(Paramètres!J45,Paramètres!$G$5:$G$57,0)))+IF(RIGHT(TRIM(Paramètres!K45),3)="Fin",1-$H1449,IF(LEFT(TRIM(Paramètres!K45),1)="F",1,0)))),IF(Paramètres!L45="",0,IF(Paramètres!M45="",NA(),IF(LEFT(TRIM(Paramètres!M45),1)="F",INDEX($F$1409:$F$1461,MATCH(Paramètres!L45,Paramètres!$G$5:$G$57,0)),INDEX($E$1409:$E$1461,MATCH(Paramètres!L45,Paramètres!$G$5:$G$57,0)))+IF(RIGHT(TRIM(Paramètres!M45),3)="Fin",1-$H1449,IF(LEFT(TRIM(Paramètres!M45),1)="F",1,0)))),IF(Paramètres!N45="",0,IF(Paramètres!O45="",NA(),IF(LEFT(TRIM(Paramètres!O45),1)="F",INDEX($F$1409:$F$1461,MATCH(Paramètres!N45,Paramètres!$G$5:$G$57,0)),INDEX($E$1409:$E$1461,MATCH(Paramètres!N45,Paramètres!$G$5:$G$57,0)))+IF(RIGHT(TRIM(Paramètres!O45),3)="Fin",1-$H1449,IF(LEFT(TRIM(Paramètres!O45),1)="F",1,0)))))))</f>
        <v/>
      </c>
      <c r="F1449" s="19">
        <f>IF($A1449="","",E1449+$H1449-1)</f>
        <v/>
      </c>
      <c r="G1449" s="18" t="n"/>
      <c r="H1449" s="18">
        <f>IF($A1449="","",IF(I1449&lt;&gt;"",I1449,Paramètres!B45))</f>
        <v/>
      </c>
      <c r="I1449" s="18" t="n"/>
    </row>
    <row r="1450">
      <c r="A1450" s="18">
        <f>IF(ISNUMBER(Dossiers!$D$30),Dossiers!$A$30&amp;" · "&amp;Dossiers!$B$30,"")</f>
        <v/>
      </c>
      <c r="B1450" s="18">
        <f>IF($A1450="","",Paramètres!G46)</f>
        <v/>
      </c>
      <c r="C1450" s="18">
        <f>IF($A1450="","",IF(Paramètres!H46="","",Paramètres!H46))</f>
        <v/>
      </c>
      <c r="D1450" s="18">
        <f>IF($A1450="","",IF(Paramètres!I46="","",Paramètres!I46))</f>
        <v/>
      </c>
      <c r="E1450" s="19">
        <f>IF($A1450="","",IF(Paramètres!J46&amp;Paramètres!L46&amp;Paramètres!N46="",Dossiers!$D$30,MAX(IF(Paramètres!J46="",0,IF(Paramètres!K46="",NA(),IF(LEFT(TRIM(Paramètres!K46),1)="F",INDEX($F$1409:$F$1461,MATCH(Paramètres!J46,Paramètres!$G$5:$G$57,0)),INDEX($E$1409:$E$1461,MATCH(Paramètres!J46,Paramètres!$G$5:$G$57,0)))+IF(RIGHT(TRIM(Paramètres!K46),3)="Fin",1-$H1450,IF(LEFT(TRIM(Paramètres!K46),1)="F",1,0)))),IF(Paramètres!L46="",0,IF(Paramètres!M46="",NA(),IF(LEFT(TRIM(Paramètres!M46),1)="F",INDEX($F$1409:$F$1461,MATCH(Paramètres!L46,Paramètres!$G$5:$G$57,0)),INDEX($E$1409:$E$1461,MATCH(Paramètres!L46,Paramètres!$G$5:$G$57,0)))+IF(RIGHT(TRIM(Paramètres!M46),3)="Fin",1-$H1450,IF(LEFT(TRIM(Paramètres!M46),1)="F",1,0)))),IF(Paramètres!N46="",0,IF(Paramètres!O46="",NA(),IF(LEFT(TRIM(Paramètres!O46),1)="F",INDEX($F$1409:$F$1461,MATCH(Paramètres!N46,Paramètres!$G$5:$G$57,0)),INDEX($E$1409:$E$1461,MATCH(Paramètres!N46,Paramètres!$G$5:$G$57,0)))+IF(RIGHT(TRIM(Paramètres!O46),3)="Fin",1-$H1450,IF(LEFT(TRIM(Paramètres!O46),1)="F",1,0)))))))</f>
        <v/>
      </c>
      <c r="F1450" s="19">
        <f>IF($A1450="","",E1450+$H1450-1)</f>
        <v/>
      </c>
      <c r="G1450" s="18" t="n"/>
      <c r="H1450" s="18">
        <f>IF($A1450="","",IF(I1450&lt;&gt;"",I1450,Paramètres!B46))</f>
        <v/>
      </c>
      <c r="I1450" s="18" t="n"/>
    </row>
    <row r="1451">
      <c r="A1451" s="18">
        <f>IF(ISNUMBER(Dossiers!$D$30),Dossiers!$A$30&amp;" · "&amp;Dossiers!$B$30,"")</f>
        <v/>
      </c>
      <c r="B1451" s="18">
        <f>IF($A1451="","",Paramètres!G47)</f>
        <v/>
      </c>
      <c r="C1451" s="18">
        <f>IF($A1451="","",IF(Paramètres!H47="","",Paramètres!H47))</f>
        <v/>
      </c>
      <c r="D1451" s="18">
        <f>IF($A1451="","",IF(Paramètres!I47="","",Paramètres!I47))</f>
        <v/>
      </c>
      <c r="E1451" s="19">
        <f>IF($A1451="","",IF(Paramètres!J47&amp;Paramètres!L47&amp;Paramètres!N47="",Dossiers!$D$30,MAX(IF(Paramètres!J47="",0,IF(Paramètres!K47="",NA(),IF(LEFT(TRIM(Paramètres!K47),1)="F",INDEX($F$1409:$F$1461,MATCH(Paramètres!J47,Paramètres!$G$5:$G$57,0)),INDEX($E$1409:$E$1461,MATCH(Paramètres!J47,Paramètres!$G$5:$G$57,0)))+IF(RIGHT(TRIM(Paramètres!K47),3)="Fin",1-$H1451,IF(LEFT(TRIM(Paramètres!K47),1)="F",1,0)))),IF(Paramètres!L47="",0,IF(Paramètres!M47="",NA(),IF(LEFT(TRIM(Paramètres!M47),1)="F",INDEX($F$1409:$F$1461,MATCH(Paramètres!L47,Paramètres!$G$5:$G$57,0)),INDEX($E$1409:$E$1461,MATCH(Paramètres!L47,Paramètres!$G$5:$G$57,0)))+IF(RIGHT(TRIM(Paramètres!M47),3)="Fin",1-$H1451,IF(LEFT(TRIM(Paramètres!M47),1)="F",1,0)))),IF(Paramètres!N47="",0,IF(Paramètres!O47="",NA(),IF(LEFT(TRIM(Paramètres!O47),1)="F",INDEX($F$1409:$F$1461,MATCH(Paramètres!N47,Paramètres!$G$5:$G$57,0)),INDEX($E$1409:$E$1461,MATCH(Paramètres!N47,Paramètres!$G$5:$G$57,0)))+IF(RIGHT(TRIM(Paramètres!O47),3)="Fin",1-$H1451,IF(LEFT(TRIM(Paramètres!O47),1)="F",1,0)))))))</f>
        <v/>
      </c>
      <c r="F1451" s="19">
        <f>IF($A1451="","",E1451+$H1451-1)</f>
        <v/>
      </c>
      <c r="G1451" s="18" t="n"/>
      <c r="H1451" s="18">
        <f>IF($A1451="","",IF(I1451&lt;&gt;"",I1451,Paramètres!B47))</f>
        <v/>
      </c>
      <c r="I1451" s="18" t="n"/>
    </row>
    <row r="1452">
      <c r="A1452" s="18">
        <f>IF(ISNUMBER(Dossiers!$D$30),Dossiers!$A$30&amp;" · "&amp;Dossiers!$B$30,"")</f>
        <v/>
      </c>
      <c r="B1452" s="18">
        <f>IF($A1452="","",Paramètres!G48)</f>
        <v/>
      </c>
      <c r="C1452" s="18">
        <f>IF($A1452="","",IF(Paramètres!H48="","",Paramètres!H48))</f>
        <v/>
      </c>
      <c r="D1452" s="18">
        <f>IF($A1452="","",IF(Paramètres!I48="","",Paramètres!I48))</f>
        <v/>
      </c>
      <c r="E1452" s="19">
        <f>IF($A1452="","",IF(Paramètres!J48&amp;Paramètres!L48&amp;Paramètres!N48="",Dossiers!$D$30,MAX(IF(Paramètres!J48="",0,IF(Paramètres!K48="",NA(),IF(LEFT(TRIM(Paramètres!K48),1)="F",INDEX($F$1409:$F$1461,MATCH(Paramètres!J48,Paramètres!$G$5:$G$57,0)),INDEX($E$1409:$E$1461,MATCH(Paramètres!J48,Paramètres!$G$5:$G$57,0)))+IF(RIGHT(TRIM(Paramètres!K48),3)="Fin",1-$H1452,IF(LEFT(TRIM(Paramètres!K48),1)="F",1,0)))),IF(Paramètres!L48="",0,IF(Paramètres!M48="",NA(),IF(LEFT(TRIM(Paramètres!M48),1)="F",INDEX($F$1409:$F$1461,MATCH(Paramètres!L48,Paramètres!$G$5:$G$57,0)),INDEX($E$1409:$E$1461,MATCH(Paramètres!L48,Paramètres!$G$5:$G$57,0)))+IF(RIGHT(TRIM(Paramètres!M48),3)="Fin",1-$H1452,IF(LEFT(TRIM(Paramètres!M48),1)="F",1,0)))),IF(Paramètres!N48="",0,IF(Paramètres!O48="",NA(),IF(LEFT(TRIM(Paramètres!O48),1)="F",INDEX($F$1409:$F$1461,MATCH(Paramètres!N48,Paramètres!$G$5:$G$57,0)),INDEX($E$1409:$E$1461,MATCH(Paramètres!N48,Paramètres!$G$5:$G$57,0)))+IF(RIGHT(TRIM(Paramètres!O48),3)="Fin",1-$H1452,IF(LEFT(TRIM(Paramètres!O48),1)="F",1,0)))))))</f>
        <v/>
      </c>
      <c r="F1452" s="19">
        <f>IF($A1452="","",E1452+$H1452-1)</f>
        <v/>
      </c>
      <c r="G1452" s="18" t="n"/>
      <c r="H1452" s="18">
        <f>IF($A1452="","",IF(I1452&lt;&gt;"",I1452,Paramètres!B48))</f>
        <v/>
      </c>
      <c r="I1452" s="18" t="n"/>
    </row>
    <row r="1453">
      <c r="A1453" s="18">
        <f>IF(ISNUMBER(Dossiers!$D$30),Dossiers!$A$30&amp;" · "&amp;Dossiers!$B$30,"")</f>
        <v/>
      </c>
      <c r="B1453" s="18">
        <f>IF($A1453="","",Paramètres!G49)</f>
        <v/>
      </c>
      <c r="C1453" s="18">
        <f>IF($A1453="","",IF(Paramètres!H49="","",Paramètres!H49))</f>
        <v/>
      </c>
      <c r="D1453" s="18">
        <f>IF($A1453="","",IF(Paramètres!I49="","",Paramètres!I49))</f>
        <v/>
      </c>
      <c r="E1453" s="19">
        <f>IF($A1453="","",IF(Paramètres!J49&amp;Paramètres!L49&amp;Paramètres!N49="",Dossiers!$D$30,MAX(IF(Paramètres!J49="",0,IF(Paramètres!K49="",NA(),IF(LEFT(TRIM(Paramètres!K49),1)="F",INDEX($F$1409:$F$1461,MATCH(Paramètres!J49,Paramètres!$G$5:$G$57,0)),INDEX($E$1409:$E$1461,MATCH(Paramètres!J49,Paramètres!$G$5:$G$57,0)))+IF(RIGHT(TRIM(Paramètres!K49),3)="Fin",1-$H1453,IF(LEFT(TRIM(Paramètres!K49),1)="F",1,0)))),IF(Paramètres!L49="",0,IF(Paramètres!M49="",NA(),IF(LEFT(TRIM(Paramètres!M49),1)="F",INDEX($F$1409:$F$1461,MATCH(Paramètres!L49,Paramètres!$G$5:$G$57,0)),INDEX($E$1409:$E$1461,MATCH(Paramètres!L49,Paramètres!$G$5:$G$57,0)))+IF(RIGHT(TRIM(Paramètres!M49),3)="Fin",1-$H1453,IF(LEFT(TRIM(Paramètres!M49),1)="F",1,0)))),IF(Paramètres!N49="",0,IF(Paramètres!O49="",NA(),IF(LEFT(TRIM(Paramètres!O49),1)="F",INDEX($F$1409:$F$1461,MATCH(Paramètres!N49,Paramètres!$G$5:$G$57,0)),INDEX($E$1409:$E$1461,MATCH(Paramètres!N49,Paramètres!$G$5:$G$57,0)))+IF(RIGHT(TRIM(Paramètres!O49),3)="Fin",1-$H1453,IF(LEFT(TRIM(Paramètres!O49),1)="F",1,0)))))))</f>
        <v/>
      </c>
      <c r="F1453" s="19">
        <f>IF($A1453="","",E1453+$H1453-1)</f>
        <v/>
      </c>
      <c r="G1453" s="18" t="n"/>
      <c r="H1453" s="18">
        <f>IF($A1453="","",IF(I1453&lt;&gt;"",I1453,Paramètres!B49))</f>
        <v/>
      </c>
      <c r="I1453" s="18" t="n"/>
    </row>
    <row r="1454">
      <c r="A1454" s="18">
        <f>IF(ISNUMBER(Dossiers!$D$30),Dossiers!$A$30&amp;" · "&amp;Dossiers!$B$30,"")</f>
        <v/>
      </c>
      <c r="B1454" s="18">
        <f>IF($A1454="","",Paramètres!G50)</f>
        <v/>
      </c>
      <c r="C1454" s="18">
        <f>IF($A1454="","",IF(Paramètres!H50="","",Paramètres!H50))</f>
        <v/>
      </c>
      <c r="D1454" s="18">
        <f>IF($A1454="","",IF(Paramètres!I50="","",Paramètres!I50))</f>
        <v/>
      </c>
      <c r="E1454" s="19">
        <f>IF($A1454="","",IF(Paramètres!J50&amp;Paramètres!L50&amp;Paramètres!N50="",Dossiers!$D$30,MAX(IF(Paramètres!J50="",0,IF(Paramètres!K50="",NA(),IF(LEFT(TRIM(Paramètres!K50),1)="F",INDEX($F$1409:$F$1461,MATCH(Paramètres!J50,Paramètres!$G$5:$G$57,0)),INDEX($E$1409:$E$1461,MATCH(Paramètres!J50,Paramètres!$G$5:$G$57,0)))+IF(RIGHT(TRIM(Paramètres!K50),3)="Fin",1-$H1454,IF(LEFT(TRIM(Paramètres!K50),1)="F",1,0)))),IF(Paramètres!L50="",0,IF(Paramètres!M50="",NA(),IF(LEFT(TRIM(Paramètres!M50),1)="F",INDEX($F$1409:$F$1461,MATCH(Paramètres!L50,Paramètres!$G$5:$G$57,0)),INDEX($E$1409:$E$1461,MATCH(Paramètres!L50,Paramètres!$G$5:$G$57,0)))+IF(RIGHT(TRIM(Paramètres!M50),3)="Fin",1-$H1454,IF(LEFT(TRIM(Paramètres!M50),1)="F",1,0)))),IF(Paramètres!N50="",0,IF(Paramètres!O50="",NA(),IF(LEFT(TRIM(Paramètres!O50),1)="F",INDEX($F$1409:$F$1461,MATCH(Paramètres!N50,Paramètres!$G$5:$G$57,0)),INDEX($E$1409:$E$1461,MATCH(Paramètres!N50,Paramètres!$G$5:$G$57,0)))+IF(RIGHT(TRIM(Paramètres!O50),3)="Fin",1-$H1454,IF(LEFT(TRIM(Paramètres!O50),1)="F",1,0)))))))</f>
        <v/>
      </c>
      <c r="F1454" s="19">
        <f>IF($A1454="","",E1454+$H1454-1)</f>
        <v/>
      </c>
      <c r="G1454" s="18" t="n"/>
      <c r="H1454" s="18">
        <f>IF($A1454="","",IF(I1454&lt;&gt;"",I1454,Paramètres!B50))</f>
        <v/>
      </c>
      <c r="I1454" s="18" t="n"/>
    </row>
    <row r="1455">
      <c r="A1455" s="18">
        <f>IF(ISNUMBER(Dossiers!$D$30),Dossiers!$A$30&amp;" · "&amp;Dossiers!$B$30,"")</f>
        <v/>
      </c>
      <c r="B1455" s="18">
        <f>IF($A1455="","",Paramètres!G51)</f>
        <v/>
      </c>
      <c r="C1455" s="18">
        <f>IF($A1455="","",IF(Paramètres!H51="","",Paramètres!H51))</f>
        <v/>
      </c>
      <c r="D1455" s="18">
        <f>IF($A1455="","",IF(Paramètres!I51="","",Paramètres!I51))</f>
        <v/>
      </c>
      <c r="E1455" s="19">
        <f>IF($A1455="","",IF(Paramètres!J51&amp;Paramètres!L51&amp;Paramètres!N51="",Dossiers!$D$30,MAX(IF(Paramètres!J51="",0,IF(Paramètres!K51="",NA(),IF(LEFT(TRIM(Paramètres!K51),1)="F",INDEX($F$1409:$F$1461,MATCH(Paramètres!J51,Paramètres!$G$5:$G$57,0)),INDEX($E$1409:$E$1461,MATCH(Paramètres!J51,Paramètres!$G$5:$G$57,0)))+IF(RIGHT(TRIM(Paramètres!K51),3)="Fin",1-$H1455,IF(LEFT(TRIM(Paramètres!K51),1)="F",1,0)))),IF(Paramètres!L51="",0,IF(Paramètres!M51="",NA(),IF(LEFT(TRIM(Paramètres!M51),1)="F",INDEX($F$1409:$F$1461,MATCH(Paramètres!L51,Paramètres!$G$5:$G$57,0)),INDEX($E$1409:$E$1461,MATCH(Paramètres!L51,Paramètres!$G$5:$G$57,0)))+IF(RIGHT(TRIM(Paramètres!M51),3)="Fin",1-$H1455,IF(LEFT(TRIM(Paramètres!M51),1)="F",1,0)))),IF(Paramètres!N51="",0,IF(Paramètres!O51="",NA(),IF(LEFT(TRIM(Paramètres!O51),1)="F",INDEX($F$1409:$F$1461,MATCH(Paramètres!N51,Paramètres!$G$5:$G$57,0)),INDEX($E$1409:$E$1461,MATCH(Paramètres!N51,Paramètres!$G$5:$G$57,0)))+IF(RIGHT(TRIM(Paramètres!O51),3)="Fin",1-$H1455,IF(LEFT(TRIM(Paramètres!O51),1)="F",1,0)))))))</f>
        <v/>
      </c>
      <c r="F1455" s="19">
        <f>IF($A1455="","",E1455+$H1455-1)</f>
        <v/>
      </c>
      <c r="G1455" s="18" t="n"/>
      <c r="H1455" s="18">
        <f>IF($A1455="","",IF(I1455&lt;&gt;"",I1455,Paramètres!B51))</f>
        <v/>
      </c>
      <c r="I1455" s="18" t="n"/>
    </row>
    <row r="1456">
      <c r="A1456" s="18">
        <f>IF(ISNUMBER(Dossiers!$D$30),Dossiers!$A$30&amp;" · "&amp;Dossiers!$B$30,"")</f>
        <v/>
      </c>
      <c r="B1456" s="18">
        <f>IF($A1456="","",Paramètres!G52)</f>
        <v/>
      </c>
      <c r="C1456" s="18">
        <f>IF($A1456="","",IF(Paramètres!H52="","",Paramètres!H52))</f>
        <v/>
      </c>
      <c r="D1456" s="18">
        <f>IF($A1456="","",IF(Paramètres!I52="","",Paramètres!I52))</f>
        <v/>
      </c>
      <c r="E1456" s="19">
        <f>IF($A1456="","",IF(Paramètres!J52&amp;Paramètres!L52&amp;Paramètres!N52="",Dossiers!$D$30,MAX(IF(Paramètres!J52="",0,IF(Paramètres!K52="",NA(),IF(LEFT(TRIM(Paramètres!K52),1)="F",INDEX($F$1409:$F$1461,MATCH(Paramètres!J52,Paramètres!$G$5:$G$57,0)),INDEX($E$1409:$E$1461,MATCH(Paramètres!J52,Paramètres!$G$5:$G$57,0)))+IF(RIGHT(TRIM(Paramètres!K52),3)="Fin",1-$H1456,IF(LEFT(TRIM(Paramètres!K52),1)="F",1,0)))),IF(Paramètres!L52="",0,IF(Paramètres!M52="",NA(),IF(LEFT(TRIM(Paramètres!M52),1)="F",INDEX($F$1409:$F$1461,MATCH(Paramètres!L52,Paramètres!$G$5:$G$57,0)),INDEX($E$1409:$E$1461,MATCH(Paramètres!L52,Paramètres!$G$5:$G$57,0)))+IF(RIGHT(TRIM(Paramètres!M52),3)="Fin",1-$H1456,IF(LEFT(TRIM(Paramètres!M52),1)="F",1,0)))),IF(Paramètres!N52="",0,IF(Paramètres!O52="",NA(),IF(LEFT(TRIM(Paramètres!O52),1)="F",INDEX($F$1409:$F$1461,MATCH(Paramètres!N52,Paramètres!$G$5:$G$57,0)),INDEX($E$1409:$E$1461,MATCH(Paramètres!N52,Paramètres!$G$5:$G$57,0)))+IF(RIGHT(TRIM(Paramètres!O52),3)="Fin",1-$H1456,IF(LEFT(TRIM(Paramètres!O52),1)="F",1,0)))))))</f>
        <v/>
      </c>
      <c r="F1456" s="19">
        <f>IF($A1456="","",E1456+$H1456-1)</f>
        <v/>
      </c>
      <c r="G1456" s="18" t="n"/>
      <c r="H1456" s="18">
        <f>IF($A1456="","",IF(I1456&lt;&gt;"",I1456,Paramètres!B52))</f>
        <v/>
      </c>
      <c r="I1456" s="18" t="n"/>
    </row>
    <row r="1457">
      <c r="A1457" s="18">
        <f>IF(ISNUMBER(Dossiers!$D$30),Dossiers!$A$30&amp;" · "&amp;Dossiers!$B$30,"")</f>
        <v/>
      </c>
      <c r="B1457" s="18">
        <f>IF($A1457="","",Paramètres!G53)</f>
        <v/>
      </c>
      <c r="C1457" s="18">
        <f>IF($A1457="","",IF(Paramètres!H53="","",Paramètres!H53))</f>
        <v/>
      </c>
      <c r="D1457" s="18">
        <f>IF($A1457="","",IF(Paramètres!I53="","",Paramètres!I53))</f>
        <v/>
      </c>
      <c r="E1457" s="19">
        <f>IF($A1457="","",IF(Paramètres!J53&amp;Paramètres!L53&amp;Paramètres!N53="",Dossiers!$D$30,MAX(IF(Paramètres!J53="",0,IF(Paramètres!K53="",NA(),IF(LEFT(TRIM(Paramètres!K53),1)="F",INDEX($F$1409:$F$1461,MATCH(Paramètres!J53,Paramètres!$G$5:$G$57,0)),INDEX($E$1409:$E$1461,MATCH(Paramètres!J53,Paramètres!$G$5:$G$57,0)))+IF(RIGHT(TRIM(Paramètres!K53),3)="Fin",1-$H1457,IF(LEFT(TRIM(Paramètres!K53),1)="F",1,0)))),IF(Paramètres!L53="",0,IF(Paramètres!M53="",NA(),IF(LEFT(TRIM(Paramètres!M53),1)="F",INDEX($F$1409:$F$1461,MATCH(Paramètres!L53,Paramètres!$G$5:$G$57,0)),INDEX($E$1409:$E$1461,MATCH(Paramètres!L53,Paramètres!$G$5:$G$57,0)))+IF(RIGHT(TRIM(Paramètres!M53),3)="Fin",1-$H1457,IF(LEFT(TRIM(Paramètres!M53),1)="F",1,0)))),IF(Paramètres!N53="",0,IF(Paramètres!O53="",NA(),IF(LEFT(TRIM(Paramètres!O53),1)="F",INDEX($F$1409:$F$1461,MATCH(Paramètres!N53,Paramètres!$G$5:$G$57,0)),INDEX($E$1409:$E$1461,MATCH(Paramètres!N53,Paramètres!$G$5:$G$57,0)))+IF(RIGHT(TRIM(Paramètres!O53),3)="Fin",1-$H1457,IF(LEFT(TRIM(Paramètres!O53),1)="F",1,0)))))))</f>
        <v/>
      </c>
      <c r="F1457" s="19">
        <f>IF($A1457="","",E1457+$H1457-1)</f>
        <v/>
      </c>
      <c r="G1457" s="18" t="n"/>
      <c r="H1457" s="18">
        <f>IF($A1457="","",IF(I1457&lt;&gt;"",I1457,Paramètres!B53))</f>
        <v/>
      </c>
      <c r="I1457" s="18" t="n"/>
    </row>
    <row r="1458">
      <c r="A1458" s="18">
        <f>IF(ISNUMBER(Dossiers!$D$30),Dossiers!$A$30&amp;" · "&amp;Dossiers!$B$30,"")</f>
        <v/>
      </c>
      <c r="B1458" s="18">
        <f>IF($A1458="","",Paramètres!G54)</f>
        <v/>
      </c>
      <c r="C1458" s="18">
        <f>IF($A1458="","",IF(Paramètres!H54="","",Paramètres!H54))</f>
        <v/>
      </c>
      <c r="D1458" s="18">
        <f>IF($A1458="","",IF(Paramètres!I54="","",Paramètres!I54))</f>
        <v/>
      </c>
      <c r="E1458" s="19">
        <f>IF($A1458="","",IF(Paramètres!J54&amp;Paramètres!L54&amp;Paramètres!N54="",Dossiers!$D$30,MAX(IF(Paramètres!J54="",0,IF(Paramètres!K54="",NA(),IF(LEFT(TRIM(Paramètres!K54),1)="F",INDEX($F$1409:$F$1461,MATCH(Paramètres!J54,Paramètres!$G$5:$G$57,0)),INDEX($E$1409:$E$1461,MATCH(Paramètres!J54,Paramètres!$G$5:$G$57,0)))+IF(RIGHT(TRIM(Paramètres!K54),3)="Fin",1-$H1458,IF(LEFT(TRIM(Paramètres!K54),1)="F",1,0)))),IF(Paramètres!L54="",0,IF(Paramètres!M54="",NA(),IF(LEFT(TRIM(Paramètres!M54),1)="F",INDEX($F$1409:$F$1461,MATCH(Paramètres!L54,Paramètres!$G$5:$G$57,0)),INDEX($E$1409:$E$1461,MATCH(Paramètres!L54,Paramètres!$G$5:$G$57,0)))+IF(RIGHT(TRIM(Paramètres!M54),3)="Fin",1-$H1458,IF(LEFT(TRIM(Paramètres!M54),1)="F",1,0)))),IF(Paramètres!N54="",0,IF(Paramètres!O54="",NA(),IF(LEFT(TRIM(Paramètres!O54),1)="F",INDEX($F$1409:$F$1461,MATCH(Paramètres!N54,Paramètres!$G$5:$G$57,0)),INDEX($E$1409:$E$1461,MATCH(Paramètres!N54,Paramètres!$G$5:$G$57,0)))+IF(RIGHT(TRIM(Paramètres!O54),3)="Fin",1-$H1458,IF(LEFT(TRIM(Paramètres!O54),1)="F",1,0)))))))</f>
        <v/>
      </c>
      <c r="F1458" s="19">
        <f>IF($A1458="","",E1458+$H1458-1)</f>
        <v/>
      </c>
      <c r="G1458" s="18" t="n"/>
      <c r="H1458" s="18">
        <f>IF($A1458="","",IF(I1458&lt;&gt;"",I1458,Paramètres!B54))</f>
        <v/>
      </c>
      <c r="I1458" s="18" t="n"/>
    </row>
    <row r="1459">
      <c r="A1459" s="18">
        <f>IF(ISNUMBER(Dossiers!$D$30),Dossiers!$A$30&amp;" · "&amp;Dossiers!$B$30,"")</f>
        <v/>
      </c>
      <c r="B1459" s="18">
        <f>IF($A1459="","",Paramètres!G55)</f>
        <v/>
      </c>
      <c r="C1459" s="18">
        <f>IF($A1459="","",IF(Paramètres!H55="","",Paramètres!H55))</f>
        <v/>
      </c>
      <c r="D1459" s="18">
        <f>IF($A1459="","",IF(Paramètres!I55="","",Paramètres!I55))</f>
        <v/>
      </c>
      <c r="E1459" s="19">
        <f>IF($A1459="","",IF(Paramètres!J55&amp;Paramètres!L55&amp;Paramètres!N55="",Dossiers!$D$30,MAX(IF(Paramètres!J55="",0,IF(Paramètres!K55="",NA(),IF(LEFT(TRIM(Paramètres!K55),1)="F",INDEX($F$1409:$F$1461,MATCH(Paramètres!J55,Paramètres!$G$5:$G$57,0)),INDEX($E$1409:$E$1461,MATCH(Paramètres!J55,Paramètres!$G$5:$G$57,0)))+IF(RIGHT(TRIM(Paramètres!K55),3)="Fin",1-$H1459,IF(LEFT(TRIM(Paramètres!K55),1)="F",1,0)))),IF(Paramètres!L55="",0,IF(Paramètres!M55="",NA(),IF(LEFT(TRIM(Paramètres!M55),1)="F",INDEX($F$1409:$F$1461,MATCH(Paramètres!L55,Paramètres!$G$5:$G$57,0)),INDEX($E$1409:$E$1461,MATCH(Paramètres!L55,Paramètres!$G$5:$G$57,0)))+IF(RIGHT(TRIM(Paramètres!M55),3)="Fin",1-$H1459,IF(LEFT(TRIM(Paramètres!M55),1)="F",1,0)))),IF(Paramètres!N55="",0,IF(Paramètres!O55="",NA(),IF(LEFT(TRIM(Paramètres!O55),1)="F",INDEX($F$1409:$F$1461,MATCH(Paramètres!N55,Paramètres!$G$5:$G$57,0)),INDEX($E$1409:$E$1461,MATCH(Paramètres!N55,Paramètres!$G$5:$G$57,0)))+IF(RIGHT(TRIM(Paramètres!O55),3)="Fin",1-$H1459,IF(LEFT(TRIM(Paramètres!O55),1)="F",1,0)))))))</f>
        <v/>
      </c>
      <c r="F1459" s="19">
        <f>IF($A1459="","",E1459+$H1459-1)</f>
        <v/>
      </c>
      <c r="G1459" s="18" t="n"/>
      <c r="H1459" s="18">
        <f>IF($A1459="","",IF(I1459&lt;&gt;"",I1459,Paramètres!B55))</f>
        <v/>
      </c>
      <c r="I1459" s="18" t="n"/>
    </row>
    <row r="1460">
      <c r="A1460" s="18">
        <f>IF(ISNUMBER(Dossiers!$D$30),Dossiers!$A$30&amp;" · "&amp;Dossiers!$B$30,"")</f>
        <v/>
      </c>
      <c r="B1460" s="18">
        <f>IF($A1460="","",Paramètres!G56)</f>
        <v/>
      </c>
      <c r="C1460" s="18">
        <f>IF($A1460="","",IF(Paramètres!H56="","",Paramètres!H56))</f>
        <v/>
      </c>
      <c r="D1460" s="18">
        <f>IF($A1460="","",IF(Paramètres!I56="","",Paramètres!I56))</f>
        <v/>
      </c>
      <c r="E1460" s="19">
        <f>IF($A1460="","",MIN(E1461:E1461))</f>
        <v/>
      </c>
      <c r="F1460" s="19">
        <f>IF($A1460="","",MAX(F1461:F1461))</f>
        <v/>
      </c>
      <c r="G1460" s="18" t="n"/>
      <c r="H1460" s="18">
        <f>IF($A1460="","",F1460-E1460+1)</f>
        <v/>
      </c>
      <c r="I1460" s="18" t="n"/>
    </row>
    <row r="1461">
      <c r="A1461" s="18">
        <f>IF(ISNUMBER(Dossiers!$D$30),Dossiers!$A$30&amp;" · "&amp;Dossiers!$B$30,"")</f>
        <v/>
      </c>
      <c r="B1461" s="18">
        <f>IF($A1461="","",Paramètres!G57)</f>
        <v/>
      </c>
      <c r="C1461" s="18">
        <f>IF($A1461="","",IF(Paramètres!H57="","",Paramètres!H57))</f>
        <v/>
      </c>
      <c r="D1461" s="18">
        <f>IF($A1461="","",IF(Paramètres!I57="","",Paramètres!I57))</f>
        <v/>
      </c>
      <c r="E1461" s="19">
        <f>IF($A1461="","",IF(Paramètres!J57&amp;Paramètres!L57&amp;Paramètres!N57="",Dossiers!$D$30,MAX(IF(Paramètres!J57="",0,IF(Paramètres!K57="",NA(),IF(LEFT(TRIM(Paramètres!K57),1)="F",INDEX($F$1409:$F$1461,MATCH(Paramètres!J57,Paramètres!$G$5:$G$57,0)),INDEX($E$1409:$E$1461,MATCH(Paramètres!J57,Paramètres!$G$5:$G$57,0)))+IF(RIGHT(TRIM(Paramètres!K57),3)="Fin",1-$H1461,IF(LEFT(TRIM(Paramètres!K57),1)="F",1,0)))),IF(Paramètres!L57="",0,IF(Paramètres!M57="",NA(),IF(LEFT(TRIM(Paramètres!M57),1)="F",INDEX($F$1409:$F$1461,MATCH(Paramètres!L57,Paramètres!$G$5:$G$57,0)),INDEX($E$1409:$E$1461,MATCH(Paramètres!L57,Paramètres!$G$5:$G$57,0)))+IF(RIGHT(TRIM(Paramètres!M57),3)="Fin",1-$H1461,IF(LEFT(TRIM(Paramètres!M57),1)="F",1,0)))),IF(Paramètres!N57="",0,IF(Paramètres!O57="",NA(),IF(LEFT(TRIM(Paramètres!O57),1)="F",INDEX($F$1409:$F$1461,MATCH(Paramètres!N57,Paramètres!$G$5:$G$57,0)),INDEX($E$1409:$E$1461,MATCH(Paramètres!N57,Paramètres!$G$5:$G$57,0)))+IF(RIGHT(TRIM(Paramètres!O57),3)="Fin",1-$H1461,IF(LEFT(TRIM(Paramètres!O57),1)="F",1,0)))))))</f>
        <v/>
      </c>
      <c r="F1461" s="19">
        <f>IF($A1461="","",E1461+$H1461-1)</f>
        <v/>
      </c>
      <c r="G1461" s="18" t="n"/>
      <c r="H1461" s="18">
        <f>IF($A1461="","",IF(I1461&lt;&gt;"",I1461,Paramètres!B57))</f>
        <v/>
      </c>
      <c r="I1461" s="18" t="n"/>
    </row>
    <row r="1462">
      <c r="A1462" s="16">
        <f>IF(ISNUMBER(Dossiers!$D$31),Dossiers!$E$31,"")</f>
        <v/>
      </c>
      <c r="B1462" s="16">
        <f>IF($A1462="","","Identifiant")</f>
        <v/>
      </c>
      <c r="C1462" s="16">
        <f>IF($A1462="","","Macro Etape")</f>
        <v/>
      </c>
      <c r="D1462" s="16">
        <f>IF($A1462="","","Etape")</f>
        <v/>
      </c>
      <c r="E1462" s="17">
        <f>IF($A1462="","","Début le")</f>
        <v/>
      </c>
      <c r="F1462" s="17">
        <f>IF($A1462="","","Fin prévue le")</f>
        <v/>
      </c>
      <c r="G1462" s="16">
        <f>IF($A1462="","","Statut")</f>
        <v/>
      </c>
      <c r="H1462" s="16">
        <f>IF($A1462="","","Durée (jours)")</f>
        <v/>
      </c>
      <c r="I1462" s="16">
        <f>IF($A1462="","","Durée particulière")</f>
        <v/>
      </c>
      <c r="J1462" s="10">
        <f>IF($A1462="","",HYPERLINK("#'Tableau de bord'!A1","↑ Tableau de bord"))</f>
        <v/>
      </c>
    </row>
    <row r="1463">
      <c r="A1463" s="18">
        <f>IF(ISNUMBER(Dossiers!$D$31),Dossiers!$A$31&amp;" · "&amp;Dossiers!$B$31,"")</f>
        <v/>
      </c>
      <c r="B1463" s="18">
        <f>IF($A1463="","",Paramètres!G5)</f>
        <v/>
      </c>
      <c r="C1463" s="18">
        <f>IF($A1463="","",IF(Paramètres!H5="","",Paramètres!H5))</f>
        <v/>
      </c>
      <c r="D1463" s="18">
        <f>IF($A1463="","",IF(Paramètres!I5="","",Paramètres!I5))</f>
        <v/>
      </c>
      <c r="E1463" s="19">
        <f>IF($A1463="","",MIN(E1464:E1467))</f>
        <v/>
      </c>
      <c r="F1463" s="19">
        <f>IF($A1463="","",MAX(F1464:F1467))</f>
        <v/>
      </c>
      <c r="G1463" s="18" t="n"/>
      <c r="H1463" s="18">
        <f>IF($A1463="","",F1463-E1463+1)</f>
        <v/>
      </c>
      <c r="I1463" s="18" t="n"/>
    </row>
    <row r="1464">
      <c r="A1464" s="18">
        <f>IF(ISNUMBER(Dossiers!$D$31),Dossiers!$A$31&amp;" · "&amp;Dossiers!$B$31,"")</f>
        <v/>
      </c>
      <c r="B1464" s="18">
        <f>IF($A1464="","",Paramètres!G6)</f>
        <v/>
      </c>
      <c r="C1464" s="18">
        <f>IF($A1464="","",IF(Paramètres!H6="","",Paramètres!H6))</f>
        <v/>
      </c>
      <c r="D1464" s="18">
        <f>IF($A1464="","",IF(Paramètres!I6="","",Paramètres!I6))</f>
        <v/>
      </c>
      <c r="E1464" s="19">
        <f>IF($A1464="","",IF(Paramètres!J6&amp;Paramètres!L6&amp;Paramètres!N6="",Dossiers!$D$31,MAX(IF(Paramètres!J6="",0,IF(Paramètres!K6="",NA(),IF(LEFT(TRIM(Paramètres!K6),1)="F",INDEX($F$1463:$F$1515,MATCH(Paramètres!J6,Paramètres!$G$5:$G$57,0)),INDEX($E$1463:$E$1515,MATCH(Paramètres!J6,Paramètres!$G$5:$G$57,0)))+IF(RIGHT(TRIM(Paramètres!K6),3)="Fin",1-$H1464,IF(LEFT(TRIM(Paramètres!K6),1)="F",1,0)))),IF(Paramètres!L6="",0,IF(Paramètres!M6="",NA(),IF(LEFT(TRIM(Paramètres!M6),1)="F",INDEX($F$1463:$F$1515,MATCH(Paramètres!L6,Paramètres!$G$5:$G$57,0)),INDEX($E$1463:$E$1515,MATCH(Paramètres!L6,Paramètres!$G$5:$G$57,0)))+IF(RIGHT(TRIM(Paramètres!M6),3)="Fin",1-$H1464,IF(LEFT(TRIM(Paramètres!M6),1)="F",1,0)))),IF(Paramètres!N6="",0,IF(Paramètres!O6="",NA(),IF(LEFT(TRIM(Paramètres!O6),1)="F",INDEX($F$1463:$F$1515,MATCH(Paramètres!N6,Paramètres!$G$5:$G$57,0)),INDEX($E$1463:$E$1515,MATCH(Paramètres!N6,Paramètres!$G$5:$G$57,0)))+IF(RIGHT(TRIM(Paramètres!O6),3)="Fin",1-$H1464,IF(LEFT(TRIM(Paramètres!O6),1)="F",1,0)))))))</f>
        <v/>
      </c>
      <c r="F1464" s="19">
        <f>IF($A1464="","",E1464+$H1464-1)</f>
        <v/>
      </c>
      <c r="G1464" s="18" t="n"/>
      <c r="H1464" s="18">
        <f>IF($A1464="","",IF(I1464&lt;&gt;"",I1464,Paramètres!B6))</f>
        <v/>
      </c>
      <c r="I1464" s="18" t="n"/>
    </row>
    <row r="1465">
      <c r="A1465" s="18">
        <f>IF(ISNUMBER(Dossiers!$D$31),Dossiers!$A$31&amp;" · "&amp;Dossiers!$B$31,"")</f>
        <v/>
      </c>
      <c r="B1465" s="18">
        <f>IF($A1465="","",Paramètres!G7)</f>
        <v/>
      </c>
      <c r="C1465" s="18">
        <f>IF($A1465="","",IF(Paramètres!H7="","",Paramètres!H7))</f>
        <v/>
      </c>
      <c r="D1465" s="18">
        <f>IF($A1465="","",IF(Paramètres!I7="","",Paramètres!I7))</f>
        <v/>
      </c>
      <c r="E1465" s="19">
        <f>IF($A1465="","",IF(Paramètres!J7&amp;Paramètres!L7&amp;Paramètres!N7="",Dossiers!$D$31,MAX(IF(Paramètres!J7="",0,IF(Paramètres!K7="",NA(),IF(LEFT(TRIM(Paramètres!K7),1)="F",INDEX($F$1463:$F$1515,MATCH(Paramètres!J7,Paramètres!$G$5:$G$57,0)),INDEX($E$1463:$E$1515,MATCH(Paramètres!J7,Paramètres!$G$5:$G$57,0)))+IF(RIGHT(TRIM(Paramètres!K7),3)="Fin",1-$H1465,IF(LEFT(TRIM(Paramètres!K7),1)="F",1,0)))),IF(Paramètres!L7="",0,IF(Paramètres!M7="",NA(),IF(LEFT(TRIM(Paramètres!M7),1)="F",INDEX($F$1463:$F$1515,MATCH(Paramètres!L7,Paramètres!$G$5:$G$57,0)),INDEX($E$1463:$E$1515,MATCH(Paramètres!L7,Paramètres!$G$5:$G$57,0)))+IF(RIGHT(TRIM(Paramètres!M7),3)="Fin",1-$H1465,IF(LEFT(TRIM(Paramètres!M7),1)="F",1,0)))),IF(Paramètres!N7="",0,IF(Paramètres!O7="",NA(),IF(LEFT(TRIM(Paramètres!O7),1)="F",INDEX($F$1463:$F$1515,MATCH(Paramètres!N7,Paramètres!$G$5:$G$57,0)),INDEX($E$1463:$E$1515,MATCH(Paramètres!N7,Paramètres!$G$5:$G$57,0)))+IF(RIGHT(TRIM(Paramètres!O7),3)="Fin",1-$H1465,IF(LEFT(TRIM(Paramètres!O7),1)="F",1,0)))))))</f>
        <v/>
      </c>
      <c r="F1465" s="19">
        <f>IF($A1465="","",E1465+$H1465-1)</f>
        <v/>
      </c>
      <c r="G1465" s="18" t="n"/>
      <c r="H1465" s="18">
        <f>IF($A1465="","",IF(I1465&lt;&gt;"",I1465,Paramètres!B7))</f>
        <v/>
      </c>
      <c r="I1465" s="18" t="n"/>
    </row>
    <row r="1466">
      <c r="A1466" s="18">
        <f>IF(ISNUMBER(Dossiers!$D$31),Dossiers!$A$31&amp;" · "&amp;Dossiers!$B$31,"")</f>
        <v/>
      </c>
      <c r="B1466" s="18">
        <f>IF($A1466="","",Paramètres!G8)</f>
        <v/>
      </c>
      <c r="C1466" s="18">
        <f>IF($A1466="","",IF(Paramètres!H8="","",Paramètres!H8))</f>
        <v/>
      </c>
      <c r="D1466" s="18">
        <f>IF($A1466="","",IF(Paramètres!I8="","",Paramètres!I8))</f>
        <v/>
      </c>
      <c r="E1466" s="19">
        <f>IF($A1466="","",IF(Paramètres!J8&amp;Paramètres!L8&amp;Paramètres!N8="",Dossiers!$D$31,MAX(IF(Paramètres!J8="",0,IF(Paramètres!K8="",NA(),IF(LEFT(TRIM(Paramètres!K8),1)="F",INDEX($F$1463:$F$1515,MATCH(Paramètres!J8,Paramètres!$G$5:$G$57,0)),INDEX($E$1463:$E$1515,MATCH(Paramètres!J8,Paramètres!$G$5:$G$57,0)))+IF(RIGHT(TRIM(Paramètres!K8),3)="Fin",1-$H1466,IF(LEFT(TRIM(Paramètres!K8),1)="F",1,0)))),IF(Paramètres!L8="",0,IF(Paramètres!M8="",NA(),IF(LEFT(TRIM(Paramètres!M8),1)="F",INDEX($F$1463:$F$1515,MATCH(Paramètres!L8,Paramètres!$G$5:$G$57,0)),INDEX($E$1463:$E$1515,MATCH(Paramètres!L8,Paramètres!$G$5:$G$57,0)))+IF(RIGHT(TRIM(Paramètres!M8),3)="Fin",1-$H1466,IF(LEFT(TRIM(Paramètres!M8),1)="F",1,0)))),IF(Paramètres!N8="",0,IF(Paramètres!O8="",NA(),IF(LEFT(TRIM(Paramètres!O8),1)="F",INDEX($F$1463:$F$1515,MATCH(Paramètres!N8,Paramètres!$G$5:$G$57,0)),INDEX($E$1463:$E$1515,MATCH(Paramètres!N8,Paramètres!$G$5:$G$57,0)))+IF(RIGHT(TRIM(Paramètres!O8),3)="Fin",1-$H1466,IF(LEFT(TRIM(Paramètres!O8),1)="F",1,0)))))))</f>
        <v/>
      </c>
      <c r="F1466" s="19">
        <f>IF($A1466="","",E1466+$H1466-1)</f>
        <v/>
      </c>
      <c r="G1466" s="18" t="n"/>
      <c r="H1466" s="18">
        <f>IF($A1466="","",IF(I1466&lt;&gt;"",I1466,Paramètres!B8))</f>
        <v/>
      </c>
      <c r="I1466" s="18" t="n"/>
    </row>
    <row r="1467">
      <c r="A1467" s="18">
        <f>IF(ISNUMBER(Dossiers!$D$31),Dossiers!$A$31&amp;" · "&amp;Dossiers!$B$31,"")</f>
        <v/>
      </c>
      <c r="B1467" s="18">
        <f>IF($A1467="","",Paramètres!G9)</f>
        <v/>
      </c>
      <c r="C1467" s="18">
        <f>IF($A1467="","",IF(Paramètres!H9="","",Paramètres!H9))</f>
        <v/>
      </c>
      <c r="D1467" s="18">
        <f>IF($A1467="","",IF(Paramètres!I9="","",Paramètres!I9))</f>
        <v/>
      </c>
      <c r="E1467" s="19">
        <f>IF($A1467="","",IF(Paramètres!J9&amp;Paramètres!L9&amp;Paramètres!N9="",Dossiers!$D$31,MAX(IF(Paramètres!J9="",0,IF(Paramètres!K9="",NA(),IF(LEFT(TRIM(Paramètres!K9),1)="F",INDEX($F$1463:$F$1515,MATCH(Paramètres!J9,Paramètres!$G$5:$G$57,0)),INDEX($E$1463:$E$1515,MATCH(Paramètres!J9,Paramètres!$G$5:$G$57,0)))+IF(RIGHT(TRIM(Paramètres!K9),3)="Fin",1-$H1467,IF(LEFT(TRIM(Paramètres!K9),1)="F",1,0)))),IF(Paramètres!L9="",0,IF(Paramètres!M9="",NA(),IF(LEFT(TRIM(Paramètres!M9),1)="F",INDEX($F$1463:$F$1515,MATCH(Paramètres!L9,Paramètres!$G$5:$G$57,0)),INDEX($E$1463:$E$1515,MATCH(Paramètres!L9,Paramètres!$G$5:$G$57,0)))+IF(RIGHT(TRIM(Paramètres!M9),3)="Fin",1-$H1467,IF(LEFT(TRIM(Paramètres!M9),1)="F",1,0)))),IF(Paramètres!N9="",0,IF(Paramètres!O9="",NA(),IF(LEFT(TRIM(Paramètres!O9),1)="F",INDEX($F$1463:$F$1515,MATCH(Paramètres!N9,Paramètres!$G$5:$G$57,0)),INDEX($E$1463:$E$1515,MATCH(Paramètres!N9,Paramètres!$G$5:$G$57,0)))+IF(RIGHT(TRIM(Paramètres!O9),3)="Fin",1-$H1467,IF(LEFT(TRIM(Paramètres!O9),1)="F",1,0)))))))</f>
        <v/>
      </c>
      <c r="F1467" s="19">
        <f>IF($A1467="","",E1467+$H1467-1)</f>
        <v/>
      </c>
      <c r="G1467" s="18" t="n"/>
      <c r="H1467" s="18">
        <f>IF($A1467="","",IF(I1467&lt;&gt;"",I1467,Paramètres!B9))</f>
        <v/>
      </c>
      <c r="I1467" s="18" t="n"/>
    </row>
    <row r="1468">
      <c r="A1468" s="18">
        <f>IF(ISNUMBER(Dossiers!$D$31),Dossiers!$A$31&amp;" · "&amp;Dossiers!$B$31,"")</f>
        <v/>
      </c>
      <c r="B1468" s="18">
        <f>IF($A1468="","",Paramètres!G10)</f>
        <v/>
      </c>
      <c r="C1468" s="18">
        <f>IF($A1468="","",IF(Paramètres!H10="","",Paramètres!H10))</f>
        <v/>
      </c>
      <c r="D1468" s="18">
        <f>IF($A1468="","",IF(Paramètres!I10="","",Paramètres!I10))</f>
        <v/>
      </c>
      <c r="E1468" s="19">
        <f>IF($A1468="","",MIN(E1469:E1472))</f>
        <v/>
      </c>
      <c r="F1468" s="19">
        <f>IF($A1468="","",MAX(F1469:F1472))</f>
        <v/>
      </c>
      <c r="G1468" s="18" t="n"/>
      <c r="H1468" s="18">
        <f>IF($A1468="","",F1468-E1468+1)</f>
        <v/>
      </c>
      <c r="I1468" s="18" t="n"/>
    </row>
    <row r="1469">
      <c r="A1469" s="18">
        <f>IF(ISNUMBER(Dossiers!$D$31),Dossiers!$A$31&amp;" · "&amp;Dossiers!$B$31,"")</f>
        <v/>
      </c>
      <c r="B1469" s="18">
        <f>IF($A1469="","",Paramètres!G11)</f>
        <v/>
      </c>
      <c r="C1469" s="18">
        <f>IF($A1469="","",IF(Paramètres!H11="","",Paramètres!H11))</f>
        <v/>
      </c>
      <c r="D1469" s="18">
        <f>IF($A1469="","",IF(Paramètres!I11="","",Paramètres!I11))</f>
        <v/>
      </c>
      <c r="E1469" s="19">
        <f>IF($A1469="","",IF(Paramètres!J11&amp;Paramètres!L11&amp;Paramètres!N11="",Dossiers!$D$31,MAX(IF(Paramètres!J11="",0,IF(Paramètres!K11="",NA(),IF(LEFT(TRIM(Paramètres!K11),1)="F",INDEX($F$1463:$F$1515,MATCH(Paramètres!J11,Paramètres!$G$5:$G$57,0)),INDEX($E$1463:$E$1515,MATCH(Paramètres!J11,Paramètres!$G$5:$G$57,0)))+IF(RIGHT(TRIM(Paramètres!K11),3)="Fin",1-$H1469,IF(LEFT(TRIM(Paramètres!K11),1)="F",1,0)))),IF(Paramètres!L11="",0,IF(Paramètres!M11="",NA(),IF(LEFT(TRIM(Paramètres!M11),1)="F",INDEX($F$1463:$F$1515,MATCH(Paramètres!L11,Paramètres!$G$5:$G$57,0)),INDEX($E$1463:$E$1515,MATCH(Paramètres!L11,Paramètres!$G$5:$G$57,0)))+IF(RIGHT(TRIM(Paramètres!M11),3)="Fin",1-$H1469,IF(LEFT(TRIM(Paramètres!M11),1)="F",1,0)))),IF(Paramètres!N11="",0,IF(Paramètres!O11="",NA(),IF(LEFT(TRIM(Paramètres!O11),1)="F",INDEX($F$1463:$F$1515,MATCH(Paramètres!N11,Paramètres!$G$5:$G$57,0)),INDEX($E$1463:$E$1515,MATCH(Paramètres!N11,Paramètres!$G$5:$G$57,0)))+IF(RIGHT(TRIM(Paramètres!O11),3)="Fin",1-$H1469,IF(LEFT(TRIM(Paramètres!O11),1)="F",1,0)))))))</f>
        <v/>
      </c>
      <c r="F1469" s="19">
        <f>IF($A1469="","",E1469+$H1469-1)</f>
        <v/>
      </c>
      <c r="G1469" s="18" t="n"/>
      <c r="H1469" s="18">
        <f>IF($A1469="","",IF(I1469&lt;&gt;"",I1469,Paramètres!B11))</f>
        <v/>
      </c>
      <c r="I1469" s="18" t="n"/>
    </row>
    <row r="1470">
      <c r="A1470" s="18">
        <f>IF(ISNUMBER(Dossiers!$D$31),Dossiers!$A$31&amp;" · "&amp;Dossiers!$B$31,"")</f>
        <v/>
      </c>
      <c r="B1470" s="18">
        <f>IF($A1470="","",Paramètres!G12)</f>
        <v/>
      </c>
      <c r="C1470" s="18">
        <f>IF($A1470="","",IF(Paramètres!H12="","",Paramètres!H12))</f>
        <v/>
      </c>
      <c r="D1470" s="18">
        <f>IF($A1470="","",IF(Paramètres!I12="","",Paramètres!I12))</f>
        <v/>
      </c>
      <c r="E1470" s="19">
        <f>IF($A1470="","",IF(Paramètres!J12&amp;Paramètres!L12&amp;Paramètres!N12="",Dossiers!$D$31,MAX(IF(Paramètres!J12="",0,IF(Paramètres!K12="",NA(),IF(LEFT(TRIM(Paramètres!K12),1)="F",INDEX($F$1463:$F$1515,MATCH(Paramètres!J12,Paramètres!$G$5:$G$57,0)),INDEX($E$1463:$E$1515,MATCH(Paramètres!J12,Paramètres!$G$5:$G$57,0)))+IF(RIGHT(TRIM(Paramètres!K12),3)="Fin",1-$H1470,IF(LEFT(TRIM(Paramètres!K12),1)="F",1,0)))),IF(Paramètres!L12="",0,IF(Paramètres!M12="",NA(),IF(LEFT(TRIM(Paramètres!M12),1)="F",INDEX($F$1463:$F$1515,MATCH(Paramètres!L12,Paramètres!$G$5:$G$57,0)),INDEX($E$1463:$E$1515,MATCH(Paramètres!L12,Paramètres!$G$5:$G$57,0)))+IF(RIGHT(TRIM(Paramètres!M12),3)="Fin",1-$H1470,IF(LEFT(TRIM(Paramètres!M12),1)="F",1,0)))),IF(Paramètres!N12="",0,IF(Paramètres!O12="",NA(),IF(LEFT(TRIM(Paramètres!O12),1)="F",INDEX($F$1463:$F$1515,MATCH(Paramètres!N12,Paramètres!$G$5:$G$57,0)),INDEX($E$1463:$E$1515,MATCH(Paramètres!N12,Paramètres!$G$5:$G$57,0)))+IF(RIGHT(TRIM(Paramètres!O12),3)="Fin",1-$H1470,IF(LEFT(TRIM(Paramètres!O12),1)="F",1,0)))))))</f>
        <v/>
      </c>
      <c r="F1470" s="19">
        <f>IF($A1470="","",E1470+$H1470-1)</f>
        <v/>
      </c>
      <c r="G1470" s="18" t="n"/>
      <c r="H1470" s="18">
        <f>IF($A1470="","",IF(I1470&lt;&gt;"",I1470,Paramètres!B12))</f>
        <v/>
      </c>
      <c r="I1470" s="18" t="n"/>
    </row>
    <row r="1471">
      <c r="A1471" s="18">
        <f>IF(ISNUMBER(Dossiers!$D$31),Dossiers!$A$31&amp;" · "&amp;Dossiers!$B$31,"")</f>
        <v/>
      </c>
      <c r="B1471" s="18">
        <f>IF($A1471="","",Paramètres!G13)</f>
        <v/>
      </c>
      <c r="C1471" s="18">
        <f>IF($A1471="","",IF(Paramètres!H13="","",Paramètres!H13))</f>
        <v/>
      </c>
      <c r="D1471" s="18">
        <f>IF($A1471="","",IF(Paramètres!I13="","",Paramètres!I13))</f>
        <v/>
      </c>
      <c r="E1471" s="19">
        <f>IF($A1471="","",IF(Paramètres!J13&amp;Paramètres!L13&amp;Paramètres!N13="",Dossiers!$D$31,MAX(IF(Paramètres!J13="",0,IF(Paramètres!K13="",NA(),IF(LEFT(TRIM(Paramètres!K13),1)="F",INDEX($F$1463:$F$1515,MATCH(Paramètres!J13,Paramètres!$G$5:$G$57,0)),INDEX($E$1463:$E$1515,MATCH(Paramètres!J13,Paramètres!$G$5:$G$57,0)))+IF(RIGHT(TRIM(Paramètres!K13),3)="Fin",1-$H1471,IF(LEFT(TRIM(Paramètres!K13),1)="F",1,0)))),IF(Paramètres!L13="",0,IF(Paramètres!M13="",NA(),IF(LEFT(TRIM(Paramètres!M13),1)="F",INDEX($F$1463:$F$1515,MATCH(Paramètres!L13,Paramètres!$G$5:$G$57,0)),INDEX($E$1463:$E$1515,MATCH(Paramètres!L13,Paramètres!$G$5:$G$57,0)))+IF(RIGHT(TRIM(Paramètres!M13),3)="Fin",1-$H1471,IF(LEFT(TRIM(Paramètres!M13),1)="F",1,0)))),IF(Paramètres!N13="",0,IF(Paramètres!O13="",NA(),IF(LEFT(TRIM(Paramètres!O13),1)="F",INDEX($F$1463:$F$1515,MATCH(Paramètres!N13,Paramètres!$G$5:$G$57,0)),INDEX($E$1463:$E$1515,MATCH(Paramètres!N13,Paramètres!$G$5:$G$57,0)))+IF(RIGHT(TRIM(Paramètres!O13),3)="Fin",1-$H1471,IF(LEFT(TRIM(Paramètres!O13),1)="F",1,0)))))))</f>
        <v/>
      </c>
      <c r="F1471" s="19">
        <f>IF($A1471="","",E1471+$H1471-1)</f>
        <v/>
      </c>
      <c r="G1471" s="18" t="n"/>
      <c r="H1471" s="18">
        <f>IF($A1471="","",IF(I1471&lt;&gt;"",I1471,Paramètres!B13))</f>
        <v/>
      </c>
      <c r="I1471" s="18" t="n"/>
    </row>
    <row r="1472">
      <c r="A1472" s="18">
        <f>IF(ISNUMBER(Dossiers!$D$31),Dossiers!$A$31&amp;" · "&amp;Dossiers!$B$31,"")</f>
        <v/>
      </c>
      <c r="B1472" s="18">
        <f>IF($A1472="","",Paramètres!G14)</f>
        <v/>
      </c>
      <c r="C1472" s="18">
        <f>IF($A1472="","",IF(Paramètres!H14="","",Paramètres!H14))</f>
        <v/>
      </c>
      <c r="D1472" s="18">
        <f>IF($A1472="","",IF(Paramètres!I14="","",Paramètres!I14))</f>
        <v/>
      </c>
      <c r="E1472" s="19">
        <f>IF($A1472="","",IF(Paramètres!J14&amp;Paramètres!L14&amp;Paramètres!N14="",Dossiers!$D$31,MAX(IF(Paramètres!J14="",0,IF(Paramètres!K14="",NA(),IF(LEFT(TRIM(Paramètres!K14),1)="F",INDEX($F$1463:$F$1515,MATCH(Paramètres!J14,Paramètres!$G$5:$G$57,0)),INDEX($E$1463:$E$1515,MATCH(Paramètres!J14,Paramètres!$G$5:$G$57,0)))+IF(RIGHT(TRIM(Paramètres!K14),3)="Fin",1-$H1472,IF(LEFT(TRIM(Paramètres!K14),1)="F",1,0)))),IF(Paramètres!L14="",0,IF(Paramètres!M14="",NA(),IF(LEFT(TRIM(Paramètres!M14),1)="F",INDEX($F$1463:$F$1515,MATCH(Paramètres!L14,Paramètres!$G$5:$G$57,0)),INDEX($E$1463:$E$1515,MATCH(Paramètres!L14,Paramètres!$G$5:$G$57,0)))+IF(RIGHT(TRIM(Paramètres!M14),3)="Fin",1-$H1472,IF(LEFT(TRIM(Paramètres!M14),1)="F",1,0)))),IF(Paramètres!N14="",0,IF(Paramètres!O14="",NA(),IF(LEFT(TRIM(Paramètres!O14),1)="F",INDEX($F$1463:$F$1515,MATCH(Paramètres!N14,Paramètres!$G$5:$G$57,0)),INDEX($E$1463:$E$1515,MATCH(Paramètres!N14,Paramètres!$G$5:$G$57,0)))+IF(RIGHT(TRIM(Paramètres!O14),3)="Fin",1-$H1472,IF(LEFT(TRIM(Paramètres!O14),1)="F",1,0)))))))</f>
        <v/>
      </c>
      <c r="F1472" s="19">
        <f>IF($A1472="","",E1472+$H1472-1)</f>
        <v/>
      </c>
      <c r="G1472" s="18" t="n"/>
      <c r="H1472" s="18">
        <f>IF($A1472="","",IF(I1472&lt;&gt;"",I1472,Paramètres!B14))</f>
        <v/>
      </c>
      <c r="I1472" s="18" t="n"/>
    </row>
    <row r="1473">
      <c r="A1473" s="18">
        <f>IF(ISNUMBER(Dossiers!$D$31),Dossiers!$A$31&amp;" · "&amp;Dossiers!$B$31,"")</f>
        <v/>
      </c>
      <c r="B1473" s="18">
        <f>IF($A1473="","",Paramètres!G15)</f>
        <v/>
      </c>
      <c r="C1473" s="18">
        <f>IF($A1473="","",IF(Paramètres!H15="","",Paramètres!H15))</f>
        <v/>
      </c>
      <c r="D1473" s="18">
        <f>IF($A1473="","",IF(Paramètres!I15="","",Paramètres!I15))</f>
        <v/>
      </c>
      <c r="E1473" s="19">
        <f>IF($A1473="","",MIN(E1474:E1489))</f>
        <v/>
      </c>
      <c r="F1473" s="19">
        <f>IF($A1473="","",MAX(F1474:F1489))</f>
        <v/>
      </c>
      <c r="G1473" s="18" t="n"/>
      <c r="H1473" s="18">
        <f>IF($A1473="","",F1473-E1473+1)</f>
        <v/>
      </c>
      <c r="I1473" s="18" t="n"/>
    </row>
    <row r="1474">
      <c r="A1474" s="18">
        <f>IF(ISNUMBER(Dossiers!$D$31),Dossiers!$A$31&amp;" · "&amp;Dossiers!$B$31,"")</f>
        <v/>
      </c>
      <c r="B1474" s="18">
        <f>IF($A1474="","",Paramètres!G16)</f>
        <v/>
      </c>
      <c r="C1474" s="18">
        <f>IF($A1474="","",IF(Paramètres!H16="","",Paramètres!H16))</f>
        <v/>
      </c>
      <c r="D1474" s="18">
        <f>IF($A1474="","",IF(Paramètres!I16="","",Paramètres!I16))</f>
        <v/>
      </c>
      <c r="E1474" s="19">
        <f>IF($A1474="","",IF(Paramètres!J16&amp;Paramètres!L16&amp;Paramètres!N16="",Dossiers!$D$31,MAX(IF(Paramètres!J16="",0,IF(Paramètres!K16="",NA(),IF(LEFT(TRIM(Paramètres!K16),1)="F",INDEX($F$1463:$F$1515,MATCH(Paramètres!J16,Paramètres!$G$5:$G$57,0)),INDEX($E$1463:$E$1515,MATCH(Paramètres!J16,Paramètres!$G$5:$G$57,0)))+IF(RIGHT(TRIM(Paramètres!K16),3)="Fin",1-$H1474,IF(LEFT(TRIM(Paramètres!K16),1)="F",1,0)))),IF(Paramètres!L16="",0,IF(Paramètres!M16="",NA(),IF(LEFT(TRIM(Paramètres!M16),1)="F",INDEX($F$1463:$F$1515,MATCH(Paramètres!L16,Paramètres!$G$5:$G$57,0)),INDEX($E$1463:$E$1515,MATCH(Paramètres!L16,Paramètres!$G$5:$G$57,0)))+IF(RIGHT(TRIM(Paramètres!M16),3)="Fin",1-$H1474,IF(LEFT(TRIM(Paramètres!M16),1)="F",1,0)))),IF(Paramètres!N16="",0,IF(Paramètres!O16="",NA(),IF(LEFT(TRIM(Paramètres!O16),1)="F",INDEX($F$1463:$F$1515,MATCH(Paramètres!N16,Paramètres!$G$5:$G$57,0)),INDEX($E$1463:$E$1515,MATCH(Paramètres!N16,Paramètres!$G$5:$G$57,0)))+IF(RIGHT(TRIM(Paramètres!O16),3)="Fin",1-$H1474,IF(LEFT(TRIM(Paramètres!O16),1)="F",1,0)))))))</f>
        <v/>
      </c>
      <c r="F1474" s="19">
        <f>IF($A1474="","",E1474+$H1474-1)</f>
        <v/>
      </c>
      <c r="G1474" s="18" t="n"/>
      <c r="H1474" s="18">
        <f>IF($A1474="","",IF(I1474&lt;&gt;"",I1474,Paramètres!B16))</f>
        <v/>
      </c>
      <c r="I1474" s="18" t="n"/>
    </row>
    <row r="1475">
      <c r="A1475" s="18">
        <f>IF(ISNUMBER(Dossiers!$D$31),Dossiers!$A$31&amp;" · "&amp;Dossiers!$B$31,"")</f>
        <v/>
      </c>
      <c r="B1475" s="18">
        <f>IF($A1475="","",Paramètres!G17)</f>
        <v/>
      </c>
      <c r="C1475" s="18">
        <f>IF($A1475="","",IF(Paramètres!H17="","",Paramètres!H17))</f>
        <v/>
      </c>
      <c r="D1475" s="18">
        <f>IF($A1475="","",IF(Paramètres!I17="","",Paramètres!I17))</f>
        <v/>
      </c>
      <c r="E1475" s="19">
        <f>IF($A1475="","",IF(Paramètres!J17&amp;Paramètres!L17&amp;Paramètres!N17="",Dossiers!$D$31,MAX(IF(Paramètres!J17="",0,IF(Paramètres!K17="",NA(),IF(LEFT(TRIM(Paramètres!K17),1)="F",INDEX($F$1463:$F$1515,MATCH(Paramètres!J17,Paramètres!$G$5:$G$57,0)),INDEX($E$1463:$E$1515,MATCH(Paramètres!J17,Paramètres!$G$5:$G$57,0)))+IF(RIGHT(TRIM(Paramètres!K17),3)="Fin",1-$H1475,IF(LEFT(TRIM(Paramètres!K17),1)="F",1,0)))),IF(Paramètres!L17="",0,IF(Paramètres!M17="",NA(),IF(LEFT(TRIM(Paramètres!M17),1)="F",INDEX($F$1463:$F$1515,MATCH(Paramètres!L17,Paramètres!$G$5:$G$57,0)),INDEX($E$1463:$E$1515,MATCH(Paramètres!L17,Paramètres!$G$5:$G$57,0)))+IF(RIGHT(TRIM(Paramètres!M17),3)="Fin",1-$H1475,IF(LEFT(TRIM(Paramètres!M17),1)="F",1,0)))),IF(Paramètres!N17="",0,IF(Paramètres!O17="",NA(),IF(LEFT(TRIM(Paramètres!O17),1)="F",INDEX($F$1463:$F$1515,MATCH(Paramètres!N17,Paramètres!$G$5:$G$57,0)),INDEX($E$1463:$E$1515,MATCH(Paramètres!N17,Paramètres!$G$5:$G$57,0)))+IF(RIGHT(TRIM(Paramètres!O17),3)="Fin",1-$H1475,IF(LEFT(TRIM(Paramètres!O17),1)="F",1,0)))))))</f>
        <v/>
      </c>
      <c r="F1475" s="19">
        <f>IF($A1475="","",E1475+$H1475-1)</f>
        <v/>
      </c>
      <c r="G1475" s="18" t="n"/>
      <c r="H1475" s="18">
        <f>IF($A1475="","",IF(I1475&lt;&gt;"",I1475,Paramètres!B17))</f>
        <v/>
      </c>
      <c r="I1475" s="18" t="n"/>
    </row>
    <row r="1476">
      <c r="A1476" s="18">
        <f>IF(ISNUMBER(Dossiers!$D$31),Dossiers!$A$31&amp;" · "&amp;Dossiers!$B$31,"")</f>
        <v/>
      </c>
      <c r="B1476" s="18">
        <f>IF($A1476="","",Paramètres!G18)</f>
        <v/>
      </c>
      <c r="C1476" s="18">
        <f>IF($A1476="","",IF(Paramètres!H18="","",Paramètres!H18))</f>
        <v/>
      </c>
      <c r="D1476" s="18">
        <f>IF($A1476="","",IF(Paramètres!I18="","",Paramètres!I18))</f>
        <v/>
      </c>
      <c r="E1476" s="19">
        <f>IF($A1476="","",IF(Paramètres!J18&amp;Paramètres!L18&amp;Paramètres!N18="",Dossiers!$D$31,MAX(IF(Paramètres!J18="",0,IF(Paramètres!K18="",NA(),IF(LEFT(TRIM(Paramètres!K18),1)="F",INDEX($F$1463:$F$1515,MATCH(Paramètres!J18,Paramètres!$G$5:$G$57,0)),INDEX($E$1463:$E$1515,MATCH(Paramètres!J18,Paramètres!$G$5:$G$57,0)))+IF(RIGHT(TRIM(Paramètres!K18),3)="Fin",1-$H1476,IF(LEFT(TRIM(Paramètres!K18),1)="F",1,0)))),IF(Paramètres!L18="",0,IF(Paramètres!M18="",NA(),IF(LEFT(TRIM(Paramètres!M18),1)="F",INDEX($F$1463:$F$1515,MATCH(Paramètres!L18,Paramètres!$G$5:$G$57,0)),INDEX($E$1463:$E$1515,MATCH(Paramètres!L18,Paramètres!$G$5:$G$57,0)))+IF(RIGHT(TRIM(Paramètres!M18),3)="Fin",1-$H1476,IF(LEFT(TRIM(Paramètres!M18),1)="F",1,0)))),IF(Paramètres!N18="",0,IF(Paramètres!O18="",NA(),IF(LEFT(TRIM(Paramètres!O18),1)="F",INDEX($F$1463:$F$1515,MATCH(Paramètres!N18,Paramètres!$G$5:$G$57,0)),INDEX($E$1463:$E$1515,MATCH(Paramètres!N18,Paramètres!$G$5:$G$57,0)))+IF(RIGHT(TRIM(Paramètres!O18),3)="Fin",1-$H1476,IF(LEFT(TRIM(Paramètres!O18),1)="F",1,0)))))))</f>
        <v/>
      </c>
      <c r="F1476" s="19">
        <f>IF($A1476="","",E1476+$H1476-1)</f>
        <v/>
      </c>
      <c r="G1476" s="18" t="n"/>
      <c r="H1476" s="18">
        <f>IF($A1476="","",IF(I1476&lt;&gt;"",I1476,Paramètres!B18))</f>
        <v/>
      </c>
      <c r="I1476" s="18" t="n"/>
    </row>
    <row r="1477">
      <c r="A1477" s="18">
        <f>IF(ISNUMBER(Dossiers!$D$31),Dossiers!$A$31&amp;" · "&amp;Dossiers!$B$31,"")</f>
        <v/>
      </c>
      <c r="B1477" s="18">
        <f>IF($A1477="","",Paramètres!G19)</f>
        <v/>
      </c>
      <c r="C1477" s="18">
        <f>IF($A1477="","",IF(Paramètres!H19="","",Paramètres!H19))</f>
        <v/>
      </c>
      <c r="D1477" s="18">
        <f>IF($A1477="","",IF(Paramètres!I19="","",Paramètres!I19))</f>
        <v/>
      </c>
      <c r="E1477" s="19">
        <f>IF($A1477="","",IF(Paramètres!J19&amp;Paramètres!L19&amp;Paramètres!N19="",Dossiers!$D$31,MAX(IF(Paramètres!J19="",0,IF(Paramètres!K19="",NA(),IF(LEFT(TRIM(Paramètres!K19),1)="F",INDEX($F$1463:$F$1515,MATCH(Paramètres!J19,Paramètres!$G$5:$G$57,0)),INDEX($E$1463:$E$1515,MATCH(Paramètres!J19,Paramètres!$G$5:$G$57,0)))+IF(RIGHT(TRIM(Paramètres!K19),3)="Fin",1-$H1477,IF(LEFT(TRIM(Paramètres!K19),1)="F",1,0)))),IF(Paramètres!L19="",0,IF(Paramètres!M19="",NA(),IF(LEFT(TRIM(Paramètres!M19),1)="F",INDEX($F$1463:$F$1515,MATCH(Paramètres!L19,Paramètres!$G$5:$G$57,0)),INDEX($E$1463:$E$1515,MATCH(Paramètres!L19,Paramètres!$G$5:$G$57,0)))+IF(RIGHT(TRIM(Paramètres!M19),3)="Fin",1-$H1477,IF(LEFT(TRIM(Paramètres!M19),1)="F",1,0)))),IF(Paramètres!N19="",0,IF(Paramètres!O19="",NA(),IF(LEFT(TRIM(Paramètres!O19),1)="F",INDEX($F$1463:$F$1515,MATCH(Paramètres!N19,Paramètres!$G$5:$G$57,0)),INDEX($E$1463:$E$1515,MATCH(Paramètres!N19,Paramètres!$G$5:$G$57,0)))+IF(RIGHT(TRIM(Paramètres!O19),3)="Fin",1-$H1477,IF(LEFT(TRIM(Paramètres!O19),1)="F",1,0)))))))</f>
        <v/>
      </c>
      <c r="F1477" s="19">
        <f>IF($A1477="","",E1477+$H1477-1)</f>
        <v/>
      </c>
      <c r="G1477" s="18" t="n"/>
      <c r="H1477" s="18">
        <f>IF($A1477="","",IF(I1477&lt;&gt;"",I1477,Paramètres!B19))</f>
        <v/>
      </c>
      <c r="I1477" s="18" t="n"/>
    </row>
    <row r="1478">
      <c r="A1478" s="18">
        <f>IF(ISNUMBER(Dossiers!$D$31),Dossiers!$A$31&amp;" · "&amp;Dossiers!$B$31,"")</f>
        <v/>
      </c>
      <c r="B1478" s="18">
        <f>IF($A1478="","",Paramètres!G20)</f>
        <v/>
      </c>
      <c r="C1478" s="18">
        <f>IF($A1478="","",IF(Paramètres!H20="","",Paramètres!H20))</f>
        <v/>
      </c>
      <c r="D1478" s="18">
        <f>IF($A1478="","",IF(Paramètres!I20="","",Paramètres!I20))</f>
        <v/>
      </c>
      <c r="E1478" s="19">
        <f>IF($A1478="","",IF(Paramètres!J20&amp;Paramètres!L20&amp;Paramètres!N20="",Dossiers!$D$31,MAX(IF(Paramètres!J20="",0,IF(Paramètres!K20="",NA(),IF(LEFT(TRIM(Paramètres!K20),1)="F",INDEX($F$1463:$F$1515,MATCH(Paramètres!J20,Paramètres!$G$5:$G$57,0)),INDEX($E$1463:$E$1515,MATCH(Paramètres!J20,Paramètres!$G$5:$G$57,0)))+IF(RIGHT(TRIM(Paramètres!K20),3)="Fin",1-$H1478,IF(LEFT(TRIM(Paramètres!K20),1)="F",1,0)))),IF(Paramètres!L20="",0,IF(Paramètres!M20="",NA(),IF(LEFT(TRIM(Paramètres!M20),1)="F",INDEX($F$1463:$F$1515,MATCH(Paramètres!L20,Paramètres!$G$5:$G$57,0)),INDEX($E$1463:$E$1515,MATCH(Paramètres!L20,Paramètres!$G$5:$G$57,0)))+IF(RIGHT(TRIM(Paramètres!M20),3)="Fin",1-$H1478,IF(LEFT(TRIM(Paramètres!M20),1)="F",1,0)))),IF(Paramètres!N20="",0,IF(Paramètres!O20="",NA(),IF(LEFT(TRIM(Paramètres!O20),1)="F",INDEX($F$1463:$F$1515,MATCH(Paramètres!N20,Paramètres!$G$5:$G$57,0)),INDEX($E$1463:$E$1515,MATCH(Paramètres!N20,Paramètres!$G$5:$G$57,0)))+IF(RIGHT(TRIM(Paramètres!O20),3)="Fin",1-$H1478,IF(LEFT(TRIM(Paramètres!O20),1)="F",1,0)))))))</f>
        <v/>
      </c>
      <c r="F1478" s="19">
        <f>IF($A1478="","",E1478+$H1478-1)</f>
        <v/>
      </c>
      <c r="G1478" s="18" t="n"/>
      <c r="H1478" s="18">
        <f>IF($A1478="","",IF(I1478&lt;&gt;"",I1478,Paramètres!B20))</f>
        <v/>
      </c>
      <c r="I1478" s="18" t="n"/>
    </row>
    <row r="1479">
      <c r="A1479" s="18">
        <f>IF(ISNUMBER(Dossiers!$D$31),Dossiers!$A$31&amp;" · "&amp;Dossiers!$B$31,"")</f>
        <v/>
      </c>
      <c r="B1479" s="18">
        <f>IF($A1479="","",Paramètres!G21)</f>
        <v/>
      </c>
      <c r="C1479" s="18">
        <f>IF($A1479="","",IF(Paramètres!H21="","",Paramètres!H21))</f>
        <v/>
      </c>
      <c r="D1479" s="18">
        <f>IF($A1479="","",IF(Paramètres!I21="","",Paramètres!I21))</f>
        <v/>
      </c>
      <c r="E1479" s="19">
        <f>IF($A1479="","",IF(Paramètres!J21&amp;Paramètres!L21&amp;Paramètres!N21="",Dossiers!$D$31,MAX(IF(Paramètres!J21="",0,IF(Paramètres!K21="",NA(),IF(LEFT(TRIM(Paramètres!K21),1)="F",INDEX($F$1463:$F$1515,MATCH(Paramètres!J21,Paramètres!$G$5:$G$57,0)),INDEX($E$1463:$E$1515,MATCH(Paramètres!J21,Paramètres!$G$5:$G$57,0)))+IF(RIGHT(TRIM(Paramètres!K21),3)="Fin",1-$H1479,IF(LEFT(TRIM(Paramètres!K21),1)="F",1,0)))),IF(Paramètres!L21="",0,IF(Paramètres!M21="",NA(),IF(LEFT(TRIM(Paramètres!M21),1)="F",INDEX($F$1463:$F$1515,MATCH(Paramètres!L21,Paramètres!$G$5:$G$57,0)),INDEX($E$1463:$E$1515,MATCH(Paramètres!L21,Paramètres!$G$5:$G$57,0)))+IF(RIGHT(TRIM(Paramètres!M21),3)="Fin",1-$H1479,IF(LEFT(TRIM(Paramètres!M21),1)="F",1,0)))),IF(Paramètres!N21="",0,IF(Paramètres!O21="",NA(),IF(LEFT(TRIM(Paramètres!O21),1)="F",INDEX($F$1463:$F$1515,MATCH(Paramètres!N21,Paramètres!$G$5:$G$57,0)),INDEX($E$1463:$E$1515,MATCH(Paramètres!N21,Paramètres!$G$5:$G$57,0)))+IF(RIGHT(TRIM(Paramètres!O21),3)="Fin",1-$H1479,IF(LEFT(TRIM(Paramètres!O21),1)="F",1,0)))))))</f>
        <v/>
      </c>
      <c r="F1479" s="19">
        <f>IF($A1479="","",E1479+$H1479-1)</f>
        <v/>
      </c>
      <c r="G1479" s="18" t="n"/>
      <c r="H1479" s="18">
        <f>IF($A1479="","",IF(I1479&lt;&gt;"",I1479,Paramètres!B21))</f>
        <v/>
      </c>
      <c r="I1479" s="18" t="n"/>
    </row>
    <row r="1480">
      <c r="A1480" s="18">
        <f>IF(ISNUMBER(Dossiers!$D$31),Dossiers!$A$31&amp;" · "&amp;Dossiers!$B$31,"")</f>
        <v/>
      </c>
      <c r="B1480" s="18">
        <f>IF($A1480="","",Paramètres!G22)</f>
        <v/>
      </c>
      <c r="C1480" s="18">
        <f>IF($A1480="","",IF(Paramètres!H22="","",Paramètres!H22))</f>
        <v/>
      </c>
      <c r="D1480" s="18">
        <f>IF($A1480="","",IF(Paramètres!I22="","",Paramètres!I22))</f>
        <v/>
      </c>
      <c r="E1480" s="19">
        <f>IF($A1480="","",IF(Paramètres!J22&amp;Paramètres!L22&amp;Paramètres!N22="",Dossiers!$D$31,MAX(IF(Paramètres!J22="",0,IF(Paramètres!K22="",NA(),IF(LEFT(TRIM(Paramètres!K22),1)="F",INDEX($F$1463:$F$1515,MATCH(Paramètres!J22,Paramètres!$G$5:$G$57,0)),INDEX($E$1463:$E$1515,MATCH(Paramètres!J22,Paramètres!$G$5:$G$57,0)))+IF(RIGHT(TRIM(Paramètres!K22),3)="Fin",1-$H1480,IF(LEFT(TRIM(Paramètres!K22),1)="F",1,0)))),IF(Paramètres!L22="",0,IF(Paramètres!M22="",NA(),IF(LEFT(TRIM(Paramètres!M22),1)="F",INDEX($F$1463:$F$1515,MATCH(Paramètres!L22,Paramètres!$G$5:$G$57,0)),INDEX($E$1463:$E$1515,MATCH(Paramètres!L22,Paramètres!$G$5:$G$57,0)))+IF(RIGHT(TRIM(Paramètres!M22),3)="Fin",1-$H1480,IF(LEFT(TRIM(Paramètres!M22),1)="F",1,0)))),IF(Paramètres!N22="",0,IF(Paramètres!O22="",NA(),IF(LEFT(TRIM(Paramètres!O22),1)="F",INDEX($F$1463:$F$1515,MATCH(Paramètres!N22,Paramètres!$G$5:$G$57,0)),INDEX($E$1463:$E$1515,MATCH(Paramètres!N22,Paramètres!$G$5:$G$57,0)))+IF(RIGHT(TRIM(Paramètres!O22),3)="Fin",1-$H1480,IF(LEFT(TRIM(Paramètres!O22),1)="F",1,0)))))))</f>
        <v/>
      </c>
      <c r="F1480" s="19">
        <f>IF($A1480="","",E1480+$H1480-1)</f>
        <v/>
      </c>
      <c r="G1480" s="18" t="n"/>
      <c r="H1480" s="18">
        <f>IF($A1480="","",IF(I1480&lt;&gt;"",I1480,Paramètres!B22))</f>
        <v/>
      </c>
      <c r="I1480" s="18" t="n"/>
    </row>
    <row r="1481">
      <c r="A1481" s="18">
        <f>IF(ISNUMBER(Dossiers!$D$31),Dossiers!$A$31&amp;" · "&amp;Dossiers!$B$31,"")</f>
        <v/>
      </c>
      <c r="B1481" s="18">
        <f>IF($A1481="","",Paramètres!G23)</f>
        <v/>
      </c>
      <c r="C1481" s="18">
        <f>IF($A1481="","",IF(Paramètres!H23="","",Paramètres!H23))</f>
        <v/>
      </c>
      <c r="D1481" s="18">
        <f>IF($A1481="","",IF(Paramètres!I23="","",Paramètres!I23))</f>
        <v/>
      </c>
      <c r="E1481" s="19">
        <f>IF($A1481="","",IF(Paramètres!J23&amp;Paramètres!L23&amp;Paramètres!N23="",Dossiers!$D$31,MAX(IF(Paramètres!J23="",0,IF(Paramètres!K23="",NA(),IF(LEFT(TRIM(Paramètres!K23),1)="F",INDEX($F$1463:$F$1515,MATCH(Paramètres!J23,Paramètres!$G$5:$G$57,0)),INDEX($E$1463:$E$1515,MATCH(Paramètres!J23,Paramètres!$G$5:$G$57,0)))+IF(RIGHT(TRIM(Paramètres!K23),3)="Fin",1-$H1481,IF(LEFT(TRIM(Paramètres!K23),1)="F",1,0)))),IF(Paramètres!L23="",0,IF(Paramètres!M23="",NA(),IF(LEFT(TRIM(Paramètres!M23),1)="F",INDEX($F$1463:$F$1515,MATCH(Paramètres!L23,Paramètres!$G$5:$G$57,0)),INDEX($E$1463:$E$1515,MATCH(Paramètres!L23,Paramètres!$G$5:$G$57,0)))+IF(RIGHT(TRIM(Paramètres!M23),3)="Fin",1-$H1481,IF(LEFT(TRIM(Paramètres!M23),1)="F",1,0)))),IF(Paramètres!N23="",0,IF(Paramètres!O23="",NA(),IF(LEFT(TRIM(Paramètres!O23),1)="F",INDEX($F$1463:$F$1515,MATCH(Paramètres!N23,Paramètres!$G$5:$G$57,0)),INDEX($E$1463:$E$1515,MATCH(Paramètres!N23,Paramètres!$G$5:$G$57,0)))+IF(RIGHT(TRIM(Paramètres!O23),3)="Fin",1-$H1481,IF(LEFT(TRIM(Paramètres!O23),1)="F",1,0)))))))</f>
        <v/>
      </c>
      <c r="F1481" s="19">
        <f>IF($A1481="","",E1481+$H1481-1)</f>
        <v/>
      </c>
      <c r="G1481" s="18" t="n"/>
      <c r="H1481" s="18">
        <f>IF($A1481="","",IF(I1481&lt;&gt;"",I1481,Paramètres!B23))</f>
        <v/>
      </c>
      <c r="I1481" s="18" t="n"/>
    </row>
    <row r="1482">
      <c r="A1482" s="18">
        <f>IF(ISNUMBER(Dossiers!$D$31),Dossiers!$A$31&amp;" · "&amp;Dossiers!$B$31,"")</f>
        <v/>
      </c>
      <c r="B1482" s="18">
        <f>IF($A1482="","",Paramètres!G24)</f>
        <v/>
      </c>
      <c r="C1482" s="18">
        <f>IF($A1482="","",IF(Paramètres!H24="","",Paramètres!H24))</f>
        <v/>
      </c>
      <c r="D1482" s="18">
        <f>IF($A1482="","",IF(Paramètres!I24="","",Paramètres!I24))</f>
        <v/>
      </c>
      <c r="E1482" s="19">
        <f>IF($A1482="","",IF(Paramètres!J24&amp;Paramètres!L24&amp;Paramètres!N24="",Dossiers!$D$31,MAX(IF(Paramètres!J24="",0,IF(Paramètres!K24="",NA(),IF(LEFT(TRIM(Paramètres!K24),1)="F",INDEX($F$1463:$F$1515,MATCH(Paramètres!J24,Paramètres!$G$5:$G$57,0)),INDEX($E$1463:$E$1515,MATCH(Paramètres!J24,Paramètres!$G$5:$G$57,0)))+IF(RIGHT(TRIM(Paramètres!K24),3)="Fin",1-$H1482,IF(LEFT(TRIM(Paramètres!K24),1)="F",1,0)))),IF(Paramètres!L24="",0,IF(Paramètres!M24="",NA(),IF(LEFT(TRIM(Paramètres!M24),1)="F",INDEX($F$1463:$F$1515,MATCH(Paramètres!L24,Paramètres!$G$5:$G$57,0)),INDEX($E$1463:$E$1515,MATCH(Paramètres!L24,Paramètres!$G$5:$G$57,0)))+IF(RIGHT(TRIM(Paramètres!M24),3)="Fin",1-$H1482,IF(LEFT(TRIM(Paramètres!M24),1)="F",1,0)))),IF(Paramètres!N24="",0,IF(Paramètres!O24="",NA(),IF(LEFT(TRIM(Paramètres!O24),1)="F",INDEX($F$1463:$F$1515,MATCH(Paramètres!N24,Paramètres!$G$5:$G$57,0)),INDEX($E$1463:$E$1515,MATCH(Paramètres!N24,Paramètres!$G$5:$G$57,0)))+IF(RIGHT(TRIM(Paramètres!O24),3)="Fin",1-$H1482,IF(LEFT(TRIM(Paramètres!O24),1)="F",1,0)))))))</f>
        <v/>
      </c>
      <c r="F1482" s="19">
        <f>IF($A1482="","",E1482+$H1482-1)</f>
        <v/>
      </c>
      <c r="G1482" s="18" t="n"/>
      <c r="H1482" s="18">
        <f>IF($A1482="","",IF(I1482&lt;&gt;"",I1482,Paramètres!B24))</f>
        <v/>
      </c>
      <c r="I1482" s="18" t="n"/>
    </row>
    <row r="1483">
      <c r="A1483" s="18">
        <f>IF(ISNUMBER(Dossiers!$D$31),Dossiers!$A$31&amp;" · "&amp;Dossiers!$B$31,"")</f>
        <v/>
      </c>
      <c r="B1483" s="18">
        <f>IF($A1483="","",Paramètres!G25)</f>
        <v/>
      </c>
      <c r="C1483" s="18">
        <f>IF($A1483="","",IF(Paramètres!H25="","",Paramètres!H25))</f>
        <v/>
      </c>
      <c r="D1483" s="18">
        <f>IF($A1483="","",IF(Paramètres!I25="","",Paramètres!I25))</f>
        <v/>
      </c>
      <c r="E1483" s="19">
        <f>IF($A1483="","",IF(Paramètres!J25&amp;Paramètres!L25&amp;Paramètres!N25="",Dossiers!$D$31,MAX(IF(Paramètres!J25="",0,IF(Paramètres!K25="",NA(),IF(LEFT(TRIM(Paramètres!K25),1)="F",INDEX($F$1463:$F$1515,MATCH(Paramètres!J25,Paramètres!$G$5:$G$57,0)),INDEX($E$1463:$E$1515,MATCH(Paramètres!J25,Paramètres!$G$5:$G$57,0)))+IF(RIGHT(TRIM(Paramètres!K25),3)="Fin",1-$H1483,IF(LEFT(TRIM(Paramètres!K25),1)="F",1,0)))),IF(Paramètres!L25="",0,IF(Paramètres!M25="",NA(),IF(LEFT(TRIM(Paramètres!M25),1)="F",INDEX($F$1463:$F$1515,MATCH(Paramètres!L25,Paramètres!$G$5:$G$57,0)),INDEX($E$1463:$E$1515,MATCH(Paramètres!L25,Paramètres!$G$5:$G$57,0)))+IF(RIGHT(TRIM(Paramètres!M25),3)="Fin",1-$H1483,IF(LEFT(TRIM(Paramètres!M25),1)="F",1,0)))),IF(Paramètres!N25="",0,IF(Paramètres!O25="",NA(),IF(LEFT(TRIM(Paramètres!O25),1)="F",INDEX($F$1463:$F$1515,MATCH(Paramètres!N25,Paramètres!$G$5:$G$57,0)),INDEX($E$1463:$E$1515,MATCH(Paramètres!N25,Paramètres!$G$5:$G$57,0)))+IF(RIGHT(TRIM(Paramètres!O25),3)="Fin",1-$H1483,IF(LEFT(TRIM(Paramètres!O25),1)="F",1,0)))))))</f>
        <v/>
      </c>
      <c r="F1483" s="19">
        <f>IF($A1483="","",E1483+$H1483-1)</f>
        <v/>
      </c>
      <c r="G1483" s="18" t="n"/>
      <c r="H1483" s="18">
        <f>IF($A1483="","",IF(I1483&lt;&gt;"",I1483,Paramètres!B25))</f>
        <v/>
      </c>
      <c r="I1483" s="18" t="n"/>
    </row>
    <row r="1484">
      <c r="A1484" s="18">
        <f>IF(ISNUMBER(Dossiers!$D$31),Dossiers!$A$31&amp;" · "&amp;Dossiers!$B$31,"")</f>
        <v/>
      </c>
      <c r="B1484" s="18">
        <f>IF($A1484="","",Paramètres!G26)</f>
        <v/>
      </c>
      <c r="C1484" s="18">
        <f>IF($A1484="","",IF(Paramètres!H26="","",Paramètres!H26))</f>
        <v/>
      </c>
      <c r="D1484" s="18">
        <f>IF($A1484="","",IF(Paramètres!I26="","",Paramètres!I26))</f>
        <v/>
      </c>
      <c r="E1484" s="19">
        <f>IF($A1484="","",IF(Paramètres!J26&amp;Paramètres!L26&amp;Paramètres!N26="",Dossiers!$D$31,MAX(IF(Paramètres!J26="",0,IF(Paramètres!K26="",NA(),IF(LEFT(TRIM(Paramètres!K26),1)="F",INDEX($F$1463:$F$1515,MATCH(Paramètres!J26,Paramètres!$G$5:$G$57,0)),INDEX($E$1463:$E$1515,MATCH(Paramètres!J26,Paramètres!$G$5:$G$57,0)))+IF(RIGHT(TRIM(Paramètres!K26),3)="Fin",1-$H1484,IF(LEFT(TRIM(Paramètres!K26),1)="F",1,0)))),IF(Paramètres!L26="",0,IF(Paramètres!M26="",NA(),IF(LEFT(TRIM(Paramètres!M26),1)="F",INDEX($F$1463:$F$1515,MATCH(Paramètres!L26,Paramètres!$G$5:$G$57,0)),INDEX($E$1463:$E$1515,MATCH(Paramètres!L26,Paramètres!$G$5:$G$57,0)))+IF(RIGHT(TRIM(Paramètres!M26),3)="Fin",1-$H1484,IF(LEFT(TRIM(Paramètres!M26),1)="F",1,0)))),IF(Paramètres!N26="",0,IF(Paramètres!O26="",NA(),IF(LEFT(TRIM(Paramètres!O26),1)="F",INDEX($F$1463:$F$1515,MATCH(Paramètres!N26,Paramètres!$G$5:$G$57,0)),INDEX($E$1463:$E$1515,MATCH(Paramètres!N26,Paramètres!$G$5:$G$57,0)))+IF(RIGHT(TRIM(Paramètres!O26),3)="Fin",1-$H1484,IF(LEFT(TRIM(Paramètres!O26),1)="F",1,0)))))))</f>
        <v/>
      </c>
      <c r="F1484" s="19">
        <f>IF($A1484="","",E1484+$H1484-1)</f>
        <v/>
      </c>
      <c r="G1484" s="18" t="n"/>
      <c r="H1484" s="18">
        <f>IF($A1484="","",IF(I1484&lt;&gt;"",I1484,Paramètres!B26))</f>
        <v/>
      </c>
      <c r="I1484" s="18" t="n"/>
    </row>
    <row r="1485">
      <c r="A1485" s="18">
        <f>IF(ISNUMBER(Dossiers!$D$31),Dossiers!$A$31&amp;" · "&amp;Dossiers!$B$31,"")</f>
        <v/>
      </c>
      <c r="B1485" s="18">
        <f>IF($A1485="","",Paramètres!G27)</f>
        <v/>
      </c>
      <c r="C1485" s="18">
        <f>IF($A1485="","",IF(Paramètres!H27="","",Paramètres!H27))</f>
        <v/>
      </c>
      <c r="D1485" s="18">
        <f>IF($A1485="","",IF(Paramètres!I27="","",Paramètres!I27))</f>
        <v/>
      </c>
      <c r="E1485" s="19">
        <f>IF($A1485="","",IF(Paramètres!J27&amp;Paramètres!L27&amp;Paramètres!N27="",Dossiers!$D$31,MAX(IF(Paramètres!J27="",0,IF(Paramètres!K27="",NA(),IF(LEFT(TRIM(Paramètres!K27),1)="F",INDEX($F$1463:$F$1515,MATCH(Paramètres!J27,Paramètres!$G$5:$G$57,0)),INDEX($E$1463:$E$1515,MATCH(Paramètres!J27,Paramètres!$G$5:$G$57,0)))+IF(RIGHT(TRIM(Paramètres!K27),3)="Fin",1-$H1485,IF(LEFT(TRIM(Paramètres!K27),1)="F",1,0)))),IF(Paramètres!L27="",0,IF(Paramètres!M27="",NA(),IF(LEFT(TRIM(Paramètres!M27),1)="F",INDEX($F$1463:$F$1515,MATCH(Paramètres!L27,Paramètres!$G$5:$G$57,0)),INDEX($E$1463:$E$1515,MATCH(Paramètres!L27,Paramètres!$G$5:$G$57,0)))+IF(RIGHT(TRIM(Paramètres!M27),3)="Fin",1-$H1485,IF(LEFT(TRIM(Paramètres!M27),1)="F",1,0)))),IF(Paramètres!N27="",0,IF(Paramètres!O27="",NA(),IF(LEFT(TRIM(Paramètres!O27),1)="F",INDEX($F$1463:$F$1515,MATCH(Paramètres!N27,Paramètres!$G$5:$G$57,0)),INDEX($E$1463:$E$1515,MATCH(Paramètres!N27,Paramètres!$G$5:$G$57,0)))+IF(RIGHT(TRIM(Paramètres!O27),3)="Fin",1-$H1485,IF(LEFT(TRIM(Paramètres!O27),1)="F",1,0)))))))</f>
        <v/>
      </c>
      <c r="F1485" s="19">
        <f>IF($A1485="","",E1485+$H1485-1)</f>
        <v/>
      </c>
      <c r="G1485" s="18" t="n"/>
      <c r="H1485" s="18">
        <f>IF($A1485="","",IF(I1485&lt;&gt;"",I1485,Paramètres!B27))</f>
        <v/>
      </c>
      <c r="I1485" s="18" t="n"/>
    </row>
    <row r="1486">
      <c r="A1486" s="18">
        <f>IF(ISNUMBER(Dossiers!$D$31),Dossiers!$A$31&amp;" · "&amp;Dossiers!$B$31,"")</f>
        <v/>
      </c>
      <c r="B1486" s="18">
        <f>IF($A1486="","",Paramètres!G28)</f>
        <v/>
      </c>
      <c r="C1486" s="18">
        <f>IF($A1486="","",IF(Paramètres!H28="","",Paramètres!H28))</f>
        <v/>
      </c>
      <c r="D1486" s="18">
        <f>IF($A1486="","",IF(Paramètres!I28="","",Paramètres!I28))</f>
        <v/>
      </c>
      <c r="E1486" s="19">
        <f>IF($A1486="","",IF(Paramètres!J28&amp;Paramètres!L28&amp;Paramètres!N28="",Dossiers!$D$31,MAX(IF(Paramètres!J28="",0,IF(Paramètres!K28="",NA(),IF(LEFT(TRIM(Paramètres!K28),1)="F",INDEX($F$1463:$F$1515,MATCH(Paramètres!J28,Paramètres!$G$5:$G$57,0)),INDEX($E$1463:$E$1515,MATCH(Paramètres!J28,Paramètres!$G$5:$G$57,0)))+IF(RIGHT(TRIM(Paramètres!K28),3)="Fin",1-$H1486,IF(LEFT(TRIM(Paramètres!K28),1)="F",1,0)))),IF(Paramètres!L28="",0,IF(Paramètres!M28="",NA(),IF(LEFT(TRIM(Paramètres!M28),1)="F",INDEX($F$1463:$F$1515,MATCH(Paramètres!L28,Paramètres!$G$5:$G$57,0)),INDEX($E$1463:$E$1515,MATCH(Paramètres!L28,Paramètres!$G$5:$G$57,0)))+IF(RIGHT(TRIM(Paramètres!M28),3)="Fin",1-$H1486,IF(LEFT(TRIM(Paramètres!M28),1)="F",1,0)))),IF(Paramètres!N28="",0,IF(Paramètres!O28="",NA(),IF(LEFT(TRIM(Paramètres!O28),1)="F",INDEX($F$1463:$F$1515,MATCH(Paramètres!N28,Paramètres!$G$5:$G$57,0)),INDEX($E$1463:$E$1515,MATCH(Paramètres!N28,Paramètres!$G$5:$G$57,0)))+IF(RIGHT(TRIM(Paramètres!O28),3)="Fin",1-$H1486,IF(LEFT(TRIM(Paramètres!O28),1)="F",1,0)))))))</f>
        <v/>
      </c>
      <c r="F1486" s="19">
        <f>IF($A1486="","",E1486+$H1486-1)</f>
        <v/>
      </c>
      <c r="G1486" s="18" t="n"/>
      <c r="H1486" s="18">
        <f>IF($A1486="","",IF(I1486&lt;&gt;"",I1486,Paramètres!B28))</f>
        <v/>
      </c>
      <c r="I1486" s="18" t="n"/>
    </row>
    <row r="1487">
      <c r="A1487" s="18">
        <f>IF(ISNUMBER(Dossiers!$D$31),Dossiers!$A$31&amp;" · "&amp;Dossiers!$B$31,"")</f>
        <v/>
      </c>
      <c r="B1487" s="18">
        <f>IF($A1487="","",Paramètres!G29)</f>
        <v/>
      </c>
      <c r="C1487" s="18">
        <f>IF($A1487="","",IF(Paramètres!H29="","",Paramètres!H29))</f>
        <v/>
      </c>
      <c r="D1487" s="18">
        <f>IF($A1487="","",IF(Paramètres!I29="","",Paramètres!I29))</f>
        <v/>
      </c>
      <c r="E1487" s="19">
        <f>IF($A1487="","",IF(Paramètres!J29&amp;Paramètres!L29&amp;Paramètres!N29="",Dossiers!$D$31,MAX(IF(Paramètres!J29="",0,IF(Paramètres!K29="",NA(),IF(LEFT(TRIM(Paramètres!K29),1)="F",INDEX($F$1463:$F$1515,MATCH(Paramètres!J29,Paramètres!$G$5:$G$57,0)),INDEX($E$1463:$E$1515,MATCH(Paramètres!J29,Paramètres!$G$5:$G$57,0)))+IF(RIGHT(TRIM(Paramètres!K29),3)="Fin",1-$H1487,IF(LEFT(TRIM(Paramètres!K29),1)="F",1,0)))),IF(Paramètres!L29="",0,IF(Paramètres!M29="",NA(),IF(LEFT(TRIM(Paramètres!M29),1)="F",INDEX($F$1463:$F$1515,MATCH(Paramètres!L29,Paramètres!$G$5:$G$57,0)),INDEX($E$1463:$E$1515,MATCH(Paramètres!L29,Paramètres!$G$5:$G$57,0)))+IF(RIGHT(TRIM(Paramètres!M29),3)="Fin",1-$H1487,IF(LEFT(TRIM(Paramètres!M29),1)="F",1,0)))),IF(Paramètres!N29="",0,IF(Paramètres!O29="",NA(),IF(LEFT(TRIM(Paramètres!O29),1)="F",INDEX($F$1463:$F$1515,MATCH(Paramètres!N29,Paramètres!$G$5:$G$57,0)),INDEX($E$1463:$E$1515,MATCH(Paramètres!N29,Paramètres!$G$5:$G$57,0)))+IF(RIGHT(TRIM(Paramètres!O29),3)="Fin",1-$H1487,IF(LEFT(TRIM(Paramètres!O29),1)="F",1,0)))))))</f>
        <v/>
      </c>
      <c r="F1487" s="19">
        <f>IF($A1487="","",E1487+$H1487-1)</f>
        <v/>
      </c>
      <c r="G1487" s="18" t="n"/>
      <c r="H1487" s="18">
        <f>IF($A1487="","",IF(I1487&lt;&gt;"",I1487,Paramètres!B29))</f>
        <v/>
      </c>
      <c r="I1487" s="18" t="n"/>
    </row>
    <row r="1488">
      <c r="A1488" s="18">
        <f>IF(ISNUMBER(Dossiers!$D$31),Dossiers!$A$31&amp;" · "&amp;Dossiers!$B$31,"")</f>
        <v/>
      </c>
      <c r="B1488" s="18">
        <f>IF($A1488="","",Paramètres!G30)</f>
        <v/>
      </c>
      <c r="C1488" s="18">
        <f>IF($A1488="","",IF(Paramètres!H30="","",Paramètres!H30))</f>
        <v/>
      </c>
      <c r="D1488" s="18">
        <f>IF($A1488="","",IF(Paramètres!I30="","",Paramètres!I30))</f>
        <v/>
      </c>
      <c r="E1488" s="19">
        <f>IF($A1488="","",IF(Paramètres!J30&amp;Paramètres!L30&amp;Paramètres!N30="",Dossiers!$D$31,MAX(IF(Paramètres!J30="",0,IF(Paramètres!K30="",NA(),IF(LEFT(TRIM(Paramètres!K30),1)="F",INDEX($F$1463:$F$1515,MATCH(Paramètres!J30,Paramètres!$G$5:$G$57,0)),INDEX($E$1463:$E$1515,MATCH(Paramètres!J30,Paramètres!$G$5:$G$57,0)))+IF(RIGHT(TRIM(Paramètres!K30),3)="Fin",1-$H1488,IF(LEFT(TRIM(Paramètres!K30),1)="F",1,0)))),IF(Paramètres!L30="",0,IF(Paramètres!M30="",NA(),IF(LEFT(TRIM(Paramètres!M30),1)="F",INDEX($F$1463:$F$1515,MATCH(Paramètres!L30,Paramètres!$G$5:$G$57,0)),INDEX($E$1463:$E$1515,MATCH(Paramètres!L30,Paramètres!$G$5:$G$57,0)))+IF(RIGHT(TRIM(Paramètres!M30),3)="Fin",1-$H1488,IF(LEFT(TRIM(Paramètres!M30),1)="F",1,0)))),IF(Paramètres!N30="",0,IF(Paramètres!O30="",NA(),IF(LEFT(TRIM(Paramètres!O30),1)="F",INDEX($F$1463:$F$1515,MATCH(Paramètres!N30,Paramètres!$G$5:$G$57,0)),INDEX($E$1463:$E$1515,MATCH(Paramètres!N30,Paramètres!$G$5:$G$57,0)))+IF(RIGHT(TRIM(Paramètres!O30),3)="Fin",1-$H1488,IF(LEFT(TRIM(Paramètres!O30),1)="F",1,0)))))))</f>
        <v/>
      </c>
      <c r="F1488" s="19">
        <f>IF($A1488="","",E1488+$H1488-1)</f>
        <v/>
      </c>
      <c r="G1488" s="18" t="n"/>
      <c r="H1488" s="18">
        <f>IF($A1488="","",IF(I1488&lt;&gt;"",I1488,Paramètres!B30))</f>
        <v/>
      </c>
      <c r="I1488" s="18" t="n"/>
    </row>
    <row r="1489">
      <c r="A1489" s="18">
        <f>IF(ISNUMBER(Dossiers!$D$31),Dossiers!$A$31&amp;" · "&amp;Dossiers!$B$31,"")</f>
        <v/>
      </c>
      <c r="B1489" s="18">
        <f>IF($A1489="","",Paramètres!G31)</f>
        <v/>
      </c>
      <c r="C1489" s="20">
        <f>IF($A1489="","",IF(Dossiers!$F$31="","",Dossiers!$F$31))</f>
        <v/>
      </c>
      <c r="D1489" s="18">
        <f>IF($A1489="","",IF(Paramètres!I31="","",Paramètres!I31))</f>
        <v/>
      </c>
      <c r="E1489" s="19">
        <f>IF($A1489="","",IF(Paramètres!J31&amp;Paramètres!L31&amp;Paramètres!N31="",Dossiers!$D$31,MAX(IF(Paramètres!J31="",0,IF(Paramètres!K31="",NA(),IF(LEFT(TRIM(Paramètres!K31),1)="F",INDEX($F$1463:$F$1515,MATCH(Paramètres!J31,Paramètres!$G$5:$G$57,0)),INDEX($E$1463:$E$1515,MATCH(Paramètres!J31,Paramètres!$G$5:$G$57,0)))+IF(RIGHT(TRIM(Paramètres!K31),3)="Fin",1-$H1489,IF(LEFT(TRIM(Paramètres!K31),1)="F",1,0)))),IF(Paramètres!L31="",0,IF(Paramètres!M31="",NA(),IF(LEFT(TRIM(Paramètres!M31),1)="F",INDEX($F$1463:$F$1515,MATCH(Paramètres!L31,Paramètres!$G$5:$G$57,0)),INDEX($E$1463:$E$1515,MATCH(Paramètres!L31,Paramètres!$G$5:$G$57,0)))+IF(RIGHT(TRIM(Paramètres!M31),3)="Fin",1-$H1489,IF(LEFT(TRIM(Paramètres!M31),1)="F",1,0)))),IF(Paramètres!N31="",0,IF(Paramètres!O31="",NA(),IF(LEFT(TRIM(Paramètres!O31),1)="F",INDEX($F$1463:$F$1515,MATCH(Paramètres!N31,Paramètres!$G$5:$G$57,0)),INDEX($E$1463:$E$1515,MATCH(Paramètres!N31,Paramètres!$G$5:$G$57,0)))+IF(RIGHT(TRIM(Paramètres!O31),3)="Fin",1-$H1489,IF(LEFT(TRIM(Paramètres!O31),1)="F",1,0)))))))</f>
        <v/>
      </c>
      <c r="F1489" s="19">
        <f>IF($A1489="","",E1489+$H1489-1)</f>
        <v/>
      </c>
      <c r="G1489" s="18" t="n"/>
      <c r="H1489" s="18">
        <f>IF($A1489="","",IF(I1489&lt;&gt;"",I1489,Paramètres!B31))</f>
        <v/>
      </c>
      <c r="I1489" s="18" t="n"/>
    </row>
    <row r="1490">
      <c r="A1490" s="18">
        <f>IF(ISNUMBER(Dossiers!$D$31),Dossiers!$A$31&amp;" · "&amp;Dossiers!$B$31,"")</f>
        <v/>
      </c>
      <c r="B1490" s="18">
        <f>IF($A1490="","",Paramètres!G32)</f>
        <v/>
      </c>
      <c r="C1490" s="18">
        <f>IF($A1490="","",IF(Paramètres!H32="","",Paramètres!H32))</f>
        <v/>
      </c>
      <c r="D1490" s="18">
        <f>IF($A1490="","",IF(Paramètres!I32="","",Paramètres!I32))</f>
        <v/>
      </c>
      <c r="E1490" s="19">
        <f>IF($A1490="","",MIN(E1491:E1494))</f>
        <v/>
      </c>
      <c r="F1490" s="19">
        <f>IF($A1490="","",MAX(F1491:F1494))</f>
        <v/>
      </c>
      <c r="G1490" s="18" t="n"/>
      <c r="H1490" s="18">
        <f>IF($A1490="","",F1490-E1490+1)</f>
        <v/>
      </c>
      <c r="I1490" s="18" t="n"/>
    </row>
    <row r="1491">
      <c r="A1491" s="18">
        <f>IF(ISNUMBER(Dossiers!$D$31),Dossiers!$A$31&amp;" · "&amp;Dossiers!$B$31,"")</f>
        <v/>
      </c>
      <c r="B1491" s="18">
        <f>IF($A1491="","",Paramètres!G33)</f>
        <v/>
      </c>
      <c r="C1491" s="18">
        <f>IF($A1491="","",IF(Paramètres!H33="","",Paramètres!H33))</f>
        <v/>
      </c>
      <c r="D1491" s="18">
        <f>IF($A1491="","",IF(Paramètres!I33="","",Paramètres!I33))</f>
        <v/>
      </c>
      <c r="E1491" s="19">
        <f>IF($A1491="","",IF(Paramètres!J33&amp;Paramètres!L33&amp;Paramètres!N33="",Dossiers!$D$31,MAX(IF(Paramètres!J33="",0,IF(Paramètres!K33="",NA(),IF(LEFT(TRIM(Paramètres!K33),1)="F",INDEX($F$1463:$F$1515,MATCH(Paramètres!J33,Paramètres!$G$5:$G$57,0)),INDEX($E$1463:$E$1515,MATCH(Paramètres!J33,Paramètres!$G$5:$G$57,0)))+IF(RIGHT(TRIM(Paramètres!K33),3)="Fin",1-$H1491,IF(LEFT(TRIM(Paramètres!K33),1)="F",1,0)))),IF(Paramètres!L33="",0,IF(Paramètres!M33="",NA(),IF(LEFT(TRIM(Paramètres!M33),1)="F",INDEX($F$1463:$F$1515,MATCH(Paramètres!L33,Paramètres!$G$5:$G$57,0)),INDEX($E$1463:$E$1515,MATCH(Paramètres!L33,Paramètres!$G$5:$G$57,0)))+IF(RIGHT(TRIM(Paramètres!M33),3)="Fin",1-$H1491,IF(LEFT(TRIM(Paramètres!M33),1)="F",1,0)))),IF(Paramètres!N33="",0,IF(Paramètres!O33="",NA(),IF(LEFT(TRIM(Paramètres!O33),1)="F",INDEX($F$1463:$F$1515,MATCH(Paramètres!N33,Paramètres!$G$5:$G$57,0)),INDEX($E$1463:$E$1515,MATCH(Paramètres!N33,Paramètres!$G$5:$G$57,0)))+IF(RIGHT(TRIM(Paramètres!O33),3)="Fin",1-$H1491,IF(LEFT(TRIM(Paramètres!O33),1)="F",1,0)))))))</f>
        <v/>
      </c>
      <c r="F1491" s="19">
        <f>IF($A1491="","",E1491+$H1491-1)</f>
        <v/>
      </c>
      <c r="G1491" s="18" t="n"/>
      <c r="H1491" s="18">
        <f>IF($A1491="","",IF(I1491&lt;&gt;"",I1491,Paramètres!B33))</f>
        <v/>
      </c>
      <c r="I1491" s="18" t="n"/>
    </row>
    <row r="1492">
      <c r="A1492" s="18">
        <f>IF(ISNUMBER(Dossiers!$D$31),Dossiers!$A$31&amp;" · "&amp;Dossiers!$B$31,"")</f>
        <v/>
      </c>
      <c r="B1492" s="18">
        <f>IF($A1492="","",Paramètres!G34)</f>
        <v/>
      </c>
      <c r="C1492" s="18">
        <f>IF($A1492="","",IF(Paramètres!H34="","",Paramètres!H34))</f>
        <v/>
      </c>
      <c r="D1492" s="18">
        <f>IF($A1492="","",IF(Paramètres!I34="","",Paramètres!I34))</f>
        <v/>
      </c>
      <c r="E1492" s="19">
        <f>IF($A1492="","",IF(Paramètres!J34&amp;Paramètres!L34&amp;Paramètres!N34="",Dossiers!$D$31,MAX(IF(Paramètres!J34="",0,IF(Paramètres!K34="",NA(),IF(LEFT(TRIM(Paramètres!K34),1)="F",INDEX($F$1463:$F$1515,MATCH(Paramètres!J34,Paramètres!$G$5:$G$57,0)),INDEX($E$1463:$E$1515,MATCH(Paramètres!J34,Paramètres!$G$5:$G$57,0)))+IF(RIGHT(TRIM(Paramètres!K34),3)="Fin",1-$H1492,IF(LEFT(TRIM(Paramètres!K34),1)="F",1,0)))),IF(Paramètres!L34="",0,IF(Paramètres!M34="",NA(),IF(LEFT(TRIM(Paramètres!M34),1)="F",INDEX($F$1463:$F$1515,MATCH(Paramètres!L34,Paramètres!$G$5:$G$57,0)),INDEX($E$1463:$E$1515,MATCH(Paramètres!L34,Paramètres!$G$5:$G$57,0)))+IF(RIGHT(TRIM(Paramètres!M34),3)="Fin",1-$H1492,IF(LEFT(TRIM(Paramètres!M34),1)="F",1,0)))),IF(Paramètres!N34="",0,IF(Paramètres!O34="",NA(),IF(LEFT(TRIM(Paramètres!O34),1)="F",INDEX($F$1463:$F$1515,MATCH(Paramètres!N34,Paramètres!$G$5:$G$57,0)),INDEX($E$1463:$E$1515,MATCH(Paramètres!N34,Paramètres!$G$5:$G$57,0)))+IF(RIGHT(TRIM(Paramètres!O34),3)="Fin",1-$H1492,IF(LEFT(TRIM(Paramètres!O34),1)="F",1,0)))))))</f>
        <v/>
      </c>
      <c r="F1492" s="19">
        <f>IF($A1492="","",E1492+$H1492-1)</f>
        <v/>
      </c>
      <c r="G1492" s="18" t="n"/>
      <c r="H1492" s="18">
        <f>IF($A1492="","",IF(I1492&lt;&gt;"",I1492,Paramètres!B34))</f>
        <v/>
      </c>
      <c r="I1492" s="18" t="n"/>
    </row>
    <row r="1493">
      <c r="A1493" s="18">
        <f>IF(ISNUMBER(Dossiers!$D$31),Dossiers!$A$31&amp;" · "&amp;Dossiers!$B$31,"")</f>
        <v/>
      </c>
      <c r="B1493" s="18">
        <f>IF($A1493="","",Paramètres!G35)</f>
        <v/>
      </c>
      <c r="C1493" s="18">
        <f>IF($A1493="","",IF(Paramètres!H35="","",Paramètres!H35))</f>
        <v/>
      </c>
      <c r="D1493" s="18">
        <f>IF($A1493="","",IF(Paramètres!I35="","",Paramètres!I35))</f>
        <v/>
      </c>
      <c r="E1493" s="19">
        <f>IF($A1493="","",IF(Paramètres!J35&amp;Paramètres!L35&amp;Paramètres!N35="",Dossiers!$D$31,MAX(IF(Paramètres!J35="",0,IF(Paramètres!K35="",NA(),IF(LEFT(TRIM(Paramètres!K35),1)="F",INDEX($F$1463:$F$1515,MATCH(Paramètres!J35,Paramètres!$G$5:$G$57,0)),INDEX($E$1463:$E$1515,MATCH(Paramètres!J35,Paramètres!$G$5:$G$57,0)))+IF(RIGHT(TRIM(Paramètres!K35),3)="Fin",1-$H1493,IF(LEFT(TRIM(Paramètres!K35),1)="F",1,0)))),IF(Paramètres!L35="",0,IF(Paramètres!M35="",NA(),IF(LEFT(TRIM(Paramètres!M35),1)="F",INDEX($F$1463:$F$1515,MATCH(Paramètres!L35,Paramètres!$G$5:$G$57,0)),INDEX($E$1463:$E$1515,MATCH(Paramètres!L35,Paramètres!$G$5:$G$57,0)))+IF(RIGHT(TRIM(Paramètres!M35),3)="Fin",1-$H1493,IF(LEFT(TRIM(Paramètres!M35),1)="F",1,0)))),IF(Paramètres!N35="",0,IF(Paramètres!O35="",NA(),IF(LEFT(TRIM(Paramètres!O35),1)="F",INDEX($F$1463:$F$1515,MATCH(Paramètres!N35,Paramètres!$G$5:$G$57,0)),INDEX($E$1463:$E$1515,MATCH(Paramètres!N35,Paramètres!$G$5:$G$57,0)))+IF(RIGHT(TRIM(Paramètres!O35),3)="Fin",1-$H1493,IF(LEFT(TRIM(Paramètres!O35),1)="F",1,0)))))))</f>
        <v/>
      </c>
      <c r="F1493" s="19">
        <f>IF($A1493="","",E1493+$H1493-1)</f>
        <v/>
      </c>
      <c r="G1493" s="18" t="n"/>
      <c r="H1493" s="18">
        <f>IF($A1493="","",IF(I1493&lt;&gt;"",I1493,Paramètres!B35))</f>
        <v/>
      </c>
      <c r="I1493" s="18" t="n"/>
    </row>
    <row r="1494">
      <c r="A1494" s="18">
        <f>IF(ISNUMBER(Dossiers!$D$31),Dossiers!$A$31&amp;" · "&amp;Dossiers!$B$31,"")</f>
        <v/>
      </c>
      <c r="B1494" s="18">
        <f>IF($A1494="","",Paramètres!G36)</f>
        <v/>
      </c>
      <c r="C1494" s="18">
        <f>IF($A1494="","",IF(Paramètres!H36="","",Paramètres!H36))</f>
        <v/>
      </c>
      <c r="D1494" s="18">
        <f>IF($A1494="","",IF(Paramètres!I36="","",Paramètres!I36))</f>
        <v/>
      </c>
      <c r="E1494" s="19">
        <f>IF($A1494="","",IF(Paramètres!J36&amp;Paramètres!L36&amp;Paramètres!N36="",Dossiers!$D$31,MAX(IF(Paramètres!J36="",0,IF(Paramètres!K36="",NA(),IF(LEFT(TRIM(Paramètres!K36),1)="F",INDEX($F$1463:$F$1515,MATCH(Paramètres!J36,Paramètres!$G$5:$G$57,0)),INDEX($E$1463:$E$1515,MATCH(Paramètres!J36,Paramètres!$G$5:$G$57,0)))+IF(RIGHT(TRIM(Paramètres!K36),3)="Fin",1-$H1494,IF(LEFT(TRIM(Paramètres!K36),1)="F",1,0)))),IF(Paramètres!L36="",0,IF(Paramètres!M36="",NA(),IF(LEFT(TRIM(Paramètres!M36),1)="F",INDEX($F$1463:$F$1515,MATCH(Paramètres!L36,Paramètres!$G$5:$G$57,0)),INDEX($E$1463:$E$1515,MATCH(Paramètres!L36,Paramètres!$G$5:$G$57,0)))+IF(RIGHT(TRIM(Paramètres!M36),3)="Fin",1-$H1494,IF(LEFT(TRIM(Paramètres!M36),1)="F",1,0)))),IF(Paramètres!N36="",0,IF(Paramètres!O36="",NA(),IF(LEFT(TRIM(Paramètres!O36),1)="F",INDEX($F$1463:$F$1515,MATCH(Paramètres!N36,Paramètres!$G$5:$G$57,0)),INDEX($E$1463:$E$1515,MATCH(Paramètres!N36,Paramètres!$G$5:$G$57,0)))+IF(RIGHT(TRIM(Paramètres!O36),3)="Fin",1-$H1494,IF(LEFT(TRIM(Paramètres!O36),1)="F",1,0)))))))</f>
        <v/>
      </c>
      <c r="F1494" s="19">
        <f>IF($A1494="","",E1494+$H1494-1)</f>
        <v/>
      </c>
      <c r="G1494" s="18" t="n"/>
      <c r="H1494" s="18">
        <f>IF($A1494="","",IF(I1494&lt;&gt;"",I1494,Paramètres!B36))</f>
        <v/>
      </c>
      <c r="I1494" s="18" t="n"/>
    </row>
    <row r="1495">
      <c r="A1495" s="18">
        <f>IF(ISNUMBER(Dossiers!$D$31),Dossiers!$A$31&amp;" · "&amp;Dossiers!$B$31,"")</f>
        <v/>
      </c>
      <c r="B1495" s="18">
        <f>IF($A1495="","",Paramètres!G37)</f>
        <v/>
      </c>
      <c r="C1495" s="18">
        <f>IF($A1495="","",IF(Paramètres!H37="","",Paramètres!H37))</f>
        <v/>
      </c>
      <c r="D1495" s="18">
        <f>IF($A1495="","",IF(Paramètres!I37="","",Paramètres!I37))</f>
        <v/>
      </c>
      <c r="E1495" s="19">
        <f>IF($A1495="","",MIN(E1496:E1513))</f>
        <v/>
      </c>
      <c r="F1495" s="19">
        <f>IF($A1495="","",MAX(F1496:F1513))</f>
        <v/>
      </c>
      <c r="G1495" s="18" t="n"/>
      <c r="H1495" s="18">
        <f>IF($A1495="","",F1495-E1495+1)</f>
        <v/>
      </c>
      <c r="I1495" s="18" t="n"/>
    </row>
    <row r="1496">
      <c r="A1496" s="18">
        <f>IF(ISNUMBER(Dossiers!$D$31),Dossiers!$A$31&amp;" · "&amp;Dossiers!$B$31,"")</f>
        <v/>
      </c>
      <c r="B1496" s="18">
        <f>IF($A1496="","",Paramètres!G38)</f>
        <v/>
      </c>
      <c r="C1496" s="18">
        <f>IF($A1496="","",IF(Paramètres!H38="","",Paramètres!H38))</f>
        <v/>
      </c>
      <c r="D1496" s="18">
        <f>IF($A1496="","",IF(Paramètres!I38="","",Paramètres!I38))</f>
        <v/>
      </c>
      <c r="E1496" s="19">
        <f>IF($A1496="","",IF(Paramètres!J38&amp;Paramètres!L38&amp;Paramètres!N38="",Dossiers!$D$31,MAX(IF(Paramètres!J38="",0,IF(Paramètres!K38="",NA(),IF(LEFT(TRIM(Paramètres!K38),1)="F",INDEX($F$1463:$F$1515,MATCH(Paramètres!J38,Paramètres!$G$5:$G$57,0)),INDEX($E$1463:$E$1515,MATCH(Paramètres!J38,Paramètres!$G$5:$G$57,0)))+IF(RIGHT(TRIM(Paramètres!K38),3)="Fin",1-$H1496,IF(LEFT(TRIM(Paramètres!K38),1)="F",1,0)))),IF(Paramètres!L38="",0,IF(Paramètres!M38="",NA(),IF(LEFT(TRIM(Paramètres!M38),1)="F",INDEX($F$1463:$F$1515,MATCH(Paramètres!L38,Paramètres!$G$5:$G$57,0)),INDEX($E$1463:$E$1515,MATCH(Paramètres!L38,Paramètres!$G$5:$G$57,0)))+IF(RIGHT(TRIM(Paramètres!M38),3)="Fin",1-$H1496,IF(LEFT(TRIM(Paramètres!M38),1)="F",1,0)))),IF(Paramètres!N38="",0,IF(Paramètres!O38="",NA(),IF(LEFT(TRIM(Paramètres!O38),1)="F",INDEX($F$1463:$F$1515,MATCH(Paramètres!N38,Paramètres!$G$5:$G$57,0)),INDEX($E$1463:$E$1515,MATCH(Paramètres!N38,Paramètres!$G$5:$G$57,0)))+IF(RIGHT(TRIM(Paramètres!O38),3)="Fin",1-$H1496,IF(LEFT(TRIM(Paramètres!O38),1)="F",1,0)))))))</f>
        <v/>
      </c>
      <c r="F1496" s="19">
        <f>IF($A1496="","",E1496+$H1496-1)</f>
        <v/>
      </c>
      <c r="G1496" s="18" t="n"/>
      <c r="H1496" s="18">
        <f>IF($A1496="","",IF(I1496&lt;&gt;"",I1496,Paramètres!B38))</f>
        <v/>
      </c>
      <c r="I1496" s="18" t="n"/>
    </row>
    <row r="1497">
      <c r="A1497" s="18">
        <f>IF(ISNUMBER(Dossiers!$D$31),Dossiers!$A$31&amp;" · "&amp;Dossiers!$B$31,"")</f>
        <v/>
      </c>
      <c r="B1497" s="18">
        <f>IF($A1497="","",Paramètres!G39)</f>
        <v/>
      </c>
      <c r="C1497" s="18">
        <f>IF($A1497="","",IF(Paramètres!H39="","",Paramètres!H39))</f>
        <v/>
      </c>
      <c r="D1497" s="18">
        <f>IF($A1497="","",IF(Paramètres!I39="","",Paramètres!I39))</f>
        <v/>
      </c>
      <c r="E1497" s="19">
        <f>IF($A1497="","",IF(Paramètres!J39&amp;Paramètres!L39&amp;Paramètres!N39="",Dossiers!$D$31,MAX(IF(Paramètres!J39="",0,IF(Paramètres!K39="",NA(),IF(LEFT(TRIM(Paramètres!K39),1)="F",INDEX($F$1463:$F$1515,MATCH(Paramètres!J39,Paramètres!$G$5:$G$57,0)),INDEX($E$1463:$E$1515,MATCH(Paramètres!J39,Paramètres!$G$5:$G$57,0)))+IF(RIGHT(TRIM(Paramètres!K39),3)="Fin",1-$H1497,IF(LEFT(TRIM(Paramètres!K39),1)="F",1,0)))),IF(Paramètres!L39="",0,IF(Paramètres!M39="",NA(),IF(LEFT(TRIM(Paramètres!M39),1)="F",INDEX($F$1463:$F$1515,MATCH(Paramètres!L39,Paramètres!$G$5:$G$57,0)),INDEX($E$1463:$E$1515,MATCH(Paramètres!L39,Paramètres!$G$5:$G$57,0)))+IF(RIGHT(TRIM(Paramètres!M39),3)="Fin",1-$H1497,IF(LEFT(TRIM(Paramètres!M39),1)="F",1,0)))),IF(Paramètres!N39="",0,IF(Paramètres!O39="",NA(),IF(LEFT(TRIM(Paramètres!O39),1)="F",INDEX($F$1463:$F$1515,MATCH(Paramètres!N39,Paramètres!$G$5:$G$57,0)),INDEX($E$1463:$E$1515,MATCH(Paramètres!N39,Paramètres!$G$5:$G$57,0)))+IF(RIGHT(TRIM(Paramètres!O39),3)="Fin",1-$H1497,IF(LEFT(TRIM(Paramètres!O39),1)="F",1,0)))))))</f>
        <v/>
      </c>
      <c r="F1497" s="19">
        <f>IF($A1497="","",E1497+$H1497-1)</f>
        <v/>
      </c>
      <c r="G1497" s="18" t="n"/>
      <c r="H1497" s="18">
        <f>IF($A1497="","",IF(I1497&lt;&gt;"",I1497,Paramètres!B39))</f>
        <v/>
      </c>
      <c r="I1497" s="18" t="n"/>
    </row>
    <row r="1498">
      <c r="A1498" s="18">
        <f>IF(ISNUMBER(Dossiers!$D$31),Dossiers!$A$31&amp;" · "&amp;Dossiers!$B$31,"")</f>
        <v/>
      </c>
      <c r="B1498" s="18">
        <f>IF($A1498="","",Paramètres!G40)</f>
        <v/>
      </c>
      <c r="C1498" s="18">
        <f>IF($A1498="","",IF(Paramètres!H40="","",Paramètres!H40))</f>
        <v/>
      </c>
      <c r="D1498" s="18">
        <f>IF($A1498="","",IF(Paramètres!I40="","",Paramètres!I40))</f>
        <v/>
      </c>
      <c r="E1498" s="19">
        <f>IF($A1498="","",IF(Paramètres!J40&amp;Paramètres!L40&amp;Paramètres!N40="",Dossiers!$D$31,MAX(IF(Paramètres!J40="",0,IF(Paramètres!K40="",NA(),IF(LEFT(TRIM(Paramètres!K40),1)="F",INDEX($F$1463:$F$1515,MATCH(Paramètres!J40,Paramètres!$G$5:$G$57,0)),INDEX($E$1463:$E$1515,MATCH(Paramètres!J40,Paramètres!$G$5:$G$57,0)))+IF(RIGHT(TRIM(Paramètres!K40),3)="Fin",1-$H1498,IF(LEFT(TRIM(Paramètres!K40),1)="F",1,0)))),IF(Paramètres!L40="",0,IF(Paramètres!M40="",NA(),IF(LEFT(TRIM(Paramètres!M40),1)="F",INDEX($F$1463:$F$1515,MATCH(Paramètres!L40,Paramètres!$G$5:$G$57,0)),INDEX($E$1463:$E$1515,MATCH(Paramètres!L40,Paramètres!$G$5:$G$57,0)))+IF(RIGHT(TRIM(Paramètres!M40),3)="Fin",1-$H1498,IF(LEFT(TRIM(Paramètres!M40),1)="F",1,0)))),IF(Paramètres!N40="",0,IF(Paramètres!O40="",NA(),IF(LEFT(TRIM(Paramètres!O40),1)="F",INDEX($F$1463:$F$1515,MATCH(Paramètres!N40,Paramètres!$G$5:$G$57,0)),INDEX($E$1463:$E$1515,MATCH(Paramètres!N40,Paramètres!$G$5:$G$57,0)))+IF(RIGHT(TRIM(Paramètres!O40),3)="Fin",1-$H1498,IF(LEFT(TRIM(Paramètres!O40),1)="F",1,0)))))))</f>
        <v/>
      </c>
      <c r="F1498" s="19">
        <f>IF($A1498="","",E1498+$H1498-1)</f>
        <v/>
      </c>
      <c r="G1498" s="18" t="n"/>
      <c r="H1498" s="18">
        <f>IF($A1498="","",IF(I1498&lt;&gt;"",I1498,Paramètres!B40))</f>
        <v/>
      </c>
      <c r="I1498" s="18" t="n"/>
    </row>
    <row r="1499">
      <c r="A1499" s="18">
        <f>IF(ISNUMBER(Dossiers!$D$31),Dossiers!$A$31&amp;" · "&amp;Dossiers!$B$31,"")</f>
        <v/>
      </c>
      <c r="B1499" s="18">
        <f>IF($A1499="","",Paramètres!G41)</f>
        <v/>
      </c>
      <c r="C1499" s="18">
        <f>IF($A1499="","",IF(Paramètres!H41="","",Paramètres!H41))</f>
        <v/>
      </c>
      <c r="D1499" s="18">
        <f>IF($A1499="","",IF(Paramètres!I41="","",Paramètres!I41))</f>
        <v/>
      </c>
      <c r="E1499" s="19">
        <f>IF($A1499="","",IF(Paramètres!J41&amp;Paramètres!L41&amp;Paramètres!N41="",Dossiers!$D$31,MAX(IF(Paramètres!J41="",0,IF(Paramètres!K41="",NA(),IF(LEFT(TRIM(Paramètres!K41),1)="F",INDEX($F$1463:$F$1515,MATCH(Paramètres!J41,Paramètres!$G$5:$G$57,0)),INDEX($E$1463:$E$1515,MATCH(Paramètres!J41,Paramètres!$G$5:$G$57,0)))+IF(RIGHT(TRIM(Paramètres!K41),3)="Fin",1-$H1499,IF(LEFT(TRIM(Paramètres!K41),1)="F",1,0)))),IF(Paramètres!L41="",0,IF(Paramètres!M41="",NA(),IF(LEFT(TRIM(Paramètres!M41),1)="F",INDEX($F$1463:$F$1515,MATCH(Paramètres!L41,Paramètres!$G$5:$G$57,0)),INDEX($E$1463:$E$1515,MATCH(Paramètres!L41,Paramètres!$G$5:$G$57,0)))+IF(RIGHT(TRIM(Paramètres!M41),3)="Fin",1-$H1499,IF(LEFT(TRIM(Paramètres!M41),1)="F",1,0)))),IF(Paramètres!N41="",0,IF(Paramètres!O41="",NA(),IF(LEFT(TRIM(Paramètres!O41),1)="F",INDEX($F$1463:$F$1515,MATCH(Paramètres!N41,Paramètres!$G$5:$G$57,0)),INDEX($E$1463:$E$1515,MATCH(Paramètres!N41,Paramètres!$G$5:$G$57,0)))+IF(RIGHT(TRIM(Paramètres!O41),3)="Fin",1-$H1499,IF(LEFT(TRIM(Paramètres!O41),1)="F",1,0)))))))</f>
        <v/>
      </c>
      <c r="F1499" s="19">
        <f>IF($A1499="","",E1499+$H1499-1)</f>
        <v/>
      </c>
      <c r="G1499" s="18" t="n"/>
      <c r="H1499" s="18">
        <f>IF($A1499="","",IF(I1499&lt;&gt;"",I1499,Paramètres!B41))</f>
        <v/>
      </c>
      <c r="I1499" s="18" t="n"/>
    </row>
    <row r="1500">
      <c r="A1500" s="18">
        <f>IF(ISNUMBER(Dossiers!$D$31),Dossiers!$A$31&amp;" · "&amp;Dossiers!$B$31,"")</f>
        <v/>
      </c>
      <c r="B1500" s="18">
        <f>IF($A1500="","",Paramètres!G42)</f>
        <v/>
      </c>
      <c r="C1500" s="18">
        <f>IF($A1500="","",IF(Paramètres!H42="","",Paramètres!H42))</f>
        <v/>
      </c>
      <c r="D1500" s="18">
        <f>IF($A1500="","",IF(Paramètres!I42="","",Paramètres!I42))</f>
        <v/>
      </c>
      <c r="E1500" s="19">
        <f>IF($A1500="","",IF(Paramètres!J42&amp;Paramètres!L42&amp;Paramètres!N42="",Dossiers!$D$31,MAX(IF(Paramètres!J42="",0,IF(Paramètres!K42="",NA(),IF(LEFT(TRIM(Paramètres!K42),1)="F",INDEX($F$1463:$F$1515,MATCH(Paramètres!J42,Paramètres!$G$5:$G$57,0)),INDEX($E$1463:$E$1515,MATCH(Paramètres!J42,Paramètres!$G$5:$G$57,0)))+IF(RIGHT(TRIM(Paramètres!K42),3)="Fin",1-$H1500,IF(LEFT(TRIM(Paramètres!K42),1)="F",1,0)))),IF(Paramètres!L42="",0,IF(Paramètres!M42="",NA(),IF(LEFT(TRIM(Paramètres!M42),1)="F",INDEX($F$1463:$F$1515,MATCH(Paramètres!L42,Paramètres!$G$5:$G$57,0)),INDEX($E$1463:$E$1515,MATCH(Paramètres!L42,Paramètres!$G$5:$G$57,0)))+IF(RIGHT(TRIM(Paramètres!M42),3)="Fin",1-$H1500,IF(LEFT(TRIM(Paramètres!M42),1)="F",1,0)))),IF(Paramètres!N42="",0,IF(Paramètres!O42="",NA(),IF(LEFT(TRIM(Paramètres!O42),1)="F",INDEX($F$1463:$F$1515,MATCH(Paramètres!N42,Paramètres!$G$5:$G$57,0)),INDEX($E$1463:$E$1515,MATCH(Paramètres!N42,Paramètres!$G$5:$G$57,0)))+IF(RIGHT(TRIM(Paramètres!O42),3)="Fin",1-$H1500,IF(LEFT(TRIM(Paramètres!O42),1)="F",1,0)))))))</f>
        <v/>
      </c>
      <c r="F1500" s="19">
        <f>IF($A1500="","",E1500+$H1500-1)</f>
        <v/>
      </c>
      <c r="G1500" s="18" t="n"/>
      <c r="H1500" s="18">
        <f>IF($A1500="","",IF(I1500&lt;&gt;"",I1500,Paramètres!B42))</f>
        <v/>
      </c>
      <c r="I1500" s="18" t="n"/>
    </row>
    <row r="1501">
      <c r="A1501" s="18">
        <f>IF(ISNUMBER(Dossiers!$D$31),Dossiers!$A$31&amp;" · "&amp;Dossiers!$B$31,"")</f>
        <v/>
      </c>
      <c r="B1501" s="18">
        <f>IF($A1501="","",Paramètres!G43)</f>
        <v/>
      </c>
      <c r="C1501" s="18">
        <f>IF($A1501="","",IF(Paramètres!H43="","",Paramètres!H43))</f>
        <v/>
      </c>
      <c r="D1501" s="18">
        <f>IF($A1501="","",IF(Paramètres!I43="","",Paramètres!I43))</f>
        <v/>
      </c>
      <c r="E1501" s="19">
        <f>IF($A1501="","",IF(Paramètres!J43&amp;Paramètres!L43&amp;Paramètres!N43="",Dossiers!$D$31,MAX(IF(Paramètres!J43="",0,IF(Paramètres!K43="",NA(),IF(LEFT(TRIM(Paramètres!K43),1)="F",INDEX($F$1463:$F$1515,MATCH(Paramètres!J43,Paramètres!$G$5:$G$57,0)),INDEX($E$1463:$E$1515,MATCH(Paramètres!J43,Paramètres!$G$5:$G$57,0)))+IF(RIGHT(TRIM(Paramètres!K43),3)="Fin",1-$H1501,IF(LEFT(TRIM(Paramètres!K43),1)="F",1,0)))),IF(Paramètres!L43="",0,IF(Paramètres!M43="",NA(),IF(LEFT(TRIM(Paramètres!M43),1)="F",INDEX($F$1463:$F$1515,MATCH(Paramètres!L43,Paramètres!$G$5:$G$57,0)),INDEX($E$1463:$E$1515,MATCH(Paramètres!L43,Paramètres!$G$5:$G$57,0)))+IF(RIGHT(TRIM(Paramètres!M43),3)="Fin",1-$H1501,IF(LEFT(TRIM(Paramètres!M43),1)="F",1,0)))),IF(Paramètres!N43="",0,IF(Paramètres!O43="",NA(),IF(LEFT(TRIM(Paramètres!O43),1)="F",INDEX($F$1463:$F$1515,MATCH(Paramètres!N43,Paramètres!$G$5:$G$57,0)),INDEX($E$1463:$E$1515,MATCH(Paramètres!N43,Paramètres!$G$5:$G$57,0)))+IF(RIGHT(TRIM(Paramètres!O43),3)="Fin",1-$H1501,IF(LEFT(TRIM(Paramètres!O43),1)="F",1,0)))))))</f>
        <v/>
      </c>
      <c r="F1501" s="19">
        <f>IF($A1501="","",E1501+$H1501-1)</f>
        <v/>
      </c>
      <c r="G1501" s="18" t="n"/>
      <c r="H1501" s="18">
        <f>IF($A1501="","",IF(I1501&lt;&gt;"",I1501,Paramètres!B43))</f>
        <v/>
      </c>
      <c r="I1501" s="18" t="n"/>
    </row>
    <row r="1502">
      <c r="A1502" s="18">
        <f>IF(ISNUMBER(Dossiers!$D$31),Dossiers!$A$31&amp;" · "&amp;Dossiers!$B$31,"")</f>
        <v/>
      </c>
      <c r="B1502" s="18">
        <f>IF($A1502="","",Paramètres!G44)</f>
        <v/>
      </c>
      <c r="C1502" s="18">
        <f>IF($A1502="","",IF(Paramètres!H44="","",Paramètres!H44))</f>
        <v/>
      </c>
      <c r="D1502" s="18">
        <f>IF($A1502="","",IF(Paramètres!I44="","",Paramètres!I44))</f>
        <v/>
      </c>
      <c r="E1502" s="19">
        <f>IF($A1502="","",IF(Paramètres!J44&amp;Paramètres!L44&amp;Paramètres!N44="",Dossiers!$D$31,MAX(IF(Paramètres!J44="",0,IF(Paramètres!K44="",NA(),IF(LEFT(TRIM(Paramètres!K44),1)="F",INDEX($F$1463:$F$1515,MATCH(Paramètres!J44,Paramètres!$G$5:$G$57,0)),INDEX($E$1463:$E$1515,MATCH(Paramètres!J44,Paramètres!$G$5:$G$57,0)))+IF(RIGHT(TRIM(Paramètres!K44),3)="Fin",1-$H1502,IF(LEFT(TRIM(Paramètres!K44),1)="F",1,0)))),IF(Paramètres!L44="",0,IF(Paramètres!M44="",NA(),IF(LEFT(TRIM(Paramètres!M44),1)="F",INDEX($F$1463:$F$1515,MATCH(Paramètres!L44,Paramètres!$G$5:$G$57,0)),INDEX($E$1463:$E$1515,MATCH(Paramètres!L44,Paramètres!$G$5:$G$57,0)))+IF(RIGHT(TRIM(Paramètres!M44),3)="Fin",1-$H1502,IF(LEFT(TRIM(Paramètres!M44),1)="F",1,0)))),IF(Paramètres!N44="",0,IF(Paramètres!O44="",NA(),IF(LEFT(TRIM(Paramètres!O44),1)="F",INDEX($F$1463:$F$1515,MATCH(Paramètres!N44,Paramètres!$G$5:$G$57,0)),INDEX($E$1463:$E$1515,MATCH(Paramètres!N44,Paramètres!$G$5:$G$57,0)))+IF(RIGHT(TRIM(Paramètres!O44),3)="Fin",1-$H1502,IF(LEFT(TRIM(Paramètres!O44),1)="F",1,0)))))))</f>
        <v/>
      </c>
      <c r="F1502" s="19">
        <f>IF($A1502="","",E1502+$H1502-1)</f>
        <v/>
      </c>
      <c r="G1502" s="18" t="n"/>
      <c r="H1502" s="18">
        <f>IF($A1502="","",IF(I1502&lt;&gt;"",I1502,Paramètres!B44))</f>
        <v/>
      </c>
      <c r="I1502" s="18" t="n"/>
    </row>
    <row r="1503">
      <c r="A1503" s="18">
        <f>IF(ISNUMBER(Dossiers!$D$31),Dossiers!$A$31&amp;" · "&amp;Dossiers!$B$31,"")</f>
        <v/>
      </c>
      <c r="B1503" s="18">
        <f>IF($A1503="","",Paramètres!G45)</f>
        <v/>
      </c>
      <c r="C1503" s="20">
        <f>IF($A1503="","",IF(Dossiers!$G$31="","",Dossiers!$G$31))</f>
        <v/>
      </c>
      <c r="D1503" s="18">
        <f>IF($A1503="","",IF(Paramètres!I45="","",Paramètres!I45))</f>
        <v/>
      </c>
      <c r="E1503" s="19">
        <f>IF($A1503="","",IF(Paramètres!J45&amp;Paramètres!L45&amp;Paramètres!N45="",Dossiers!$D$31,MAX(IF(Paramètres!J45="",0,IF(Paramètres!K45="",NA(),IF(LEFT(TRIM(Paramètres!K45),1)="F",INDEX($F$1463:$F$1515,MATCH(Paramètres!J45,Paramètres!$G$5:$G$57,0)),INDEX($E$1463:$E$1515,MATCH(Paramètres!J45,Paramètres!$G$5:$G$57,0)))+IF(RIGHT(TRIM(Paramètres!K45),3)="Fin",1-$H1503,IF(LEFT(TRIM(Paramètres!K45),1)="F",1,0)))),IF(Paramètres!L45="",0,IF(Paramètres!M45="",NA(),IF(LEFT(TRIM(Paramètres!M45),1)="F",INDEX($F$1463:$F$1515,MATCH(Paramètres!L45,Paramètres!$G$5:$G$57,0)),INDEX($E$1463:$E$1515,MATCH(Paramètres!L45,Paramètres!$G$5:$G$57,0)))+IF(RIGHT(TRIM(Paramètres!M45),3)="Fin",1-$H1503,IF(LEFT(TRIM(Paramètres!M45),1)="F",1,0)))),IF(Paramètres!N45="",0,IF(Paramètres!O45="",NA(),IF(LEFT(TRIM(Paramètres!O45),1)="F",INDEX($F$1463:$F$1515,MATCH(Paramètres!N45,Paramètres!$G$5:$G$57,0)),INDEX($E$1463:$E$1515,MATCH(Paramètres!N45,Paramètres!$G$5:$G$57,0)))+IF(RIGHT(TRIM(Paramètres!O45),3)="Fin",1-$H1503,IF(LEFT(TRIM(Paramètres!O45),1)="F",1,0)))))))</f>
        <v/>
      </c>
      <c r="F1503" s="19">
        <f>IF($A1503="","",E1503+$H1503-1)</f>
        <v/>
      </c>
      <c r="G1503" s="18" t="n"/>
      <c r="H1503" s="18">
        <f>IF($A1503="","",IF(I1503&lt;&gt;"",I1503,Paramètres!B45))</f>
        <v/>
      </c>
      <c r="I1503" s="18" t="n"/>
    </row>
    <row r="1504">
      <c r="A1504" s="18">
        <f>IF(ISNUMBER(Dossiers!$D$31),Dossiers!$A$31&amp;" · "&amp;Dossiers!$B$31,"")</f>
        <v/>
      </c>
      <c r="B1504" s="18">
        <f>IF($A1504="","",Paramètres!G46)</f>
        <v/>
      </c>
      <c r="C1504" s="18">
        <f>IF($A1504="","",IF(Paramètres!H46="","",Paramètres!H46))</f>
        <v/>
      </c>
      <c r="D1504" s="18">
        <f>IF($A1504="","",IF(Paramètres!I46="","",Paramètres!I46))</f>
        <v/>
      </c>
      <c r="E1504" s="19">
        <f>IF($A1504="","",IF(Paramètres!J46&amp;Paramètres!L46&amp;Paramètres!N46="",Dossiers!$D$31,MAX(IF(Paramètres!J46="",0,IF(Paramètres!K46="",NA(),IF(LEFT(TRIM(Paramètres!K46),1)="F",INDEX($F$1463:$F$1515,MATCH(Paramètres!J46,Paramètres!$G$5:$G$57,0)),INDEX($E$1463:$E$1515,MATCH(Paramètres!J46,Paramètres!$G$5:$G$57,0)))+IF(RIGHT(TRIM(Paramètres!K46),3)="Fin",1-$H1504,IF(LEFT(TRIM(Paramètres!K46),1)="F",1,0)))),IF(Paramètres!L46="",0,IF(Paramètres!M46="",NA(),IF(LEFT(TRIM(Paramètres!M46),1)="F",INDEX($F$1463:$F$1515,MATCH(Paramètres!L46,Paramètres!$G$5:$G$57,0)),INDEX($E$1463:$E$1515,MATCH(Paramètres!L46,Paramètres!$G$5:$G$57,0)))+IF(RIGHT(TRIM(Paramètres!M46),3)="Fin",1-$H1504,IF(LEFT(TRIM(Paramètres!M46),1)="F",1,0)))),IF(Paramètres!N46="",0,IF(Paramètres!O46="",NA(),IF(LEFT(TRIM(Paramètres!O46),1)="F",INDEX($F$1463:$F$1515,MATCH(Paramètres!N46,Paramètres!$G$5:$G$57,0)),INDEX($E$1463:$E$1515,MATCH(Paramètres!N46,Paramètres!$G$5:$G$57,0)))+IF(RIGHT(TRIM(Paramètres!O46),3)="Fin",1-$H1504,IF(LEFT(TRIM(Paramètres!O46),1)="F",1,0)))))))</f>
        <v/>
      </c>
      <c r="F1504" s="19">
        <f>IF($A1504="","",E1504+$H1504-1)</f>
        <v/>
      </c>
      <c r="G1504" s="18" t="n"/>
      <c r="H1504" s="18">
        <f>IF($A1504="","",IF(I1504&lt;&gt;"",I1504,Paramètres!B46))</f>
        <v/>
      </c>
      <c r="I1504" s="18" t="n"/>
    </row>
    <row r="1505">
      <c r="A1505" s="18">
        <f>IF(ISNUMBER(Dossiers!$D$31),Dossiers!$A$31&amp;" · "&amp;Dossiers!$B$31,"")</f>
        <v/>
      </c>
      <c r="B1505" s="18">
        <f>IF($A1505="","",Paramètres!G47)</f>
        <v/>
      </c>
      <c r="C1505" s="18">
        <f>IF($A1505="","",IF(Paramètres!H47="","",Paramètres!H47))</f>
        <v/>
      </c>
      <c r="D1505" s="18">
        <f>IF($A1505="","",IF(Paramètres!I47="","",Paramètres!I47))</f>
        <v/>
      </c>
      <c r="E1505" s="19">
        <f>IF($A1505="","",IF(Paramètres!J47&amp;Paramètres!L47&amp;Paramètres!N47="",Dossiers!$D$31,MAX(IF(Paramètres!J47="",0,IF(Paramètres!K47="",NA(),IF(LEFT(TRIM(Paramètres!K47),1)="F",INDEX($F$1463:$F$1515,MATCH(Paramètres!J47,Paramètres!$G$5:$G$57,0)),INDEX($E$1463:$E$1515,MATCH(Paramètres!J47,Paramètres!$G$5:$G$57,0)))+IF(RIGHT(TRIM(Paramètres!K47),3)="Fin",1-$H1505,IF(LEFT(TRIM(Paramètres!K47),1)="F",1,0)))),IF(Paramètres!L47="",0,IF(Paramètres!M47="",NA(),IF(LEFT(TRIM(Paramètres!M47),1)="F",INDEX($F$1463:$F$1515,MATCH(Paramètres!L47,Paramètres!$G$5:$G$57,0)),INDEX($E$1463:$E$1515,MATCH(Paramètres!L47,Paramètres!$G$5:$G$57,0)))+IF(RIGHT(TRIM(Paramètres!M47),3)="Fin",1-$H1505,IF(LEFT(TRIM(Paramètres!M47),1)="F",1,0)))),IF(Paramètres!N47="",0,IF(Paramètres!O47="",NA(),IF(LEFT(TRIM(Paramètres!O47),1)="F",INDEX($F$1463:$F$1515,MATCH(Paramètres!N47,Paramètres!$G$5:$G$57,0)),INDEX($E$1463:$E$1515,MATCH(Paramètres!N47,Paramètres!$G$5:$G$57,0)))+IF(RIGHT(TRIM(Paramètres!O47),3)="Fin",1-$H1505,IF(LEFT(TRIM(Paramètres!O47),1)="F",1,0)))))))</f>
        <v/>
      </c>
      <c r="F1505" s="19">
        <f>IF($A1505="","",E1505+$H1505-1)</f>
        <v/>
      </c>
      <c r="G1505" s="18" t="n"/>
      <c r="H1505" s="18">
        <f>IF($A1505="","",IF(I1505&lt;&gt;"",I1505,Paramètres!B47))</f>
        <v/>
      </c>
      <c r="I1505" s="18" t="n"/>
    </row>
    <row r="1506">
      <c r="A1506" s="18">
        <f>IF(ISNUMBER(Dossiers!$D$31),Dossiers!$A$31&amp;" · "&amp;Dossiers!$B$31,"")</f>
        <v/>
      </c>
      <c r="B1506" s="18">
        <f>IF($A1506="","",Paramètres!G48)</f>
        <v/>
      </c>
      <c r="C1506" s="18">
        <f>IF($A1506="","",IF(Paramètres!H48="","",Paramètres!H48))</f>
        <v/>
      </c>
      <c r="D1506" s="18">
        <f>IF($A1506="","",IF(Paramètres!I48="","",Paramètres!I48))</f>
        <v/>
      </c>
      <c r="E1506" s="19">
        <f>IF($A1506="","",IF(Paramètres!J48&amp;Paramètres!L48&amp;Paramètres!N48="",Dossiers!$D$31,MAX(IF(Paramètres!J48="",0,IF(Paramètres!K48="",NA(),IF(LEFT(TRIM(Paramètres!K48),1)="F",INDEX($F$1463:$F$1515,MATCH(Paramètres!J48,Paramètres!$G$5:$G$57,0)),INDEX($E$1463:$E$1515,MATCH(Paramètres!J48,Paramètres!$G$5:$G$57,0)))+IF(RIGHT(TRIM(Paramètres!K48),3)="Fin",1-$H1506,IF(LEFT(TRIM(Paramètres!K48),1)="F",1,0)))),IF(Paramètres!L48="",0,IF(Paramètres!M48="",NA(),IF(LEFT(TRIM(Paramètres!M48),1)="F",INDEX($F$1463:$F$1515,MATCH(Paramètres!L48,Paramètres!$G$5:$G$57,0)),INDEX($E$1463:$E$1515,MATCH(Paramètres!L48,Paramètres!$G$5:$G$57,0)))+IF(RIGHT(TRIM(Paramètres!M48),3)="Fin",1-$H1506,IF(LEFT(TRIM(Paramètres!M48),1)="F",1,0)))),IF(Paramètres!N48="",0,IF(Paramètres!O48="",NA(),IF(LEFT(TRIM(Paramètres!O48),1)="F",INDEX($F$1463:$F$1515,MATCH(Paramètres!N48,Paramètres!$G$5:$G$57,0)),INDEX($E$1463:$E$1515,MATCH(Paramètres!N48,Paramètres!$G$5:$G$57,0)))+IF(RIGHT(TRIM(Paramètres!O48),3)="Fin",1-$H1506,IF(LEFT(TRIM(Paramètres!O48),1)="F",1,0)))))))</f>
        <v/>
      </c>
      <c r="F1506" s="19">
        <f>IF($A1506="","",E1506+$H1506-1)</f>
        <v/>
      </c>
      <c r="G1506" s="18" t="n"/>
      <c r="H1506" s="18">
        <f>IF($A1506="","",IF(I1506&lt;&gt;"",I1506,Paramètres!B48))</f>
        <v/>
      </c>
      <c r="I1506" s="18" t="n"/>
    </row>
    <row r="1507">
      <c r="A1507" s="18">
        <f>IF(ISNUMBER(Dossiers!$D$31),Dossiers!$A$31&amp;" · "&amp;Dossiers!$B$31,"")</f>
        <v/>
      </c>
      <c r="B1507" s="18">
        <f>IF($A1507="","",Paramètres!G49)</f>
        <v/>
      </c>
      <c r="C1507" s="18">
        <f>IF($A1507="","",IF(Paramètres!H49="","",Paramètres!H49))</f>
        <v/>
      </c>
      <c r="D1507" s="18">
        <f>IF($A1507="","",IF(Paramètres!I49="","",Paramètres!I49))</f>
        <v/>
      </c>
      <c r="E1507" s="19">
        <f>IF($A1507="","",IF(Paramètres!J49&amp;Paramètres!L49&amp;Paramètres!N49="",Dossiers!$D$31,MAX(IF(Paramètres!J49="",0,IF(Paramètres!K49="",NA(),IF(LEFT(TRIM(Paramètres!K49),1)="F",INDEX($F$1463:$F$1515,MATCH(Paramètres!J49,Paramètres!$G$5:$G$57,0)),INDEX($E$1463:$E$1515,MATCH(Paramètres!J49,Paramètres!$G$5:$G$57,0)))+IF(RIGHT(TRIM(Paramètres!K49),3)="Fin",1-$H1507,IF(LEFT(TRIM(Paramètres!K49),1)="F",1,0)))),IF(Paramètres!L49="",0,IF(Paramètres!M49="",NA(),IF(LEFT(TRIM(Paramètres!M49),1)="F",INDEX($F$1463:$F$1515,MATCH(Paramètres!L49,Paramètres!$G$5:$G$57,0)),INDEX($E$1463:$E$1515,MATCH(Paramètres!L49,Paramètres!$G$5:$G$57,0)))+IF(RIGHT(TRIM(Paramètres!M49),3)="Fin",1-$H1507,IF(LEFT(TRIM(Paramètres!M49),1)="F",1,0)))),IF(Paramètres!N49="",0,IF(Paramètres!O49="",NA(),IF(LEFT(TRIM(Paramètres!O49),1)="F",INDEX($F$1463:$F$1515,MATCH(Paramètres!N49,Paramètres!$G$5:$G$57,0)),INDEX($E$1463:$E$1515,MATCH(Paramètres!N49,Paramètres!$G$5:$G$57,0)))+IF(RIGHT(TRIM(Paramètres!O49),3)="Fin",1-$H1507,IF(LEFT(TRIM(Paramètres!O49),1)="F",1,0)))))))</f>
        <v/>
      </c>
      <c r="F1507" s="19">
        <f>IF($A1507="","",E1507+$H1507-1)</f>
        <v/>
      </c>
      <c r="G1507" s="18" t="n"/>
      <c r="H1507" s="18">
        <f>IF($A1507="","",IF(I1507&lt;&gt;"",I1507,Paramètres!B49))</f>
        <v/>
      </c>
      <c r="I1507" s="18" t="n"/>
    </row>
    <row r="1508">
      <c r="A1508" s="18">
        <f>IF(ISNUMBER(Dossiers!$D$31),Dossiers!$A$31&amp;" · "&amp;Dossiers!$B$31,"")</f>
        <v/>
      </c>
      <c r="B1508" s="18">
        <f>IF($A1508="","",Paramètres!G50)</f>
        <v/>
      </c>
      <c r="C1508" s="18">
        <f>IF($A1508="","",IF(Paramètres!H50="","",Paramètres!H50))</f>
        <v/>
      </c>
      <c r="D1508" s="18">
        <f>IF($A1508="","",IF(Paramètres!I50="","",Paramètres!I50))</f>
        <v/>
      </c>
      <c r="E1508" s="19">
        <f>IF($A1508="","",IF(Paramètres!J50&amp;Paramètres!L50&amp;Paramètres!N50="",Dossiers!$D$31,MAX(IF(Paramètres!J50="",0,IF(Paramètres!K50="",NA(),IF(LEFT(TRIM(Paramètres!K50),1)="F",INDEX($F$1463:$F$1515,MATCH(Paramètres!J50,Paramètres!$G$5:$G$57,0)),INDEX($E$1463:$E$1515,MATCH(Paramètres!J50,Paramètres!$G$5:$G$57,0)))+IF(RIGHT(TRIM(Paramètres!K50),3)="Fin",1-$H1508,IF(LEFT(TRIM(Paramètres!K50),1)="F",1,0)))),IF(Paramètres!L50="",0,IF(Paramètres!M50="",NA(),IF(LEFT(TRIM(Paramètres!M50),1)="F",INDEX($F$1463:$F$1515,MATCH(Paramètres!L50,Paramètres!$G$5:$G$57,0)),INDEX($E$1463:$E$1515,MATCH(Paramètres!L50,Paramètres!$G$5:$G$57,0)))+IF(RIGHT(TRIM(Paramètres!M50),3)="Fin",1-$H1508,IF(LEFT(TRIM(Paramètres!M50),1)="F",1,0)))),IF(Paramètres!N50="",0,IF(Paramètres!O50="",NA(),IF(LEFT(TRIM(Paramètres!O50),1)="F",INDEX($F$1463:$F$1515,MATCH(Paramètres!N50,Paramètres!$G$5:$G$57,0)),INDEX($E$1463:$E$1515,MATCH(Paramètres!N50,Paramètres!$G$5:$G$57,0)))+IF(RIGHT(TRIM(Paramètres!O50),3)="Fin",1-$H1508,IF(LEFT(TRIM(Paramètres!O50),1)="F",1,0)))))))</f>
        <v/>
      </c>
      <c r="F1508" s="19">
        <f>IF($A1508="","",E1508+$H1508-1)</f>
        <v/>
      </c>
      <c r="G1508" s="18" t="n"/>
      <c r="H1508" s="18">
        <f>IF($A1508="","",IF(I1508&lt;&gt;"",I1508,Paramètres!B50))</f>
        <v/>
      </c>
      <c r="I1508" s="18" t="n"/>
    </row>
    <row r="1509">
      <c r="A1509" s="18">
        <f>IF(ISNUMBER(Dossiers!$D$31),Dossiers!$A$31&amp;" · "&amp;Dossiers!$B$31,"")</f>
        <v/>
      </c>
      <c r="B1509" s="18">
        <f>IF($A1509="","",Paramètres!G51)</f>
        <v/>
      </c>
      <c r="C1509" s="18">
        <f>IF($A1509="","",IF(Paramètres!H51="","",Paramètres!H51))</f>
        <v/>
      </c>
      <c r="D1509" s="18">
        <f>IF($A1509="","",IF(Paramètres!I51="","",Paramètres!I51))</f>
        <v/>
      </c>
      <c r="E1509" s="19">
        <f>IF($A1509="","",IF(Paramètres!J51&amp;Paramètres!L51&amp;Paramètres!N51="",Dossiers!$D$31,MAX(IF(Paramètres!J51="",0,IF(Paramètres!K51="",NA(),IF(LEFT(TRIM(Paramètres!K51),1)="F",INDEX($F$1463:$F$1515,MATCH(Paramètres!J51,Paramètres!$G$5:$G$57,0)),INDEX($E$1463:$E$1515,MATCH(Paramètres!J51,Paramètres!$G$5:$G$57,0)))+IF(RIGHT(TRIM(Paramètres!K51),3)="Fin",1-$H1509,IF(LEFT(TRIM(Paramètres!K51),1)="F",1,0)))),IF(Paramètres!L51="",0,IF(Paramètres!M51="",NA(),IF(LEFT(TRIM(Paramètres!M51),1)="F",INDEX($F$1463:$F$1515,MATCH(Paramètres!L51,Paramètres!$G$5:$G$57,0)),INDEX($E$1463:$E$1515,MATCH(Paramètres!L51,Paramètres!$G$5:$G$57,0)))+IF(RIGHT(TRIM(Paramètres!M51),3)="Fin",1-$H1509,IF(LEFT(TRIM(Paramètres!M51),1)="F",1,0)))),IF(Paramètres!N51="",0,IF(Paramètres!O51="",NA(),IF(LEFT(TRIM(Paramètres!O51),1)="F",INDEX($F$1463:$F$1515,MATCH(Paramètres!N51,Paramètres!$G$5:$G$57,0)),INDEX($E$1463:$E$1515,MATCH(Paramètres!N51,Paramètres!$G$5:$G$57,0)))+IF(RIGHT(TRIM(Paramètres!O51),3)="Fin",1-$H1509,IF(LEFT(TRIM(Paramètres!O51),1)="F",1,0)))))))</f>
        <v/>
      </c>
      <c r="F1509" s="19">
        <f>IF($A1509="","",E1509+$H1509-1)</f>
        <v/>
      </c>
      <c r="G1509" s="18" t="n"/>
      <c r="H1509" s="18">
        <f>IF($A1509="","",IF(I1509&lt;&gt;"",I1509,Paramètres!B51))</f>
        <v/>
      </c>
      <c r="I1509" s="18" t="n"/>
    </row>
    <row r="1510">
      <c r="A1510" s="18">
        <f>IF(ISNUMBER(Dossiers!$D$31),Dossiers!$A$31&amp;" · "&amp;Dossiers!$B$31,"")</f>
        <v/>
      </c>
      <c r="B1510" s="18">
        <f>IF($A1510="","",Paramètres!G52)</f>
        <v/>
      </c>
      <c r="C1510" s="18">
        <f>IF($A1510="","",IF(Paramètres!H52="","",Paramètres!H52))</f>
        <v/>
      </c>
      <c r="D1510" s="18">
        <f>IF($A1510="","",IF(Paramètres!I52="","",Paramètres!I52))</f>
        <v/>
      </c>
      <c r="E1510" s="19">
        <f>IF($A1510="","",IF(Paramètres!J52&amp;Paramètres!L52&amp;Paramètres!N52="",Dossiers!$D$31,MAX(IF(Paramètres!J52="",0,IF(Paramètres!K52="",NA(),IF(LEFT(TRIM(Paramètres!K52),1)="F",INDEX($F$1463:$F$1515,MATCH(Paramètres!J52,Paramètres!$G$5:$G$57,0)),INDEX($E$1463:$E$1515,MATCH(Paramètres!J52,Paramètres!$G$5:$G$57,0)))+IF(RIGHT(TRIM(Paramètres!K52),3)="Fin",1-$H1510,IF(LEFT(TRIM(Paramètres!K52),1)="F",1,0)))),IF(Paramètres!L52="",0,IF(Paramètres!M52="",NA(),IF(LEFT(TRIM(Paramètres!M52),1)="F",INDEX($F$1463:$F$1515,MATCH(Paramètres!L52,Paramètres!$G$5:$G$57,0)),INDEX($E$1463:$E$1515,MATCH(Paramètres!L52,Paramètres!$G$5:$G$57,0)))+IF(RIGHT(TRIM(Paramètres!M52),3)="Fin",1-$H1510,IF(LEFT(TRIM(Paramètres!M52),1)="F",1,0)))),IF(Paramètres!N52="",0,IF(Paramètres!O52="",NA(),IF(LEFT(TRIM(Paramètres!O52),1)="F",INDEX($F$1463:$F$1515,MATCH(Paramètres!N52,Paramètres!$G$5:$G$57,0)),INDEX($E$1463:$E$1515,MATCH(Paramètres!N52,Paramètres!$G$5:$G$57,0)))+IF(RIGHT(TRIM(Paramètres!O52),3)="Fin",1-$H1510,IF(LEFT(TRIM(Paramètres!O52),1)="F",1,0)))))))</f>
        <v/>
      </c>
      <c r="F1510" s="19">
        <f>IF($A1510="","",E1510+$H1510-1)</f>
        <v/>
      </c>
      <c r="G1510" s="18" t="n"/>
      <c r="H1510" s="18">
        <f>IF($A1510="","",IF(I1510&lt;&gt;"",I1510,Paramètres!B52))</f>
        <v/>
      </c>
      <c r="I1510" s="18" t="n"/>
    </row>
    <row r="1511">
      <c r="A1511" s="18">
        <f>IF(ISNUMBER(Dossiers!$D$31),Dossiers!$A$31&amp;" · "&amp;Dossiers!$B$31,"")</f>
        <v/>
      </c>
      <c r="B1511" s="18">
        <f>IF($A1511="","",Paramètres!G53)</f>
        <v/>
      </c>
      <c r="C1511" s="18">
        <f>IF($A1511="","",IF(Paramètres!H53="","",Paramètres!H53))</f>
        <v/>
      </c>
      <c r="D1511" s="18">
        <f>IF($A1511="","",IF(Paramètres!I53="","",Paramètres!I53))</f>
        <v/>
      </c>
      <c r="E1511" s="19">
        <f>IF($A1511="","",IF(Paramètres!J53&amp;Paramètres!L53&amp;Paramètres!N53="",Dossiers!$D$31,MAX(IF(Paramètres!J53="",0,IF(Paramètres!K53="",NA(),IF(LEFT(TRIM(Paramètres!K53),1)="F",INDEX($F$1463:$F$1515,MATCH(Paramètres!J53,Paramètres!$G$5:$G$57,0)),INDEX($E$1463:$E$1515,MATCH(Paramètres!J53,Paramètres!$G$5:$G$57,0)))+IF(RIGHT(TRIM(Paramètres!K53),3)="Fin",1-$H1511,IF(LEFT(TRIM(Paramètres!K53),1)="F",1,0)))),IF(Paramètres!L53="",0,IF(Paramètres!M53="",NA(),IF(LEFT(TRIM(Paramètres!M53),1)="F",INDEX($F$1463:$F$1515,MATCH(Paramètres!L53,Paramètres!$G$5:$G$57,0)),INDEX($E$1463:$E$1515,MATCH(Paramètres!L53,Paramètres!$G$5:$G$57,0)))+IF(RIGHT(TRIM(Paramètres!M53),3)="Fin",1-$H1511,IF(LEFT(TRIM(Paramètres!M53),1)="F",1,0)))),IF(Paramètres!N53="",0,IF(Paramètres!O53="",NA(),IF(LEFT(TRIM(Paramètres!O53),1)="F",INDEX($F$1463:$F$1515,MATCH(Paramètres!N53,Paramètres!$G$5:$G$57,0)),INDEX($E$1463:$E$1515,MATCH(Paramètres!N53,Paramètres!$G$5:$G$57,0)))+IF(RIGHT(TRIM(Paramètres!O53),3)="Fin",1-$H1511,IF(LEFT(TRIM(Paramètres!O53),1)="F",1,0)))))))</f>
        <v/>
      </c>
      <c r="F1511" s="19">
        <f>IF($A1511="","",E1511+$H1511-1)</f>
        <v/>
      </c>
      <c r="G1511" s="18" t="n"/>
      <c r="H1511" s="18">
        <f>IF($A1511="","",IF(I1511&lt;&gt;"",I1511,Paramètres!B53))</f>
        <v/>
      </c>
      <c r="I1511" s="18" t="n"/>
    </row>
    <row r="1512">
      <c r="A1512" s="18">
        <f>IF(ISNUMBER(Dossiers!$D$31),Dossiers!$A$31&amp;" · "&amp;Dossiers!$B$31,"")</f>
        <v/>
      </c>
      <c r="B1512" s="18">
        <f>IF($A1512="","",Paramètres!G54)</f>
        <v/>
      </c>
      <c r="C1512" s="18">
        <f>IF($A1512="","",IF(Paramètres!H54="","",Paramètres!H54))</f>
        <v/>
      </c>
      <c r="D1512" s="18">
        <f>IF($A1512="","",IF(Paramètres!I54="","",Paramètres!I54))</f>
        <v/>
      </c>
      <c r="E1512" s="19">
        <f>IF($A1512="","",IF(Paramètres!J54&amp;Paramètres!L54&amp;Paramètres!N54="",Dossiers!$D$31,MAX(IF(Paramètres!J54="",0,IF(Paramètres!K54="",NA(),IF(LEFT(TRIM(Paramètres!K54),1)="F",INDEX($F$1463:$F$1515,MATCH(Paramètres!J54,Paramètres!$G$5:$G$57,0)),INDEX($E$1463:$E$1515,MATCH(Paramètres!J54,Paramètres!$G$5:$G$57,0)))+IF(RIGHT(TRIM(Paramètres!K54),3)="Fin",1-$H1512,IF(LEFT(TRIM(Paramètres!K54),1)="F",1,0)))),IF(Paramètres!L54="",0,IF(Paramètres!M54="",NA(),IF(LEFT(TRIM(Paramètres!M54),1)="F",INDEX($F$1463:$F$1515,MATCH(Paramètres!L54,Paramètres!$G$5:$G$57,0)),INDEX($E$1463:$E$1515,MATCH(Paramètres!L54,Paramètres!$G$5:$G$57,0)))+IF(RIGHT(TRIM(Paramètres!M54),3)="Fin",1-$H1512,IF(LEFT(TRIM(Paramètres!M54),1)="F",1,0)))),IF(Paramètres!N54="",0,IF(Paramètres!O54="",NA(),IF(LEFT(TRIM(Paramètres!O54),1)="F",INDEX($F$1463:$F$1515,MATCH(Paramètres!N54,Paramètres!$G$5:$G$57,0)),INDEX($E$1463:$E$1515,MATCH(Paramètres!N54,Paramètres!$G$5:$G$57,0)))+IF(RIGHT(TRIM(Paramètres!O54),3)="Fin",1-$H1512,IF(LEFT(TRIM(Paramètres!O54),1)="F",1,0)))))))</f>
        <v/>
      </c>
      <c r="F1512" s="19">
        <f>IF($A1512="","",E1512+$H1512-1)</f>
        <v/>
      </c>
      <c r="G1512" s="18" t="n"/>
      <c r="H1512" s="18">
        <f>IF($A1512="","",IF(I1512&lt;&gt;"",I1512,Paramètres!B54))</f>
        <v/>
      </c>
      <c r="I1512" s="18" t="n"/>
    </row>
    <row r="1513">
      <c r="A1513" s="18">
        <f>IF(ISNUMBER(Dossiers!$D$31),Dossiers!$A$31&amp;" · "&amp;Dossiers!$B$31,"")</f>
        <v/>
      </c>
      <c r="B1513" s="18">
        <f>IF($A1513="","",Paramètres!G55)</f>
        <v/>
      </c>
      <c r="C1513" s="18">
        <f>IF($A1513="","",IF(Paramètres!H55="","",Paramètres!H55))</f>
        <v/>
      </c>
      <c r="D1513" s="18">
        <f>IF($A1513="","",IF(Paramètres!I55="","",Paramètres!I55))</f>
        <v/>
      </c>
      <c r="E1513" s="19">
        <f>IF($A1513="","",IF(Paramètres!J55&amp;Paramètres!L55&amp;Paramètres!N55="",Dossiers!$D$31,MAX(IF(Paramètres!J55="",0,IF(Paramètres!K55="",NA(),IF(LEFT(TRIM(Paramètres!K55),1)="F",INDEX($F$1463:$F$1515,MATCH(Paramètres!J55,Paramètres!$G$5:$G$57,0)),INDEX($E$1463:$E$1515,MATCH(Paramètres!J55,Paramètres!$G$5:$G$57,0)))+IF(RIGHT(TRIM(Paramètres!K55),3)="Fin",1-$H1513,IF(LEFT(TRIM(Paramètres!K55),1)="F",1,0)))),IF(Paramètres!L55="",0,IF(Paramètres!M55="",NA(),IF(LEFT(TRIM(Paramètres!M55),1)="F",INDEX($F$1463:$F$1515,MATCH(Paramètres!L55,Paramètres!$G$5:$G$57,0)),INDEX($E$1463:$E$1515,MATCH(Paramètres!L55,Paramètres!$G$5:$G$57,0)))+IF(RIGHT(TRIM(Paramètres!M55),3)="Fin",1-$H1513,IF(LEFT(TRIM(Paramètres!M55),1)="F",1,0)))),IF(Paramètres!N55="",0,IF(Paramètres!O55="",NA(),IF(LEFT(TRIM(Paramètres!O55),1)="F",INDEX($F$1463:$F$1515,MATCH(Paramètres!N55,Paramètres!$G$5:$G$57,0)),INDEX($E$1463:$E$1515,MATCH(Paramètres!N55,Paramètres!$G$5:$G$57,0)))+IF(RIGHT(TRIM(Paramètres!O55),3)="Fin",1-$H1513,IF(LEFT(TRIM(Paramètres!O55),1)="F",1,0)))))))</f>
        <v/>
      </c>
      <c r="F1513" s="19">
        <f>IF($A1513="","",E1513+$H1513-1)</f>
        <v/>
      </c>
      <c r="G1513" s="18" t="n"/>
      <c r="H1513" s="18">
        <f>IF($A1513="","",IF(I1513&lt;&gt;"",I1513,Paramètres!B55))</f>
        <v/>
      </c>
      <c r="I1513" s="18" t="n"/>
    </row>
    <row r="1514">
      <c r="A1514" s="18">
        <f>IF(ISNUMBER(Dossiers!$D$31),Dossiers!$A$31&amp;" · "&amp;Dossiers!$B$31,"")</f>
        <v/>
      </c>
      <c r="B1514" s="18">
        <f>IF($A1514="","",Paramètres!G56)</f>
        <v/>
      </c>
      <c r="C1514" s="18">
        <f>IF($A1514="","",IF(Paramètres!H56="","",Paramètres!H56))</f>
        <v/>
      </c>
      <c r="D1514" s="18">
        <f>IF($A1514="","",IF(Paramètres!I56="","",Paramètres!I56))</f>
        <v/>
      </c>
      <c r="E1514" s="19">
        <f>IF($A1514="","",MIN(E1515:E1515))</f>
        <v/>
      </c>
      <c r="F1514" s="19">
        <f>IF($A1514="","",MAX(F1515:F1515))</f>
        <v/>
      </c>
      <c r="G1514" s="18" t="n"/>
      <c r="H1514" s="18">
        <f>IF($A1514="","",F1514-E1514+1)</f>
        <v/>
      </c>
      <c r="I1514" s="18" t="n"/>
    </row>
    <row r="1515">
      <c r="A1515" s="18">
        <f>IF(ISNUMBER(Dossiers!$D$31),Dossiers!$A$31&amp;" · "&amp;Dossiers!$B$31,"")</f>
        <v/>
      </c>
      <c r="B1515" s="18">
        <f>IF($A1515="","",Paramètres!G57)</f>
        <v/>
      </c>
      <c r="C1515" s="18">
        <f>IF($A1515="","",IF(Paramètres!H57="","",Paramètres!H57))</f>
        <v/>
      </c>
      <c r="D1515" s="18">
        <f>IF($A1515="","",IF(Paramètres!I57="","",Paramètres!I57))</f>
        <v/>
      </c>
      <c r="E1515" s="19">
        <f>IF($A1515="","",IF(Paramètres!J57&amp;Paramètres!L57&amp;Paramètres!N57="",Dossiers!$D$31,MAX(IF(Paramètres!J57="",0,IF(Paramètres!K57="",NA(),IF(LEFT(TRIM(Paramètres!K57),1)="F",INDEX($F$1463:$F$1515,MATCH(Paramètres!J57,Paramètres!$G$5:$G$57,0)),INDEX($E$1463:$E$1515,MATCH(Paramètres!J57,Paramètres!$G$5:$G$57,0)))+IF(RIGHT(TRIM(Paramètres!K57),3)="Fin",1-$H1515,IF(LEFT(TRIM(Paramètres!K57),1)="F",1,0)))),IF(Paramètres!L57="",0,IF(Paramètres!M57="",NA(),IF(LEFT(TRIM(Paramètres!M57),1)="F",INDEX($F$1463:$F$1515,MATCH(Paramètres!L57,Paramètres!$G$5:$G$57,0)),INDEX($E$1463:$E$1515,MATCH(Paramètres!L57,Paramètres!$G$5:$G$57,0)))+IF(RIGHT(TRIM(Paramètres!M57),3)="Fin",1-$H1515,IF(LEFT(TRIM(Paramètres!M57),1)="F",1,0)))),IF(Paramètres!N57="",0,IF(Paramètres!O57="",NA(),IF(LEFT(TRIM(Paramètres!O57),1)="F",INDEX($F$1463:$F$1515,MATCH(Paramètres!N57,Paramètres!$G$5:$G$57,0)),INDEX($E$1463:$E$1515,MATCH(Paramètres!N57,Paramètres!$G$5:$G$57,0)))+IF(RIGHT(TRIM(Paramètres!O57),3)="Fin",1-$H1515,IF(LEFT(TRIM(Paramètres!O57),1)="F",1,0)))))))</f>
        <v/>
      </c>
      <c r="F1515" s="19">
        <f>IF($A1515="","",E1515+$H1515-1)</f>
        <v/>
      </c>
      <c r="G1515" s="18" t="n"/>
      <c r="H1515" s="18">
        <f>IF($A1515="","",IF(I1515&lt;&gt;"",I1515,Paramètres!B57))</f>
        <v/>
      </c>
      <c r="I1515" s="18" t="n"/>
    </row>
    <row r="1516">
      <c r="A1516" s="16">
        <f>IF(ISNUMBER(Dossiers!$D$32),Dossiers!$E$32,"")</f>
        <v/>
      </c>
      <c r="B1516" s="16">
        <f>IF($A1516="","","Identifiant")</f>
        <v/>
      </c>
      <c r="C1516" s="16">
        <f>IF($A1516="","","Macro Etape")</f>
        <v/>
      </c>
      <c r="D1516" s="16">
        <f>IF($A1516="","","Etape")</f>
        <v/>
      </c>
      <c r="E1516" s="17">
        <f>IF($A1516="","","Début le")</f>
        <v/>
      </c>
      <c r="F1516" s="17">
        <f>IF($A1516="","","Fin prévue le")</f>
        <v/>
      </c>
      <c r="G1516" s="16">
        <f>IF($A1516="","","Statut")</f>
        <v/>
      </c>
      <c r="H1516" s="16">
        <f>IF($A1516="","","Durée (jours)")</f>
        <v/>
      </c>
      <c r="I1516" s="16">
        <f>IF($A1516="","","Durée particulière")</f>
        <v/>
      </c>
      <c r="J1516" s="10">
        <f>IF($A1516="","",HYPERLINK("#'Tableau de bord'!A1","↑ Tableau de bord"))</f>
        <v/>
      </c>
    </row>
    <row r="1517">
      <c r="A1517" s="18">
        <f>IF(ISNUMBER(Dossiers!$D$32),Dossiers!$A$32&amp;" · "&amp;Dossiers!$B$32,"")</f>
        <v/>
      </c>
      <c r="B1517" s="18">
        <f>IF($A1517="","",Paramètres!G5)</f>
        <v/>
      </c>
      <c r="C1517" s="18">
        <f>IF($A1517="","",IF(Paramètres!H5="","",Paramètres!H5))</f>
        <v/>
      </c>
      <c r="D1517" s="18">
        <f>IF($A1517="","",IF(Paramètres!I5="","",Paramètres!I5))</f>
        <v/>
      </c>
      <c r="E1517" s="19">
        <f>IF($A1517="","",MIN(E1518:E1521))</f>
        <v/>
      </c>
      <c r="F1517" s="19">
        <f>IF($A1517="","",MAX(F1518:F1521))</f>
        <v/>
      </c>
      <c r="G1517" s="18" t="n"/>
      <c r="H1517" s="18">
        <f>IF($A1517="","",F1517-E1517+1)</f>
        <v/>
      </c>
      <c r="I1517" s="18" t="n"/>
    </row>
    <row r="1518">
      <c r="A1518" s="18">
        <f>IF(ISNUMBER(Dossiers!$D$32),Dossiers!$A$32&amp;" · "&amp;Dossiers!$B$32,"")</f>
        <v/>
      </c>
      <c r="B1518" s="18">
        <f>IF($A1518="","",Paramètres!G6)</f>
        <v/>
      </c>
      <c r="C1518" s="18">
        <f>IF($A1518="","",IF(Paramètres!H6="","",Paramètres!H6))</f>
        <v/>
      </c>
      <c r="D1518" s="18">
        <f>IF($A1518="","",IF(Paramètres!I6="","",Paramètres!I6))</f>
        <v/>
      </c>
      <c r="E1518" s="19">
        <f>IF($A1518="","",IF(Paramètres!J6&amp;Paramètres!L6&amp;Paramètres!N6="",Dossiers!$D$32,MAX(IF(Paramètres!J6="",0,IF(Paramètres!K6="",NA(),IF(LEFT(TRIM(Paramètres!K6),1)="F",INDEX($F$1517:$F$1569,MATCH(Paramètres!J6,Paramètres!$G$5:$G$57,0)),INDEX($E$1517:$E$1569,MATCH(Paramètres!J6,Paramètres!$G$5:$G$57,0)))+IF(RIGHT(TRIM(Paramètres!K6),3)="Fin",1-$H1518,IF(LEFT(TRIM(Paramètres!K6),1)="F",1,0)))),IF(Paramètres!L6="",0,IF(Paramètres!M6="",NA(),IF(LEFT(TRIM(Paramètres!M6),1)="F",INDEX($F$1517:$F$1569,MATCH(Paramètres!L6,Paramètres!$G$5:$G$57,0)),INDEX($E$1517:$E$1569,MATCH(Paramètres!L6,Paramètres!$G$5:$G$57,0)))+IF(RIGHT(TRIM(Paramètres!M6),3)="Fin",1-$H1518,IF(LEFT(TRIM(Paramètres!M6),1)="F",1,0)))),IF(Paramètres!N6="",0,IF(Paramètres!O6="",NA(),IF(LEFT(TRIM(Paramètres!O6),1)="F",INDEX($F$1517:$F$1569,MATCH(Paramètres!N6,Paramètres!$G$5:$G$57,0)),INDEX($E$1517:$E$1569,MATCH(Paramètres!N6,Paramètres!$G$5:$G$57,0)))+IF(RIGHT(TRIM(Paramètres!O6),3)="Fin",1-$H1518,IF(LEFT(TRIM(Paramètres!O6),1)="F",1,0)))))))</f>
        <v/>
      </c>
      <c r="F1518" s="19">
        <f>IF($A1518="","",E1518+$H1518-1)</f>
        <v/>
      </c>
      <c r="G1518" s="18" t="n"/>
      <c r="H1518" s="18">
        <f>IF($A1518="","",IF(I1518&lt;&gt;"",I1518,Paramètres!B6))</f>
        <v/>
      </c>
      <c r="I1518" s="18" t="n"/>
    </row>
    <row r="1519">
      <c r="A1519" s="18">
        <f>IF(ISNUMBER(Dossiers!$D$32),Dossiers!$A$32&amp;" · "&amp;Dossiers!$B$32,"")</f>
        <v/>
      </c>
      <c r="B1519" s="18">
        <f>IF($A1519="","",Paramètres!G7)</f>
        <v/>
      </c>
      <c r="C1519" s="18">
        <f>IF($A1519="","",IF(Paramètres!H7="","",Paramètres!H7))</f>
        <v/>
      </c>
      <c r="D1519" s="18">
        <f>IF($A1519="","",IF(Paramètres!I7="","",Paramètres!I7))</f>
        <v/>
      </c>
      <c r="E1519" s="19">
        <f>IF($A1519="","",IF(Paramètres!J7&amp;Paramètres!L7&amp;Paramètres!N7="",Dossiers!$D$32,MAX(IF(Paramètres!J7="",0,IF(Paramètres!K7="",NA(),IF(LEFT(TRIM(Paramètres!K7),1)="F",INDEX($F$1517:$F$1569,MATCH(Paramètres!J7,Paramètres!$G$5:$G$57,0)),INDEX($E$1517:$E$1569,MATCH(Paramètres!J7,Paramètres!$G$5:$G$57,0)))+IF(RIGHT(TRIM(Paramètres!K7),3)="Fin",1-$H1519,IF(LEFT(TRIM(Paramètres!K7),1)="F",1,0)))),IF(Paramètres!L7="",0,IF(Paramètres!M7="",NA(),IF(LEFT(TRIM(Paramètres!M7),1)="F",INDEX($F$1517:$F$1569,MATCH(Paramètres!L7,Paramètres!$G$5:$G$57,0)),INDEX($E$1517:$E$1569,MATCH(Paramètres!L7,Paramètres!$G$5:$G$57,0)))+IF(RIGHT(TRIM(Paramètres!M7),3)="Fin",1-$H1519,IF(LEFT(TRIM(Paramètres!M7),1)="F",1,0)))),IF(Paramètres!N7="",0,IF(Paramètres!O7="",NA(),IF(LEFT(TRIM(Paramètres!O7),1)="F",INDEX($F$1517:$F$1569,MATCH(Paramètres!N7,Paramètres!$G$5:$G$57,0)),INDEX($E$1517:$E$1569,MATCH(Paramètres!N7,Paramètres!$G$5:$G$57,0)))+IF(RIGHT(TRIM(Paramètres!O7),3)="Fin",1-$H1519,IF(LEFT(TRIM(Paramètres!O7),1)="F",1,0)))))))</f>
        <v/>
      </c>
      <c r="F1519" s="19">
        <f>IF($A1519="","",E1519+$H1519-1)</f>
        <v/>
      </c>
      <c r="G1519" s="18" t="n"/>
      <c r="H1519" s="18">
        <f>IF($A1519="","",IF(I1519&lt;&gt;"",I1519,Paramètres!B7))</f>
        <v/>
      </c>
      <c r="I1519" s="18" t="n"/>
    </row>
    <row r="1520">
      <c r="A1520" s="18">
        <f>IF(ISNUMBER(Dossiers!$D$32),Dossiers!$A$32&amp;" · "&amp;Dossiers!$B$32,"")</f>
        <v/>
      </c>
      <c r="B1520" s="18">
        <f>IF($A1520="","",Paramètres!G8)</f>
        <v/>
      </c>
      <c r="C1520" s="18">
        <f>IF($A1520="","",IF(Paramètres!H8="","",Paramètres!H8))</f>
        <v/>
      </c>
      <c r="D1520" s="18">
        <f>IF($A1520="","",IF(Paramètres!I8="","",Paramètres!I8))</f>
        <v/>
      </c>
      <c r="E1520" s="19">
        <f>IF($A1520="","",IF(Paramètres!J8&amp;Paramètres!L8&amp;Paramètres!N8="",Dossiers!$D$32,MAX(IF(Paramètres!J8="",0,IF(Paramètres!K8="",NA(),IF(LEFT(TRIM(Paramètres!K8),1)="F",INDEX($F$1517:$F$1569,MATCH(Paramètres!J8,Paramètres!$G$5:$G$57,0)),INDEX($E$1517:$E$1569,MATCH(Paramètres!J8,Paramètres!$G$5:$G$57,0)))+IF(RIGHT(TRIM(Paramètres!K8),3)="Fin",1-$H1520,IF(LEFT(TRIM(Paramètres!K8),1)="F",1,0)))),IF(Paramètres!L8="",0,IF(Paramètres!M8="",NA(),IF(LEFT(TRIM(Paramètres!M8),1)="F",INDEX($F$1517:$F$1569,MATCH(Paramètres!L8,Paramètres!$G$5:$G$57,0)),INDEX($E$1517:$E$1569,MATCH(Paramètres!L8,Paramètres!$G$5:$G$57,0)))+IF(RIGHT(TRIM(Paramètres!M8),3)="Fin",1-$H1520,IF(LEFT(TRIM(Paramètres!M8),1)="F",1,0)))),IF(Paramètres!N8="",0,IF(Paramètres!O8="",NA(),IF(LEFT(TRIM(Paramètres!O8),1)="F",INDEX($F$1517:$F$1569,MATCH(Paramètres!N8,Paramètres!$G$5:$G$57,0)),INDEX($E$1517:$E$1569,MATCH(Paramètres!N8,Paramètres!$G$5:$G$57,0)))+IF(RIGHT(TRIM(Paramètres!O8),3)="Fin",1-$H1520,IF(LEFT(TRIM(Paramètres!O8),1)="F",1,0)))))))</f>
        <v/>
      </c>
      <c r="F1520" s="19">
        <f>IF($A1520="","",E1520+$H1520-1)</f>
        <v/>
      </c>
      <c r="G1520" s="18" t="n"/>
      <c r="H1520" s="18">
        <f>IF($A1520="","",IF(I1520&lt;&gt;"",I1520,Paramètres!B8))</f>
        <v/>
      </c>
      <c r="I1520" s="18" t="n"/>
    </row>
    <row r="1521">
      <c r="A1521" s="18">
        <f>IF(ISNUMBER(Dossiers!$D$32),Dossiers!$A$32&amp;" · "&amp;Dossiers!$B$32,"")</f>
        <v/>
      </c>
      <c r="B1521" s="18">
        <f>IF($A1521="","",Paramètres!G9)</f>
        <v/>
      </c>
      <c r="C1521" s="18">
        <f>IF($A1521="","",IF(Paramètres!H9="","",Paramètres!H9))</f>
        <v/>
      </c>
      <c r="D1521" s="18">
        <f>IF($A1521="","",IF(Paramètres!I9="","",Paramètres!I9))</f>
        <v/>
      </c>
      <c r="E1521" s="19">
        <f>IF($A1521="","",IF(Paramètres!J9&amp;Paramètres!L9&amp;Paramètres!N9="",Dossiers!$D$32,MAX(IF(Paramètres!J9="",0,IF(Paramètres!K9="",NA(),IF(LEFT(TRIM(Paramètres!K9),1)="F",INDEX($F$1517:$F$1569,MATCH(Paramètres!J9,Paramètres!$G$5:$G$57,0)),INDEX($E$1517:$E$1569,MATCH(Paramètres!J9,Paramètres!$G$5:$G$57,0)))+IF(RIGHT(TRIM(Paramètres!K9),3)="Fin",1-$H1521,IF(LEFT(TRIM(Paramètres!K9),1)="F",1,0)))),IF(Paramètres!L9="",0,IF(Paramètres!M9="",NA(),IF(LEFT(TRIM(Paramètres!M9),1)="F",INDEX($F$1517:$F$1569,MATCH(Paramètres!L9,Paramètres!$G$5:$G$57,0)),INDEX($E$1517:$E$1569,MATCH(Paramètres!L9,Paramètres!$G$5:$G$57,0)))+IF(RIGHT(TRIM(Paramètres!M9),3)="Fin",1-$H1521,IF(LEFT(TRIM(Paramètres!M9),1)="F",1,0)))),IF(Paramètres!N9="",0,IF(Paramètres!O9="",NA(),IF(LEFT(TRIM(Paramètres!O9),1)="F",INDEX($F$1517:$F$1569,MATCH(Paramètres!N9,Paramètres!$G$5:$G$57,0)),INDEX($E$1517:$E$1569,MATCH(Paramètres!N9,Paramètres!$G$5:$G$57,0)))+IF(RIGHT(TRIM(Paramètres!O9),3)="Fin",1-$H1521,IF(LEFT(TRIM(Paramètres!O9),1)="F",1,0)))))))</f>
        <v/>
      </c>
      <c r="F1521" s="19">
        <f>IF($A1521="","",E1521+$H1521-1)</f>
        <v/>
      </c>
      <c r="G1521" s="18" t="n"/>
      <c r="H1521" s="18">
        <f>IF($A1521="","",IF(I1521&lt;&gt;"",I1521,Paramètres!B9))</f>
        <v/>
      </c>
      <c r="I1521" s="18" t="n"/>
    </row>
    <row r="1522">
      <c r="A1522" s="18">
        <f>IF(ISNUMBER(Dossiers!$D$32),Dossiers!$A$32&amp;" · "&amp;Dossiers!$B$32,"")</f>
        <v/>
      </c>
      <c r="B1522" s="18">
        <f>IF($A1522="","",Paramètres!G10)</f>
        <v/>
      </c>
      <c r="C1522" s="18">
        <f>IF($A1522="","",IF(Paramètres!H10="","",Paramètres!H10))</f>
        <v/>
      </c>
      <c r="D1522" s="18">
        <f>IF($A1522="","",IF(Paramètres!I10="","",Paramètres!I10))</f>
        <v/>
      </c>
      <c r="E1522" s="19">
        <f>IF($A1522="","",MIN(E1523:E1526))</f>
        <v/>
      </c>
      <c r="F1522" s="19">
        <f>IF($A1522="","",MAX(F1523:F1526))</f>
        <v/>
      </c>
      <c r="G1522" s="18" t="n"/>
      <c r="H1522" s="18">
        <f>IF($A1522="","",F1522-E1522+1)</f>
        <v/>
      </c>
      <c r="I1522" s="18" t="n"/>
    </row>
    <row r="1523">
      <c r="A1523" s="18">
        <f>IF(ISNUMBER(Dossiers!$D$32),Dossiers!$A$32&amp;" · "&amp;Dossiers!$B$32,"")</f>
        <v/>
      </c>
      <c r="B1523" s="18">
        <f>IF($A1523="","",Paramètres!G11)</f>
        <v/>
      </c>
      <c r="C1523" s="18">
        <f>IF($A1523="","",IF(Paramètres!H11="","",Paramètres!H11))</f>
        <v/>
      </c>
      <c r="D1523" s="18">
        <f>IF($A1523="","",IF(Paramètres!I11="","",Paramètres!I11))</f>
        <v/>
      </c>
      <c r="E1523" s="19">
        <f>IF($A1523="","",IF(Paramètres!J11&amp;Paramètres!L11&amp;Paramètres!N11="",Dossiers!$D$32,MAX(IF(Paramètres!J11="",0,IF(Paramètres!K11="",NA(),IF(LEFT(TRIM(Paramètres!K11),1)="F",INDEX($F$1517:$F$1569,MATCH(Paramètres!J11,Paramètres!$G$5:$G$57,0)),INDEX($E$1517:$E$1569,MATCH(Paramètres!J11,Paramètres!$G$5:$G$57,0)))+IF(RIGHT(TRIM(Paramètres!K11),3)="Fin",1-$H1523,IF(LEFT(TRIM(Paramètres!K11),1)="F",1,0)))),IF(Paramètres!L11="",0,IF(Paramètres!M11="",NA(),IF(LEFT(TRIM(Paramètres!M11),1)="F",INDEX($F$1517:$F$1569,MATCH(Paramètres!L11,Paramètres!$G$5:$G$57,0)),INDEX($E$1517:$E$1569,MATCH(Paramètres!L11,Paramètres!$G$5:$G$57,0)))+IF(RIGHT(TRIM(Paramètres!M11),3)="Fin",1-$H1523,IF(LEFT(TRIM(Paramètres!M11),1)="F",1,0)))),IF(Paramètres!N11="",0,IF(Paramètres!O11="",NA(),IF(LEFT(TRIM(Paramètres!O11),1)="F",INDEX($F$1517:$F$1569,MATCH(Paramètres!N11,Paramètres!$G$5:$G$57,0)),INDEX($E$1517:$E$1569,MATCH(Paramètres!N11,Paramètres!$G$5:$G$57,0)))+IF(RIGHT(TRIM(Paramètres!O11),3)="Fin",1-$H1523,IF(LEFT(TRIM(Paramètres!O11),1)="F",1,0)))))))</f>
        <v/>
      </c>
      <c r="F1523" s="19">
        <f>IF($A1523="","",E1523+$H1523-1)</f>
        <v/>
      </c>
      <c r="G1523" s="18" t="n"/>
      <c r="H1523" s="18">
        <f>IF($A1523="","",IF(I1523&lt;&gt;"",I1523,Paramètres!B11))</f>
        <v/>
      </c>
      <c r="I1523" s="18" t="n"/>
    </row>
    <row r="1524">
      <c r="A1524" s="18">
        <f>IF(ISNUMBER(Dossiers!$D$32),Dossiers!$A$32&amp;" · "&amp;Dossiers!$B$32,"")</f>
        <v/>
      </c>
      <c r="B1524" s="18">
        <f>IF($A1524="","",Paramètres!G12)</f>
        <v/>
      </c>
      <c r="C1524" s="18">
        <f>IF($A1524="","",IF(Paramètres!H12="","",Paramètres!H12))</f>
        <v/>
      </c>
      <c r="D1524" s="18">
        <f>IF($A1524="","",IF(Paramètres!I12="","",Paramètres!I12))</f>
        <v/>
      </c>
      <c r="E1524" s="19">
        <f>IF($A1524="","",IF(Paramètres!J12&amp;Paramètres!L12&amp;Paramètres!N12="",Dossiers!$D$32,MAX(IF(Paramètres!J12="",0,IF(Paramètres!K12="",NA(),IF(LEFT(TRIM(Paramètres!K12),1)="F",INDEX($F$1517:$F$1569,MATCH(Paramètres!J12,Paramètres!$G$5:$G$57,0)),INDEX($E$1517:$E$1569,MATCH(Paramètres!J12,Paramètres!$G$5:$G$57,0)))+IF(RIGHT(TRIM(Paramètres!K12),3)="Fin",1-$H1524,IF(LEFT(TRIM(Paramètres!K12),1)="F",1,0)))),IF(Paramètres!L12="",0,IF(Paramètres!M12="",NA(),IF(LEFT(TRIM(Paramètres!M12),1)="F",INDEX($F$1517:$F$1569,MATCH(Paramètres!L12,Paramètres!$G$5:$G$57,0)),INDEX($E$1517:$E$1569,MATCH(Paramètres!L12,Paramètres!$G$5:$G$57,0)))+IF(RIGHT(TRIM(Paramètres!M12),3)="Fin",1-$H1524,IF(LEFT(TRIM(Paramètres!M12),1)="F",1,0)))),IF(Paramètres!N12="",0,IF(Paramètres!O12="",NA(),IF(LEFT(TRIM(Paramètres!O12),1)="F",INDEX($F$1517:$F$1569,MATCH(Paramètres!N12,Paramètres!$G$5:$G$57,0)),INDEX($E$1517:$E$1569,MATCH(Paramètres!N12,Paramètres!$G$5:$G$57,0)))+IF(RIGHT(TRIM(Paramètres!O12),3)="Fin",1-$H1524,IF(LEFT(TRIM(Paramètres!O12),1)="F",1,0)))))))</f>
        <v/>
      </c>
      <c r="F1524" s="19">
        <f>IF($A1524="","",E1524+$H1524-1)</f>
        <v/>
      </c>
      <c r="G1524" s="18" t="n"/>
      <c r="H1524" s="18">
        <f>IF($A1524="","",IF(I1524&lt;&gt;"",I1524,Paramètres!B12))</f>
        <v/>
      </c>
      <c r="I1524" s="18" t="n"/>
    </row>
    <row r="1525">
      <c r="A1525" s="18">
        <f>IF(ISNUMBER(Dossiers!$D$32),Dossiers!$A$32&amp;" · "&amp;Dossiers!$B$32,"")</f>
        <v/>
      </c>
      <c r="B1525" s="18">
        <f>IF($A1525="","",Paramètres!G13)</f>
        <v/>
      </c>
      <c r="C1525" s="18">
        <f>IF($A1525="","",IF(Paramètres!H13="","",Paramètres!H13))</f>
        <v/>
      </c>
      <c r="D1525" s="18">
        <f>IF($A1525="","",IF(Paramètres!I13="","",Paramètres!I13))</f>
        <v/>
      </c>
      <c r="E1525" s="19">
        <f>IF($A1525="","",IF(Paramètres!J13&amp;Paramètres!L13&amp;Paramètres!N13="",Dossiers!$D$32,MAX(IF(Paramètres!J13="",0,IF(Paramètres!K13="",NA(),IF(LEFT(TRIM(Paramètres!K13),1)="F",INDEX($F$1517:$F$1569,MATCH(Paramètres!J13,Paramètres!$G$5:$G$57,0)),INDEX($E$1517:$E$1569,MATCH(Paramètres!J13,Paramètres!$G$5:$G$57,0)))+IF(RIGHT(TRIM(Paramètres!K13),3)="Fin",1-$H1525,IF(LEFT(TRIM(Paramètres!K13),1)="F",1,0)))),IF(Paramètres!L13="",0,IF(Paramètres!M13="",NA(),IF(LEFT(TRIM(Paramètres!M13),1)="F",INDEX($F$1517:$F$1569,MATCH(Paramètres!L13,Paramètres!$G$5:$G$57,0)),INDEX($E$1517:$E$1569,MATCH(Paramètres!L13,Paramètres!$G$5:$G$57,0)))+IF(RIGHT(TRIM(Paramètres!M13),3)="Fin",1-$H1525,IF(LEFT(TRIM(Paramètres!M13),1)="F",1,0)))),IF(Paramètres!N13="",0,IF(Paramètres!O13="",NA(),IF(LEFT(TRIM(Paramètres!O13),1)="F",INDEX($F$1517:$F$1569,MATCH(Paramètres!N13,Paramètres!$G$5:$G$57,0)),INDEX($E$1517:$E$1569,MATCH(Paramètres!N13,Paramètres!$G$5:$G$57,0)))+IF(RIGHT(TRIM(Paramètres!O13),3)="Fin",1-$H1525,IF(LEFT(TRIM(Paramètres!O13),1)="F",1,0)))))))</f>
        <v/>
      </c>
      <c r="F1525" s="19">
        <f>IF($A1525="","",E1525+$H1525-1)</f>
        <v/>
      </c>
      <c r="G1525" s="18" t="n"/>
      <c r="H1525" s="18">
        <f>IF($A1525="","",IF(I1525&lt;&gt;"",I1525,Paramètres!B13))</f>
        <v/>
      </c>
      <c r="I1525" s="18" t="n"/>
    </row>
    <row r="1526">
      <c r="A1526" s="18">
        <f>IF(ISNUMBER(Dossiers!$D$32),Dossiers!$A$32&amp;" · "&amp;Dossiers!$B$32,"")</f>
        <v/>
      </c>
      <c r="B1526" s="18">
        <f>IF($A1526="","",Paramètres!G14)</f>
        <v/>
      </c>
      <c r="C1526" s="18">
        <f>IF($A1526="","",IF(Paramètres!H14="","",Paramètres!H14))</f>
        <v/>
      </c>
      <c r="D1526" s="18">
        <f>IF($A1526="","",IF(Paramètres!I14="","",Paramètres!I14))</f>
        <v/>
      </c>
      <c r="E1526" s="19">
        <f>IF($A1526="","",IF(Paramètres!J14&amp;Paramètres!L14&amp;Paramètres!N14="",Dossiers!$D$32,MAX(IF(Paramètres!J14="",0,IF(Paramètres!K14="",NA(),IF(LEFT(TRIM(Paramètres!K14),1)="F",INDEX($F$1517:$F$1569,MATCH(Paramètres!J14,Paramètres!$G$5:$G$57,0)),INDEX($E$1517:$E$1569,MATCH(Paramètres!J14,Paramètres!$G$5:$G$57,0)))+IF(RIGHT(TRIM(Paramètres!K14),3)="Fin",1-$H1526,IF(LEFT(TRIM(Paramètres!K14),1)="F",1,0)))),IF(Paramètres!L14="",0,IF(Paramètres!M14="",NA(),IF(LEFT(TRIM(Paramètres!M14),1)="F",INDEX($F$1517:$F$1569,MATCH(Paramètres!L14,Paramètres!$G$5:$G$57,0)),INDEX($E$1517:$E$1569,MATCH(Paramètres!L14,Paramètres!$G$5:$G$57,0)))+IF(RIGHT(TRIM(Paramètres!M14),3)="Fin",1-$H1526,IF(LEFT(TRIM(Paramètres!M14),1)="F",1,0)))),IF(Paramètres!N14="",0,IF(Paramètres!O14="",NA(),IF(LEFT(TRIM(Paramètres!O14),1)="F",INDEX($F$1517:$F$1569,MATCH(Paramètres!N14,Paramètres!$G$5:$G$57,0)),INDEX($E$1517:$E$1569,MATCH(Paramètres!N14,Paramètres!$G$5:$G$57,0)))+IF(RIGHT(TRIM(Paramètres!O14),3)="Fin",1-$H1526,IF(LEFT(TRIM(Paramètres!O14),1)="F",1,0)))))))</f>
        <v/>
      </c>
      <c r="F1526" s="19">
        <f>IF($A1526="","",E1526+$H1526-1)</f>
        <v/>
      </c>
      <c r="G1526" s="18" t="n"/>
      <c r="H1526" s="18">
        <f>IF($A1526="","",IF(I1526&lt;&gt;"",I1526,Paramètres!B14))</f>
        <v/>
      </c>
      <c r="I1526" s="18" t="n"/>
    </row>
    <row r="1527">
      <c r="A1527" s="18">
        <f>IF(ISNUMBER(Dossiers!$D$32),Dossiers!$A$32&amp;" · "&amp;Dossiers!$B$32,"")</f>
        <v/>
      </c>
      <c r="B1527" s="18">
        <f>IF($A1527="","",Paramètres!G15)</f>
        <v/>
      </c>
      <c r="C1527" s="18">
        <f>IF($A1527="","",IF(Paramètres!H15="","",Paramètres!H15))</f>
        <v/>
      </c>
      <c r="D1527" s="18">
        <f>IF($A1527="","",IF(Paramètres!I15="","",Paramètres!I15))</f>
        <v/>
      </c>
      <c r="E1527" s="19">
        <f>IF($A1527="","",MIN(E1528:E1543))</f>
        <v/>
      </c>
      <c r="F1527" s="19">
        <f>IF($A1527="","",MAX(F1528:F1543))</f>
        <v/>
      </c>
      <c r="G1527" s="18" t="n"/>
      <c r="H1527" s="18">
        <f>IF($A1527="","",F1527-E1527+1)</f>
        <v/>
      </c>
      <c r="I1527" s="18" t="n"/>
    </row>
    <row r="1528">
      <c r="A1528" s="18">
        <f>IF(ISNUMBER(Dossiers!$D$32),Dossiers!$A$32&amp;" · "&amp;Dossiers!$B$32,"")</f>
        <v/>
      </c>
      <c r="B1528" s="18">
        <f>IF($A1528="","",Paramètres!G16)</f>
        <v/>
      </c>
      <c r="C1528" s="18">
        <f>IF($A1528="","",IF(Paramètres!H16="","",Paramètres!H16))</f>
        <v/>
      </c>
      <c r="D1528" s="18">
        <f>IF($A1528="","",IF(Paramètres!I16="","",Paramètres!I16))</f>
        <v/>
      </c>
      <c r="E1528" s="19">
        <f>IF($A1528="","",IF(Paramètres!J16&amp;Paramètres!L16&amp;Paramètres!N16="",Dossiers!$D$32,MAX(IF(Paramètres!J16="",0,IF(Paramètres!K16="",NA(),IF(LEFT(TRIM(Paramètres!K16),1)="F",INDEX($F$1517:$F$1569,MATCH(Paramètres!J16,Paramètres!$G$5:$G$57,0)),INDEX($E$1517:$E$1569,MATCH(Paramètres!J16,Paramètres!$G$5:$G$57,0)))+IF(RIGHT(TRIM(Paramètres!K16),3)="Fin",1-$H1528,IF(LEFT(TRIM(Paramètres!K16),1)="F",1,0)))),IF(Paramètres!L16="",0,IF(Paramètres!M16="",NA(),IF(LEFT(TRIM(Paramètres!M16),1)="F",INDEX($F$1517:$F$1569,MATCH(Paramètres!L16,Paramètres!$G$5:$G$57,0)),INDEX($E$1517:$E$1569,MATCH(Paramètres!L16,Paramètres!$G$5:$G$57,0)))+IF(RIGHT(TRIM(Paramètres!M16),3)="Fin",1-$H1528,IF(LEFT(TRIM(Paramètres!M16),1)="F",1,0)))),IF(Paramètres!N16="",0,IF(Paramètres!O16="",NA(),IF(LEFT(TRIM(Paramètres!O16),1)="F",INDEX($F$1517:$F$1569,MATCH(Paramètres!N16,Paramètres!$G$5:$G$57,0)),INDEX($E$1517:$E$1569,MATCH(Paramètres!N16,Paramètres!$G$5:$G$57,0)))+IF(RIGHT(TRIM(Paramètres!O16),3)="Fin",1-$H1528,IF(LEFT(TRIM(Paramètres!O16),1)="F",1,0)))))))</f>
        <v/>
      </c>
      <c r="F1528" s="19">
        <f>IF($A1528="","",E1528+$H1528-1)</f>
        <v/>
      </c>
      <c r="G1528" s="18" t="n"/>
      <c r="H1528" s="18">
        <f>IF($A1528="","",IF(I1528&lt;&gt;"",I1528,Paramètres!B16))</f>
        <v/>
      </c>
      <c r="I1528" s="18" t="n"/>
    </row>
    <row r="1529">
      <c r="A1529" s="18">
        <f>IF(ISNUMBER(Dossiers!$D$32),Dossiers!$A$32&amp;" · "&amp;Dossiers!$B$32,"")</f>
        <v/>
      </c>
      <c r="B1529" s="18">
        <f>IF($A1529="","",Paramètres!G17)</f>
        <v/>
      </c>
      <c r="C1529" s="18">
        <f>IF($A1529="","",IF(Paramètres!H17="","",Paramètres!H17))</f>
        <v/>
      </c>
      <c r="D1529" s="18">
        <f>IF($A1529="","",IF(Paramètres!I17="","",Paramètres!I17))</f>
        <v/>
      </c>
      <c r="E1529" s="19">
        <f>IF($A1529="","",IF(Paramètres!J17&amp;Paramètres!L17&amp;Paramètres!N17="",Dossiers!$D$32,MAX(IF(Paramètres!J17="",0,IF(Paramètres!K17="",NA(),IF(LEFT(TRIM(Paramètres!K17),1)="F",INDEX($F$1517:$F$1569,MATCH(Paramètres!J17,Paramètres!$G$5:$G$57,0)),INDEX($E$1517:$E$1569,MATCH(Paramètres!J17,Paramètres!$G$5:$G$57,0)))+IF(RIGHT(TRIM(Paramètres!K17),3)="Fin",1-$H1529,IF(LEFT(TRIM(Paramètres!K17),1)="F",1,0)))),IF(Paramètres!L17="",0,IF(Paramètres!M17="",NA(),IF(LEFT(TRIM(Paramètres!M17),1)="F",INDEX($F$1517:$F$1569,MATCH(Paramètres!L17,Paramètres!$G$5:$G$57,0)),INDEX($E$1517:$E$1569,MATCH(Paramètres!L17,Paramètres!$G$5:$G$57,0)))+IF(RIGHT(TRIM(Paramètres!M17),3)="Fin",1-$H1529,IF(LEFT(TRIM(Paramètres!M17),1)="F",1,0)))),IF(Paramètres!N17="",0,IF(Paramètres!O17="",NA(),IF(LEFT(TRIM(Paramètres!O17),1)="F",INDEX($F$1517:$F$1569,MATCH(Paramètres!N17,Paramètres!$G$5:$G$57,0)),INDEX($E$1517:$E$1569,MATCH(Paramètres!N17,Paramètres!$G$5:$G$57,0)))+IF(RIGHT(TRIM(Paramètres!O17),3)="Fin",1-$H1529,IF(LEFT(TRIM(Paramètres!O17),1)="F",1,0)))))))</f>
        <v/>
      </c>
      <c r="F1529" s="19">
        <f>IF($A1529="","",E1529+$H1529-1)</f>
        <v/>
      </c>
      <c r="G1529" s="18" t="n"/>
      <c r="H1529" s="18">
        <f>IF($A1529="","",IF(I1529&lt;&gt;"",I1529,Paramètres!B17))</f>
        <v/>
      </c>
      <c r="I1529" s="18" t="n"/>
    </row>
    <row r="1530">
      <c r="A1530" s="18">
        <f>IF(ISNUMBER(Dossiers!$D$32),Dossiers!$A$32&amp;" · "&amp;Dossiers!$B$32,"")</f>
        <v/>
      </c>
      <c r="B1530" s="18">
        <f>IF($A1530="","",Paramètres!G18)</f>
        <v/>
      </c>
      <c r="C1530" s="18">
        <f>IF($A1530="","",IF(Paramètres!H18="","",Paramètres!H18))</f>
        <v/>
      </c>
      <c r="D1530" s="18">
        <f>IF($A1530="","",IF(Paramètres!I18="","",Paramètres!I18))</f>
        <v/>
      </c>
      <c r="E1530" s="19">
        <f>IF($A1530="","",IF(Paramètres!J18&amp;Paramètres!L18&amp;Paramètres!N18="",Dossiers!$D$32,MAX(IF(Paramètres!J18="",0,IF(Paramètres!K18="",NA(),IF(LEFT(TRIM(Paramètres!K18),1)="F",INDEX($F$1517:$F$1569,MATCH(Paramètres!J18,Paramètres!$G$5:$G$57,0)),INDEX($E$1517:$E$1569,MATCH(Paramètres!J18,Paramètres!$G$5:$G$57,0)))+IF(RIGHT(TRIM(Paramètres!K18),3)="Fin",1-$H1530,IF(LEFT(TRIM(Paramètres!K18),1)="F",1,0)))),IF(Paramètres!L18="",0,IF(Paramètres!M18="",NA(),IF(LEFT(TRIM(Paramètres!M18),1)="F",INDEX($F$1517:$F$1569,MATCH(Paramètres!L18,Paramètres!$G$5:$G$57,0)),INDEX($E$1517:$E$1569,MATCH(Paramètres!L18,Paramètres!$G$5:$G$57,0)))+IF(RIGHT(TRIM(Paramètres!M18),3)="Fin",1-$H1530,IF(LEFT(TRIM(Paramètres!M18),1)="F",1,0)))),IF(Paramètres!N18="",0,IF(Paramètres!O18="",NA(),IF(LEFT(TRIM(Paramètres!O18),1)="F",INDEX($F$1517:$F$1569,MATCH(Paramètres!N18,Paramètres!$G$5:$G$57,0)),INDEX($E$1517:$E$1569,MATCH(Paramètres!N18,Paramètres!$G$5:$G$57,0)))+IF(RIGHT(TRIM(Paramètres!O18),3)="Fin",1-$H1530,IF(LEFT(TRIM(Paramètres!O18),1)="F",1,0)))))))</f>
        <v/>
      </c>
      <c r="F1530" s="19">
        <f>IF($A1530="","",E1530+$H1530-1)</f>
        <v/>
      </c>
      <c r="G1530" s="18" t="n"/>
      <c r="H1530" s="18">
        <f>IF($A1530="","",IF(I1530&lt;&gt;"",I1530,Paramètres!B18))</f>
        <v/>
      </c>
      <c r="I1530" s="18" t="n"/>
    </row>
    <row r="1531">
      <c r="A1531" s="18">
        <f>IF(ISNUMBER(Dossiers!$D$32),Dossiers!$A$32&amp;" · "&amp;Dossiers!$B$32,"")</f>
        <v/>
      </c>
      <c r="B1531" s="18">
        <f>IF($A1531="","",Paramètres!G19)</f>
        <v/>
      </c>
      <c r="C1531" s="18">
        <f>IF($A1531="","",IF(Paramètres!H19="","",Paramètres!H19))</f>
        <v/>
      </c>
      <c r="D1531" s="18">
        <f>IF($A1531="","",IF(Paramètres!I19="","",Paramètres!I19))</f>
        <v/>
      </c>
      <c r="E1531" s="19">
        <f>IF($A1531="","",IF(Paramètres!J19&amp;Paramètres!L19&amp;Paramètres!N19="",Dossiers!$D$32,MAX(IF(Paramètres!J19="",0,IF(Paramètres!K19="",NA(),IF(LEFT(TRIM(Paramètres!K19),1)="F",INDEX($F$1517:$F$1569,MATCH(Paramètres!J19,Paramètres!$G$5:$G$57,0)),INDEX($E$1517:$E$1569,MATCH(Paramètres!J19,Paramètres!$G$5:$G$57,0)))+IF(RIGHT(TRIM(Paramètres!K19),3)="Fin",1-$H1531,IF(LEFT(TRIM(Paramètres!K19),1)="F",1,0)))),IF(Paramètres!L19="",0,IF(Paramètres!M19="",NA(),IF(LEFT(TRIM(Paramètres!M19),1)="F",INDEX($F$1517:$F$1569,MATCH(Paramètres!L19,Paramètres!$G$5:$G$57,0)),INDEX($E$1517:$E$1569,MATCH(Paramètres!L19,Paramètres!$G$5:$G$57,0)))+IF(RIGHT(TRIM(Paramètres!M19),3)="Fin",1-$H1531,IF(LEFT(TRIM(Paramètres!M19),1)="F",1,0)))),IF(Paramètres!N19="",0,IF(Paramètres!O19="",NA(),IF(LEFT(TRIM(Paramètres!O19),1)="F",INDEX($F$1517:$F$1569,MATCH(Paramètres!N19,Paramètres!$G$5:$G$57,0)),INDEX($E$1517:$E$1569,MATCH(Paramètres!N19,Paramètres!$G$5:$G$57,0)))+IF(RIGHT(TRIM(Paramètres!O19),3)="Fin",1-$H1531,IF(LEFT(TRIM(Paramètres!O19),1)="F",1,0)))))))</f>
        <v/>
      </c>
      <c r="F1531" s="19">
        <f>IF($A1531="","",E1531+$H1531-1)</f>
        <v/>
      </c>
      <c r="G1531" s="18" t="n"/>
      <c r="H1531" s="18">
        <f>IF($A1531="","",IF(I1531&lt;&gt;"",I1531,Paramètres!B19))</f>
        <v/>
      </c>
      <c r="I1531" s="18" t="n"/>
    </row>
    <row r="1532">
      <c r="A1532" s="18">
        <f>IF(ISNUMBER(Dossiers!$D$32),Dossiers!$A$32&amp;" · "&amp;Dossiers!$B$32,"")</f>
        <v/>
      </c>
      <c r="B1532" s="18">
        <f>IF($A1532="","",Paramètres!G20)</f>
        <v/>
      </c>
      <c r="C1532" s="18">
        <f>IF($A1532="","",IF(Paramètres!H20="","",Paramètres!H20))</f>
        <v/>
      </c>
      <c r="D1532" s="18">
        <f>IF($A1532="","",IF(Paramètres!I20="","",Paramètres!I20))</f>
        <v/>
      </c>
      <c r="E1532" s="19">
        <f>IF($A1532="","",IF(Paramètres!J20&amp;Paramètres!L20&amp;Paramètres!N20="",Dossiers!$D$32,MAX(IF(Paramètres!J20="",0,IF(Paramètres!K20="",NA(),IF(LEFT(TRIM(Paramètres!K20),1)="F",INDEX($F$1517:$F$1569,MATCH(Paramètres!J20,Paramètres!$G$5:$G$57,0)),INDEX($E$1517:$E$1569,MATCH(Paramètres!J20,Paramètres!$G$5:$G$57,0)))+IF(RIGHT(TRIM(Paramètres!K20),3)="Fin",1-$H1532,IF(LEFT(TRIM(Paramètres!K20),1)="F",1,0)))),IF(Paramètres!L20="",0,IF(Paramètres!M20="",NA(),IF(LEFT(TRIM(Paramètres!M20),1)="F",INDEX($F$1517:$F$1569,MATCH(Paramètres!L20,Paramètres!$G$5:$G$57,0)),INDEX($E$1517:$E$1569,MATCH(Paramètres!L20,Paramètres!$G$5:$G$57,0)))+IF(RIGHT(TRIM(Paramètres!M20),3)="Fin",1-$H1532,IF(LEFT(TRIM(Paramètres!M20),1)="F",1,0)))),IF(Paramètres!N20="",0,IF(Paramètres!O20="",NA(),IF(LEFT(TRIM(Paramètres!O20),1)="F",INDEX($F$1517:$F$1569,MATCH(Paramètres!N20,Paramètres!$G$5:$G$57,0)),INDEX($E$1517:$E$1569,MATCH(Paramètres!N20,Paramètres!$G$5:$G$57,0)))+IF(RIGHT(TRIM(Paramètres!O20),3)="Fin",1-$H1532,IF(LEFT(TRIM(Paramètres!O20),1)="F",1,0)))))))</f>
        <v/>
      </c>
      <c r="F1532" s="19">
        <f>IF($A1532="","",E1532+$H1532-1)</f>
        <v/>
      </c>
      <c r="G1532" s="18" t="n"/>
      <c r="H1532" s="18">
        <f>IF($A1532="","",IF(I1532&lt;&gt;"",I1532,Paramètres!B20))</f>
        <v/>
      </c>
      <c r="I1532" s="18" t="n"/>
    </row>
    <row r="1533">
      <c r="A1533" s="18">
        <f>IF(ISNUMBER(Dossiers!$D$32),Dossiers!$A$32&amp;" · "&amp;Dossiers!$B$32,"")</f>
        <v/>
      </c>
      <c r="B1533" s="18">
        <f>IF($A1533="","",Paramètres!G21)</f>
        <v/>
      </c>
      <c r="C1533" s="18">
        <f>IF($A1533="","",IF(Paramètres!H21="","",Paramètres!H21))</f>
        <v/>
      </c>
      <c r="D1533" s="18">
        <f>IF($A1533="","",IF(Paramètres!I21="","",Paramètres!I21))</f>
        <v/>
      </c>
      <c r="E1533" s="19">
        <f>IF($A1533="","",IF(Paramètres!J21&amp;Paramètres!L21&amp;Paramètres!N21="",Dossiers!$D$32,MAX(IF(Paramètres!J21="",0,IF(Paramètres!K21="",NA(),IF(LEFT(TRIM(Paramètres!K21),1)="F",INDEX($F$1517:$F$1569,MATCH(Paramètres!J21,Paramètres!$G$5:$G$57,0)),INDEX($E$1517:$E$1569,MATCH(Paramètres!J21,Paramètres!$G$5:$G$57,0)))+IF(RIGHT(TRIM(Paramètres!K21),3)="Fin",1-$H1533,IF(LEFT(TRIM(Paramètres!K21),1)="F",1,0)))),IF(Paramètres!L21="",0,IF(Paramètres!M21="",NA(),IF(LEFT(TRIM(Paramètres!M21),1)="F",INDEX($F$1517:$F$1569,MATCH(Paramètres!L21,Paramètres!$G$5:$G$57,0)),INDEX($E$1517:$E$1569,MATCH(Paramètres!L21,Paramètres!$G$5:$G$57,0)))+IF(RIGHT(TRIM(Paramètres!M21),3)="Fin",1-$H1533,IF(LEFT(TRIM(Paramètres!M21),1)="F",1,0)))),IF(Paramètres!N21="",0,IF(Paramètres!O21="",NA(),IF(LEFT(TRIM(Paramètres!O21),1)="F",INDEX($F$1517:$F$1569,MATCH(Paramètres!N21,Paramètres!$G$5:$G$57,0)),INDEX($E$1517:$E$1569,MATCH(Paramètres!N21,Paramètres!$G$5:$G$57,0)))+IF(RIGHT(TRIM(Paramètres!O21),3)="Fin",1-$H1533,IF(LEFT(TRIM(Paramètres!O21),1)="F",1,0)))))))</f>
        <v/>
      </c>
      <c r="F1533" s="19">
        <f>IF($A1533="","",E1533+$H1533-1)</f>
        <v/>
      </c>
      <c r="G1533" s="18" t="n"/>
      <c r="H1533" s="18">
        <f>IF($A1533="","",IF(I1533&lt;&gt;"",I1533,Paramètres!B21))</f>
        <v/>
      </c>
      <c r="I1533" s="18" t="n"/>
    </row>
    <row r="1534">
      <c r="A1534" s="18">
        <f>IF(ISNUMBER(Dossiers!$D$32),Dossiers!$A$32&amp;" · "&amp;Dossiers!$B$32,"")</f>
        <v/>
      </c>
      <c r="B1534" s="18">
        <f>IF($A1534="","",Paramètres!G22)</f>
        <v/>
      </c>
      <c r="C1534" s="18">
        <f>IF($A1534="","",IF(Paramètres!H22="","",Paramètres!H22))</f>
        <v/>
      </c>
      <c r="D1534" s="18">
        <f>IF($A1534="","",IF(Paramètres!I22="","",Paramètres!I22))</f>
        <v/>
      </c>
      <c r="E1534" s="19">
        <f>IF($A1534="","",IF(Paramètres!J22&amp;Paramètres!L22&amp;Paramètres!N22="",Dossiers!$D$32,MAX(IF(Paramètres!J22="",0,IF(Paramètres!K22="",NA(),IF(LEFT(TRIM(Paramètres!K22),1)="F",INDEX($F$1517:$F$1569,MATCH(Paramètres!J22,Paramètres!$G$5:$G$57,0)),INDEX($E$1517:$E$1569,MATCH(Paramètres!J22,Paramètres!$G$5:$G$57,0)))+IF(RIGHT(TRIM(Paramètres!K22),3)="Fin",1-$H1534,IF(LEFT(TRIM(Paramètres!K22),1)="F",1,0)))),IF(Paramètres!L22="",0,IF(Paramètres!M22="",NA(),IF(LEFT(TRIM(Paramètres!M22),1)="F",INDEX($F$1517:$F$1569,MATCH(Paramètres!L22,Paramètres!$G$5:$G$57,0)),INDEX($E$1517:$E$1569,MATCH(Paramètres!L22,Paramètres!$G$5:$G$57,0)))+IF(RIGHT(TRIM(Paramètres!M22),3)="Fin",1-$H1534,IF(LEFT(TRIM(Paramètres!M22),1)="F",1,0)))),IF(Paramètres!N22="",0,IF(Paramètres!O22="",NA(),IF(LEFT(TRIM(Paramètres!O22),1)="F",INDEX($F$1517:$F$1569,MATCH(Paramètres!N22,Paramètres!$G$5:$G$57,0)),INDEX($E$1517:$E$1569,MATCH(Paramètres!N22,Paramètres!$G$5:$G$57,0)))+IF(RIGHT(TRIM(Paramètres!O22),3)="Fin",1-$H1534,IF(LEFT(TRIM(Paramètres!O22),1)="F",1,0)))))))</f>
        <v/>
      </c>
      <c r="F1534" s="19">
        <f>IF($A1534="","",E1534+$H1534-1)</f>
        <v/>
      </c>
      <c r="G1534" s="18" t="n"/>
      <c r="H1534" s="18">
        <f>IF($A1534="","",IF(I1534&lt;&gt;"",I1534,Paramètres!B22))</f>
        <v/>
      </c>
      <c r="I1534" s="18" t="n"/>
    </row>
    <row r="1535">
      <c r="A1535" s="18">
        <f>IF(ISNUMBER(Dossiers!$D$32),Dossiers!$A$32&amp;" · "&amp;Dossiers!$B$32,"")</f>
        <v/>
      </c>
      <c r="B1535" s="18">
        <f>IF($A1535="","",Paramètres!G23)</f>
        <v/>
      </c>
      <c r="C1535" s="18">
        <f>IF($A1535="","",IF(Paramètres!H23="","",Paramètres!H23))</f>
        <v/>
      </c>
      <c r="D1535" s="18">
        <f>IF($A1535="","",IF(Paramètres!I23="","",Paramètres!I23))</f>
        <v/>
      </c>
      <c r="E1535" s="19">
        <f>IF($A1535="","",IF(Paramètres!J23&amp;Paramètres!L23&amp;Paramètres!N23="",Dossiers!$D$32,MAX(IF(Paramètres!J23="",0,IF(Paramètres!K23="",NA(),IF(LEFT(TRIM(Paramètres!K23),1)="F",INDEX($F$1517:$F$1569,MATCH(Paramètres!J23,Paramètres!$G$5:$G$57,0)),INDEX($E$1517:$E$1569,MATCH(Paramètres!J23,Paramètres!$G$5:$G$57,0)))+IF(RIGHT(TRIM(Paramètres!K23),3)="Fin",1-$H1535,IF(LEFT(TRIM(Paramètres!K23),1)="F",1,0)))),IF(Paramètres!L23="",0,IF(Paramètres!M23="",NA(),IF(LEFT(TRIM(Paramètres!M23),1)="F",INDEX($F$1517:$F$1569,MATCH(Paramètres!L23,Paramètres!$G$5:$G$57,0)),INDEX($E$1517:$E$1569,MATCH(Paramètres!L23,Paramètres!$G$5:$G$57,0)))+IF(RIGHT(TRIM(Paramètres!M23),3)="Fin",1-$H1535,IF(LEFT(TRIM(Paramètres!M23),1)="F",1,0)))),IF(Paramètres!N23="",0,IF(Paramètres!O23="",NA(),IF(LEFT(TRIM(Paramètres!O23),1)="F",INDEX($F$1517:$F$1569,MATCH(Paramètres!N23,Paramètres!$G$5:$G$57,0)),INDEX($E$1517:$E$1569,MATCH(Paramètres!N23,Paramètres!$G$5:$G$57,0)))+IF(RIGHT(TRIM(Paramètres!O23),3)="Fin",1-$H1535,IF(LEFT(TRIM(Paramètres!O23),1)="F",1,0)))))))</f>
        <v/>
      </c>
      <c r="F1535" s="19">
        <f>IF($A1535="","",E1535+$H1535-1)</f>
        <v/>
      </c>
      <c r="G1535" s="18" t="n"/>
      <c r="H1535" s="18">
        <f>IF($A1535="","",IF(I1535&lt;&gt;"",I1535,Paramètres!B23))</f>
        <v/>
      </c>
      <c r="I1535" s="18" t="n"/>
    </row>
    <row r="1536">
      <c r="A1536" s="18">
        <f>IF(ISNUMBER(Dossiers!$D$32),Dossiers!$A$32&amp;" · "&amp;Dossiers!$B$32,"")</f>
        <v/>
      </c>
      <c r="B1536" s="18">
        <f>IF($A1536="","",Paramètres!G24)</f>
        <v/>
      </c>
      <c r="C1536" s="18">
        <f>IF($A1536="","",IF(Paramètres!H24="","",Paramètres!H24))</f>
        <v/>
      </c>
      <c r="D1536" s="18">
        <f>IF($A1536="","",IF(Paramètres!I24="","",Paramètres!I24))</f>
        <v/>
      </c>
      <c r="E1536" s="19">
        <f>IF($A1536="","",IF(Paramètres!J24&amp;Paramètres!L24&amp;Paramètres!N24="",Dossiers!$D$32,MAX(IF(Paramètres!J24="",0,IF(Paramètres!K24="",NA(),IF(LEFT(TRIM(Paramètres!K24),1)="F",INDEX($F$1517:$F$1569,MATCH(Paramètres!J24,Paramètres!$G$5:$G$57,0)),INDEX($E$1517:$E$1569,MATCH(Paramètres!J24,Paramètres!$G$5:$G$57,0)))+IF(RIGHT(TRIM(Paramètres!K24),3)="Fin",1-$H1536,IF(LEFT(TRIM(Paramètres!K24),1)="F",1,0)))),IF(Paramètres!L24="",0,IF(Paramètres!M24="",NA(),IF(LEFT(TRIM(Paramètres!M24),1)="F",INDEX($F$1517:$F$1569,MATCH(Paramètres!L24,Paramètres!$G$5:$G$57,0)),INDEX($E$1517:$E$1569,MATCH(Paramètres!L24,Paramètres!$G$5:$G$57,0)))+IF(RIGHT(TRIM(Paramètres!M24),3)="Fin",1-$H1536,IF(LEFT(TRIM(Paramètres!M24),1)="F",1,0)))),IF(Paramètres!N24="",0,IF(Paramètres!O24="",NA(),IF(LEFT(TRIM(Paramètres!O24),1)="F",INDEX($F$1517:$F$1569,MATCH(Paramètres!N24,Paramètres!$G$5:$G$57,0)),INDEX($E$1517:$E$1569,MATCH(Paramètres!N24,Paramètres!$G$5:$G$57,0)))+IF(RIGHT(TRIM(Paramètres!O24),3)="Fin",1-$H1536,IF(LEFT(TRIM(Paramètres!O24),1)="F",1,0)))))))</f>
        <v/>
      </c>
      <c r="F1536" s="19">
        <f>IF($A1536="","",E1536+$H1536-1)</f>
        <v/>
      </c>
      <c r="G1536" s="18" t="n"/>
      <c r="H1536" s="18">
        <f>IF($A1536="","",IF(I1536&lt;&gt;"",I1536,Paramètres!B24))</f>
        <v/>
      </c>
      <c r="I1536" s="18" t="n"/>
    </row>
    <row r="1537">
      <c r="A1537" s="18">
        <f>IF(ISNUMBER(Dossiers!$D$32),Dossiers!$A$32&amp;" · "&amp;Dossiers!$B$32,"")</f>
        <v/>
      </c>
      <c r="B1537" s="18">
        <f>IF($A1537="","",Paramètres!G25)</f>
        <v/>
      </c>
      <c r="C1537" s="18">
        <f>IF($A1537="","",IF(Paramètres!H25="","",Paramètres!H25))</f>
        <v/>
      </c>
      <c r="D1537" s="18">
        <f>IF($A1537="","",IF(Paramètres!I25="","",Paramètres!I25))</f>
        <v/>
      </c>
      <c r="E1537" s="19">
        <f>IF($A1537="","",IF(Paramètres!J25&amp;Paramètres!L25&amp;Paramètres!N25="",Dossiers!$D$32,MAX(IF(Paramètres!J25="",0,IF(Paramètres!K25="",NA(),IF(LEFT(TRIM(Paramètres!K25),1)="F",INDEX($F$1517:$F$1569,MATCH(Paramètres!J25,Paramètres!$G$5:$G$57,0)),INDEX($E$1517:$E$1569,MATCH(Paramètres!J25,Paramètres!$G$5:$G$57,0)))+IF(RIGHT(TRIM(Paramètres!K25),3)="Fin",1-$H1537,IF(LEFT(TRIM(Paramètres!K25),1)="F",1,0)))),IF(Paramètres!L25="",0,IF(Paramètres!M25="",NA(),IF(LEFT(TRIM(Paramètres!M25),1)="F",INDEX($F$1517:$F$1569,MATCH(Paramètres!L25,Paramètres!$G$5:$G$57,0)),INDEX($E$1517:$E$1569,MATCH(Paramètres!L25,Paramètres!$G$5:$G$57,0)))+IF(RIGHT(TRIM(Paramètres!M25),3)="Fin",1-$H1537,IF(LEFT(TRIM(Paramètres!M25),1)="F",1,0)))),IF(Paramètres!N25="",0,IF(Paramètres!O25="",NA(),IF(LEFT(TRIM(Paramètres!O25),1)="F",INDEX($F$1517:$F$1569,MATCH(Paramètres!N25,Paramètres!$G$5:$G$57,0)),INDEX($E$1517:$E$1569,MATCH(Paramètres!N25,Paramètres!$G$5:$G$57,0)))+IF(RIGHT(TRIM(Paramètres!O25),3)="Fin",1-$H1537,IF(LEFT(TRIM(Paramètres!O25),1)="F",1,0)))))))</f>
        <v/>
      </c>
      <c r="F1537" s="19">
        <f>IF($A1537="","",E1537+$H1537-1)</f>
        <v/>
      </c>
      <c r="G1537" s="18" t="n"/>
      <c r="H1537" s="18">
        <f>IF($A1537="","",IF(I1537&lt;&gt;"",I1537,Paramètres!B25))</f>
        <v/>
      </c>
      <c r="I1537" s="18" t="n"/>
    </row>
    <row r="1538">
      <c r="A1538" s="18">
        <f>IF(ISNUMBER(Dossiers!$D$32),Dossiers!$A$32&amp;" · "&amp;Dossiers!$B$32,"")</f>
        <v/>
      </c>
      <c r="B1538" s="18">
        <f>IF($A1538="","",Paramètres!G26)</f>
        <v/>
      </c>
      <c r="C1538" s="18">
        <f>IF($A1538="","",IF(Paramètres!H26="","",Paramètres!H26))</f>
        <v/>
      </c>
      <c r="D1538" s="18">
        <f>IF($A1538="","",IF(Paramètres!I26="","",Paramètres!I26))</f>
        <v/>
      </c>
      <c r="E1538" s="19">
        <f>IF($A1538="","",IF(Paramètres!J26&amp;Paramètres!L26&amp;Paramètres!N26="",Dossiers!$D$32,MAX(IF(Paramètres!J26="",0,IF(Paramètres!K26="",NA(),IF(LEFT(TRIM(Paramètres!K26),1)="F",INDEX($F$1517:$F$1569,MATCH(Paramètres!J26,Paramètres!$G$5:$G$57,0)),INDEX($E$1517:$E$1569,MATCH(Paramètres!J26,Paramètres!$G$5:$G$57,0)))+IF(RIGHT(TRIM(Paramètres!K26),3)="Fin",1-$H1538,IF(LEFT(TRIM(Paramètres!K26),1)="F",1,0)))),IF(Paramètres!L26="",0,IF(Paramètres!M26="",NA(),IF(LEFT(TRIM(Paramètres!M26),1)="F",INDEX($F$1517:$F$1569,MATCH(Paramètres!L26,Paramètres!$G$5:$G$57,0)),INDEX($E$1517:$E$1569,MATCH(Paramètres!L26,Paramètres!$G$5:$G$57,0)))+IF(RIGHT(TRIM(Paramètres!M26),3)="Fin",1-$H1538,IF(LEFT(TRIM(Paramètres!M26),1)="F",1,0)))),IF(Paramètres!N26="",0,IF(Paramètres!O26="",NA(),IF(LEFT(TRIM(Paramètres!O26),1)="F",INDEX($F$1517:$F$1569,MATCH(Paramètres!N26,Paramètres!$G$5:$G$57,0)),INDEX($E$1517:$E$1569,MATCH(Paramètres!N26,Paramètres!$G$5:$G$57,0)))+IF(RIGHT(TRIM(Paramètres!O26),3)="Fin",1-$H1538,IF(LEFT(TRIM(Paramètres!O26),1)="F",1,0)))))))</f>
        <v/>
      </c>
      <c r="F1538" s="19">
        <f>IF($A1538="","",E1538+$H1538-1)</f>
        <v/>
      </c>
      <c r="G1538" s="18" t="n"/>
      <c r="H1538" s="18">
        <f>IF($A1538="","",IF(I1538&lt;&gt;"",I1538,Paramètres!B26))</f>
        <v/>
      </c>
      <c r="I1538" s="18" t="n"/>
    </row>
    <row r="1539">
      <c r="A1539" s="18">
        <f>IF(ISNUMBER(Dossiers!$D$32),Dossiers!$A$32&amp;" · "&amp;Dossiers!$B$32,"")</f>
        <v/>
      </c>
      <c r="B1539" s="18">
        <f>IF($A1539="","",Paramètres!G27)</f>
        <v/>
      </c>
      <c r="C1539" s="18">
        <f>IF($A1539="","",IF(Paramètres!H27="","",Paramètres!H27))</f>
        <v/>
      </c>
      <c r="D1539" s="18">
        <f>IF($A1539="","",IF(Paramètres!I27="","",Paramètres!I27))</f>
        <v/>
      </c>
      <c r="E1539" s="19">
        <f>IF($A1539="","",IF(Paramètres!J27&amp;Paramètres!L27&amp;Paramètres!N27="",Dossiers!$D$32,MAX(IF(Paramètres!J27="",0,IF(Paramètres!K27="",NA(),IF(LEFT(TRIM(Paramètres!K27),1)="F",INDEX($F$1517:$F$1569,MATCH(Paramètres!J27,Paramètres!$G$5:$G$57,0)),INDEX($E$1517:$E$1569,MATCH(Paramètres!J27,Paramètres!$G$5:$G$57,0)))+IF(RIGHT(TRIM(Paramètres!K27),3)="Fin",1-$H1539,IF(LEFT(TRIM(Paramètres!K27),1)="F",1,0)))),IF(Paramètres!L27="",0,IF(Paramètres!M27="",NA(),IF(LEFT(TRIM(Paramètres!M27),1)="F",INDEX($F$1517:$F$1569,MATCH(Paramètres!L27,Paramètres!$G$5:$G$57,0)),INDEX($E$1517:$E$1569,MATCH(Paramètres!L27,Paramètres!$G$5:$G$57,0)))+IF(RIGHT(TRIM(Paramètres!M27),3)="Fin",1-$H1539,IF(LEFT(TRIM(Paramètres!M27),1)="F",1,0)))),IF(Paramètres!N27="",0,IF(Paramètres!O27="",NA(),IF(LEFT(TRIM(Paramètres!O27),1)="F",INDEX($F$1517:$F$1569,MATCH(Paramètres!N27,Paramètres!$G$5:$G$57,0)),INDEX($E$1517:$E$1569,MATCH(Paramètres!N27,Paramètres!$G$5:$G$57,0)))+IF(RIGHT(TRIM(Paramètres!O27),3)="Fin",1-$H1539,IF(LEFT(TRIM(Paramètres!O27),1)="F",1,0)))))))</f>
        <v/>
      </c>
      <c r="F1539" s="19">
        <f>IF($A1539="","",E1539+$H1539-1)</f>
        <v/>
      </c>
      <c r="G1539" s="18" t="n"/>
      <c r="H1539" s="18">
        <f>IF($A1539="","",IF(I1539&lt;&gt;"",I1539,Paramètres!B27))</f>
        <v/>
      </c>
      <c r="I1539" s="18" t="n"/>
    </row>
    <row r="1540">
      <c r="A1540" s="18">
        <f>IF(ISNUMBER(Dossiers!$D$32),Dossiers!$A$32&amp;" · "&amp;Dossiers!$B$32,"")</f>
        <v/>
      </c>
      <c r="B1540" s="18">
        <f>IF($A1540="","",Paramètres!G28)</f>
        <v/>
      </c>
      <c r="C1540" s="18">
        <f>IF($A1540="","",IF(Paramètres!H28="","",Paramètres!H28))</f>
        <v/>
      </c>
      <c r="D1540" s="18">
        <f>IF($A1540="","",IF(Paramètres!I28="","",Paramètres!I28))</f>
        <v/>
      </c>
      <c r="E1540" s="19">
        <f>IF($A1540="","",IF(Paramètres!J28&amp;Paramètres!L28&amp;Paramètres!N28="",Dossiers!$D$32,MAX(IF(Paramètres!J28="",0,IF(Paramètres!K28="",NA(),IF(LEFT(TRIM(Paramètres!K28),1)="F",INDEX($F$1517:$F$1569,MATCH(Paramètres!J28,Paramètres!$G$5:$G$57,0)),INDEX($E$1517:$E$1569,MATCH(Paramètres!J28,Paramètres!$G$5:$G$57,0)))+IF(RIGHT(TRIM(Paramètres!K28),3)="Fin",1-$H1540,IF(LEFT(TRIM(Paramètres!K28),1)="F",1,0)))),IF(Paramètres!L28="",0,IF(Paramètres!M28="",NA(),IF(LEFT(TRIM(Paramètres!M28),1)="F",INDEX($F$1517:$F$1569,MATCH(Paramètres!L28,Paramètres!$G$5:$G$57,0)),INDEX($E$1517:$E$1569,MATCH(Paramètres!L28,Paramètres!$G$5:$G$57,0)))+IF(RIGHT(TRIM(Paramètres!M28),3)="Fin",1-$H1540,IF(LEFT(TRIM(Paramètres!M28),1)="F",1,0)))),IF(Paramètres!N28="",0,IF(Paramètres!O28="",NA(),IF(LEFT(TRIM(Paramètres!O28),1)="F",INDEX($F$1517:$F$1569,MATCH(Paramètres!N28,Paramètres!$G$5:$G$57,0)),INDEX($E$1517:$E$1569,MATCH(Paramètres!N28,Paramètres!$G$5:$G$57,0)))+IF(RIGHT(TRIM(Paramètres!O28),3)="Fin",1-$H1540,IF(LEFT(TRIM(Paramètres!O28),1)="F",1,0)))))))</f>
        <v/>
      </c>
      <c r="F1540" s="19">
        <f>IF($A1540="","",E1540+$H1540-1)</f>
        <v/>
      </c>
      <c r="G1540" s="18" t="n"/>
      <c r="H1540" s="18">
        <f>IF($A1540="","",IF(I1540&lt;&gt;"",I1540,Paramètres!B28))</f>
        <v/>
      </c>
      <c r="I1540" s="18" t="n"/>
    </row>
    <row r="1541">
      <c r="A1541" s="18">
        <f>IF(ISNUMBER(Dossiers!$D$32),Dossiers!$A$32&amp;" · "&amp;Dossiers!$B$32,"")</f>
        <v/>
      </c>
      <c r="B1541" s="18">
        <f>IF($A1541="","",Paramètres!G29)</f>
        <v/>
      </c>
      <c r="C1541" s="18">
        <f>IF($A1541="","",IF(Paramètres!H29="","",Paramètres!H29))</f>
        <v/>
      </c>
      <c r="D1541" s="18">
        <f>IF($A1541="","",IF(Paramètres!I29="","",Paramètres!I29))</f>
        <v/>
      </c>
      <c r="E1541" s="19">
        <f>IF($A1541="","",IF(Paramètres!J29&amp;Paramètres!L29&amp;Paramètres!N29="",Dossiers!$D$32,MAX(IF(Paramètres!J29="",0,IF(Paramètres!K29="",NA(),IF(LEFT(TRIM(Paramètres!K29),1)="F",INDEX($F$1517:$F$1569,MATCH(Paramètres!J29,Paramètres!$G$5:$G$57,0)),INDEX($E$1517:$E$1569,MATCH(Paramètres!J29,Paramètres!$G$5:$G$57,0)))+IF(RIGHT(TRIM(Paramètres!K29),3)="Fin",1-$H1541,IF(LEFT(TRIM(Paramètres!K29),1)="F",1,0)))),IF(Paramètres!L29="",0,IF(Paramètres!M29="",NA(),IF(LEFT(TRIM(Paramètres!M29),1)="F",INDEX($F$1517:$F$1569,MATCH(Paramètres!L29,Paramètres!$G$5:$G$57,0)),INDEX($E$1517:$E$1569,MATCH(Paramètres!L29,Paramètres!$G$5:$G$57,0)))+IF(RIGHT(TRIM(Paramètres!M29),3)="Fin",1-$H1541,IF(LEFT(TRIM(Paramètres!M29),1)="F",1,0)))),IF(Paramètres!N29="",0,IF(Paramètres!O29="",NA(),IF(LEFT(TRIM(Paramètres!O29),1)="F",INDEX($F$1517:$F$1569,MATCH(Paramètres!N29,Paramètres!$G$5:$G$57,0)),INDEX($E$1517:$E$1569,MATCH(Paramètres!N29,Paramètres!$G$5:$G$57,0)))+IF(RIGHT(TRIM(Paramètres!O29),3)="Fin",1-$H1541,IF(LEFT(TRIM(Paramètres!O29),1)="F",1,0)))))))</f>
        <v/>
      </c>
      <c r="F1541" s="19">
        <f>IF($A1541="","",E1541+$H1541-1)</f>
        <v/>
      </c>
      <c r="G1541" s="18" t="n"/>
      <c r="H1541" s="18">
        <f>IF($A1541="","",IF(I1541&lt;&gt;"",I1541,Paramètres!B29))</f>
        <v/>
      </c>
      <c r="I1541" s="18" t="n"/>
    </row>
    <row r="1542">
      <c r="A1542" s="18">
        <f>IF(ISNUMBER(Dossiers!$D$32),Dossiers!$A$32&amp;" · "&amp;Dossiers!$B$32,"")</f>
        <v/>
      </c>
      <c r="B1542" s="18">
        <f>IF($A1542="","",Paramètres!G30)</f>
        <v/>
      </c>
      <c r="C1542" s="18">
        <f>IF($A1542="","",IF(Paramètres!H30="","",Paramètres!H30))</f>
        <v/>
      </c>
      <c r="D1542" s="18">
        <f>IF($A1542="","",IF(Paramètres!I30="","",Paramètres!I30))</f>
        <v/>
      </c>
      <c r="E1542" s="19">
        <f>IF($A1542="","",IF(Paramètres!J30&amp;Paramètres!L30&amp;Paramètres!N30="",Dossiers!$D$32,MAX(IF(Paramètres!J30="",0,IF(Paramètres!K30="",NA(),IF(LEFT(TRIM(Paramètres!K30),1)="F",INDEX($F$1517:$F$1569,MATCH(Paramètres!J30,Paramètres!$G$5:$G$57,0)),INDEX($E$1517:$E$1569,MATCH(Paramètres!J30,Paramètres!$G$5:$G$57,0)))+IF(RIGHT(TRIM(Paramètres!K30),3)="Fin",1-$H1542,IF(LEFT(TRIM(Paramètres!K30),1)="F",1,0)))),IF(Paramètres!L30="",0,IF(Paramètres!M30="",NA(),IF(LEFT(TRIM(Paramètres!M30),1)="F",INDEX($F$1517:$F$1569,MATCH(Paramètres!L30,Paramètres!$G$5:$G$57,0)),INDEX($E$1517:$E$1569,MATCH(Paramètres!L30,Paramètres!$G$5:$G$57,0)))+IF(RIGHT(TRIM(Paramètres!M30),3)="Fin",1-$H1542,IF(LEFT(TRIM(Paramètres!M30),1)="F",1,0)))),IF(Paramètres!N30="",0,IF(Paramètres!O30="",NA(),IF(LEFT(TRIM(Paramètres!O30),1)="F",INDEX($F$1517:$F$1569,MATCH(Paramètres!N30,Paramètres!$G$5:$G$57,0)),INDEX($E$1517:$E$1569,MATCH(Paramètres!N30,Paramètres!$G$5:$G$57,0)))+IF(RIGHT(TRIM(Paramètres!O30),3)="Fin",1-$H1542,IF(LEFT(TRIM(Paramètres!O30),1)="F",1,0)))))))</f>
        <v/>
      </c>
      <c r="F1542" s="19">
        <f>IF($A1542="","",E1542+$H1542-1)</f>
        <v/>
      </c>
      <c r="G1542" s="18" t="n"/>
      <c r="H1542" s="18">
        <f>IF($A1542="","",IF(I1542&lt;&gt;"",I1542,Paramètres!B30))</f>
        <v/>
      </c>
      <c r="I1542" s="18" t="n"/>
    </row>
    <row r="1543">
      <c r="A1543" s="18">
        <f>IF(ISNUMBER(Dossiers!$D$32),Dossiers!$A$32&amp;" · "&amp;Dossiers!$B$32,"")</f>
        <v/>
      </c>
      <c r="B1543" s="18">
        <f>IF($A1543="","",Paramètres!G31)</f>
        <v/>
      </c>
      <c r="C1543" s="20">
        <f>IF($A1543="","",IF(Dossiers!$F$32="","",Dossiers!$F$32))</f>
        <v/>
      </c>
      <c r="D1543" s="18">
        <f>IF($A1543="","",IF(Paramètres!I31="","",Paramètres!I31))</f>
        <v/>
      </c>
      <c r="E1543" s="19">
        <f>IF($A1543="","",IF(Paramètres!J31&amp;Paramètres!L31&amp;Paramètres!N31="",Dossiers!$D$32,MAX(IF(Paramètres!J31="",0,IF(Paramètres!K31="",NA(),IF(LEFT(TRIM(Paramètres!K31),1)="F",INDEX($F$1517:$F$1569,MATCH(Paramètres!J31,Paramètres!$G$5:$G$57,0)),INDEX($E$1517:$E$1569,MATCH(Paramètres!J31,Paramètres!$G$5:$G$57,0)))+IF(RIGHT(TRIM(Paramètres!K31),3)="Fin",1-$H1543,IF(LEFT(TRIM(Paramètres!K31),1)="F",1,0)))),IF(Paramètres!L31="",0,IF(Paramètres!M31="",NA(),IF(LEFT(TRIM(Paramètres!M31),1)="F",INDEX($F$1517:$F$1569,MATCH(Paramètres!L31,Paramètres!$G$5:$G$57,0)),INDEX($E$1517:$E$1569,MATCH(Paramètres!L31,Paramètres!$G$5:$G$57,0)))+IF(RIGHT(TRIM(Paramètres!M31),3)="Fin",1-$H1543,IF(LEFT(TRIM(Paramètres!M31),1)="F",1,0)))),IF(Paramètres!N31="",0,IF(Paramètres!O31="",NA(),IF(LEFT(TRIM(Paramètres!O31),1)="F",INDEX($F$1517:$F$1569,MATCH(Paramètres!N31,Paramètres!$G$5:$G$57,0)),INDEX($E$1517:$E$1569,MATCH(Paramètres!N31,Paramètres!$G$5:$G$57,0)))+IF(RIGHT(TRIM(Paramètres!O31),3)="Fin",1-$H1543,IF(LEFT(TRIM(Paramètres!O31),1)="F",1,0)))))))</f>
        <v/>
      </c>
      <c r="F1543" s="19">
        <f>IF($A1543="","",E1543+$H1543-1)</f>
        <v/>
      </c>
      <c r="G1543" s="18" t="n"/>
      <c r="H1543" s="18">
        <f>IF($A1543="","",IF(I1543&lt;&gt;"",I1543,Paramètres!B31))</f>
        <v/>
      </c>
      <c r="I1543" s="18" t="n"/>
    </row>
    <row r="1544">
      <c r="A1544" s="18">
        <f>IF(ISNUMBER(Dossiers!$D$32),Dossiers!$A$32&amp;" · "&amp;Dossiers!$B$32,"")</f>
        <v/>
      </c>
      <c r="B1544" s="18">
        <f>IF($A1544="","",Paramètres!G32)</f>
        <v/>
      </c>
      <c r="C1544" s="18">
        <f>IF($A1544="","",IF(Paramètres!H32="","",Paramètres!H32))</f>
        <v/>
      </c>
      <c r="D1544" s="18">
        <f>IF($A1544="","",IF(Paramètres!I32="","",Paramètres!I32))</f>
        <v/>
      </c>
      <c r="E1544" s="19">
        <f>IF($A1544="","",MIN(E1545:E1548))</f>
        <v/>
      </c>
      <c r="F1544" s="19">
        <f>IF($A1544="","",MAX(F1545:F1548))</f>
        <v/>
      </c>
      <c r="G1544" s="18" t="n"/>
      <c r="H1544" s="18">
        <f>IF($A1544="","",F1544-E1544+1)</f>
        <v/>
      </c>
      <c r="I1544" s="18" t="n"/>
    </row>
    <row r="1545">
      <c r="A1545" s="18">
        <f>IF(ISNUMBER(Dossiers!$D$32),Dossiers!$A$32&amp;" · "&amp;Dossiers!$B$32,"")</f>
        <v/>
      </c>
      <c r="B1545" s="18">
        <f>IF($A1545="","",Paramètres!G33)</f>
        <v/>
      </c>
      <c r="C1545" s="18">
        <f>IF($A1545="","",IF(Paramètres!H33="","",Paramètres!H33))</f>
        <v/>
      </c>
      <c r="D1545" s="18">
        <f>IF($A1545="","",IF(Paramètres!I33="","",Paramètres!I33))</f>
        <v/>
      </c>
      <c r="E1545" s="19">
        <f>IF($A1545="","",IF(Paramètres!J33&amp;Paramètres!L33&amp;Paramètres!N33="",Dossiers!$D$32,MAX(IF(Paramètres!J33="",0,IF(Paramètres!K33="",NA(),IF(LEFT(TRIM(Paramètres!K33),1)="F",INDEX($F$1517:$F$1569,MATCH(Paramètres!J33,Paramètres!$G$5:$G$57,0)),INDEX($E$1517:$E$1569,MATCH(Paramètres!J33,Paramètres!$G$5:$G$57,0)))+IF(RIGHT(TRIM(Paramètres!K33),3)="Fin",1-$H1545,IF(LEFT(TRIM(Paramètres!K33),1)="F",1,0)))),IF(Paramètres!L33="",0,IF(Paramètres!M33="",NA(),IF(LEFT(TRIM(Paramètres!M33),1)="F",INDEX($F$1517:$F$1569,MATCH(Paramètres!L33,Paramètres!$G$5:$G$57,0)),INDEX($E$1517:$E$1569,MATCH(Paramètres!L33,Paramètres!$G$5:$G$57,0)))+IF(RIGHT(TRIM(Paramètres!M33),3)="Fin",1-$H1545,IF(LEFT(TRIM(Paramètres!M33),1)="F",1,0)))),IF(Paramètres!N33="",0,IF(Paramètres!O33="",NA(),IF(LEFT(TRIM(Paramètres!O33),1)="F",INDEX($F$1517:$F$1569,MATCH(Paramètres!N33,Paramètres!$G$5:$G$57,0)),INDEX($E$1517:$E$1569,MATCH(Paramètres!N33,Paramètres!$G$5:$G$57,0)))+IF(RIGHT(TRIM(Paramètres!O33),3)="Fin",1-$H1545,IF(LEFT(TRIM(Paramètres!O33),1)="F",1,0)))))))</f>
        <v/>
      </c>
      <c r="F1545" s="19">
        <f>IF($A1545="","",E1545+$H1545-1)</f>
        <v/>
      </c>
      <c r="G1545" s="18" t="n"/>
      <c r="H1545" s="18">
        <f>IF($A1545="","",IF(I1545&lt;&gt;"",I1545,Paramètres!B33))</f>
        <v/>
      </c>
      <c r="I1545" s="18" t="n"/>
    </row>
    <row r="1546">
      <c r="A1546" s="18">
        <f>IF(ISNUMBER(Dossiers!$D$32),Dossiers!$A$32&amp;" · "&amp;Dossiers!$B$32,"")</f>
        <v/>
      </c>
      <c r="B1546" s="18">
        <f>IF($A1546="","",Paramètres!G34)</f>
        <v/>
      </c>
      <c r="C1546" s="18">
        <f>IF($A1546="","",IF(Paramètres!H34="","",Paramètres!H34))</f>
        <v/>
      </c>
      <c r="D1546" s="18">
        <f>IF($A1546="","",IF(Paramètres!I34="","",Paramètres!I34))</f>
        <v/>
      </c>
      <c r="E1546" s="19">
        <f>IF($A1546="","",IF(Paramètres!J34&amp;Paramètres!L34&amp;Paramètres!N34="",Dossiers!$D$32,MAX(IF(Paramètres!J34="",0,IF(Paramètres!K34="",NA(),IF(LEFT(TRIM(Paramètres!K34),1)="F",INDEX($F$1517:$F$1569,MATCH(Paramètres!J34,Paramètres!$G$5:$G$57,0)),INDEX($E$1517:$E$1569,MATCH(Paramètres!J34,Paramètres!$G$5:$G$57,0)))+IF(RIGHT(TRIM(Paramètres!K34),3)="Fin",1-$H1546,IF(LEFT(TRIM(Paramètres!K34),1)="F",1,0)))),IF(Paramètres!L34="",0,IF(Paramètres!M34="",NA(),IF(LEFT(TRIM(Paramètres!M34),1)="F",INDEX($F$1517:$F$1569,MATCH(Paramètres!L34,Paramètres!$G$5:$G$57,0)),INDEX($E$1517:$E$1569,MATCH(Paramètres!L34,Paramètres!$G$5:$G$57,0)))+IF(RIGHT(TRIM(Paramètres!M34),3)="Fin",1-$H1546,IF(LEFT(TRIM(Paramètres!M34),1)="F",1,0)))),IF(Paramètres!N34="",0,IF(Paramètres!O34="",NA(),IF(LEFT(TRIM(Paramètres!O34),1)="F",INDEX($F$1517:$F$1569,MATCH(Paramètres!N34,Paramètres!$G$5:$G$57,0)),INDEX($E$1517:$E$1569,MATCH(Paramètres!N34,Paramètres!$G$5:$G$57,0)))+IF(RIGHT(TRIM(Paramètres!O34),3)="Fin",1-$H1546,IF(LEFT(TRIM(Paramètres!O34),1)="F",1,0)))))))</f>
        <v/>
      </c>
      <c r="F1546" s="19">
        <f>IF($A1546="","",E1546+$H1546-1)</f>
        <v/>
      </c>
      <c r="G1546" s="18" t="n"/>
      <c r="H1546" s="18">
        <f>IF($A1546="","",IF(I1546&lt;&gt;"",I1546,Paramètres!B34))</f>
        <v/>
      </c>
      <c r="I1546" s="18" t="n"/>
    </row>
    <row r="1547">
      <c r="A1547" s="18">
        <f>IF(ISNUMBER(Dossiers!$D$32),Dossiers!$A$32&amp;" · "&amp;Dossiers!$B$32,"")</f>
        <v/>
      </c>
      <c r="B1547" s="18">
        <f>IF($A1547="","",Paramètres!G35)</f>
        <v/>
      </c>
      <c r="C1547" s="18">
        <f>IF($A1547="","",IF(Paramètres!H35="","",Paramètres!H35))</f>
        <v/>
      </c>
      <c r="D1547" s="18">
        <f>IF($A1547="","",IF(Paramètres!I35="","",Paramètres!I35))</f>
        <v/>
      </c>
      <c r="E1547" s="19">
        <f>IF($A1547="","",IF(Paramètres!J35&amp;Paramètres!L35&amp;Paramètres!N35="",Dossiers!$D$32,MAX(IF(Paramètres!J35="",0,IF(Paramètres!K35="",NA(),IF(LEFT(TRIM(Paramètres!K35),1)="F",INDEX($F$1517:$F$1569,MATCH(Paramètres!J35,Paramètres!$G$5:$G$57,0)),INDEX($E$1517:$E$1569,MATCH(Paramètres!J35,Paramètres!$G$5:$G$57,0)))+IF(RIGHT(TRIM(Paramètres!K35),3)="Fin",1-$H1547,IF(LEFT(TRIM(Paramètres!K35),1)="F",1,0)))),IF(Paramètres!L35="",0,IF(Paramètres!M35="",NA(),IF(LEFT(TRIM(Paramètres!M35),1)="F",INDEX($F$1517:$F$1569,MATCH(Paramètres!L35,Paramètres!$G$5:$G$57,0)),INDEX($E$1517:$E$1569,MATCH(Paramètres!L35,Paramètres!$G$5:$G$57,0)))+IF(RIGHT(TRIM(Paramètres!M35),3)="Fin",1-$H1547,IF(LEFT(TRIM(Paramètres!M35),1)="F",1,0)))),IF(Paramètres!N35="",0,IF(Paramètres!O35="",NA(),IF(LEFT(TRIM(Paramètres!O35),1)="F",INDEX($F$1517:$F$1569,MATCH(Paramètres!N35,Paramètres!$G$5:$G$57,0)),INDEX($E$1517:$E$1569,MATCH(Paramètres!N35,Paramètres!$G$5:$G$57,0)))+IF(RIGHT(TRIM(Paramètres!O35),3)="Fin",1-$H1547,IF(LEFT(TRIM(Paramètres!O35),1)="F",1,0)))))))</f>
        <v/>
      </c>
      <c r="F1547" s="19">
        <f>IF($A1547="","",E1547+$H1547-1)</f>
        <v/>
      </c>
      <c r="G1547" s="18" t="n"/>
      <c r="H1547" s="18">
        <f>IF($A1547="","",IF(I1547&lt;&gt;"",I1547,Paramètres!B35))</f>
        <v/>
      </c>
      <c r="I1547" s="18" t="n"/>
    </row>
    <row r="1548">
      <c r="A1548" s="18">
        <f>IF(ISNUMBER(Dossiers!$D$32),Dossiers!$A$32&amp;" · "&amp;Dossiers!$B$32,"")</f>
        <v/>
      </c>
      <c r="B1548" s="18">
        <f>IF($A1548="","",Paramètres!G36)</f>
        <v/>
      </c>
      <c r="C1548" s="18">
        <f>IF($A1548="","",IF(Paramètres!H36="","",Paramètres!H36))</f>
        <v/>
      </c>
      <c r="D1548" s="18">
        <f>IF($A1548="","",IF(Paramètres!I36="","",Paramètres!I36))</f>
        <v/>
      </c>
      <c r="E1548" s="19">
        <f>IF($A1548="","",IF(Paramètres!J36&amp;Paramètres!L36&amp;Paramètres!N36="",Dossiers!$D$32,MAX(IF(Paramètres!J36="",0,IF(Paramètres!K36="",NA(),IF(LEFT(TRIM(Paramètres!K36),1)="F",INDEX($F$1517:$F$1569,MATCH(Paramètres!J36,Paramètres!$G$5:$G$57,0)),INDEX($E$1517:$E$1569,MATCH(Paramètres!J36,Paramètres!$G$5:$G$57,0)))+IF(RIGHT(TRIM(Paramètres!K36),3)="Fin",1-$H1548,IF(LEFT(TRIM(Paramètres!K36),1)="F",1,0)))),IF(Paramètres!L36="",0,IF(Paramètres!M36="",NA(),IF(LEFT(TRIM(Paramètres!M36),1)="F",INDEX($F$1517:$F$1569,MATCH(Paramètres!L36,Paramètres!$G$5:$G$57,0)),INDEX($E$1517:$E$1569,MATCH(Paramètres!L36,Paramètres!$G$5:$G$57,0)))+IF(RIGHT(TRIM(Paramètres!M36),3)="Fin",1-$H1548,IF(LEFT(TRIM(Paramètres!M36),1)="F",1,0)))),IF(Paramètres!N36="",0,IF(Paramètres!O36="",NA(),IF(LEFT(TRIM(Paramètres!O36),1)="F",INDEX($F$1517:$F$1569,MATCH(Paramètres!N36,Paramètres!$G$5:$G$57,0)),INDEX($E$1517:$E$1569,MATCH(Paramètres!N36,Paramètres!$G$5:$G$57,0)))+IF(RIGHT(TRIM(Paramètres!O36),3)="Fin",1-$H1548,IF(LEFT(TRIM(Paramètres!O36),1)="F",1,0)))))))</f>
        <v/>
      </c>
      <c r="F1548" s="19">
        <f>IF($A1548="","",E1548+$H1548-1)</f>
        <v/>
      </c>
      <c r="G1548" s="18" t="n"/>
      <c r="H1548" s="18">
        <f>IF($A1548="","",IF(I1548&lt;&gt;"",I1548,Paramètres!B36))</f>
        <v/>
      </c>
      <c r="I1548" s="18" t="n"/>
    </row>
    <row r="1549">
      <c r="A1549" s="18">
        <f>IF(ISNUMBER(Dossiers!$D$32),Dossiers!$A$32&amp;" · "&amp;Dossiers!$B$32,"")</f>
        <v/>
      </c>
      <c r="B1549" s="18">
        <f>IF($A1549="","",Paramètres!G37)</f>
        <v/>
      </c>
      <c r="C1549" s="18">
        <f>IF($A1549="","",IF(Paramètres!H37="","",Paramètres!H37))</f>
        <v/>
      </c>
      <c r="D1549" s="18">
        <f>IF($A1549="","",IF(Paramètres!I37="","",Paramètres!I37))</f>
        <v/>
      </c>
      <c r="E1549" s="19">
        <f>IF($A1549="","",MIN(E1550:E1567))</f>
        <v/>
      </c>
      <c r="F1549" s="19">
        <f>IF($A1549="","",MAX(F1550:F1567))</f>
        <v/>
      </c>
      <c r="G1549" s="18" t="n"/>
      <c r="H1549" s="18">
        <f>IF($A1549="","",F1549-E1549+1)</f>
        <v/>
      </c>
      <c r="I1549" s="18" t="n"/>
    </row>
    <row r="1550">
      <c r="A1550" s="18">
        <f>IF(ISNUMBER(Dossiers!$D$32),Dossiers!$A$32&amp;" · "&amp;Dossiers!$B$32,"")</f>
        <v/>
      </c>
      <c r="B1550" s="18">
        <f>IF($A1550="","",Paramètres!G38)</f>
        <v/>
      </c>
      <c r="C1550" s="18">
        <f>IF($A1550="","",IF(Paramètres!H38="","",Paramètres!H38))</f>
        <v/>
      </c>
      <c r="D1550" s="18">
        <f>IF($A1550="","",IF(Paramètres!I38="","",Paramètres!I38))</f>
        <v/>
      </c>
      <c r="E1550" s="19">
        <f>IF($A1550="","",IF(Paramètres!J38&amp;Paramètres!L38&amp;Paramètres!N38="",Dossiers!$D$32,MAX(IF(Paramètres!J38="",0,IF(Paramètres!K38="",NA(),IF(LEFT(TRIM(Paramètres!K38),1)="F",INDEX($F$1517:$F$1569,MATCH(Paramètres!J38,Paramètres!$G$5:$G$57,0)),INDEX($E$1517:$E$1569,MATCH(Paramètres!J38,Paramètres!$G$5:$G$57,0)))+IF(RIGHT(TRIM(Paramètres!K38),3)="Fin",1-$H1550,IF(LEFT(TRIM(Paramètres!K38),1)="F",1,0)))),IF(Paramètres!L38="",0,IF(Paramètres!M38="",NA(),IF(LEFT(TRIM(Paramètres!M38),1)="F",INDEX($F$1517:$F$1569,MATCH(Paramètres!L38,Paramètres!$G$5:$G$57,0)),INDEX($E$1517:$E$1569,MATCH(Paramètres!L38,Paramètres!$G$5:$G$57,0)))+IF(RIGHT(TRIM(Paramètres!M38),3)="Fin",1-$H1550,IF(LEFT(TRIM(Paramètres!M38),1)="F",1,0)))),IF(Paramètres!N38="",0,IF(Paramètres!O38="",NA(),IF(LEFT(TRIM(Paramètres!O38),1)="F",INDEX($F$1517:$F$1569,MATCH(Paramètres!N38,Paramètres!$G$5:$G$57,0)),INDEX($E$1517:$E$1569,MATCH(Paramètres!N38,Paramètres!$G$5:$G$57,0)))+IF(RIGHT(TRIM(Paramètres!O38),3)="Fin",1-$H1550,IF(LEFT(TRIM(Paramètres!O38),1)="F",1,0)))))))</f>
        <v/>
      </c>
      <c r="F1550" s="19">
        <f>IF($A1550="","",E1550+$H1550-1)</f>
        <v/>
      </c>
      <c r="G1550" s="18" t="n"/>
      <c r="H1550" s="18">
        <f>IF($A1550="","",IF(I1550&lt;&gt;"",I1550,Paramètres!B38))</f>
        <v/>
      </c>
      <c r="I1550" s="18" t="n"/>
    </row>
    <row r="1551">
      <c r="A1551" s="18">
        <f>IF(ISNUMBER(Dossiers!$D$32),Dossiers!$A$32&amp;" · "&amp;Dossiers!$B$32,"")</f>
        <v/>
      </c>
      <c r="B1551" s="18">
        <f>IF($A1551="","",Paramètres!G39)</f>
        <v/>
      </c>
      <c r="C1551" s="18">
        <f>IF($A1551="","",IF(Paramètres!H39="","",Paramètres!H39))</f>
        <v/>
      </c>
      <c r="D1551" s="18">
        <f>IF($A1551="","",IF(Paramètres!I39="","",Paramètres!I39))</f>
        <v/>
      </c>
      <c r="E1551" s="19">
        <f>IF($A1551="","",IF(Paramètres!J39&amp;Paramètres!L39&amp;Paramètres!N39="",Dossiers!$D$32,MAX(IF(Paramètres!J39="",0,IF(Paramètres!K39="",NA(),IF(LEFT(TRIM(Paramètres!K39),1)="F",INDEX($F$1517:$F$1569,MATCH(Paramètres!J39,Paramètres!$G$5:$G$57,0)),INDEX($E$1517:$E$1569,MATCH(Paramètres!J39,Paramètres!$G$5:$G$57,0)))+IF(RIGHT(TRIM(Paramètres!K39),3)="Fin",1-$H1551,IF(LEFT(TRIM(Paramètres!K39),1)="F",1,0)))),IF(Paramètres!L39="",0,IF(Paramètres!M39="",NA(),IF(LEFT(TRIM(Paramètres!M39),1)="F",INDEX($F$1517:$F$1569,MATCH(Paramètres!L39,Paramètres!$G$5:$G$57,0)),INDEX($E$1517:$E$1569,MATCH(Paramètres!L39,Paramètres!$G$5:$G$57,0)))+IF(RIGHT(TRIM(Paramètres!M39),3)="Fin",1-$H1551,IF(LEFT(TRIM(Paramètres!M39),1)="F",1,0)))),IF(Paramètres!N39="",0,IF(Paramètres!O39="",NA(),IF(LEFT(TRIM(Paramètres!O39),1)="F",INDEX($F$1517:$F$1569,MATCH(Paramètres!N39,Paramètres!$G$5:$G$57,0)),INDEX($E$1517:$E$1569,MATCH(Paramètres!N39,Paramètres!$G$5:$G$57,0)))+IF(RIGHT(TRIM(Paramètres!O39),3)="Fin",1-$H1551,IF(LEFT(TRIM(Paramètres!O39),1)="F",1,0)))))))</f>
        <v/>
      </c>
      <c r="F1551" s="19">
        <f>IF($A1551="","",E1551+$H1551-1)</f>
        <v/>
      </c>
      <c r="G1551" s="18" t="n"/>
      <c r="H1551" s="18">
        <f>IF($A1551="","",IF(I1551&lt;&gt;"",I1551,Paramètres!B39))</f>
        <v/>
      </c>
      <c r="I1551" s="18" t="n"/>
    </row>
    <row r="1552">
      <c r="A1552" s="18">
        <f>IF(ISNUMBER(Dossiers!$D$32),Dossiers!$A$32&amp;" · "&amp;Dossiers!$B$32,"")</f>
        <v/>
      </c>
      <c r="B1552" s="18">
        <f>IF($A1552="","",Paramètres!G40)</f>
        <v/>
      </c>
      <c r="C1552" s="18">
        <f>IF($A1552="","",IF(Paramètres!H40="","",Paramètres!H40))</f>
        <v/>
      </c>
      <c r="D1552" s="18">
        <f>IF($A1552="","",IF(Paramètres!I40="","",Paramètres!I40))</f>
        <v/>
      </c>
      <c r="E1552" s="19">
        <f>IF($A1552="","",IF(Paramètres!J40&amp;Paramètres!L40&amp;Paramètres!N40="",Dossiers!$D$32,MAX(IF(Paramètres!J40="",0,IF(Paramètres!K40="",NA(),IF(LEFT(TRIM(Paramètres!K40),1)="F",INDEX($F$1517:$F$1569,MATCH(Paramètres!J40,Paramètres!$G$5:$G$57,0)),INDEX($E$1517:$E$1569,MATCH(Paramètres!J40,Paramètres!$G$5:$G$57,0)))+IF(RIGHT(TRIM(Paramètres!K40),3)="Fin",1-$H1552,IF(LEFT(TRIM(Paramètres!K40),1)="F",1,0)))),IF(Paramètres!L40="",0,IF(Paramètres!M40="",NA(),IF(LEFT(TRIM(Paramètres!M40),1)="F",INDEX($F$1517:$F$1569,MATCH(Paramètres!L40,Paramètres!$G$5:$G$57,0)),INDEX($E$1517:$E$1569,MATCH(Paramètres!L40,Paramètres!$G$5:$G$57,0)))+IF(RIGHT(TRIM(Paramètres!M40),3)="Fin",1-$H1552,IF(LEFT(TRIM(Paramètres!M40),1)="F",1,0)))),IF(Paramètres!N40="",0,IF(Paramètres!O40="",NA(),IF(LEFT(TRIM(Paramètres!O40),1)="F",INDEX($F$1517:$F$1569,MATCH(Paramètres!N40,Paramètres!$G$5:$G$57,0)),INDEX($E$1517:$E$1569,MATCH(Paramètres!N40,Paramètres!$G$5:$G$57,0)))+IF(RIGHT(TRIM(Paramètres!O40),3)="Fin",1-$H1552,IF(LEFT(TRIM(Paramètres!O40),1)="F",1,0)))))))</f>
        <v/>
      </c>
      <c r="F1552" s="19">
        <f>IF($A1552="","",E1552+$H1552-1)</f>
        <v/>
      </c>
      <c r="G1552" s="18" t="n"/>
      <c r="H1552" s="18">
        <f>IF($A1552="","",IF(I1552&lt;&gt;"",I1552,Paramètres!B40))</f>
        <v/>
      </c>
      <c r="I1552" s="18" t="n"/>
    </row>
    <row r="1553">
      <c r="A1553" s="18">
        <f>IF(ISNUMBER(Dossiers!$D$32),Dossiers!$A$32&amp;" · "&amp;Dossiers!$B$32,"")</f>
        <v/>
      </c>
      <c r="B1553" s="18">
        <f>IF($A1553="","",Paramètres!G41)</f>
        <v/>
      </c>
      <c r="C1553" s="18">
        <f>IF($A1553="","",IF(Paramètres!H41="","",Paramètres!H41))</f>
        <v/>
      </c>
      <c r="D1553" s="18">
        <f>IF($A1553="","",IF(Paramètres!I41="","",Paramètres!I41))</f>
        <v/>
      </c>
      <c r="E1553" s="19">
        <f>IF($A1553="","",IF(Paramètres!J41&amp;Paramètres!L41&amp;Paramètres!N41="",Dossiers!$D$32,MAX(IF(Paramètres!J41="",0,IF(Paramètres!K41="",NA(),IF(LEFT(TRIM(Paramètres!K41),1)="F",INDEX($F$1517:$F$1569,MATCH(Paramètres!J41,Paramètres!$G$5:$G$57,0)),INDEX($E$1517:$E$1569,MATCH(Paramètres!J41,Paramètres!$G$5:$G$57,0)))+IF(RIGHT(TRIM(Paramètres!K41),3)="Fin",1-$H1553,IF(LEFT(TRIM(Paramètres!K41),1)="F",1,0)))),IF(Paramètres!L41="",0,IF(Paramètres!M41="",NA(),IF(LEFT(TRIM(Paramètres!M41),1)="F",INDEX($F$1517:$F$1569,MATCH(Paramètres!L41,Paramètres!$G$5:$G$57,0)),INDEX($E$1517:$E$1569,MATCH(Paramètres!L41,Paramètres!$G$5:$G$57,0)))+IF(RIGHT(TRIM(Paramètres!M41),3)="Fin",1-$H1553,IF(LEFT(TRIM(Paramètres!M41),1)="F",1,0)))),IF(Paramètres!N41="",0,IF(Paramètres!O41="",NA(),IF(LEFT(TRIM(Paramètres!O41),1)="F",INDEX($F$1517:$F$1569,MATCH(Paramètres!N41,Paramètres!$G$5:$G$57,0)),INDEX($E$1517:$E$1569,MATCH(Paramètres!N41,Paramètres!$G$5:$G$57,0)))+IF(RIGHT(TRIM(Paramètres!O41),3)="Fin",1-$H1553,IF(LEFT(TRIM(Paramètres!O41),1)="F",1,0)))))))</f>
        <v/>
      </c>
      <c r="F1553" s="19">
        <f>IF($A1553="","",E1553+$H1553-1)</f>
        <v/>
      </c>
      <c r="G1553" s="18" t="n"/>
      <c r="H1553" s="18">
        <f>IF($A1553="","",IF(I1553&lt;&gt;"",I1553,Paramètres!B41))</f>
        <v/>
      </c>
      <c r="I1553" s="18" t="n"/>
    </row>
    <row r="1554">
      <c r="A1554" s="18">
        <f>IF(ISNUMBER(Dossiers!$D$32),Dossiers!$A$32&amp;" · "&amp;Dossiers!$B$32,"")</f>
        <v/>
      </c>
      <c r="B1554" s="18">
        <f>IF($A1554="","",Paramètres!G42)</f>
        <v/>
      </c>
      <c r="C1554" s="18">
        <f>IF($A1554="","",IF(Paramètres!H42="","",Paramètres!H42))</f>
        <v/>
      </c>
      <c r="D1554" s="18">
        <f>IF($A1554="","",IF(Paramètres!I42="","",Paramètres!I42))</f>
        <v/>
      </c>
      <c r="E1554" s="19">
        <f>IF($A1554="","",IF(Paramètres!J42&amp;Paramètres!L42&amp;Paramètres!N42="",Dossiers!$D$32,MAX(IF(Paramètres!J42="",0,IF(Paramètres!K42="",NA(),IF(LEFT(TRIM(Paramètres!K42),1)="F",INDEX($F$1517:$F$1569,MATCH(Paramètres!J42,Paramètres!$G$5:$G$57,0)),INDEX($E$1517:$E$1569,MATCH(Paramètres!J42,Paramètres!$G$5:$G$57,0)))+IF(RIGHT(TRIM(Paramètres!K42),3)="Fin",1-$H1554,IF(LEFT(TRIM(Paramètres!K42),1)="F",1,0)))),IF(Paramètres!L42="",0,IF(Paramètres!M42="",NA(),IF(LEFT(TRIM(Paramètres!M42),1)="F",INDEX($F$1517:$F$1569,MATCH(Paramètres!L42,Paramètres!$G$5:$G$57,0)),INDEX($E$1517:$E$1569,MATCH(Paramètres!L42,Paramètres!$G$5:$G$57,0)))+IF(RIGHT(TRIM(Paramètres!M42),3)="Fin",1-$H1554,IF(LEFT(TRIM(Paramètres!M42),1)="F",1,0)))),IF(Paramètres!N42="",0,IF(Paramètres!O42="",NA(),IF(LEFT(TRIM(Paramètres!O42),1)="F",INDEX($F$1517:$F$1569,MATCH(Paramètres!N42,Paramètres!$G$5:$G$57,0)),INDEX($E$1517:$E$1569,MATCH(Paramètres!N42,Paramètres!$G$5:$G$57,0)))+IF(RIGHT(TRIM(Paramètres!O42),3)="Fin",1-$H1554,IF(LEFT(TRIM(Paramètres!O42),1)="F",1,0)))))))</f>
        <v/>
      </c>
      <c r="F1554" s="19">
        <f>IF($A1554="","",E1554+$H1554-1)</f>
        <v/>
      </c>
      <c r="G1554" s="18" t="n"/>
      <c r="H1554" s="18">
        <f>IF($A1554="","",IF(I1554&lt;&gt;"",I1554,Paramètres!B42))</f>
        <v/>
      </c>
      <c r="I1554" s="18" t="n"/>
    </row>
    <row r="1555">
      <c r="A1555" s="18">
        <f>IF(ISNUMBER(Dossiers!$D$32),Dossiers!$A$32&amp;" · "&amp;Dossiers!$B$32,"")</f>
        <v/>
      </c>
      <c r="B1555" s="18">
        <f>IF($A1555="","",Paramètres!G43)</f>
        <v/>
      </c>
      <c r="C1555" s="18">
        <f>IF($A1555="","",IF(Paramètres!H43="","",Paramètres!H43))</f>
        <v/>
      </c>
      <c r="D1555" s="18">
        <f>IF($A1555="","",IF(Paramètres!I43="","",Paramètres!I43))</f>
        <v/>
      </c>
      <c r="E1555" s="19">
        <f>IF($A1555="","",IF(Paramètres!J43&amp;Paramètres!L43&amp;Paramètres!N43="",Dossiers!$D$32,MAX(IF(Paramètres!J43="",0,IF(Paramètres!K43="",NA(),IF(LEFT(TRIM(Paramètres!K43),1)="F",INDEX($F$1517:$F$1569,MATCH(Paramètres!J43,Paramètres!$G$5:$G$57,0)),INDEX($E$1517:$E$1569,MATCH(Paramètres!J43,Paramètres!$G$5:$G$57,0)))+IF(RIGHT(TRIM(Paramètres!K43),3)="Fin",1-$H1555,IF(LEFT(TRIM(Paramètres!K43),1)="F",1,0)))),IF(Paramètres!L43="",0,IF(Paramètres!M43="",NA(),IF(LEFT(TRIM(Paramètres!M43),1)="F",INDEX($F$1517:$F$1569,MATCH(Paramètres!L43,Paramètres!$G$5:$G$57,0)),INDEX($E$1517:$E$1569,MATCH(Paramètres!L43,Paramètres!$G$5:$G$57,0)))+IF(RIGHT(TRIM(Paramètres!M43),3)="Fin",1-$H1555,IF(LEFT(TRIM(Paramètres!M43),1)="F",1,0)))),IF(Paramètres!N43="",0,IF(Paramètres!O43="",NA(),IF(LEFT(TRIM(Paramètres!O43),1)="F",INDEX($F$1517:$F$1569,MATCH(Paramètres!N43,Paramètres!$G$5:$G$57,0)),INDEX($E$1517:$E$1569,MATCH(Paramètres!N43,Paramètres!$G$5:$G$57,0)))+IF(RIGHT(TRIM(Paramètres!O43),3)="Fin",1-$H1555,IF(LEFT(TRIM(Paramètres!O43),1)="F",1,0)))))))</f>
        <v/>
      </c>
      <c r="F1555" s="19">
        <f>IF($A1555="","",E1555+$H1555-1)</f>
        <v/>
      </c>
      <c r="G1555" s="18" t="n"/>
      <c r="H1555" s="18">
        <f>IF($A1555="","",IF(I1555&lt;&gt;"",I1555,Paramètres!B43))</f>
        <v/>
      </c>
      <c r="I1555" s="18" t="n"/>
    </row>
    <row r="1556">
      <c r="A1556" s="18">
        <f>IF(ISNUMBER(Dossiers!$D$32),Dossiers!$A$32&amp;" · "&amp;Dossiers!$B$32,"")</f>
        <v/>
      </c>
      <c r="B1556" s="18">
        <f>IF($A1556="","",Paramètres!G44)</f>
        <v/>
      </c>
      <c r="C1556" s="18">
        <f>IF($A1556="","",IF(Paramètres!H44="","",Paramètres!H44))</f>
        <v/>
      </c>
      <c r="D1556" s="18">
        <f>IF($A1556="","",IF(Paramètres!I44="","",Paramètres!I44))</f>
        <v/>
      </c>
      <c r="E1556" s="19">
        <f>IF($A1556="","",IF(Paramètres!J44&amp;Paramètres!L44&amp;Paramètres!N44="",Dossiers!$D$32,MAX(IF(Paramètres!J44="",0,IF(Paramètres!K44="",NA(),IF(LEFT(TRIM(Paramètres!K44),1)="F",INDEX($F$1517:$F$1569,MATCH(Paramètres!J44,Paramètres!$G$5:$G$57,0)),INDEX($E$1517:$E$1569,MATCH(Paramètres!J44,Paramètres!$G$5:$G$57,0)))+IF(RIGHT(TRIM(Paramètres!K44),3)="Fin",1-$H1556,IF(LEFT(TRIM(Paramètres!K44),1)="F",1,0)))),IF(Paramètres!L44="",0,IF(Paramètres!M44="",NA(),IF(LEFT(TRIM(Paramètres!M44),1)="F",INDEX($F$1517:$F$1569,MATCH(Paramètres!L44,Paramètres!$G$5:$G$57,0)),INDEX($E$1517:$E$1569,MATCH(Paramètres!L44,Paramètres!$G$5:$G$57,0)))+IF(RIGHT(TRIM(Paramètres!M44),3)="Fin",1-$H1556,IF(LEFT(TRIM(Paramètres!M44),1)="F",1,0)))),IF(Paramètres!N44="",0,IF(Paramètres!O44="",NA(),IF(LEFT(TRIM(Paramètres!O44),1)="F",INDEX($F$1517:$F$1569,MATCH(Paramètres!N44,Paramètres!$G$5:$G$57,0)),INDEX($E$1517:$E$1569,MATCH(Paramètres!N44,Paramètres!$G$5:$G$57,0)))+IF(RIGHT(TRIM(Paramètres!O44),3)="Fin",1-$H1556,IF(LEFT(TRIM(Paramètres!O44),1)="F",1,0)))))))</f>
        <v/>
      </c>
      <c r="F1556" s="19">
        <f>IF($A1556="","",E1556+$H1556-1)</f>
        <v/>
      </c>
      <c r="G1556" s="18" t="n"/>
      <c r="H1556" s="18">
        <f>IF($A1556="","",IF(I1556&lt;&gt;"",I1556,Paramètres!B44))</f>
        <v/>
      </c>
      <c r="I1556" s="18" t="n"/>
    </row>
    <row r="1557">
      <c r="A1557" s="18">
        <f>IF(ISNUMBER(Dossiers!$D$32),Dossiers!$A$32&amp;" · "&amp;Dossiers!$B$32,"")</f>
        <v/>
      </c>
      <c r="B1557" s="18">
        <f>IF($A1557="","",Paramètres!G45)</f>
        <v/>
      </c>
      <c r="C1557" s="20">
        <f>IF($A1557="","",IF(Dossiers!$G$32="","",Dossiers!$G$32))</f>
        <v/>
      </c>
      <c r="D1557" s="18">
        <f>IF($A1557="","",IF(Paramètres!I45="","",Paramètres!I45))</f>
        <v/>
      </c>
      <c r="E1557" s="19">
        <f>IF($A1557="","",IF(Paramètres!J45&amp;Paramètres!L45&amp;Paramètres!N45="",Dossiers!$D$32,MAX(IF(Paramètres!J45="",0,IF(Paramètres!K45="",NA(),IF(LEFT(TRIM(Paramètres!K45),1)="F",INDEX($F$1517:$F$1569,MATCH(Paramètres!J45,Paramètres!$G$5:$G$57,0)),INDEX($E$1517:$E$1569,MATCH(Paramètres!J45,Paramètres!$G$5:$G$57,0)))+IF(RIGHT(TRIM(Paramètres!K45),3)="Fin",1-$H1557,IF(LEFT(TRIM(Paramètres!K45),1)="F",1,0)))),IF(Paramètres!L45="",0,IF(Paramètres!M45="",NA(),IF(LEFT(TRIM(Paramètres!M45),1)="F",INDEX($F$1517:$F$1569,MATCH(Paramètres!L45,Paramètres!$G$5:$G$57,0)),INDEX($E$1517:$E$1569,MATCH(Paramètres!L45,Paramètres!$G$5:$G$57,0)))+IF(RIGHT(TRIM(Paramètres!M45),3)="Fin",1-$H1557,IF(LEFT(TRIM(Paramètres!M45),1)="F",1,0)))),IF(Paramètres!N45="",0,IF(Paramètres!O45="",NA(),IF(LEFT(TRIM(Paramètres!O45),1)="F",INDEX($F$1517:$F$1569,MATCH(Paramètres!N45,Paramètres!$G$5:$G$57,0)),INDEX($E$1517:$E$1569,MATCH(Paramètres!N45,Paramètres!$G$5:$G$57,0)))+IF(RIGHT(TRIM(Paramètres!O45),3)="Fin",1-$H1557,IF(LEFT(TRIM(Paramètres!O45),1)="F",1,0)))))))</f>
        <v/>
      </c>
      <c r="F1557" s="19">
        <f>IF($A1557="","",E1557+$H1557-1)</f>
        <v/>
      </c>
      <c r="G1557" s="18" t="n"/>
      <c r="H1557" s="18">
        <f>IF($A1557="","",IF(I1557&lt;&gt;"",I1557,Paramètres!B45))</f>
        <v/>
      </c>
      <c r="I1557" s="18" t="n"/>
    </row>
    <row r="1558">
      <c r="A1558" s="18">
        <f>IF(ISNUMBER(Dossiers!$D$32),Dossiers!$A$32&amp;" · "&amp;Dossiers!$B$32,"")</f>
        <v/>
      </c>
      <c r="B1558" s="18">
        <f>IF($A1558="","",Paramètres!G46)</f>
        <v/>
      </c>
      <c r="C1558" s="18">
        <f>IF($A1558="","",IF(Paramètres!H46="","",Paramètres!H46))</f>
        <v/>
      </c>
      <c r="D1558" s="18">
        <f>IF($A1558="","",IF(Paramètres!I46="","",Paramètres!I46))</f>
        <v/>
      </c>
      <c r="E1558" s="19">
        <f>IF($A1558="","",IF(Paramètres!J46&amp;Paramètres!L46&amp;Paramètres!N46="",Dossiers!$D$32,MAX(IF(Paramètres!J46="",0,IF(Paramètres!K46="",NA(),IF(LEFT(TRIM(Paramètres!K46),1)="F",INDEX($F$1517:$F$1569,MATCH(Paramètres!J46,Paramètres!$G$5:$G$57,0)),INDEX($E$1517:$E$1569,MATCH(Paramètres!J46,Paramètres!$G$5:$G$57,0)))+IF(RIGHT(TRIM(Paramètres!K46),3)="Fin",1-$H1558,IF(LEFT(TRIM(Paramètres!K46),1)="F",1,0)))),IF(Paramètres!L46="",0,IF(Paramètres!M46="",NA(),IF(LEFT(TRIM(Paramètres!M46),1)="F",INDEX($F$1517:$F$1569,MATCH(Paramètres!L46,Paramètres!$G$5:$G$57,0)),INDEX($E$1517:$E$1569,MATCH(Paramètres!L46,Paramètres!$G$5:$G$57,0)))+IF(RIGHT(TRIM(Paramètres!M46),3)="Fin",1-$H1558,IF(LEFT(TRIM(Paramètres!M46),1)="F",1,0)))),IF(Paramètres!N46="",0,IF(Paramètres!O46="",NA(),IF(LEFT(TRIM(Paramètres!O46),1)="F",INDEX($F$1517:$F$1569,MATCH(Paramètres!N46,Paramètres!$G$5:$G$57,0)),INDEX($E$1517:$E$1569,MATCH(Paramètres!N46,Paramètres!$G$5:$G$57,0)))+IF(RIGHT(TRIM(Paramètres!O46),3)="Fin",1-$H1558,IF(LEFT(TRIM(Paramètres!O46),1)="F",1,0)))))))</f>
        <v/>
      </c>
      <c r="F1558" s="19">
        <f>IF($A1558="","",E1558+$H1558-1)</f>
        <v/>
      </c>
      <c r="G1558" s="18" t="n"/>
      <c r="H1558" s="18">
        <f>IF($A1558="","",IF(I1558&lt;&gt;"",I1558,Paramètres!B46))</f>
        <v/>
      </c>
      <c r="I1558" s="18" t="n"/>
    </row>
    <row r="1559">
      <c r="A1559" s="18">
        <f>IF(ISNUMBER(Dossiers!$D$32),Dossiers!$A$32&amp;" · "&amp;Dossiers!$B$32,"")</f>
        <v/>
      </c>
      <c r="B1559" s="18">
        <f>IF($A1559="","",Paramètres!G47)</f>
        <v/>
      </c>
      <c r="C1559" s="18">
        <f>IF($A1559="","",IF(Paramètres!H47="","",Paramètres!H47))</f>
        <v/>
      </c>
      <c r="D1559" s="18">
        <f>IF($A1559="","",IF(Paramètres!I47="","",Paramètres!I47))</f>
        <v/>
      </c>
      <c r="E1559" s="19">
        <f>IF($A1559="","",IF(Paramètres!J47&amp;Paramètres!L47&amp;Paramètres!N47="",Dossiers!$D$32,MAX(IF(Paramètres!J47="",0,IF(Paramètres!K47="",NA(),IF(LEFT(TRIM(Paramètres!K47),1)="F",INDEX($F$1517:$F$1569,MATCH(Paramètres!J47,Paramètres!$G$5:$G$57,0)),INDEX($E$1517:$E$1569,MATCH(Paramètres!J47,Paramètres!$G$5:$G$57,0)))+IF(RIGHT(TRIM(Paramètres!K47),3)="Fin",1-$H1559,IF(LEFT(TRIM(Paramètres!K47),1)="F",1,0)))),IF(Paramètres!L47="",0,IF(Paramètres!M47="",NA(),IF(LEFT(TRIM(Paramètres!M47),1)="F",INDEX($F$1517:$F$1569,MATCH(Paramètres!L47,Paramètres!$G$5:$G$57,0)),INDEX($E$1517:$E$1569,MATCH(Paramètres!L47,Paramètres!$G$5:$G$57,0)))+IF(RIGHT(TRIM(Paramètres!M47),3)="Fin",1-$H1559,IF(LEFT(TRIM(Paramètres!M47),1)="F",1,0)))),IF(Paramètres!N47="",0,IF(Paramètres!O47="",NA(),IF(LEFT(TRIM(Paramètres!O47),1)="F",INDEX($F$1517:$F$1569,MATCH(Paramètres!N47,Paramètres!$G$5:$G$57,0)),INDEX($E$1517:$E$1569,MATCH(Paramètres!N47,Paramètres!$G$5:$G$57,0)))+IF(RIGHT(TRIM(Paramètres!O47),3)="Fin",1-$H1559,IF(LEFT(TRIM(Paramètres!O47),1)="F",1,0)))))))</f>
        <v/>
      </c>
      <c r="F1559" s="19">
        <f>IF($A1559="","",E1559+$H1559-1)</f>
        <v/>
      </c>
      <c r="G1559" s="18" t="n"/>
      <c r="H1559" s="18">
        <f>IF($A1559="","",IF(I1559&lt;&gt;"",I1559,Paramètres!B47))</f>
        <v/>
      </c>
      <c r="I1559" s="18" t="n"/>
    </row>
    <row r="1560">
      <c r="A1560" s="18">
        <f>IF(ISNUMBER(Dossiers!$D$32),Dossiers!$A$32&amp;" · "&amp;Dossiers!$B$32,"")</f>
        <v/>
      </c>
      <c r="B1560" s="18">
        <f>IF($A1560="","",Paramètres!G48)</f>
        <v/>
      </c>
      <c r="C1560" s="18">
        <f>IF($A1560="","",IF(Paramètres!H48="","",Paramètres!H48))</f>
        <v/>
      </c>
      <c r="D1560" s="18">
        <f>IF($A1560="","",IF(Paramètres!I48="","",Paramètres!I48))</f>
        <v/>
      </c>
      <c r="E1560" s="19">
        <f>IF($A1560="","",IF(Paramètres!J48&amp;Paramètres!L48&amp;Paramètres!N48="",Dossiers!$D$32,MAX(IF(Paramètres!J48="",0,IF(Paramètres!K48="",NA(),IF(LEFT(TRIM(Paramètres!K48),1)="F",INDEX($F$1517:$F$1569,MATCH(Paramètres!J48,Paramètres!$G$5:$G$57,0)),INDEX($E$1517:$E$1569,MATCH(Paramètres!J48,Paramètres!$G$5:$G$57,0)))+IF(RIGHT(TRIM(Paramètres!K48),3)="Fin",1-$H1560,IF(LEFT(TRIM(Paramètres!K48),1)="F",1,0)))),IF(Paramètres!L48="",0,IF(Paramètres!M48="",NA(),IF(LEFT(TRIM(Paramètres!M48),1)="F",INDEX($F$1517:$F$1569,MATCH(Paramètres!L48,Paramètres!$G$5:$G$57,0)),INDEX($E$1517:$E$1569,MATCH(Paramètres!L48,Paramètres!$G$5:$G$57,0)))+IF(RIGHT(TRIM(Paramètres!M48),3)="Fin",1-$H1560,IF(LEFT(TRIM(Paramètres!M48),1)="F",1,0)))),IF(Paramètres!N48="",0,IF(Paramètres!O48="",NA(),IF(LEFT(TRIM(Paramètres!O48),1)="F",INDEX($F$1517:$F$1569,MATCH(Paramètres!N48,Paramètres!$G$5:$G$57,0)),INDEX($E$1517:$E$1569,MATCH(Paramètres!N48,Paramètres!$G$5:$G$57,0)))+IF(RIGHT(TRIM(Paramètres!O48),3)="Fin",1-$H1560,IF(LEFT(TRIM(Paramètres!O48),1)="F",1,0)))))))</f>
        <v/>
      </c>
      <c r="F1560" s="19">
        <f>IF($A1560="","",E1560+$H1560-1)</f>
        <v/>
      </c>
      <c r="G1560" s="18" t="n"/>
      <c r="H1560" s="18">
        <f>IF($A1560="","",IF(I1560&lt;&gt;"",I1560,Paramètres!B48))</f>
        <v/>
      </c>
      <c r="I1560" s="18" t="n"/>
    </row>
    <row r="1561">
      <c r="A1561" s="18">
        <f>IF(ISNUMBER(Dossiers!$D$32),Dossiers!$A$32&amp;" · "&amp;Dossiers!$B$32,"")</f>
        <v/>
      </c>
      <c r="B1561" s="18">
        <f>IF($A1561="","",Paramètres!G49)</f>
        <v/>
      </c>
      <c r="C1561" s="18">
        <f>IF($A1561="","",IF(Paramètres!H49="","",Paramètres!H49))</f>
        <v/>
      </c>
      <c r="D1561" s="18">
        <f>IF($A1561="","",IF(Paramètres!I49="","",Paramètres!I49))</f>
        <v/>
      </c>
      <c r="E1561" s="19">
        <f>IF($A1561="","",IF(Paramètres!J49&amp;Paramètres!L49&amp;Paramètres!N49="",Dossiers!$D$32,MAX(IF(Paramètres!J49="",0,IF(Paramètres!K49="",NA(),IF(LEFT(TRIM(Paramètres!K49),1)="F",INDEX($F$1517:$F$1569,MATCH(Paramètres!J49,Paramètres!$G$5:$G$57,0)),INDEX($E$1517:$E$1569,MATCH(Paramètres!J49,Paramètres!$G$5:$G$57,0)))+IF(RIGHT(TRIM(Paramètres!K49),3)="Fin",1-$H1561,IF(LEFT(TRIM(Paramètres!K49),1)="F",1,0)))),IF(Paramètres!L49="",0,IF(Paramètres!M49="",NA(),IF(LEFT(TRIM(Paramètres!M49),1)="F",INDEX($F$1517:$F$1569,MATCH(Paramètres!L49,Paramètres!$G$5:$G$57,0)),INDEX($E$1517:$E$1569,MATCH(Paramètres!L49,Paramètres!$G$5:$G$57,0)))+IF(RIGHT(TRIM(Paramètres!M49),3)="Fin",1-$H1561,IF(LEFT(TRIM(Paramètres!M49),1)="F",1,0)))),IF(Paramètres!N49="",0,IF(Paramètres!O49="",NA(),IF(LEFT(TRIM(Paramètres!O49),1)="F",INDEX($F$1517:$F$1569,MATCH(Paramètres!N49,Paramètres!$G$5:$G$57,0)),INDEX($E$1517:$E$1569,MATCH(Paramètres!N49,Paramètres!$G$5:$G$57,0)))+IF(RIGHT(TRIM(Paramètres!O49),3)="Fin",1-$H1561,IF(LEFT(TRIM(Paramètres!O49),1)="F",1,0)))))))</f>
        <v/>
      </c>
      <c r="F1561" s="19">
        <f>IF($A1561="","",E1561+$H1561-1)</f>
        <v/>
      </c>
      <c r="G1561" s="18" t="n"/>
      <c r="H1561" s="18">
        <f>IF($A1561="","",IF(I1561&lt;&gt;"",I1561,Paramètres!B49))</f>
        <v/>
      </c>
      <c r="I1561" s="18" t="n"/>
    </row>
    <row r="1562">
      <c r="A1562" s="18">
        <f>IF(ISNUMBER(Dossiers!$D$32),Dossiers!$A$32&amp;" · "&amp;Dossiers!$B$32,"")</f>
        <v/>
      </c>
      <c r="B1562" s="18">
        <f>IF($A1562="","",Paramètres!G50)</f>
        <v/>
      </c>
      <c r="C1562" s="18">
        <f>IF($A1562="","",IF(Paramètres!H50="","",Paramètres!H50))</f>
        <v/>
      </c>
      <c r="D1562" s="18">
        <f>IF($A1562="","",IF(Paramètres!I50="","",Paramètres!I50))</f>
        <v/>
      </c>
      <c r="E1562" s="19">
        <f>IF($A1562="","",IF(Paramètres!J50&amp;Paramètres!L50&amp;Paramètres!N50="",Dossiers!$D$32,MAX(IF(Paramètres!J50="",0,IF(Paramètres!K50="",NA(),IF(LEFT(TRIM(Paramètres!K50),1)="F",INDEX($F$1517:$F$1569,MATCH(Paramètres!J50,Paramètres!$G$5:$G$57,0)),INDEX($E$1517:$E$1569,MATCH(Paramètres!J50,Paramètres!$G$5:$G$57,0)))+IF(RIGHT(TRIM(Paramètres!K50),3)="Fin",1-$H1562,IF(LEFT(TRIM(Paramètres!K50),1)="F",1,0)))),IF(Paramètres!L50="",0,IF(Paramètres!M50="",NA(),IF(LEFT(TRIM(Paramètres!M50),1)="F",INDEX($F$1517:$F$1569,MATCH(Paramètres!L50,Paramètres!$G$5:$G$57,0)),INDEX($E$1517:$E$1569,MATCH(Paramètres!L50,Paramètres!$G$5:$G$57,0)))+IF(RIGHT(TRIM(Paramètres!M50),3)="Fin",1-$H1562,IF(LEFT(TRIM(Paramètres!M50),1)="F",1,0)))),IF(Paramètres!N50="",0,IF(Paramètres!O50="",NA(),IF(LEFT(TRIM(Paramètres!O50),1)="F",INDEX($F$1517:$F$1569,MATCH(Paramètres!N50,Paramètres!$G$5:$G$57,0)),INDEX($E$1517:$E$1569,MATCH(Paramètres!N50,Paramètres!$G$5:$G$57,0)))+IF(RIGHT(TRIM(Paramètres!O50),3)="Fin",1-$H1562,IF(LEFT(TRIM(Paramètres!O50),1)="F",1,0)))))))</f>
        <v/>
      </c>
      <c r="F1562" s="19">
        <f>IF($A1562="","",E1562+$H1562-1)</f>
        <v/>
      </c>
      <c r="G1562" s="18" t="n"/>
      <c r="H1562" s="18">
        <f>IF($A1562="","",IF(I1562&lt;&gt;"",I1562,Paramètres!B50))</f>
        <v/>
      </c>
      <c r="I1562" s="18" t="n"/>
    </row>
    <row r="1563">
      <c r="A1563" s="18">
        <f>IF(ISNUMBER(Dossiers!$D$32),Dossiers!$A$32&amp;" · "&amp;Dossiers!$B$32,"")</f>
        <v/>
      </c>
      <c r="B1563" s="18">
        <f>IF($A1563="","",Paramètres!G51)</f>
        <v/>
      </c>
      <c r="C1563" s="18">
        <f>IF($A1563="","",IF(Paramètres!H51="","",Paramètres!H51))</f>
        <v/>
      </c>
      <c r="D1563" s="18">
        <f>IF($A1563="","",IF(Paramètres!I51="","",Paramètres!I51))</f>
        <v/>
      </c>
      <c r="E1563" s="19">
        <f>IF($A1563="","",IF(Paramètres!J51&amp;Paramètres!L51&amp;Paramètres!N51="",Dossiers!$D$32,MAX(IF(Paramètres!J51="",0,IF(Paramètres!K51="",NA(),IF(LEFT(TRIM(Paramètres!K51),1)="F",INDEX($F$1517:$F$1569,MATCH(Paramètres!J51,Paramètres!$G$5:$G$57,0)),INDEX($E$1517:$E$1569,MATCH(Paramètres!J51,Paramètres!$G$5:$G$57,0)))+IF(RIGHT(TRIM(Paramètres!K51),3)="Fin",1-$H1563,IF(LEFT(TRIM(Paramètres!K51),1)="F",1,0)))),IF(Paramètres!L51="",0,IF(Paramètres!M51="",NA(),IF(LEFT(TRIM(Paramètres!M51),1)="F",INDEX($F$1517:$F$1569,MATCH(Paramètres!L51,Paramètres!$G$5:$G$57,0)),INDEX($E$1517:$E$1569,MATCH(Paramètres!L51,Paramètres!$G$5:$G$57,0)))+IF(RIGHT(TRIM(Paramètres!M51),3)="Fin",1-$H1563,IF(LEFT(TRIM(Paramètres!M51),1)="F",1,0)))),IF(Paramètres!N51="",0,IF(Paramètres!O51="",NA(),IF(LEFT(TRIM(Paramètres!O51),1)="F",INDEX($F$1517:$F$1569,MATCH(Paramètres!N51,Paramètres!$G$5:$G$57,0)),INDEX($E$1517:$E$1569,MATCH(Paramètres!N51,Paramètres!$G$5:$G$57,0)))+IF(RIGHT(TRIM(Paramètres!O51),3)="Fin",1-$H1563,IF(LEFT(TRIM(Paramètres!O51),1)="F",1,0)))))))</f>
        <v/>
      </c>
      <c r="F1563" s="19">
        <f>IF($A1563="","",E1563+$H1563-1)</f>
        <v/>
      </c>
      <c r="G1563" s="18" t="n"/>
      <c r="H1563" s="18">
        <f>IF($A1563="","",IF(I1563&lt;&gt;"",I1563,Paramètres!B51))</f>
        <v/>
      </c>
      <c r="I1563" s="18" t="n"/>
    </row>
    <row r="1564">
      <c r="A1564" s="18">
        <f>IF(ISNUMBER(Dossiers!$D$32),Dossiers!$A$32&amp;" · "&amp;Dossiers!$B$32,"")</f>
        <v/>
      </c>
      <c r="B1564" s="18">
        <f>IF($A1564="","",Paramètres!G52)</f>
        <v/>
      </c>
      <c r="C1564" s="18">
        <f>IF($A1564="","",IF(Paramètres!H52="","",Paramètres!H52))</f>
        <v/>
      </c>
      <c r="D1564" s="18">
        <f>IF($A1564="","",IF(Paramètres!I52="","",Paramètres!I52))</f>
        <v/>
      </c>
      <c r="E1564" s="19">
        <f>IF($A1564="","",IF(Paramètres!J52&amp;Paramètres!L52&amp;Paramètres!N52="",Dossiers!$D$32,MAX(IF(Paramètres!J52="",0,IF(Paramètres!K52="",NA(),IF(LEFT(TRIM(Paramètres!K52),1)="F",INDEX($F$1517:$F$1569,MATCH(Paramètres!J52,Paramètres!$G$5:$G$57,0)),INDEX($E$1517:$E$1569,MATCH(Paramètres!J52,Paramètres!$G$5:$G$57,0)))+IF(RIGHT(TRIM(Paramètres!K52),3)="Fin",1-$H1564,IF(LEFT(TRIM(Paramètres!K52),1)="F",1,0)))),IF(Paramètres!L52="",0,IF(Paramètres!M52="",NA(),IF(LEFT(TRIM(Paramètres!M52),1)="F",INDEX($F$1517:$F$1569,MATCH(Paramètres!L52,Paramètres!$G$5:$G$57,0)),INDEX($E$1517:$E$1569,MATCH(Paramètres!L52,Paramètres!$G$5:$G$57,0)))+IF(RIGHT(TRIM(Paramètres!M52),3)="Fin",1-$H1564,IF(LEFT(TRIM(Paramètres!M52),1)="F",1,0)))),IF(Paramètres!N52="",0,IF(Paramètres!O52="",NA(),IF(LEFT(TRIM(Paramètres!O52),1)="F",INDEX($F$1517:$F$1569,MATCH(Paramètres!N52,Paramètres!$G$5:$G$57,0)),INDEX($E$1517:$E$1569,MATCH(Paramètres!N52,Paramètres!$G$5:$G$57,0)))+IF(RIGHT(TRIM(Paramètres!O52),3)="Fin",1-$H1564,IF(LEFT(TRIM(Paramètres!O52),1)="F",1,0)))))))</f>
        <v/>
      </c>
      <c r="F1564" s="19">
        <f>IF($A1564="","",E1564+$H1564-1)</f>
        <v/>
      </c>
      <c r="G1564" s="18" t="n"/>
      <c r="H1564" s="18">
        <f>IF($A1564="","",IF(I1564&lt;&gt;"",I1564,Paramètres!B52))</f>
        <v/>
      </c>
      <c r="I1564" s="18" t="n"/>
    </row>
    <row r="1565">
      <c r="A1565" s="18">
        <f>IF(ISNUMBER(Dossiers!$D$32),Dossiers!$A$32&amp;" · "&amp;Dossiers!$B$32,"")</f>
        <v/>
      </c>
      <c r="B1565" s="18">
        <f>IF($A1565="","",Paramètres!G53)</f>
        <v/>
      </c>
      <c r="C1565" s="18">
        <f>IF($A1565="","",IF(Paramètres!H53="","",Paramètres!H53))</f>
        <v/>
      </c>
      <c r="D1565" s="18">
        <f>IF($A1565="","",IF(Paramètres!I53="","",Paramètres!I53))</f>
        <v/>
      </c>
      <c r="E1565" s="19">
        <f>IF($A1565="","",IF(Paramètres!J53&amp;Paramètres!L53&amp;Paramètres!N53="",Dossiers!$D$32,MAX(IF(Paramètres!J53="",0,IF(Paramètres!K53="",NA(),IF(LEFT(TRIM(Paramètres!K53),1)="F",INDEX($F$1517:$F$1569,MATCH(Paramètres!J53,Paramètres!$G$5:$G$57,0)),INDEX($E$1517:$E$1569,MATCH(Paramètres!J53,Paramètres!$G$5:$G$57,0)))+IF(RIGHT(TRIM(Paramètres!K53),3)="Fin",1-$H1565,IF(LEFT(TRIM(Paramètres!K53),1)="F",1,0)))),IF(Paramètres!L53="",0,IF(Paramètres!M53="",NA(),IF(LEFT(TRIM(Paramètres!M53),1)="F",INDEX($F$1517:$F$1569,MATCH(Paramètres!L53,Paramètres!$G$5:$G$57,0)),INDEX($E$1517:$E$1569,MATCH(Paramètres!L53,Paramètres!$G$5:$G$57,0)))+IF(RIGHT(TRIM(Paramètres!M53),3)="Fin",1-$H1565,IF(LEFT(TRIM(Paramètres!M53),1)="F",1,0)))),IF(Paramètres!N53="",0,IF(Paramètres!O53="",NA(),IF(LEFT(TRIM(Paramètres!O53),1)="F",INDEX($F$1517:$F$1569,MATCH(Paramètres!N53,Paramètres!$G$5:$G$57,0)),INDEX($E$1517:$E$1569,MATCH(Paramètres!N53,Paramètres!$G$5:$G$57,0)))+IF(RIGHT(TRIM(Paramètres!O53),3)="Fin",1-$H1565,IF(LEFT(TRIM(Paramètres!O53),1)="F",1,0)))))))</f>
        <v/>
      </c>
      <c r="F1565" s="19">
        <f>IF($A1565="","",E1565+$H1565-1)</f>
        <v/>
      </c>
      <c r="G1565" s="18" t="n"/>
      <c r="H1565" s="18">
        <f>IF($A1565="","",IF(I1565&lt;&gt;"",I1565,Paramètres!B53))</f>
        <v/>
      </c>
      <c r="I1565" s="18" t="n"/>
    </row>
    <row r="1566">
      <c r="A1566" s="18">
        <f>IF(ISNUMBER(Dossiers!$D$32),Dossiers!$A$32&amp;" · "&amp;Dossiers!$B$32,"")</f>
        <v/>
      </c>
      <c r="B1566" s="18">
        <f>IF($A1566="","",Paramètres!G54)</f>
        <v/>
      </c>
      <c r="C1566" s="18">
        <f>IF($A1566="","",IF(Paramètres!H54="","",Paramètres!H54))</f>
        <v/>
      </c>
      <c r="D1566" s="18">
        <f>IF($A1566="","",IF(Paramètres!I54="","",Paramètres!I54))</f>
        <v/>
      </c>
      <c r="E1566" s="19">
        <f>IF($A1566="","",IF(Paramètres!J54&amp;Paramètres!L54&amp;Paramètres!N54="",Dossiers!$D$32,MAX(IF(Paramètres!J54="",0,IF(Paramètres!K54="",NA(),IF(LEFT(TRIM(Paramètres!K54),1)="F",INDEX($F$1517:$F$1569,MATCH(Paramètres!J54,Paramètres!$G$5:$G$57,0)),INDEX($E$1517:$E$1569,MATCH(Paramètres!J54,Paramètres!$G$5:$G$57,0)))+IF(RIGHT(TRIM(Paramètres!K54),3)="Fin",1-$H1566,IF(LEFT(TRIM(Paramètres!K54),1)="F",1,0)))),IF(Paramètres!L54="",0,IF(Paramètres!M54="",NA(),IF(LEFT(TRIM(Paramètres!M54),1)="F",INDEX($F$1517:$F$1569,MATCH(Paramètres!L54,Paramètres!$G$5:$G$57,0)),INDEX($E$1517:$E$1569,MATCH(Paramètres!L54,Paramètres!$G$5:$G$57,0)))+IF(RIGHT(TRIM(Paramètres!M54),3)="Fin",1-$H1566,IF(LEFT(TRIM(Paramètres!M54),1)="F",1,0)))),IF(Paramètres!N54="",0,IF(Paramètres!O54="",NA(),IF(LEFT(TRIM(Paramètres!O54),1)="F",INDEX($F$1517:$F$1569,MATCH(Paramètres!N54,Paramètres!$G$5:$G$57,0)),INDEX($E$1517:$E$1569,MATCH(Paramètres!N54,Paramètres!$G$5:$G$57,0)))+IF(RIGHT(TRIM(Paramètres!O54),3)="Fin",1-$H1566,IF(LEFT(TRIM(Paramètres!O54),1)="F",1,0)))))))</f>
        <v/>
      </c>
      <c r="F1566" s="19">
        <f>IF($A1566="","",E1566+$H1566-1)</f>
        <v/>
      </c>
      <c r="G1566" s="18" t="n"/>
      <c r="H1566" s="18">
        <f>IF($A1566="","",IF(I1566&lt;&gt;"",I1566,Paramètres!B54))</f>
        <v/>
      </c>
      <c r="I1566" s="18" t="n"/>
    </row>
    <row r="1567">
      <c r="A1567" s="18">
        <f>IF(ISNUMBER(Dossiers!$D$32),Dossiers!$A$32&amp;" · "&amp;Dossiers!$B$32,"")</f>
        <v/>
      </c>
      <c r="B1567" s="18">
        <f>IF($A1567="","",Paramètres!G55)</f>
        <v/>
      </c>
      <c r="C1567" s="18">
        <f>IF($A1567="","",IF(Paramètres!H55="","",Paramètres!H55))</f>
        <v/>
      </c>
      <c r="D1567" s="18">
        <f>IF($A1567="","",IF(Paramètres!I55="","",Paramètres!I55))</f>
        <v/>
      </c>
      <c r="E1567" s="19">
        <f>IF($A1567="","",IF(Paramètres!J55&amp;Paramètres!L55&amp;Paramètres!N55="",Dossiers!$D$32,MAX(IF(Paramètres!J55="",0,IF(Paramètres!K55="",NA(),IF(LEFT(TRIM(Paramètres!K55),1)="F",INDEX($F$1517:$F$1569,MATCH(Paramètres!J55,Paramètres!$G$5:$G$57,0)),INDEX($E$1517:$E$1569,MATCH(Paramètres!J55,Paramètres!$G$5:$G$57,0)))+IF(RIGHT(TRIM(Paramètres!K55),3)="Fin",1-$H1567,IF(LEFT(TRIM(Paramètres!K55),1)="F",1,0)))),IF(Paramètres!L55="",0,IF(Paramètres!M55="",NA(),IF(LEFT(TRIM(Paramètres!M55),1)="F",INDEX($F$1517:$F$1569,MATCH(Paramètres!L55,Paramètres!$G$5:$G$57,0)),INDEX($E$1517:$E$1569,MATCH(Paramètres!L55,Paramètres!$G$5:$G$57,0)))+IF(RIGHT(TRIM(Paramètres!M55),3)="Fin",1-$H1567,IF(LEFT(TRIM(Paramètres!M55),1)="F",1,0)))),IF(Paramètres!N55="",0,IF(Paramètres!O55="",NA(),IF(LEFT(TRIM(Paramètres!O55),1)="F",INDEX($F$1517:$F$1569,MATCH(Paramètres!N55,Paramètres!$G$5:$G$57,0)),INDEX($E$1517:$E$1569,MATCH(Paramètres!N55,Paramètres!$G$5:$G$57,0)))+IF(RIGHT(TRIM(Paramètres!O55),3)="Fin",1-$H1567,IF(LEFT(TRIM(Paramètres!O55),1)="F",1,0)))))))</f>
        <v/>
      </c>
      <c r="F1567" s="19">
        <f>IF($A1567="","",E1567+$H1567-1)</f>
        <v/>
      </c>
      <c r="G1567" s="18" t="n"/>
      <c r="H1567" s="18">
        <f>IF($A1567="","",IF(I1567&lt;&gt;"",I1567,Paramètres!B55))</f>
        <v/>
      </c>
      <c r="I1567" s="18" t="n"/>
    </row>
    <row r="1568">
      <c r="A1568" s="18">
        <f>IF(ISNUMBER(Dossiers!$D$32),Dossiers!$A$32&amp;" · "&amp;Dossiers!$B$32,"")</f>
        <v/>
      </c>
      <c r="B1568" s="18">
        <f>IF($A1568="","",Paramètres!G56)</f>
        <v/>
      </c>
      <c r="C1568" s="18">
        <f>IF($A1568="","",IF(Paramètres!H56="","",Paramètres!H56))</f>
        <v/>
      </c>
      <c r="D1568" s="18">
        <f>IF($A1568="","",IF(Paramètres!I56="","",Paramètres!I56))</f>
        <v/>
      </c>
      <c r="E1568" s="19">
        <f>IF($A1568="","",MIN(E1569:E1569))</f>
        <v/>
      </c>
      <c r="F1568" s="19">
        <f>IF($A1568="","",MAX(F1569:F1569))</f>
        <v/>
      </c>
      <c r="G1568" s="18" t="n"/>
      <c r="H1568" s="18">
        <f>IF($A1568="","",F1568-E1568+1)</f>
        <v/>
      </c>
      <c r="I1568" s="18" t="n"/>
    </row>
    <row r="1569">
      <c r="A1569" s="18">
        <f>IF(ISNUMBER(Dossiers!$D$32),Dossiers!$A$32&amp;" · "&amp;Dossiers!$B$32,"")</f>
        <v/>
      </c>
      <c r="B1569" s="18">
        <f>IF($A1569="","",Paramètres!G57)</f>
        <v/>
      </c>
      <c r="C1569" s="18">
        <f>IF($A1569="","",IF(Paramètres!H57="","",Paramètres!H57))</f>
        <v/>
      </c>
      <c r="D1569" s="18">
        <f>IF($A1569="","",IF(Paramètres!I57="","",Paramètres!I57))</f>
        <v/>
      </c>
      <c r="E1569" s="19">
        <f>IF($A1569="","",IF(Paramètres!J57&amp;Paramètres!L57&amp;Paramètres!N57="",Dossiers!$D$32,MAX(IF(Paramètres!J57="",0,IF(Paramètres!K57="",NA(),IF(LEFT(TRIM(Paramètres!K57),1)="F",INDEX($F$1517:$F$1569,MATCH(Paramètres!J57,Paramètres!$G$5:$G$57,0)),INDEX($E$1517:$E$1569,MATCH(Paramètres!J57,Paramètres!$G$5:$G$57,0)))+IF(RIGHT(TRIM(Paramètres!K57),3)="Fin",1-$H1569,IF(LEFT(TRIM(Paramètres!K57),1)="F",1,0)))),IF(Paramètres!L57="",0,IF(Paramètres!M57="",NA(),IF(LEFT(TRIM(Paramètres!M57),1)="F",INDEX($F$1517:$F$1569,MATCH(Paramètres!L57,Paramètres!$G$5:$G$57,0)),INDEX($E$1517:$E$1569,MATCH(Paramètres!L57,Paramètres!$G$5:$G$57,0)))+IF(RIGHT(TRIM(Paramètres!M57),3)="Fin",1-$H1569,IF(LEFT(TRIM(Paramètres!M57),1)="F",1,0)))),IF(Paramètres!N57="",0,IF(Paramètres!O57="",NA(),IF(LEFT(TRIM(Paramètres!O57),1)="F",INDEX($F$1517:$F$1569,MATCH(Paramètres!N57,Paramètres!$G$5:$G$57,0)),INDEX($E$1517:$E$1569,MATCH(Paramètres!N57,Paramètres!$G$5:$G$57,0)))+IF(RIGHT(TRIM(Paramètres!O57),3)="Fin",1-$H1569,IF(LEFT(TRIM(Paramètres!O57),1)="F",1,0)))))))</f>
        <v/>
      </c>
      <c r="F1569" s="19">
        <f>IF($A1569="","",E1569+$H1569-1)</f>
        <v/>
      </c>
      <c r="G1569" s="18" t="n"/>
      <c r="H1569" s="18">
        <f>IF($A1569="","",IF(I1569&lt;&gt;"",I1569,Paramètres!B57))</f>
        <v/>
      </c>
      <c r="I1569" s="18" t="n"/>
    </row>
    <row r="1570">
      <c r="A1570" s="16">
        <f>IF(ISNUMBER(Dossiers!$D$33),Dossiers!$E$33,"")</f>
        <v/>
      </c>
      <c r="B1570" s="16">
        <f>IF($A1570="","","Identifiant")</f>
        <v/>
      </c>
      <c r="C1570" s="16">
        <f>IF($A1570="","","Macro Etape")</f>
        <v/>
      </c>
      <c r="D1570" s="16">
        <f>IF($A1570="","","Etape")</f>
        <v/>
      </c>
      <c r="E1570" s="17">
        <f>IF($A1570="","","Début le")</f>
        <v/>
      </c>
      <c r="F1570" s="17">
        <f>IF($A1570="","","Fin prévue le")</f>
        <v/>
      </c>
      <c r="G1570" s="16">
        <f>IF($A1570="","","Statut")</f>
        <v/>
      </c>
      <c r="H1570" s="16">
        <f>IF($A1570="","","Durée (jours)")</f>
        <v/>
      </c>
      <c r="I1570" s="16">
        <f>IF($A1570="","","Durée particulière")</f>
        <v/>
      </c>
      <c r="J1570" s="10">
        <f>IF($A1570="","",HYPERLINK("#'Tableau de bord'!A1","↑ Tableau de bord"))</f>
        <v/>
      </c>
    </row>
    <row r="1571">
      <c r="A1571" s="18">
        <f>IF(ISNUMBER(Dossiers!$D$33),Dossiers!$A$33&amp;" · "&amp;Dossiers!$B$33,"")</f>
        <v/>
      </c>
      <c r="B1571" s="18">
        <f>IF($A1571="","",Paramètres!G5)</f>
        <v/>
      </c>
      <c r="C1571" s="18">
        <f>IF($A1571="","",IF(Paramètres!H5="","",Paramètres!H5))</f>
        <v/>
      </c>
      <c r="D1571" s="18">
        <f>IF($A1571="","",IF(Paramètres!I5="","",Paramètres!I5))</f>
        <v/>
      </c>
      <c r="E1571" s="19">
        <f>IF($A1571="","",MIN(E1572:E1575))</f>
        <v/>
      </c>
      <c r="F1571" s="19">
        <f>IF($A1571="","",MAX(F1572:F1575))</f>
        <v/>
      </c>
      <c r="G1571" s="18" t="n"/>
      <c r="H1571" s="18">
        <f>IF($A1571="","",F1571-E1571+1)</f>
        <v/>
      </c>
      <c r="I1571" s="18" t="n"/>
    </row>
    <row r="1572">
      <c r="A1572" s="18">
        <f>IF(ISNUMBER(Dossiers!$D$33),Dossiers!$A$33&amp;" · "&amp;Dossiers!$B$33,"")</f>
        <v/>
      </c>
      <c r="B1572" s="18">
        <f>IF($A1572="","",Paramètres!G6)</f>
        <v/>
      </c>
      <c r="C1572" s="18">
        <f>IF($A1572="","",IF(Paramètres!H6="","",Paramètres!H6))</f>
        <v/>
      </c>
      <c r="D1572" s="18">
        <f>IF($A1572="","",IF(Paramètres!I6="","",Paramètres!I6))</f>
        <v/>
      </c>
      <c r="E1572" s="19">
        <f>IF($A1572="","",IF(Paramètres!J6&amp;Paramètres!L6&amp;Paramètres!N6="",Dossiers!$D$33,MAX(IF(Paramètres!J6="",0,IF(Paramètres!K6="",NA(),IF(LEFT(TRIM(Paramètres!K6),1)="F",INDEX($F$1571:$F$1623,MATCH(Paramètres!J6,Paramètres!$G$5:$G$57,0)),INDEX($E$1571:$E$1623,MATCH(Paramètres!J6,Paramètres!$G$5:$G$57,0)))+IF(RIGHT(TRIM(Paramètres!K6),3)="Fin",1-$H1572,IF(LEFT(TRIM(Paramètres!K6),1)="F",1,0)))),IF(Paramètres!L6="",0,IF(Paramètres!M6="",NA(),IF(LEFT(TRIM(Paramètres!M6),1)="F",INDEX($F$1571:$F$1623,MATCH(Paramètres!L6,Paramètres!$G$5:$G$57,0)),INDEX($E$1571:$E$1623,MATCH(Paramètres!L6,Paramètres!$G$5:$G$57,0)))+IF(RIGHT(TRIM(Paramètres!M6),3)="Fin",1-$H1572,IF(LEFT(TRIM(Paramètres!M6),1)="F",1,0)))),IF(Paramètres!N6="",0,IF(Paramètres!O6="",NA(),IF(LEFT(TRIM(Paramètres!O6),1)="F",INDEX($F$1571:$F$1623,MATCH(Paramètres!N6,Paramètres!$G$5:$G$57,0)),INDEX($E$1571:$E$1623,MATCH(Paramètres!N6,Paramètres!$G$5:$G$57,0)))+IF(RIGHT(TRIM(Paramètres!O6),3)="Fin",1-$H1572,IF(LEFT(TRIM(Paramètres!O6),1)="F",1,0)))))))</f>
        <v/>
      </c>
      <c r="F1572" s="19">
        <f>IF($A1572="","",E1572+$H1572-1)</f>
        <v/>
      </c>
      <c r="G1572" s="18" t="n"/>
      <c r="H1572" s="18">
        <f>IF($A1572="","",IF(I1572&lt;&gt;"",I1572,Paramètres!B6))</f>
        <v/>
      </c>
      <c r="I1572" s="18" t="n"/>
    </row>
    <row r="1573">
      <c r="A1573" s="18">
        <f>IF(ISNUMBER(Dossiers!$D$33),Dossiers!$A$33&amp;" · "&amp;Dossiers!$B$33,"")</f>
        <v/>
      </c>
      <c r="B1573" s="18">
        <f>IF($A1573="","",Paramètres!G7)</f>
        <v/>
      </c>
      <c r="C1573" s="18">
        <f>IF($A1573="","",IF(Paramètres!H7="","",Paramètres!H7))</f>
        <v/>
      </c>
      <c r="D1573" s="18">
        <f>IF($A1573="","",IF(Paramètres!I7="","",Paramètres!I7))</f>
        <v/>
      </c>
      <c r="E1573" s="19">
        <f>IF($A1573="","",IF(Paramètres!J7&amp;Paramètres!L7&amp;Paramètres!N7="",Dossiers!$D$33,MAX(IF(Paramètres!J7="",0,IF(Paramètres!K7="",NA(),IF(LEFT(TRIM(Paramètres!K7),1)="F",INDEX($F$1571:$F$1623,MATCH(Paramètres!J7,Paramètres!$G$5:$G$57,0)),INDEX($E$1571:$E$1623,MATCH(Paramètres!J7,Paramètres!$G$5:$G$57,0)))+IF(RIGHT(TRIM(Paramètres!K7),3)="Fin",1-$H1573,IF(LEFT(TRIM(Paramètres!K7),1)="F",1,0)))),IF(Paramètres!L7="",0,IF(Paramètres!M7="",NA(),IF(LEFT(TRIM(Paramètres!M7),1)="F",INDEX($F$1571:$F$1623,MATCH(Paramètres!L7,Paramètres!$G$5:$G$57,0)),INDEX($E$1571:$E$1623,MATCH(Paramètres!L7,Paramètres!$G$5:$G$57,0)))+IF(RIGHT(TRIM(Paramètres!M7),3)="Fin",1-$H1573,IF(LEFT(TRIM(Paramètres!M7),1)="F",1,0)))),IF(Paramètres!N7="",0,IF(Paramètres!O7="",NA(),IF(LEFT(TRIM(Paramètres!O7),1)="F",INDEX($F$1571:$F$1623,MATCH(Paramètres!N7,Paramètres!$G$5:$G$57,0)),INDEX($E$1571:$E$1623,MATCH(Paramètres!N7,Paramètres!$G$5:$G$57,0)))+IF(RIGHT(TRIM(Paramètres!O7),3)="Fin",1-$H1573,IF(LEFT(TRIM(Paramètres!O7),1)="F",1,0)))))))</f>
        <v/>
      </c>
      <c r="F1573" s="19">
        <f>IF($A1573="","",E1573+$H1573-1)</f>
        <v/>
      </c>
      <c r="G1573" s="18" t="n"/>
      <c r="H1573" s="18">
        <f>IF($A1573="","",IF(I1573&lt;&gt;"",I1573,Paramètres!B7))</f>
        <v/>
      </c>
      <c r="I1573" s="18" t="n"/>
    </row>
    <row r="1574">
      <c r="A1574" s="18">
        <f>IF(ISNUMBER(Dossiers!$D$33),Dossiers!$A$33&amp;" · "&amp;Dossiers!$B$33,"")</f>
        <v/>
      </c>
      <c r="B1574" s="18">
        <f>IF($A1574="","",Paramètres!G8)</f>
        <v/>
      </c>
      <c r="C1574" s="18">
        <f>IF($A1574="","",IF(Paramètres!H8="","",Paramètres!H8))</f>
        <v/>
      </c>
      <c r="D1574" s="18">
        <f>IF($A1574="","",IF(Paramètres!I8="","",Paramètres!I8))</f>
        <v/>
      </c>
      <c r="E1574" s="19">
        <f>IF($A1574="","",IF(Paramètres!J8&amp;Paramètres!L8&amp;Paramètres!N8="",Dossiers!$D$33,MAX(IF(Paramètres!J8="",0,IF(Paramètres!K8="",NA(),IF(LEFT(TRIM(Paramètres!K8),1)="F",INDEX($F$1571:$F$1623,MATCH(Paramètres!J8,Paramètres!$G$5:$G$57,0)),INDEX($E$1571:$E$1623,MATCH(Paramètres!J8,Paramètres!$G$5:$G$57,0)))+IF(RIGHT(TRIM(Paramètres!K8),3)="Fin",1-$H1574,IF(LEFT(TRIM(Paramètres!K8),1)="F",1,0)))),IF(Paramètres!L8="",0,IF(Paramètres!M8="",NA(),IF(LEFT(TRIM(Paramètres!M8),1)="F",INDEX($F$1571:$F$1623,MATCH(Paramètres!L8,Paramètres!$G$5:$G$57,0)),INDEX($E$1571:$E$1623,MATCH(Paramètres!L8,Paramètres!$G$5:$G$57,0)))+IF(RIGHT(TRIM(Paramètres!M8),3)="Fin",1-$H1574,IF(LEFT(TRIM(Paramètres!M8),1)="F",1,0)))),IF(Paramètres!N8="",0,IF(Paramètres!O8="",NA(),IF(LEFT(TRIM(Paramètres!O8),1)="F",INDEX($F$1571:$F$1623,MATCH(Paramètres!N8,Paramètres!$G$5:$G$57,0)),INDEX($E$1571:$E$1623,MATCH(Paramètres!N8,Paramètres!$G$5:$G$57,0)))+IF(RIGHT(TRIM(Paramètres!O8),3)="Fin",1-$H1574,IF(LEFT(TRIM(Paramètres!O8),1)="F",1,0)))))))</f>
        <v/>
      </c>
      <c r="F1574" s="19">
        <f>IF($A1574="","",E1574+$H1574-1)</f>
        <v/>
      </c>
      <c r="G1574" s="18" t="n"/>
      <c r="H1574" s="18">
        <f>IF($A1574="","",IF(I1574&lt;&gt;"",I1574,Paramètres!B8))</f>
        <v/>
      </c>
      <c r="I1574" s="18" t="n"/>
    </row>
    <row r="1575">
      <c r="A1575" s="18">
        <f>IF(ISNUMBER(Dossiers!$D$33),Dossiers!$A$33&amp;" · "&amp;Dossiers!$B$33,"")</f>
        <v/>
      </c>
      <c r="B1575" s="18">
        <f>IF($A1575="","",Paramètres!G9)</f>
        <v/>
      </c>
      <c r="C1575" s="18">
        <f>IF($A1575="","",IF(Paramètres!H9="","",Paramètres!H9))</f>
        <v/>
      </c>
      <c r="D1575" s="18">
        <f>IF($A1575="","",IF(Paramètres!I9="","",Paramètres!I9))</f>
        <v/>
      </c>
      <c r="E1575" s="19">
        <f>IF($A1575="","",IF(Paramètres!J9&amp;Paramètres!L9&amp;Paramètres!N9="",Dossiers!$D$33,MAX(IF(Paramètres!J9="",0,IF(Paramètres!K9="",NA(),IF(LEFT(TRIM(Paramètres!K9),1)="F",INDEX($F$1571:$F$1623,MATCH(Paramètres!J9,Paramètres!$G$5:$G$57,0)),INDEX($E$1571:$E$1623,MATCH(Paramètres!J9,Paramètres!$G$5:$G$57,0)))+IF(RIGHT(TRIM(Paramètres!K9),3)="Fin",1-$H1575,IF(LEFT(TRIM(Paramètres!K9),1)="F",1,0)))),IF(Paramètres!L9="",0,IF(Paramètres!M9="",NA(),IF(LEFT(TRIM(Paramètres!M9),1)="F",INDEX($F$1571:$F$1623,MATCH(Paramètres!L9,Paramètres!$G$5:$G$57,0)),INDEX($E$1571:$E$1623,MATCH(Paramètres!L9,Paramètres!$G$5:$G$57,0)))+IF(RIGHT(TRIM(Paramètres!M9),3)="Fin",1-$H1575,IF(LEFT(TRIM(Paramètres!M9),1)="F",1,0)))),IF(Paramètres!N9="",0,IF(Paramètres!O9="",NA(),IF(LEFT(TRIM(Paramètres!O9),1)="F",INDEX($F$1571:$F$1623,MATCH(Paramètres!N9,Paramètres!$G$5:$G$57,0)),INDEX($E$1571:$E$1623,MATCH(Paramètres!N9,Paramètres!$G$5:$G$57,0)))+IF(RIGHT(TRIM(Paramètres!O9),3)="Fin",1-$H1575,IF(LEFT(TRIM(Paramètres!O9),1)="F",1,0)))))))</f>
        <v/>
      </c>
      <c r="F1575" s="19">
        <f>IF($A1575="","",E1575+$H1575-1)</f>
        <v/>
      </c>
      <c r="G1575" s="18" t="n"/>
      <c r="H1575" s="18">
        <f>IF($A1575="","",IF(I1575&lt;&gt;"",I1575,Paramètres!B9))</f>
        <v/>
      </c>
      <c r="I1575" s="18" t="n"/>
    </row>
    <row r="1576">
      <c r="A1576" s="18">
        <f>IF(ISNUMBER(Dossiers!$D$33),Dossiers!$A$33&amp;" · "&amp;Dossiers!$B$33,"")</f>
        <v/>
      </c>
      <c r="B1576" s="18">
        <f>IF($A1576="","",Paramètres!G10)</f>
        <v/>
      </c>
      <c r="C1576" s="18">
        <f>IF($A1576="","",IF(Paramètres!H10="","",Paramètres!H10))</f>
        <v/>
      </c>
      <c r="D1576" s="18">
        <f>IF($A1576="","",IF(Paramètres!I10="","",Paramètres!I10))</f>
        <v/>
      </c>
      <c r="E1576" s="19">
        <f>IF($A1576="","",MIN(E1577:E1580))</f>
        <v/>
      </c>
      <c r="F1576" s="19">
        <f>IF($A1576="","",MAX(F1577:F1580))</f>
        <v/>
      </c>
      <c r="G1576" s="18" t="n"/>
      <c r="H1576" s="18">
        <f>IF($A1576="","",F1576-E1576+1)</f>
        <v/>
      </c>
      <c r="I1576" s="18" t="n"/>
    </row>
    <row r="1577">
      <c r="A1577" s="18">
        <f>IF(ISNUMBER(Dossiers!$D$33),Dossiers!$A$33&amp;" · "&amp;Dossiers!$B$33,"")</f>
        <v/>
      </c>
      <c r="B1577" s="18">
        <f>IF($A1577="","",Paramètres!G11)</f>
        <v/>
      </c>
      <c r="C1577" s="18">
        <f>IF($A1577="","",IF(Paramètres!H11="","",Paramètres!H11))</f>
        <v/>
      </c>
      <c r="D1577" s="18">
        <f>IF($A1577="","",IF(Paramètres!I11="","",Paramètres!I11))</f>
        <v/>
      </c>
      <c r="E1577" s="19">
        <f>IF($A1577="","",IF(Paramètres!J11&amp;Paramètres!L11&amp;Paramètres!N11="",Dossiers!$D$33,MAX(IF(Paramètres!J11="",0,IF(Paramètres!K11="",NA(),IF(LEFT(TRIM(Paramètres!K11),1)="F",INDEX($F$1571:$F$1623,MATCH(Paramètres!J11,Paramètres!$G$5:$G$57,0)),INDEX($E$1571:$E$1623,MATCH(Paramètres!J11,Paramètres!$G$5:$G$57,0)))+IF(RIGHT(TRIM(Paramètres!K11),3)="Fin",1-$H1577,IF(LEFT(TRIM(Paramètres!K11),1)="F",1,0)))),IF(Paramètres!L11="",0,IF(Paramètres!M11="",NA(),IF(LEFT(TRIM(Paramètres!M11),1)="F",INDEX($F$1571:$F$1623,MATCH(Paramètres!L11,Paramètres!$G$5:$G$57,0)),INDEX($E$1571:$E$1623,MATCH(Paramètres!L11,Paramètres!$G$5:$G$57,0)))+IF(RIGHT(TRIM(Paramètres!M11),3)="Fin",1-$H1577,IF(LEFT(TRIM(Paramètres!M11),1)="F",1,0)))),IF(Paramètres!N11="",0,IF(Paramètres!O11="",NA(),IF(LEFT(TRIM(Paramètres!O11),1)="F",INDEX($F$1571:$F$1623,MATCH(Paramètres!N11,Paramètres!$G$5:$G$57,0)),INDEX($E$1571:$E$1623,MATCH(Paramètres!N11,Paramètres!$G$5:$G$57,0)))+IF(RIGHT(TRIM(Paramètres!O11),3)="Fin",1-$H1577,IF(LEFT(TRIM(Paramètres!O11),1)="F",1,0)))))))</f>
        <v/>
      </c>
      <c r="F1577" s="19">
        <f>IF($A1577="","",E1577+$H1577-1)</f>
        <v/>
      </c>
      <c r="G1577" s="18" t="n"/>
      <c r="H1577" s="18">
        <f>IF($A1577="","",IF(I1577&lt;&gt;"",I1577,Paramètres!B11))</f>
        <v/>
      </c>
      <c r="I1577" s="18" t="n"/>
    </row>
    <row r="1578">
      <c r="A1578" s="18">
        <f>IF(ISNUMBER(Dossiers!$D$33),Dossiers!$A$33&amp;" · "&amp;Dossiers!$B$33,"")</f>
        <v/>
      </c>
      <c r="B1578" s="18">
        <f>IF($A1578="","",Paramètres!G12)</f>
        <v/>
      </c>
      <c r="C1578" s="18">
        <f>IF($A1578="","",IF(Paramètres!H12="","",Paramètres!H12))</f>
        <v/>
      </c>
      <c r="D1578" s="18">
        <f>IF($A1578="","",IF(Paramètres!I12="","",Paramètres!I12))</f>
        <v/>
      </c>
      <c r="E1578" s="19">
        <f>IF($A1578="","",IF(Paramètres!J12&amp;Paramètres!L12&amp;Paramètres!N12="",Dossiers!$D$33,MAX(IF(Paramètres!J12="",0,IF(Paramètres!K12="",NA(),IF(LEFT(TRIM(Paramètres!K12),1)="F",INDEX($F$1571:$F$1623,MATCH(Paramètres!J12,Paramètres!$G$5:$G$57,0)),INDEX($E$1571:$E$1623,MATCH(Paramètres!J12,Paramètres!$G$5:$G$57,0)))+IF(RIGHT(TRIM(Paramètres!K12),3)="Fin",1-$H1578,IF(LEFT(TRIM(Paramètres!K12),1)="F",1,0)))),IF(Paramètres!L12="",0,IF(Paramètres!M12="",NA(),IF(LEFT(TRIM(Paramètres!M12),1)="F",INDEX($F$1571:$F$1623,MATCH(Paramètres!L12,Paramètres!$G$5:$G$57,0)),INDEX($E$1571:$E$1623,MATCH(Paramètres!L12,Paramètres!$G$5:$G$57,0)))+IF(RIGHT(TRIM(Paramètres!M12),3)="Fin",1-$H1578,IF(LEFT(TRIM(Paramètres!M12),1)="F",1,0)))),IF(Paramètres!N12="",0,IF(Paramètres!O12="",NA(),IF(LEFT(TRIM(Paramètres!O12),1)="F",INDEX($F$1571:$F$1623,MATCH(Paramètres!N12,Paramètres!$G$5:$G$57,0)),INDEX($E$1571:$E$1623,MATCH(Paramètres!N12,Paramètres!$G$5:$G$57,0)))+IF(RIGHT(TRIM(Paramètres!O12),3)="Fin",1-$H1578,IF(LEFT(TRIM(Paramètres!O12),1)="F",1,0)))))))</f>
        <v/>
      </c>
      <c r="F1578" s="19">
        <f>IF($A1578="","",E1578+$H1578-1)</f>
        <v/>
      </c>
      <c r="G1578" s="18" t="n"/>
      <c r="H1578" s="18">
        <f>IF($A1578="","",IF(I1578&lt;&gt;"",I1578,Paramètres!B12))</f>
        <v/>
      </c>
      <c r="I1578" s="18" t="n"/>
    </row>
    <row r="1579">
      <c r="A1579" s="18">
        <f>IF(ISNUMBER(Dossiers!$D$33),Dossiers!$A$33&amp;" · "&amp;Dossiers!$B$33,"")</f>
        <v/>
      </c>
      <c r="B1579" s="18">
        <f>IF($A1579="","",Paramètres!G13)</f>
        <v/>
      </c>
      <c r="C1579" s="18">
        <f>IF($A1579="","",IF(Paramètres!H13="","",Paramètres!H13))</f>
        <v/>
      </c>
      <c r="D1579" s="18">
        <f>IF($A1579="","",IF(Paramètres!I13="","",Paramètres!I13))</f>
        <v/>
      </c>
      <c r="E1579" s="19">
        <f>IF($A1579="","",IF(Paramètres!J13&amp;Paramètres!L13&amp;Paramètres!N13="",Dossiers!$D$33,MAX(IF(Paramètres!J13="",0,IF(Paramètres!K13="",NA(),IF(LEFT(TRIM(Paramètres!K13),1)="F",INDEX($F$1571:$F$1623,MATCH(Paramètres!J13,Paramètres!$G$5:$G$57,0)),INDEX($E$1571:$E$1623,MATCH(Paramètres!J13,Paramètres!$G$5:$G$57,0)))+IF(RIGHT(TRIM(Paramètres!K13),3)="Fin",1-$H1579,IF(LEFT(TRIM(Paramètres!K13),1)="F",1,0)))),IF(Paramètres!L13="",0,IF(Paramètres!M13="",NA(),IF(LEFT(TRIM(Paramètres!M13),1)="F",INDEX($F$1571:$F$1623,MATCH(Paramètres!L13,Paramètres!$G$5:$G$57,0)),INDEX($E$1571:$E$1623,MATCH(Paramètres!L13,Paramètres!$G$5:$G$57,0)))+IF(RIGHT(TRIM(Paramètres!M13),3)="Fin",1-$H1579,IF(LEFT(TRIM(Paramètres!M13),1)="F",1,0)))),IF(Paramètres!N13="",0,IF(Paramètres!O13="",NA(),IF(LEFT(TRIM(Paramètres!O13),1)="F",INDEX($F$1571:$F$1623,MATCH(Paramètres!N13,Paramètres!$G$5:$G$57,0)),INDEX($E$1571:$E$1623,MATCH(Paramètres!N13,Paramètres!$G$5:$G$57,0)))+IF(RIGHT(TRIM(Paramètres!O13),3)="Fin",1-$H1579,IF(LEFT(TRIM(Paramètres!O13),1)="F",1,0)))))))</f>
        <v/>
      </c>
      <c r="F1579" s="19">
        <f>IF($A1579="","",E1579+$H1579-1)</f>
        <v/>
      </c>
      <c r="G1579" s="18" t="n"/>
      <c r="H1579" s="18">
        <f>IF($A1579="","",IF(I1579&lt;&gt;"",I1579,Paramètres!B13))</f>
        <v/>
      </c>
      <c r="I1579" s="18" t="n"/>
    </row>
    <row r="1580">
      <c r="A1580" s="18">
        <f>IF(ISNUMBER(Dossiers!$D$33),Dossiers!$A$33&amp;" · "&amp;Dossiers!$B$33,"")</f>
        <v/>
      </c>
      <c r="B1580" s="18">
        <f>IF($A1580="","",Paramètres!G14)</f>
        <v/>
      </c>
      <c r="C1580" s="18">
        <f>IF($A1580="","",IF(Paramètres!H14="","",Paramètres!H14))</f>
        <v/>
      </c>
      <c r="D1580" s="18">
        <f>IF($A1580="","",IF(Paramètres!I14="","",Paramètres!I14))</f>
        <v/>
      </c>
      <c r="E1580" s="19">
        <f>IF($A1580="","",IF(Paramètres!J14&amp;Paramètres!L14&amp;Paramètres!N14="",Dossiers!$D$33,MAX(IF(Paramètres!J14="",0,IF(Paramètres!K14="",NA(),IF(LEFT(TRIM(Paramètres!K14),1)="F",INDEX($F$1571:$F$1623,MATCH(Paramètres!J14,Paramètres!$G$5:$G$57,0)),INDEX($E$1571:$E$1623,MATCH(Paramètres!J14,Paramètres!$G$5:$G$57,0)))+IF(RIGHT(TRIM(Paramètres!K14),3)="Fin",1-$H1580,IF(LEFT(TRIM(Paramètres!K14),1)="F",1,0)))),IF(Paramètres!L14="",0,IF(Paramètres!M14="",NA(),IF(LEFT(TRIM(Paramètres!M14),1)="F",INDEX($F$1571:$F$1623,MATCH(Paramètres!L14,Paramètres!$G$5:$G$57,0)),INDEX($E$1571:$E$1623,MATCH(Paramètres!L14,Paramètres!$G$5:$G$57,0)))+IF(RIGHT(TRIM(Paramètres!M14),3)="Fin",1-$H1580,IF(LEFT(TRIM(Paramètres!M14),1)="F",1,0)))),IF(Paramètres!N14="",0,IF(Paramètres!O14="",NA(),IF(LEFT(TRIM(Paramètres!O14),1)="F",INDEX($F$1571:$F$1623,MATCH(Paramètres!N14,Paramètres!$G$5:$G$57,0)),INDEX($E$1571:$E$1623,MATCH(Paramètres!N14,Paramètres!$G$5:$G$57,0)))+IF(RIGHT(TRIM(Paramètres!O14),3)="Fin",1-$H1580,IF(LEFT(TRIM(Paramètres!O14),1)="F",1,0)))))))</f>
        <v/>
      </c>
      <c r="F1580" s="19">
        <f>IF($A1580="","",E1580+$H1580-1)</f>
        <v/>
      </c>
      <c r="G1580" s="18" t="n"/>
      <c r="H1580" s="18">
        <f>IF($A1580="","",IF(I1580&lt;&gt;"",I1580,Paramètres!B14))</f>
        <v/>
      </c>
      <c r="I1580" s="18" t="n"/>
    </row>
    <row r="1581">
      <c r="A1581" s="18">
        <f>IF(ISNUMBER(Dossiers!$D$33),Dossiers!$A$33&amp;" · "&amp;Dossiers!$B$33,"")</f>
        <v/>
      </c>
      <c r="B1581" s="18">
        <f>IF($A1581="","",Paramètres!G15)</f>
        <v/>
      </c>
      <c r="C1581" s="18">
        <f>IF($A1581="","",IF(Paramètres!H15="","",Paramètres!H15))</f>
        <v/>
      </c>
      <c r="D1581" s="18">
        <f>IF($A1581="","",IF(Paramètres!I15="","",Paramètres!I15))</f>
        <v/>
      </c>
      <c r="E1581" s="19">
        <f>IF($A1581="","",MIN(E1582:E1597))</f>
        <v/>
      </c>
      <c r="F1581" s="19">
        <f>IF($A1581="","",MAX(F1582:F1597))</f>
        <v/>
      </c>
      <c r="G1581" s="18" t="n"/>
      <c r="H1581" s="18">
        <f>IF($A1581="","",F1581-E1581+1)</f>
        <v/>
      </c>
      <c r="I1581" s="18" t="n"/>
    </row>
    <row r="1582">
      <c r="A1582" s="18">
        <f>IF(ISNUMBER(Dossiers!$D$33),Dossiers!$A$33&amp;" · "&amp;Dossiers!$B$33,"")</f>
        <v/>
      </c>
      <c r="B1582" s="18">
        <f>IF($A1582="","",Paramètres!G16)</f>
        <v/>
      </c>
      <c r="C1582" s="18">
        <f>IF($A1582="","",IF(Paramètres!H16="","",Paramètres!H16))</f>
        <v/>
      </c>
      <c r="D1582" s="18">
        <f>IF($A1582="","",IF(Paramètres!I16="","",Paramètres!I16))</f>
        <v/>
      </c>
      <c r="E1582" s="19">
        <f>IF($A1582="","",IF(Paramètres!J16&amp;Paramètres!L16&amp;Paramètres!N16="",Dossiers!$D$33,MAX(IF(Paramètres!J16="",0,IF(Paramètres!K16="",NA(),IF(LEFT(TRIM(Paramètres!K16),1)="F",INDEX($F$1571:$F$1623,MATCH(Paramètres!J16,Paramètres!$G$5:$G$57,0)),INDEX($E$1571:$E$1623,MATCH(Paramètres!J16,Paramètres!$G$5:$G$57,0)))+IF(RIGHT(TRIM(Paramètres!K16),3)="Fin",1-$H1582,IF(LEFT(TRIM(Paramètres!K16),1)="F",1,0)))),IF(Paramètres!L16="",0,IF(Paramètres!M16="",NA(),IF(LEFT(TRIM(Paramètres!M16),1)="F",INDEX($F$1571:$F$1623,MATCH(Paramètres!L16,Paramètres!$G$5:$G$57,0)),INDEX($E$1571:$E$1623,MATCH(Paramètres!L16,Paramètres!$G$5:$G$57,0)))+IF(RIGHT(TRIM(Paramètres!M16),3)="Fin",1-$H1582,IF(LEFT(TRIM(Paramètres!M16),1)="F",1,0)))),IF(Paramètres!N16="",0,IF(Paramètres!O16="",NA(),IF(LEFT(TRIM(Paramètres!O16),1)="F",INDEX($F$1571:$F$1623,MATCH(Paramètres!N16,Paramètres!$G$5:$G$57,0)),INDEX($E$1571:$E$1623,MATCH(Paramètres!N16,Paramètres!$G$5:$G$57,0)))+IF(RIGHT(TRIM(Paramètres!O16),3)="Fin",1-$H1582,IF(LEFT(TRIM(Paramètres!O16),1)="F",1,0)))))))</f>
        <v/>
      </c>
      <c r="F1582" s="19">
        <f>IF($A1582="","",E1582+$H1582-1)</f>
        <v/>
      </c>
      <c r="G1582" s="18" t="n"/>
      <c r="H1582" s="18">
        <f>IF($A1582="","",IF(I1582&lt;&gt;"",I1582,Paramètres!B16))</f>
        <v/>
      </c>
      <c r="I1582" s="18" t="n"/>
    </row>
    <row r="1583">
      <c r="A1583" s="18">
        <f>IF(ISNUMBER(Dossiers!$D$33),Dossiers!$A$33&amp;" · "&amp;Dossiers!$B$33,"")</f>
        <v/>
      </c>
      <c r="B1583" s="18">
        <f>IF($A1583="","",Paramètres!G17)</f>
        <v/>
      </c>
      <c r="C1583" s="18">
        <f>IF($A1583="","",IF(Paramètres!H17="","",Paramètres!H17))</f>
        <v/>
      </c>
      <c r="D1583" s="18">
        <f>IF($A1583="","",IF(Paramètres!I17="","",Paramètres!I17))</f>
        <v/>
      </c>
      <c r="E1583" s="19">
        <f>IF($A1583="","",IF(Paramètres!J17&amp;Paramètres!L17&amp;Paramètres!N17="",Dossiers!$D$33,MAX(IF(Paramètres!J17="",0,IF(Paramètres!K17="",NA(),IF(LEFT(TRIM(Paramètres!K17),1)="F",INDEX($F$1571:$F$1623,MATCH(Paramètres!J17,Paramètres!$G$5:$G$57,0)),INDEX($E$1571:$E$1623,MATCH(Paramètres!J17,Paramètres!$G$5:$G$57,0)))+IF(RIGHT(TRIM(Paramètres!K17),3)="Fin",1-$H1583,IF(LEFT(TRIM(Paramètres!K17),1)="F",1,0)))),IF(Paramètres!L17="",0,IF(Paramètres!M17="",NA(),IF(LEFT(TRIM(Paramètres!M17),1)="F",INDEX($F$1571:$F$1623,MATCH(Paramètres!L17,Paramètres!$G$5:$G$57,0)),INDEX($E$1571:$E$1623,MATCH(Paramètres!L17,Paramètres!$G$5:$G$57,0)))+IF(RIGHT(TRIM(Paramètres!M17),3)="Fin",1-$H1583,IF(LEFT(TRIM(Paramètres!M17),1)="F",1,0)))),IF(Paramètres!N17="",0,IF(Paramètres!O17="",NA(),IF(LEFT(TRIM(Paramètres!O17),1)="F",INDEX($F$1571:$F$1623,MATCH(Paramètres!N17,Paramètres!$G$5:$G$57,0)),INDEX($E$1571:$E$1623,MATCH(Paramètres!N17,Paramètres!$G$5:$G$57,0)))+IF(RIGHT(TRIM(Paramètres!O17),3)="Fin",1-$H1583,IF(LEFT(TRIM(Paramètres!O17),1)="F",1,0)))))))</f>
        <v/>
      </c>
      <c r="F1583" s="19">
        <f>IF($A1583="","",E1583+$H1583-1)</f>
        <v/>
      </c>
      <c r="G1583" s="18" t="n"/>
      <c r="H1583" s="18">
        <f>IF($A1583="","",IF(I1583&lt;&gt;"",I1583,Paramètres!B17))</f>
        <v/>
      </c>
      <c r="I1583" s="18" t="n"/>
    </row>
    <row r="1584">
      <c r="A1584" s="18">
        <f>IF(ISNUMBER(Dossiers!$D$33),Dossiers!$A$33&amp;" · "&amp;Dossiers!$B$33,"")</f>
        <v/>
      </c>
      <c r="B1584" s="18">
        <f>IF($A1584="","",Paramètres!G18)</f>
        <v/>
      </c>
      <c r="C1584" s="18">
        <f>IF($A1584="","",IF(Paramètres!H18="","",Paramètres!H18))</f>
        <v/>
      </c>
      <c r="D1584" s="18">
        <f>IF($A1584="","",IF(Paramètres!I18="","",Paramètres!I18))</f>
        <v/>
      </c>
      <c r="E1584" s="19">
        <f>IF($A1584="","",IF(Paramètres!J18&amp;Paramètres!L18&amp;Paramètres!N18="",Dossiers!$D$33,MAX(IF(Paramètres!J18="",0,IF(Paramètres!K18="",NA(),IF(LEFT(TRIM(Paramètres!K18),1)="F",INDEX($F$1571:$F$1623,MATCH(Paramètres!J18,Paramètres!$G$5:$G$57,0)),INDEX($E$1571:$E$1623,MATCH(Paramètres!J18,Paramètres!$G$5:$G$57,0)))+IF(RIGHT(TRIM(Paramètres!K18),3)="Fin",1-$H1584,IF(LEFT(TRIM(Paramètres!K18),1)="F",1,0)))),IF(Paramètres!L18="",0,IF(Paramètres!M18="",NA(),IF(LEFT(TRIM(Paramètres!M18),1)="F",INDEX($F$1571:$F$1623,MATCH(Paramètres!L18,Paramètres!$G$5:$G$57,0)),INDEX($E$1571:$E$1623,MATCH(Paramètres!L18,Paramètres!$G$5:$G$57,0)))+IF(RIGHT(TRIM(Paramètres!M18),3)="Fin",1-$H1584,IF(LEFT(TRIM(Paramètres!M18),1)="F",1,0)))),IF(Paramètres!N18="",0,IF(Paramètres!O18="",NA(),IF(LEFT(TRIM(Paramètres!O18),1)="F",INDEX($F$1571:$F$1623,MATCH(Paramètres!N18,Paramètres!$G$5:$G$57,0)),INDEX($E$1571:$E$1623,MATCH(Paramètres!N18,Paramètres!$G$5:$G$57,0)))+IF(RIGHT(TRIM(Paramètres!O18),3)="Fin",1-$H1584,IF(LEFT(TRIM(Paramètres!O18),1)="F",1,0)))))))</f>
        <v/>
      </c>
      <c r="F1584" s="19">
        <f>IF($A1584="","",E1584+$H1584-1)</f>
        <v/>
      </c>
      <c r="G1584" s="18" t="n"/>
      <c r="H1584" s="18">
        <f>IF($A1584="","",IF(I1584&lt;&gt;"",I1584,Paramètres!B18))</f>
        <v/>
      </c>
      <c r="I1584" s="18" t="n"/>
    </row>
    <row r="1585">
      <c r="A1585" s="18">
        <f>IF(ISNUMBER(Dossiers!$D$33),Dossiers!$A$33&amp;" · "&amp;Dossiers!$B$33,"")</f>
        <v/>
      </c>
      <c r="B1585" s="18">
        <f>IF($A1585="","",Paramètres!G19)</f>
        <v/>
      </c>
      <c r="C1585" s="18">
        <f>IF($A1585="","",IF(Paramètres!H19="","",Paramètres!H19))</f>
        <v/>
      </c>
      <c r="D1585" s="18">
        <f>IF($A1585="","",IF(Paramètres!I19="","",Paramètres!I19))</f>
        <v/>
      </c>
      <c r="E1585" s="19">
        <f>IF($A1585="","",IF(Paramètres!J19&amp;Paramètres!L19&amp;Paramètres!N19="",Dossiers!$D$33,MAX(IF(Paramètres!J19="",0,IF(Paramètres!K19="",NA(),IF(LEFT(TRIM(Paramètres!K19),1)="F",INDEX($F$1571:$F$1623,MATCH(Paramètres!J19,Paramètres!$G$5:$G$57,0)),INDEX($E$1571:$E$1623,MATCH(Paramètres!J19,Paramètres!$G$5:$G$57,0)))+IF(RIGHT(TRIM(Paramètres!K19),3)="Fin",1-$H1585,IF(LEFT(TRIM(Paramètres!K19),1)="F",1,0)))),IF(Paramètres!L19="",0,IF(Paramètres!M19="",NA(),IF(LEFT(TRIM(Paramètres!M19),1)="F",INDEX($F$1571:$F$1623,MATCH(Paramètres!L19,Paramètres!$G$5:$G$57,0)),INDEX($E$1571:$E$1623,MATCH(Paramètres!L19,Paramètres!$G$5:$G$57,0)))+IF(RIGHT(TRIM(Paramètres!M19),3)="Fin",1-$H1585,IF(LEFT(TRIM(Paramètres!M19),1)="F",1,0)))),IF(Paramètres!N19="",0,IF(Paramètres!O19="",NA(),IF(LEFT(TRIM(Paramètres!O19),1)="F",INDEX($F$1571:$F$1623,MATCH(Paramètres!N19,Paramètres!$G$5:$G$57,0)),INDEX($E$1571:$E$1623,MATCH(Paramètres!N19,Paramètres!$G$5:$G$57,0)))+IF(RIGHT(TRIM(Paramètres!O19),3)="Fin",1-$H1585,IF(LEFT(TRIM(Paramètres!O19),1)="F",1,0)))))))</f>
        <v/>
      </c>
      <c r="F1585" s="19">
        <f>IF($A1585="","",E1585+$H1585-1)</f>
        <v/>
      </c>
      <c r="G1585" s="18" t="n"/>
      <c r="H1585" s="18">
        <f>IF($A1585="","",IF(I1585&lt;&gt;"",I1585,Paramètres!B19))</f>
        <v/>
      </c>
      <c r="I1585" s="18" t="n"/>
    </row>
    <row r="1586">
      <c r="A1586" s="18">
        <f>IF(ISNUMBER(Dossiers!$D$33),Dossiers!$A$33&amp;" · "&amp;Dossiers!$B$33,"")</f>
        <v/>
      </c>
      <c r="B1586" s="18">
        <f>IF($A1586="","",Paramètres!G20)</f>
        <v/>
      </c>
      <c r="C1586" s="18">
        <f>IF($A1586="","",IF(Paramètres!H20="","",Paramètres!H20))</f>
        <v/>
      </c>
      <c r="D1586" s="18">
        <f>IF($A1586="","",IF(Paramètres!I20="","",Paramètres!I20))</f>
        <v/>
      </c>
      <c r="E1586" s="19">
        <f>IF($A1586="","",IF(Paramètres!J20&amp;Paramètres!L20&amp;Paramètres!N20="",Dossiers!$D$33,MAX(IF(Paramètres!J20="",0,IF(Paramètres!K20="",NA(),IF(LEFT(TRIM(Paramètres!K20),1)="F",INDEX($F$1571:$F$1623,MATCH(Paramètres!J20,Paramètres!$G$5:$G$57,0)),INDEX($E$1571:$E$1623,MATCH(Paramètres!J20,Paramètres!$G$5:$G$57,0)))+IF(RIGHT(TRIM(Paramètres!K20),3)="Fin",1-$H1586,IF(LEFT(TRIM(Paramètres!K20),1)="F",1,0)))),IF(Paramètres!L20="",0,IF(Paramètres!M20="",NA(),IF(LEFT(TRIM(Paramètres!M20),1)="F",INDEX($F$1571:$F$1623,MATCH(Paramètres!L20,Paramètres!$G$5:$G$57,0)),INDEX($E$1571:$E$1623,MATCH(Paramètres!L20,Paramètres!$G$5:$G$57,0)))+IF(RIGHT(TRIM(Paramètres!M20),3)="Fin",1-$H1586,IF(LEFT(TRIM(Paramètres!M20),1)="F",1,0)))),IF(Paramètres!N20="",0,IF(Paramètres!O20="",NA(),IF(LEFT(TRIM(Paramètres!O20),1)="F",INDEX($F$1571:$F$1623,MATCH(Paramètres!N20,Paramètres!$G$5:$G$57,0)),INDEX($E$1571:$E$1623,MATCH(Paramètres!N20,Paramètres!$G$5:$G$57,0)))+IF(RIGHT(TRIM(Paramètres!O20),3)="Fin",1-$H1586,IF(LEFT(TRIM(Paramètres!O20),1)="F",1,0)))))))</f>
        <v/>
      </c>
      <c r="F1586" s="19">
        <f>IF($A1586="","",E1586+$H1586-1)</f>
        <v/>
      </c>
      <c r="G1586" s="18" t="n"/>
      <c r="H1586" s="18">
        <f>IF($A1586="","",IF(I1586&lt;&gt;"",I1586,Paramètres!B20))</f>
        <v/>
      </c>
      <c r="I1586" s="18" t="n"/>
    </row>
    <row r="1587">
      <c r="A1587" s="18">
        <f>IF(ISNUMBER(Dossiers!$D$33),Dossiers!$A$33&amp;" · "&amp;Dossiers!$B$33,"")</f>
        <v/>
      </c>
      <c r="B1587" s="18">
        <f>IF($A1587="","",Paramètres!G21)</f>
        <v/>
      </c>
      <c r="C1587" s="18">
        <f>IF($A1587="","",IF(Paramètres!H21="","",Paramètres!H21))</f>
        <v/>
      </c>
      <c r="D1587" s="18">
        <f>IF($A1587="","",IF(Paramètres!I21="","",Paramètres!I21))</f>
        <v/>
      </c>
      <c r="E1587" s="19">
        <f>IF($A1587="","",IF(Paramètres!J21&amp;Paramètres!L21&amp;Paramètres!N21="",Dossiers!$D$33,MAX(IF(Paramètres!J21="",0,IF(Paramètres!K21="",NA(),IF(LEFT(TRIM(Paramètres!K21),1)="F",INDEX($F$1571:$F$1623,MATCH(Paramètres!J21,Paramètres!$G$5:$G$57,0)),INDEX($E$1571:$E$1623,MATCH(Paramètres!J21,Paramètres!$G$5:$G$57,0)))+IF(RIGHT(TRIM(Paramètres!K21),3)="Fin",1-$H1587,IF(LEFT(TRIM(Paramètres!K21),1)="F",1,0)))),IF(Paramètres!L21="",0,IF(Paramètres!M21="",NA(),IF(LEFT(TRIM(Paramètres!M21),1)="F",INDEX($F$1571:$F$1623,MATCH(Paramètres!L21,Paramètres!$G$5:$G$57,0)),INDEX($E$1571:$E$1623,MATCH(Paramètres!L21,Paramètres!$G$5:$G$57,0)))+IF(RIGHT(TRIM(Paramètres!M21),3)="Fin",1-$H1587,IF(LEFT(TRIM(Paramètres!M21),1)="F",1,0)))),IF(Paramètres!N21="",0,IF(Paramètres!O21="",NA(),IF(LEFT(TRIM(Paramètres!O21),1)="F",INDEX($F$1571:$F$1623,MATCH(Paramètres!N21,Paramètres!$G$5:$G$57,0)),INDEX($E$1571:$E$1623,MATCH(Paramètres!N21,Paramètres!$G$5:$G$57,0)))+IF(RIGHT(TRIM(Paramètres!O21),3)="Fin",1-$H1587,IF(LEFT(TRIM(Paramètres!O21),1)="F",1,0)))))))</f>
        <v/>
      </c>
      <c r="F1587" s="19">
        <f>IF($A1587="","",E1587+$H1587-1)</f>
        <v/>
      </c>
      <c r="G1587" s="18" t="n"/>
      <c r="H1587" s="18">
        <f>IF($A1587="","",IF(I1587&lt;&gt;"",I1587,Paramètres!B21))</f>
        <v/>
      </c>
      <c r="I1587" s="18" t="n"/>
    </row>
    <row r="1588">
      <c r="A1588" s="18">
        <f>IF(ISNUMBER(Dossiers!$D$33),Dossiers!$A$33&amp;" · "&amp;Dossiers!$B$33,"")</f>
        <v/>
      </c>
      <c r="B1588" s="18">
        <f>IF($A1588="","",Paramètres!G22)</f>
        <v/>
      </c>
      <c r="C1588" s="18">
        <f>IF($A1588="","",IF(Paramètres!H22="","",Paramètres!H22))</f>
        <v/>
      </c>
      <c r="D1588" s="18">
        <f>IF($A1588="","",IF(Paramètres!I22="","",Paramètres!I22))</f>
        <v/>
      </c>
      <c r="E1588" s="19">
        <f>IF($A1588="","",IF(Paramètres!J22&amp;Paramètres!L22&amp;Paramètres!N22="",Dossiers!$D$33,MAX(IF(Paramètres!J22="",0,IF(Paramètres!K22="",NA(),IF(LEFT(TRIM(Paramètres!K22),1)="F",INDEX($F$1571:$F$1623,MATCH(Paramètres!J22,Paramètres!$G$5:$G$57,0)),INDEX($E$1571:$E$1623,MATCH(Paramètres!J22,Paramètres!$G$5:$G$57,0)))+IF(RIGHT(TRIM(Paramètres!K22),3)="Fin",1-$H1588,IF(LEFT(TRIM(Paramètres!K22),1)="F",1,0)))),IF(Paramètres!L22="",0,IF(Paramètres!M22="",NA(),IF(LEFT(TRIM(Paramètres!M22),1)="F",INDEX($F$1571:$F$1623,MATCH(Paramètres!L22,Paramètres!$G$5:$G$57,0)),INDEX($E$1571:$E$1623,MATCH(Paramètres!L22,Paramètres!$G$5:$G$57,0)))+IF(RIGHT(TRIM(Paramètres!M22),3)="Fin",1-$H1588,IF(LEFT(TRIM(Paramètres!M22),1)="F",1,0)))),IF(Paramètres!N22="",0,IF(Paramètres!O22="",NA(),IF(LEFT(TRIM(Paramètres!O22),1)="F",INDEX($F$1571:$F$1623,MATCH(Paramètres!N22,Paramètres!$G$5:$G$57,0)),INDEX($E$1571:$E$1623,MATCH(Paramètres!N22,Paramètres!$G$5:$G$57,0)))+IF(RIGHT(TRIM(Paramètres!O22),3)="Fin",1-$H1588,IF(LEFT(TRIM(Paramètres!O22),1)="F",1,0)))))))</f>
        <v/>
      </c>
      <c r="F1588" s="19">
        <f>IF($A1588="","",E1588+$H1588-1)</f>
        <v/>
      </c>
      <c r="G1588" s="18" t="n"/>
      <c r="H1588" s="18">
        <f>IF($A1588="","",IF(I1588&lt;&gt;"",I1588,Paramètres!B22))</f>
        <v/>
      </c>
      <c r="I1588" s="18" t="n"/>
    </row>
    <row r="1589">
      <c r="A1589" s="18">
        <f>IF(ISNUMBER(Dossiers!$D$33),Dossiers!$A$33&amp;" · "&amp;Dossiers!$B$33,"")</f>
        <v/>
      </c>
      <c r="B1589" s="18">
        <f>IF($A1589="","",Paramètres!G23)</f>
        <v/>
      </c>
      <c r="C1589" s="18">
        <f>IF($A1589="","",IF(Paramètres!H23="","",Paramètres!H23))</f>
        <v/>
      </c>
      <c r="D1589" s="18">
        <f>IF($A1589="","",IF(Paramètres!I23="","",Paramètres!I23))</f>
        <v/>
      </c>
      <c r="E1589" s="19">
        <f>IF($A1589="","",IF(Paramètres!J23&amp;Paramètres!L23&amp;Paramètres!N23="",Dossiers!$D$33,MAX(IF(Paramètres!J23="",0,IF(Paramètres!K23="",NA(),IF(LEFT(TRIM(Paramètres!K23),1)="F",INDEX($F$1571:$F$1623,MATCH(Paramètres!J23,Paramètres!$G$5:$G$57,0)),INDEX($E$1571:$E$1623,MATCH(Paramètres!J23,Paramètres!$G$5:$G$57,0)))+IF(RIGHT(TRIM(Paramètres!K23),3)="Fin",1-$H1589,IF(LEFT(TRIM(Paramètres!K23),1)="F",1,0)))),IF(Paramètres!L23="",0,IF(Paramètres!M23="",NA(),IF(LEFT(TRIM(Paramètres!M23),1)="F",INDEX($F$1571:$F$1623,MATCH(Paramètres!L23,Paramètres!$G$5:$G$57,0)),INDEX($E$1571:$E$1623,MATCH(Paramètres!L23,Paramètres!$G$5:$G$57,0)))+IF(RIGHT(TRIM(Paramètres!M23),3)="Fin",1-$H1589,IF(LEFT(TRIM(Paramètres!M23),1)="F",1,0)))),IF(Paramètres!N23="",0,IF(Paramètres!O23="",NA(),IF(LEFT(TRIM(Paramètres!O23),1)="F",INDEX($F$1571:$F$1623,MATCH(Paramètres!N23,Paramètres!$G$5:$G$57,0)),INDEX($E$1571:$E$1623,MATCH(Paramètres!N23,Paramètres!$G$5:$G$57,0)))+IF(RIGHT(TRIM(Paramètres!O23),3)="Fin",1-$H1589,IF(LEFT(TRIM(Paramètres!O23),1)="F",1,0)))))))</f>
        <v/>
      </c>
      <c r="F1589" s="19">
        <f>IF($A1589="","",E1589+$H1589-1)</f>
        <v/>
      </c>
      <c r="G1589" s="18" t="n"/>
      <c r="H1589" s="18">
        <f>IF($A1589="","",IF(I1589&lt;&gt;"",I1589,Paramètres!B23))</f>
        <v/>
      </c>
      <c r="I1589" s="18" t="n"/>
    </row>
    <row r="1590">
      <c r="A1590" s="18">
        <f>IF(ISNUMBER(Dossiers!$D$33),Dossiers!$A$33&amp;" · "&amp;Dossiers!$B$33,"")</f>
        <v/>
      </c>
      <c r="B1590" s="18">
        <f>IF($A1590="","",Paramètres!G24)</f>
        <v/>
      </c>
      <c r="C1590" s="18">
        <f>IF($A1590="","",IF(Paramètres!H24="","",Paramètres!H24))</f>
        <v/>
      </c>
      <c r="D1590" s="18">
        <f>IF($A1590="","",IF(Paramètres!I24="","",Paramètres!I24))</f>
        <v/>
      </c>
      <c r="E1590" s="19">
        <f>IF($A1590="","",IF(Paramètres!J24&amp;Paramètres!L24&amp;Paramètres!N24="",Dossiers!$D$33,MAX(IF(Paramètres!J24="",0,IF(Paramètres!K24="",NA(),IF(LEFT(TRIM(Paramètres!K24),1)="F",INDEX($F$1571:$F$1623,MATCH(Paramètres!J24,Paramètres!$G$5:$G$57,0)),INDEX($E$1571:$E$1623,MATCH(Paramètres!J24,Paramètres!$G$5:$G$57,0)))+IF(RIGHT(TRIM(Paramètres!K24),3)="Fin",1-$H1590,IF(LEFT(TRIM(Paramètres!K24),1)="F",1,0)))),IF(Paramètres!L24="",0,IF(Paramètres!M24="",NA(),IF(LEFT(TRIM(Paramètres!M24),1)="F",INDEX($F$1571:$F$1623,MATCH(Paramètres!L24,Paramètres!$G$5:$G$57,0)),INDEX($E$1571:$E$1623,MATCH(Paramètres!L24,Paramètres!$G$5:$G$57,0)))+IF(RIGHT(TRIM(Paramètres!M24),3)="Fin",1-$H1590,IF(LEFT(TRIM(Paramètres!M24),1)="F",1,0)))),IF(Paramètres!N24="",0,IF(Paramètres!O24="",NA(),IF(LEFT(TRIM(Paramètres!O24),1)="F",INDEX($F$1571:$F$1623,MATCH(Paramètres!N24,Paramètres!$G$5:$G$57,0)),INDEX($E$1571:$E$1623,MATCH(Paramètres!N24,Paramètres!$G$5:$G$57,0)))+IF(RIGHT(TRIM(Paramètres!O24),3)="Fin",1-$H1590,IF(LEFT(TRIM(Paramètres!O24),1)="F",1,0)))))))</f>
        <v/>
      </c>
      <c r="F1590" s="19">
        <f>IF($A1590="","",E1590+$H1590-1)</f>
        <v/>
      </c>
      <c r="G1590" s="18" t="n"/>
      <c r="H1590" s="18">
        <f>IF($A1590="","",IF(I1590&lt;&gt;"",I1590,Paramètres!B24))</f>
        <v/>
      </c>
      <c r="I1590" s="18" t="n"/>
    </row>
    <row r="1591">
      <c r="A1591" s="18">
        <f>IF(ISNUMBER(Dossiers!$D$33),Dossiers!$A$33&amp;" · "&amp;Dossiers!$B$33,"")</f>
        <v/>
      </c>
      <c r="B1591" s="18">
        <f>IF($A1591="","",Paramètres!G25)</f>
        <v/>
      </c>
      <c r="C1591" s="18">
        <f>IF($A1591="","",IF(Paramètres!H25="","",Paramètres!H25))</f>
        <v/>
      </c>
      <c r="D1591" s="18">
        <f>IF($A1591="","",IF(Paramètres!I25="","",Paramètres!I25))</f>
        <v/>
      </c>
      <c r="E1591" s="19">
        <f>IF($A1591="","",IF(Paramètres!J25&amp;Paramètres!L25&amp;Paramètres!N25="",Dossiers!$D$33,MAX(IF(Paramètres!J25="",0,IF(Paramètres!K25="",NA(),IF(LEFT(TRIM(Paramètres!K25),1)="F",INDEX($F$1571:$F$1623,MATCH(Paramètres!J25,Paramètres!$G$5:$G$57,0)),INDEX($E$1571:$E$1623,MATCH(Paramètres!J25,Paramètres!$G$5:$G$57,0)))+IF(RIGHT(TRIM(Paramètres!K25),3)="Fin",1-$H1591,IF(LEFT(TRIM(Paramètres!K25),1)="F",1,0)))),IF(Paramètres!L25="",0,IF(Paramètres!M25="",NA(),IF(LEFT(TRIM(Paramètres!M25),1)="F",INDEX($F$1571:$F$1623,MATCH(Paramètres!L25,Paramètres!$G$5:$G$57,0)),INDEX($E$1571:$E$1623,MATCH(Paramètres!L25,Paramètres!$G$5:$G$57,0)))+IF(RIGHT(TRIM(Paramètres!M25),3)="Fin",1-$H1591,IF(LEFT(TRIM(Paramètres!M25),1)="F",1,0)))),IF(Paramètres!N25="",0,IF(Paramètres!O25="",NA(),IF(LEFT(TRIM(Paramètres!O25),1)="F",INDEX($F$1571:$F$1623,MATCH(Paramètres!N25,Paramètres!$G$5:$G$57,0)),INDEX($E$1571:$E$1623,MATCH(Paramètres!N25,Paramètres!$G$5:$G$57,0)))+IF(RIGHT(TRIM(Paramètres!O25),3)="Fin",1-$H1591,IF(LEFT(TRIM(Paramètres!O25),1)="F",1,0)))))))</f>
        <v/>
      </c>
      <c r="F1591" s="19">
        <f>IF($A1591="","",E1591+$H1591-1)</f>
        <v/>
      </c>
      <c r="G1591" s="18" t="n"/>
      <c r="H1591" s="18">
        <f>IF($A1591="","",IF(I1591&lt;&gt;"",I1591,Paramètres!B25))</f>
        <v/>
      </c>
      <c r="I1591" s="18" t="n"/>
    </row>
    <row r="1592">
      <c r="A1592" s="18">
        <f>IF(ISNUMBER(Dossiers!$D$33),Dossiers!$A$33&amp;" · "&amp;Dossiers!$B$33,"")</f>
        <v/>
      </c>
      <c r="B1592" s="18">
        <f>IF($A1592="","",Paramètres!G26)</f>
        <v/>
      </c>
      <c r="C1592" s="18">
        <f>IF($A1592="","",IF(Paramètres!H26="","",Paramètres!H26))</f>
        <v/>
      </c>
      <c r="D1592" s="18">
        <f>IF($A1592="","",IF(Paramètres!I26="","",Paramètres!I26))</f>
        <v/>
      </c>
      <c r="E1592" s="19">
        <f>IF($A1592="","",IF(Paramètres!J26&amp;Paramètres!L26&amp;Paramètres!N26="",Dossiers!$D$33,MAX(IF(Paramètres!J26="",0,IF(Paramètres!K26="",NA(),IF(LEFT(TRIM(Paramètres!K26),1)="F",INDEX($F$1571:$F$1623,MATCH(Paramètres!J26,Paramètres!$G$5:$G$57,0)),INDEX($E$1571:$E$1623,MATCH(Paramètres!J26,Paramètres!$G$5:$G$57,0)))+IF(RIGHT(TRIM(Paramètres!K26),3)="Fin",1-$H1592,IF(LEFT(TRIM(Paramètres!K26),1)="F",1,0)))),IF(Paramètres!L26="",0,IF(Paramètres!M26="",NA(),IF(LEFT(TRIM(Paramètres!M26),1)="F",INDEX($F$1571:$F$1623,MATCH(Paramètres!L26,Paramètres!$G$5:$G$57,0)),INDEX($E$1571:$E$1623,MATCH(Paramètres!L26,Paramètres!$G$5:$G$57,0)))+IF(RIGHT(TRIM(Paramètres!M26),3)="Fin",1-$H1592,IF(LEFT(TRIM(Paramètres!M26),1)="F",1,0)))),IF(Paramètres!N26="",0,IF(Paramètres!O26="",NA(),IF(LEFT(TRIM(Paramètres!O26),1)="F",INDEX($F$1571:$F$1623,MATCH(Paramètres!N26,Paramètres!$G$5:$G$57,0)),INDEX($E$1571:$E$1623,MATCH(Paramètres!N26,Paramètres!$G$5:$G$57,0)))+IF(RIGHT(TRIM(Paramètres!O26),3)="Fin",1-$H1592,IF(LEFT(TRIM(Paramètres!O26),1)="F",1,0)))))))</f>
        <v/>
      </c>
      <c r="F1592" s="19">
        <f>IF($A1592="","",E1592+$H1592-1)</f>
        <v/>
      </c>
      <c r="G1592" s="18" t="n"/>
      <c r="H1592" s="18">
        <f>IF($A1592="","",IF(I1592&lt;&gt;"",I1592,Paramètres!B26))</f>
        <v/>
      </c>
      <c r="I1592" s="18" t="n"/>
    </row>
    <row r="1593">
      <c r="A1593" s="18">
        <f>IF(ISNUMBER(Dossiers!$D$33),Dossiers!$A$33&amp;" · "&amp;Dossiers!$B$33,"")</f>
        <v/>
      </c>
      <c r="B1593" s="18">
        <f>IF($A1593="","",Paramètres!G27)</f>
        <v/>
      </c>
      <c r="C1593" s="18">
        <f>IF($A1593="","",IF(Paramètres!H27="","",Paramètres!H27))</f>
        <v/>
      </c>
      <c r="D1593" s="18">
        <f>IF($A1593="","",IF(Paramètres!I27="","",Paramètres!I27))</f>
        <v/>
      </c>
      <c r="E1593" s="19">
        <f>IF($A1593="","",IF(Paramètres!J27&amp;Paramètres!L27&amp;Paramètres!N27="",Dossiers!$D$33,MAX(IF(Paramètres!J27="",0,IF(Paramètres!K27="",NA(),IF(LEFT(TRIM(Paramètres!K27),1)="F",INDEX($F$1571:$F$1623,MATCH(Paramètres!J27,Paramètres!$G$5:$G$57,0)),INDEX($E$1571:$E$1623,MATCH(Paramètres!J27,Paramètres!$G$5:$G$57,0)))+IF(RIGHT(TRIM(Paramètres!K27),3)="Fin",1-$H1593,IF(LEFT(TRIM(Paramètres!K27),1)="F",1,0)))),IF(Paramètres!L27="",0,IF(Paramètres!M27="",NA(),IF(LEFT(TRIM(Paramètres!M27),1)="F",INDEX($F$1571:$F$1623,MATCH(Paramètres!L27,Paramètres!$G$5:$G$57,0)),INDEX($E$1571:$E$1623,MATCH(Paramètres!L27,Paramètres!$G$5:$G$57,0)))+IF(RIGHT(TRIM(Paramètres!M27),3)="Fin",1-$H1593,IF(LEFT(TRIM(Paramètres!M27),1)="F",1,0)))),IF(Paramètres!N27="",0,IF(Paramètres!O27="",NA(),IF(LEFT(TRIM(Paramètres!O27),1)="F",INDEX($F$1571:$F$1623,MATCH(Paramètres!N27,Paramètres!$G$5:$G$57,0)),INDEX($E$1571:$E$1623,MATCH(Paramètres!N27,Paramètres!$G$5:$G$57,0)))+IF(RIGHT(TRIM(Paramètres!O27),3)="Fin",1-$H1593,IF(LEFT(TRIM(Paramètres!O27),1)="F",1,0)))))))</f>
        <v/>
      </c>
      <c r="F1593" s="19">
        <f>IF($A1593="","",E1593+$H1593-1)</f>
        <v/>
      </c>
      <c r="G1593" s="18" t="n"/>
      <c r="H1593" s="18">
        <f>IF($A1593="","",IF(I1593&lt;&gt;"",I1593,Paramètres!B27))</f>
        <v/>
      </c>
      <c r="I1593" s="18" t="n"/>
    </row>
    <row r="1594">
      <c r="A1594" s="18">
        <f>IF(ISNUMBER(Dossiers!$D$33),Dossiers!$A$33&amp;" · "&amp;Dossiers!$B$33,"")</f>
        <v/>
      </c>
      <c r="B1594" s="18">
        <f>IF($A1594="","",Paramètres!G28)</f>
        <v/>
      </c>
      <c r="C1594" s="18">
        <f>IF($A1594="","",IF(Paramètres!H28="","",Paramètres!H28))</f>
        <v/>
      </c>
      <c r="D1594" s="18">
        <f>IF($A1594="","",IF(Paramètres!I28="","",Paramètres!I28))</f>
        <v/>
      </c>
      <c r="E1594" s="19">
        <f>IF($A1594="","",IF(Paramètres!J28&amp;Paramètres!L28&amp;Paramètres!N28="",Dossiers!$D$33,MAX(IF(Paramètres!J28="",0,IF(Paramètres!K28="",NA(),IF(LEFT(TRIM(Paramètres!K28),1)="F",INDEX($F$1571:$F$1623,MATCH(Paramètres!J28,Paramètres!$G$5:$G$57,0)),INDEX($E$1571:$E$1623,MATCH(Paramètres!J28,Paramètres!$G$5:$G$57,0)))+IF(RIGHT(TRIM(Paramètres!K28),3)="Fin",1-$H1594,IF(LEFT(TRIM(Paramètres!K28),1)="F",1,0)))),IF(Paramètres!L28="",0,IF(Paramètres!M28="",NA(),IF(LEFT(TRIM(Paramètres!M28),1)="F",INDEX($F$1571:$F$1623,MATCH(Paramètres!L28,Paramètres!$G$5:$G$57,0)),INDEX($E$1571:$E$1623,MATCH(Paramètres!L28,Paramètres!$G$5:$G$57,0)))+IF(RIGHT(TRIM(Paramètres!M28),3)="Fin",1-$H1594,IF(LEFT(TRIM(Paramètres!M28),1)="F",1,0)))),IF(Paramètres!N28="",0,IF(Paramètres!O28="",NA(),IF(LEFT(TRIM(Paramètres!O28),1)="F",INDEX($F$1571:$F$1623,MATCH(Paramètres!N28,Paramètres!$G$5:$G$57,0)),INDEX($E$1571:$E$1623,MATCH(Paramètres!N28,Paramètres!$G$5:$G$57,0)))+IF(RIGHT(TRIM(Paramètres!O28),3)="Fin",1-$H1594,IF(LEFT(TRIM(Paramètres!O28),1)="F",1,0)))))))</f>
        <v/>
      </c>
      <c r="F1594" s="19">
        <f>IF($A1594="","",E1594+$H1594-1)</f>
        <v/>
      </c>
      <c r="G1594" s="18" t="n"/>
      <c r="H1594" s="18">
        <f>IF($A1594="","",IF(I1594&lt;&gt;"",I1594,Paramètres!B28))</f>
        <v/>
      </c>
      <c r="I1594" s="18" t="n"/>
    </row>
    <row r="1595">
      <c r="A1595" s="18">
        <f>IF(ISNUMBER(Dossiers!$D$33),Dossiers!$A$33&amp;" · "&amp;Dossiers!$B$33,"")</f>
        <v/>
      </c>
      <c r="B1595" s="18">
        <f>IF($A1595="","",Paramètres!G29)</f>
        <v/>
      </c>
      <c r="C1595" s="18">
        <f>IF($A1595="","",IF(Paramètres!H29="","",Paramètres!H29))</f>
        <v/>
      </c>
      <c r="D1595" s="18">
        <f>IF($A1595="","",IF(Paramètres!I29="","",Paramètres!I29))</f>
        <v/>
      </c>
      <c r="E1595" s="19">
        <f>IF($A1595="","",IF(Paramètres!J29&amp;Paramètres!L29&amp;Paramètres!N29="",Dossiers!$D$33,MAX(IF(Paramètres!J29="",0,IF(Paramètres!K29="",NA(),IF(LEFT(TRIM(Paramètres!K29),1)="F",INDEX($F$1571:$F$1623,MATCH(Paramètres!J29,Paramètres!$G$5:$G$57,0)),INDEX($E$1571:$E$1623,MATCH(Paramètres!J29,Paramètres!$G$5:$G$57,0)))+IF(RIGHT(TRIM(Paramètres!K29),3)="Fin",1-$H1595,IF(LEFT(TRIM(Paramètres!K29),1)="F",1,0)))),IF(Paramètres!L29="",0,IF(Paramètres!M29="",NA(),IF(LEFT(TRIM(Paramètres!M29),1)="F",INDEX($F$1571:$F$1623,MATCH(Paramètres!L29,Paramètres!$G$5:$G$57,0)),INDEX($E$1571:$E$1623,MATCH(Paramètres!L29,Paramètres!$G$5:$G$57,0)))+IF(RIGHT(TRIM(Paramètres!M29),3)="Fin",1-$H1595,IF(LEFT(TRIM(Paramètres!M29),1)="F",1,0)))),IF(Paramètres!N29="",0,IF(Paramètres!O29="",NA(),IF(LEFT(TRIM(Paramètres!O29),1)="F",INDEX($F$1571:$F$1623,MATCH(Paramètres!N29,Paramètres!$G$5:$G$57,0)),INDEX($E$1571:$E$1623,MATCH(Paramètres!N29,Paramètres!$G$5:$G$57,0)))+IF(RIGHT(TRIM(Paramètres!O29),3)="Fin",1-$H1595,IF(LEFT(TRIM(Paramètres!O29),1)="F",1,0)))))))</f>
        <v/>
      </c>
      <c r="F1595" s="19">
        <f>IF($A1595="","",E1595+$H1595-1)</f>
        <v/>
      </c>
      <c r="G1595" s="18" t="n"/>
      <c r="H1595" s="18">
        <f>IF($A1595="","",IF(I1595&lt;&gt;"",I1595,Paramètres!B29))</f>
        <v/>
      </c>
      <c r="I1595" s="18" t="n"/>
    </row>
    <row r="1596">
      <c r="A1596" s="18">
        <f>IF(ISNUMBER(Dossiers!$D$33),Dossiers!$A$33&amp;" · "&amp;Dossiers!$B$33,"")</f>
        <v/>
      </c>
      <c r="B1596" s="18">
        <f>IF($A1596="","",Paramètres!G30)</f>
        <v/>
      </c>
      <c r="C1596" s="18">
        <f>IF($A1596="","",IF(Paramètres!H30="","",Paramètres!H30))</f>
        <v/>
      </c>
      <c r="D1596" s="18">
        <f>IF($A1596="","",IF(Paramètres!I30="","",Paramètres!I30))</f>
        <v/>
      </c>
      <c r="E1596" s="19">
        <f>IF($A1596="","",IF(Paramètres!J30&amp;Paramètres!L30&amp;Paramètres!N30="",Dossiers!$D$33,MAX(IF(Paramètres!J30="",0,IF(Paramètres!K30="",NA(),IF(LEFT(TRIM(Paramètres!K30),1)="F",INDEX($F$1571:$F$1623,MATCH(Paramètres!J30,Paramètres!$G$5:$G$57,0)),INDEX($E$1571:$E$1623,MATCH(Paramètres!J30,Paramètres!$G$5:$G$57,0)))+IF(RIGHT(TRIM(Paramètres!K30),3)="Fin",1-$H1596,IF(LEFT(TRIM(Paramètres!K30),1)="F",1,0)))),IF(Paramètres!L30="",0,IF(Paramètres!M30="",NA(),IF(LEFT(TRIM(Paramètres!M30),1)="F",INDEX($F$1571:$F$1623,MATCH(Paramètres!L30,Paramètres!$G$5:$G$57,0)),INDEX($E$1571:$E$1623,MATCH(Paramètres!L30,Paramètres!$G$5:$G$57,0)))+IF(RIGHT(TRIM(Paramètres!M30),3)="Fin",1-$H1596,IF(LEFT(TRIM(Paramètres!M30),1)="F",1,0)))),IF(Paramètres!N30="",0,IF(Paramètres!O30="",NA(),IF(LEFT(TRIM(Paramètres!O30),1)="F",INDEX($F$1571:$F$1623,MATCH(Paramètres!N30,Paramètres!$G$5:$G$57,0)),INDEX($E$1571:$E$1623,MATCH(Paramètres!N30,Paramètres!$G$5:$G$57,0)))+IF(RIGHT(TRIM(Paramètres!O30),3)="Fin",1-$H1596,IF(LEFT(TRIM(Paramètres!O30),1)="F",1,0)))))))</f>
        <v/>
      </c>
      <c r="F1596" s="19">
        <f>IF($A1596="","",E1596+$H1596-1)</f>
        <v/>
      </c>
      <c r="G1596" s="18" t="n"/>
      <c r="H1596" s="18">
        <f>IF($A1596="","",IF(I1596&lt;&gt;"",I1596,Paramètres!B30))</f>
        <v/>
      </c>
      <c r="I1596" s="18" t="n"/>
    </row>
    <row r="1597">
      <c r="A1597" s="18">
        <f>IF(ISNUMBER(Dossiers!$D$33),Dossiers!$A$33&amp;" · "&amp;Dossiers!$B$33,"")</f>
        <v/>
      </c>
      <c r="B1597" s="18">
        <f>IF($A1597="","",Paramètres!G31)</f>
        <v/>
      </c>
      <c r="C1597" s="20">
        <f>IF($A1597="","",IF(Dossiers!$F$33="","",Dossiers!$F$33))</f>
        <v/>
      </c>
      <c r="D1597" s="18">
        <f>IF($A1597="","",IF(Paramètres!I31="","",Paramètres!I31))</f>
        <v/>
      </c>
      <c r="E1597" s="19">
        <f>IF($A1597="","",IF(Paramètres!J31&amp;Paramètres!L31&amp;Paramètres!N31="",Dossiers!$D$33,MAX(IF(Paramètres!J31="",0,IF(Paramètres!K31="",NA(),IF(LEFT(TRIM(Paramètres!K31),1)="F",INDEX($F$1571:$F$1623,MATCH(Paramètres!J31,Paramètres!$G$5:$G$57,0)),INDEX($E$1571:$E$1623,MATCH(Paramètres!J31,Paramètres!$G$5:$G$57,0)))+IF(RIGHT(TRIM(Paramètres!K31),3)="Fin",1-$H1597,IF(LEFT(TRIM(Paramètres!K31),1)="F",1,0)))),IF(Paramètres!L31="",0,IF(Paramètres!M31="",NA(),IF(LEFT(TRIM(Paramètres!M31),1)="F",INDEX($F$1571:$F$1623,MATCH(Paramètres!L31,Paramètres!$G$5:$G$57,0)),INDEX($E$1571:$E$1623,MATCH(Paramètres!L31,Paramètres!$G$5:$G$57,0)))+IF(RIGHT(TRIM(Paramètres!M31),3)="Fin",1-$H1597,IF(LEFT(TRIM(Paramètres!M31),1)="F",1,0)))),IF(Paramètres!N31="",0,IF(Paramètres!O31="",NA(),IF(LEFT(TRIM(Paramètres!O31),1)="F",INDEX($F$1571:$F$1623,MATCH(Paramètres!N31,Paramètres!$G$5:$G$57,0)),INDEX($E$1571:$E$1623,MATCH(Paramètres!N31,Paramètres!$G$5:$G$57,0)))+IF(RIGHT(TRIM(Paramètres!O31),3)="Fin",1-$H1597,IF(LEFT(TRIM(Paramètres!O31),1)="F",1,0)))))))</f>
        <v/>
      </c>
      <c r="F1597" s="19">
        <f>IF($A1597="","",E1597+$H1597-1)</f>
        <v/>
      </c>
      <c r="G1597" s="18" t="n"/>
      <c r="H1597" s="18">
        <f>IF($A1597="","",IF(I1597&lt;&gt;"",I1597,Paramètres!B31))</f>
        <v/>
      </c>
      <c r="I1597" s="18" t="n"/>
    </row>
    <row r="1598">
      <c r="A1598" s="18">
        <f>IF(ISNUMBER(Dossiers!$D$33),Dossiers!$A$33&amp;" · "&amp;Dossiers!$B$33,"")</f>
        <v/>
      </c>
      <c r="B1598" s="18">
        <f>IF($A1598="","",Paramètres!G32)</f>
        <v/>
      </c>
      <c r="C1598" s="18">
        <f>IF($A1598="","",IF(Paramètres!H32="","",Paramètres!H32))</f>
        <v/>
      </c>
      <c r="D1598" s="18">
        <f>IF($A1598="","",IF(Paramètres!I32="","",Paramètres!I32))</f>
        <v/>
      </c>
      <c r="E1598" s="19">
        <f>IF($A1598="","",MIN(E1599:E1602))</f>
        <v/>
      </c>
      <c r="F1598" s="19">
        <f>IF($A1598="","",MAX(F1599:F1602))</f>
        <v/>
      </c>
      <c r="G1598" s="18" t="n"/>
      <c r="H1598" s="18">
        <f>IF($A1598="","",F1598-E1598+1)</f>
        <v/>
      </c>
      <c r="I1598" s="18" t="n"/>
    </row>
    <row r="1599">
      <c r="A1599" s="18">
        <f>IF(ISNUMBER(Dossiers!$D$33),Dossiers!$A$33&amp;" · "&amp;Dossiers!$B$33,"")</f>
        <v/>
      </c>
      <c r="B1599" s="18">
        <f>IF($A1599="","",Paramètres!G33)</f>
        <v/>
      </c>
      <c r="C1599" s="18">
        <f>IF($A1599="","",IF(Paramètres!H33="","",Paramètres!H33))</f>
        <v/>
      </c>
      <c r="D1599" s="18">
        <f>IF($A1599="","",IF(Paramètres!I33="","",Paramètres!I33))</f>
        <v/>
      </c>
      <c r="E1599" s="19">
        <f>IF($A1599="","",IF(Paramètres!J33&amp;Paramètres!L33&amp;Paramètres!N33="",Dossiers!$D$33,MAX(IF(Paramètres!J33="",0,IF(Paramètres!K33="",NA(),IF(LEFT(TRIM(Paramètres!K33),1)="F",INDEX($F$1571:$F$1623,MATCH(Paramètres!J33,Paramètres!$G$5:$G$57,0)),INDEX($E$1571:$E$1623,MATCH(Paramètres!J33,Paramètres!$G$5:$G$57,0)))+IF(RIGHT(TRIM(Paramètres!K33),3)="Fin",1-$H1599,IF(LEFT(TRIM(Paramètres!K33),1)="F",1,0)))),IF(Paramètres!L33="",0,IF(Paramètres!M33="",NA(),IF(LEFT(TRIM(Paramètres!M33),1)="F",INDEX($F$1571:$F$1623,MATCH(Paramètres!L33,Paramètres!$G$5:$G$57,0)),INDEX($E$1571:$E$1623,MATCH(Paramètres!L33,Paramètres!$G$5:$G$57,0)))+IF(RIGHT(TRIM(Paramètres!M33),3)="Fin",1-$H1599,IF(LEFT(TRIM(Paramètres!M33),1)="F",1,0)))),IF(Paramètres!N33="",0,IF(Paramètres!O33="",NA(),IF(LEFT(TRIM(Paramètres!O33),1)="F",INDEX($F$1571:$F$1623,MATCH(Paramètres!N33,Paramètres!$G$5:$G$57,0)),INDEX($E$1571:$E$1623,MATCH(Paramètres!N33,Paramètres!$G$5:$G$57,0)))+IF(RIGHT(TRIM(Paramètres!O33),3)="Fin",1-$H1599,IF(LEFT(TRIM(Paramètres!O33),1)="F",1,0)))))))</f>
        <v/>
      </c>
      <c r="F1599" s="19">
        <f>IF($A1599="","",E1599+$H1599-1)</f>
        <v/>
      </c>
      <c r="G1599" s="18" t="n"/>
      <c r="H1599" s="18">
        <f>IF($A1599="","",IF(I1599&lt;&gt;"",I1599,Paramètres!B33))</f>
        <v/>
      </c>
      <c r="I1599" s="18" t="n"/>
    </row>
    <row r="1600">
      <c r="A1600" s="18">
        <f>IF(ISNUMBER(Dossiers!$D$33),Dossiers!$A$33&amp;" · "&amp;Dossiers!$B$33,"")</f>
        <v/>
      </c>
      <c r="B1600" s="18">
        <f>IF($A1600="","",Paramètres!G34)</f>
        <v/>
      </c>
      <c r="C1600" s="18">
        <f>IF($A1600="","",IF(Paramètres!H34="","",Paramètres!H34))</f>
        <v/>
      </c>
      <c r="D1600" s="18">
        <f>IF($A1600="","",IF(Paramètres!I34="","",Paramètres!I34))</f>
        <v/>
      </c>
      <c r="E1600" s="19">
        <f>IF($A1600="","",IF(Paramètres!J34&amp;Paramètres!L34&amp;Paramètres!N34="",Dossiers!$D$33,MAX(IF(Paramètres!J34="",0,IF(Paramètres!K34="",NA(),IF(LEFT(TRIM(Paramètres!K34),1)="F",INDEX($F$1571:$F$1623,MATCH(Paramètres!J34,Paramètres!$G$5:$G$57,0)),INDEX($E$1571:$E$1623,MATCH(Paramètres!J34,Paramètres!$G$5:$G$57,0)))+IF(RIGHT(TRIM(Paramètres!K34),3)="Fin",1-$H1600,IF(LEFT(TRIM(Paramètres!K34),1)="F",1,0)))),IF(Paramètres!L34="",0,IF(Paramètres!M34="",NA(),IF(LEFT(TRIM(Paramètres!M34),1)="F",INDEX($F$1571:$F$1623,MATCH(Paramètres!L34,Paramètres!$G$5:$G$57,0)),INDEX($E$1571:$E$1623,MATCH(Paramètres!L34,Paramètres!$G$5:$G$57,0)))+IF(RIGHT(TRIM(Paramètres!M34),3)="Fin",1-$H1600,IF(LEFT(TRIM(Paramètres!M34),1)="F",1,0)))),IF(Paramètres!N34="",0,IF(Paramètres!O34="",NA(),IF(LEFT(TRIM(Paramètres!O34),1)="F",INDEX($F$1571:$F$1623,MATCH(Paramètres!N34,Paramètres!$G$5:$G$57,0)),INDEX($E$1571:$E$1623,MATCH(Paramètres!N34,Paramètres!$G$5:$G$57,0)))+IF(RIGHT(TRIM(Paramètres!O34),3)="Fin",1-$H1600,IF(LEFT(TRIM(Paramètres!O34),1)="F",1,0)))))))</f>
        <v/>
      </c>
      <c r="F1600" s="19">
        <f>IF($A1600="","",E1600+$H1600-1)</f>
        <v/>
      </c>
      <c r="G1600" s="18" t="n"/>
      <c r="H1600" s="18">
        <f>IF($A1600="","",IF(I1600&lt;&gt;"",I1600,Paramètres!B34))</f>
        <v/>
      </c>
      <c r="I1600" s="18" t="n"/>
    </row>
    <row r="1601">
      <c r="A1601" s="18">
        <f>IF(ISNUMBER(Dossiers!$D$33),Dossiers!$A$33&amp;" · "&amp;Dossiers!$B$33,"")</f>
        <v/>
      </c>
      <c r="B1601" s="18">
        <f>IF($A1601="","",Paramètres!G35)</f>
        <v/>
      </c>
      <c r="C1601" s="18">
        <f>IF($A1601="","",IF(Paramètres!H35="","",Paramètres!H35))</f>
        <v/>
      </c>
      <c r="D1601" s="18">
        <f>IF($A1601="","",IF(Paramètres!I35="","",Paramètres!I35))</f>
        <v/>
      </c>
      <c r="E1601" s="19">
        <f>IF($A1601="","",IF(Paramètres!J35&amp;Paramètres!L35&amp;Paramètres!N35="",Dossiers!$D$33,MAX(IF(Paramètres!J35="",0,IF(Paramètres!K35="",NA(),IF(LEFT(TRIM(Paramètres!K35),1)="F",INDEX($F$1571:$F$1623,MATCH(Paramètres!J35,Paramètres!$G$5:$G$57,0)),INDEX($E$1571:$E$1623,MATCH(Paramètres!J35,Paramètres!$G$5:$G$57,0)))+IF(RIGHT(TRIM(Paramètres!K35),3)="Fin",1-$H1601,IF(LEFT(TRIM(Paramètres!K35),1)="F",1,0)))),IF(Paramètres!L35="",0,IF(Paramètres!M35="",NA(),IF(LEFT(TRIM(Paramètres!M35),1)="F",INDEX($F$1571:$F$1623,MATCH(Paramètres!L35,Paramètres!$G$5:$G$57,0)),INDEX($E$1571:$E$1623,MATCH(Paramètres!L35,Paramètres!$G$5:$G$57,0)))+IF(RIGHT(TRIM(Paramètres!M35),3)="Fin",1-$H1601,IF(LEFT(TRIM(Paramètres!M35),1)="F",1,0)))),IF(Paramètres!N35="",0,IF(Paramètres!O35="",NA(),IF(LEFT(TRIM(Paramètres!O35),1)="F",INDEX($F$1571:$F$1623,MATCH(Paramètres!N35,Paramètres!$G$5:$G$57,0)),INDEX($E$1571:$E$1623,MATCH(Paramètres!N35,Paramètres!$G$5:$G$57,0)))+IF(RIGHT(TRIM(Paramètres!O35),3)="Fin",1-$H1601,IF(LEFT(TRIM(Paramètres!O35),1)="F",1,0)))))))</f>
        <v/>
      </c>
      <c r="F1601" s="19">
        <f>IF($A1601="","",E1601+$H1601-1)</f>
        <v/>
      </c>
      <c r="G1601" s="18" t="n"/>
      <c r="H1601" s="18">
        <f>IF($A1601="","",IF(I1601&lt;&gt;"",I1601,Paramètres!B35))</f>
        <v/>
      </c>
      <c r="I1601" s="18" t="n"/>
    </row>
    <row r="1602">
      <c r="A1602" s="18">
        <f>IF(ISNUMBER(Dossiers!$D$33),Dossiers!$A$33&amp;" · "&amp;Dossiers!$B$33,"")</f>
        <v/>
      </c>
      <c r="B1602" s="18">
        <f>IF($A1602="","",Paramètres!G36)</f>
        <v/>
      </c>
      <c r="C1602" s="18">
        <f>IF($A1602="","",IF(Paramètres!H36="","",Paramètres!H36))</f>
        <v/>
      </c>
      <c r="D1602" s="18">
        <f>IF($A1602="","",IF(Paramètres!I36="","",Paramètres!I36))</f>
        <v/>
      </c>
      <c r="E1602" s="19">
        <f>IF($A1602="","",IF(Paramètres!J36&amp;Paramètres!L36&amp;Paramètres!N36="",Dossiers!$D$33,MAX(IF(Paramètres!J36="",0,IF(Paramètres!K36="",NA(),IF(LEFT(TRIM(Paramètres!K36),1)="F",INDEX($F$1571:$F$1623,MATCH(Paramètres!J36,Paramètres!$G$5:$G$57,0)),INDEX($E$1571:$E$1623,MATCH(Paramètres!J36,Paramètres!$G$5:$G$57,0)))+IF(RIGHT(TRIM(Paramètres!K36),3)="Fin",1-$H1602,IF(LEFT(TRIM(Paramètres!K36),1)="F",1,0)))),IF(Paramètres!L36="",0,IF(Paramètres!M36="",NA(),IF(LEFT(TRIM(Paramètres!M36),1)="F",INDEX($F$1571:$F$1623,MATCH(Paramètres!L36,Paramètres!$G$5:$G$57,0)),INDEX($E$1571:$E$1623,MATCH(Paramètres!L36,Paramètres!$G$5:$G$57,0)))+IF(RIGHT(TRIM(Paramètres!M36),3)="Fin",1-$H1602,IF(LEFT(TRIM(Paramètres!M36),1)="F",1,0)))),IF(Paramètres!N36="",0,IF(Paramètres!O36="",NA(),IF(LEFT(TRIM(Paramètres!O36),1)="F",INDEX($F$1571:$F$1623,MATCH(Paramètres!N36,Paramètres!$G$5:$G$57,0)),INDEX($E$1571:$E$1623,MATCH(Paramètres!N36,Paramètres!$G$5:$G$57,0)))+IF(RIGHT(TRIM(Paramètres!O36),3)="Fin",1-$H1602,IF(LEFT(TRIM(Paramètres!O36),1)="F",1,0)))))))</f>
        <v/>
      </c>
      <c r="F1602" s="19">
        <f>IF($A1602="","",E1602+$H1602-1)</f>
        <v/>
      </c>
      <c r="G1602" s="18" t="n"/>
      <c r="H1602" s="18">
        <f>IF($A1602="","",IF(I1602&lt;&gt;"",I1602,Paramètres!B36))</f>
        <v/>
      </c>
      <c r="I1602" s="18" t="n"/>
    </row>
    <row r="1603">
      <c r="A1603" s="18">
        <f>IF(ISNUMBER(Dossiers!$D$33),Dossiers!$A$33&amp;" · "&amp;Dossiers!$B$33,"")</f>
        <v/>
      </c>
      <c r="B1603" s="18">
        <f>IF($A1603="","",Paramètres!G37)</f>
        <v/>
      </c>
      <c r="C1603" s="18">
        <f>IF($A1603="","",IF(Paramètres!H37="","",Paramètres!H37))</f>
        <v/>
      </c>
      <c r="D1603" s="18">
        <f>IF($A1603="","",IF(Paramètres!I37="","",Paramètres!I37))</f>
        <v/>
      </c>
      <c r="E1603" s="19">
        <f>IF($A1603="","",MIN(E1604:E1621))</f>
        <v/>
      </c>
      <c r="F1603" s="19">
        <f>IF($A1603="","",MAX(F1604:F1621))</f>
        <v/>
      </c>
      <c r="G1603" s="18" t="n"/>
      <c r="H1603" s="18">
        <f>IF($A1603="","",F1603-E1603+1)</f>
        <v/>
      </c>
      <c r="I1603" s="18" t="n"/>
    </row>
    <row r="1604">
      <c r="A1604" s="18">
        <f>IF(ISNUMBER(Dossiers!$D$33),Dossiers!$A$33&amp;" · "&amp;Dossiers!$B$33,"")</f>
        <v/>
      </c>
      <c r="B1604" s="18">
        <f>IF($A1604="","",Paramètres!G38)</f>
        <v/>
      </c>
      <c r="C1604" s="18">
        <f>IF($A1604="","",IF(Paramètres!H38="","",Paramètres!H38))</f>
        <v/>
      </c>
      <c r="D1604" s="18">
        <f>IF($A1604="","",IF(Paramètres!I38="","",Paramètres!I38))</f>
        <v/>
      </c>
      <c r="E1604" s="19">
        <f>IF($A1604="","",IF(Paramètres!J38&amp;Paramètres!L38&amp;Paramètres!N38="",Dossiers!$D$33,MAX(IF(Paramètres!J38="",0,IF(Paramètres!K38="",NA(),IF(LEFT(TRIM(Paramètres!K38),1)="F",INDEX($F$1571:$F$1623,MATCH(Paramètres!J38,Paramètres!$G$5:$G$57,0)),INDEX($E$1571:$E$1623,MATCH(Paramètres!J38,Paramètres!$G$5:$G$57,0)))+IF(RIGHT(TRIM(Paramètres!K38),3)="Fin",1-$H1604,IF(LEFT(TRIM(Paramètres!K38),1)="F",1,0)))),IF(Paramètres!L38="",0,IF(Paramètres!M38="",NA(),IF(LEFT(TRIM(Paramètres!M38),1)="F",INDEX($F$1571:$F$1623,MATCH(Paramètres!L38,Paramètres!$G$5:$G$57,0)),INDEX($E$1571:$E$1623,MATCH(Paramètres!L38,Paramètres!$G$5:$G$57,0)))+IF(RIGHT(TRIM(Paramètres!M38),3)="Fin",1-$H1604,IF(LEFT(TRIM(Paramètres!M38),1)="F",1,0)))),IF(Paramètres!N38="",0,IF(Paramètres!O38="",NA(),IF(LEFT(TRIM(Paramètres!O38),1)="F",INDEX($F$1571:$F$1623,MATCH(Paramètres!N38,Paramètres!$G$5:$G$57,0)),INDEX($E$1571:$E$1623,MATCH(Paramètres!N38,Paramètres!$G$5:$G$57,0)))+IF(RIGHT(TRIM(Paramètres!O38),3)="Fin",1-$H1604,IF(LEFT(TRIM(Paramètres!O38),1)="F",1,0)))))))</f>
        <v/>
      </c>
      <c r="F1604" s="19">
        <f>IF($A1604="","",E1604+$H1604-1)</f>
        <v/>
      </c>
      <c r="G1604" s="18" t="n"/>
      <c r="H1604" s="18">
        <f>IF($A1604="","",IF(I1604&lt;&gt;"",I1604,Paramètres!B38))</f>
        <v/>
      </c>
      <c r="I1604" s="18" t="n"/>
    </row>
    <row r="1605">
      <c r="A1605" s="18">
        <f>IF(ISNUMBER(Dossiers!$D$33),Dossiers!$A$33&amp;" · "&amp;Dossiers!$B$33,"")</f>
        <v/>
      </c>
      <c r="B1605" s="18">
        <f>IF($A1605="","",Paramètres!G39)</f>
        <v/>
      </c>
      <c r="C1605" s="18">
        <f>IF($A1605="","",IF(Paramètres!H39="","",Paramètres!H39))</f>
        <v/>
      </c>
      <c r="D1605" s="18">
        <f>IF($A1605="","",IF(Paramètres!I39="","",Paramètres!I39))</f>
        <v/>
      </c>
      <c r="E1605" s="19">
        <f>IF($A1605="","",IF(Paramètres!J39&amp;Paramètres!L39&amp;Paramètres!N39="",Dossiers!$D$33,MAX(IF(Paramètres!J39="",0,IF(Paramètres!K39="",NA(),IF(LEFT(TRIM(Paramètres!K39),1)="F",INDEX($F$1571:$F$1623,MATCH(Paramètres!J39,Paramètres!$G$5:$G$57,0)),INDEX($E$1571:$E$1623,MATCH(Paramètres!J39,Paramètres!$G$5:$G$57,0)))+IF(RIGHT(TRIM(Paramètres!K39),3)="Fin",1-$H1605,IF(LEFT(TRIM(Paramètres!K39),1)="F",1,0)))),IF(Paramètres!L39="",0,IF(Paramètres!M39="",NA(),IF(LEFT(TRIM(Paramètres!M39),1)="F",INDEX($F$1571:$F$1623,MATCH(Paramètres!L39,Paramètres!$G$5:$G$57,0)),INDEX($E$1571:$E$1623,MATCH(Paramètres!L39,Paramètres!$G$5:$G$57,0)))+IF(RIGHT(TRIM(Paramètres!M39),3)="Fin",1-$H1605,IF(LEFT(TRIM(Paramètres!M39),1)="F",1,0)))),IF(Paramètres!N39="",0,IF(Paramètres!O39="",NA(),IF(LEFT(TRIM(Paramètres!O39),1)="F",INDEX($F$1571:$F$1623,MATCH(Paramètres!N39,Paramètres!$G$5:$G$57,0)),INDEX($E$1571:$E$1623,MATCH(Paramètres!N39,Paramètres!$G$5:$G$57,0)))+IF(RIGHT(TRIM(Paramètres!O39),3)="Fin",1-$H1605,IF(LEFT(TRIM(Paramètres!O39),1)="F",1,0)))))))</f>
        <v/>
      </c>
      <c r="F1605" s="19">
        <f>IF($A1605="","",E1605+$H1605-1)</f>
        <v/>
      </c>
      <c r="G1605" s="18" t="n"/>
      <c r="H1605" s="18">
        <f>IF($A1605="","",IF(I1605&lt;&gt;"",I1605,Paramètres!B39))</f>
        <v/>
      </c>
      <c r="I1605" s="18" t="n"/>
    </row>
    <row r="1606">
      <c r="A1606" s="18">
        <f>IF(ISNUMBER(Dossiers!$D$33),Dossiers!$A$33&amp;" · "&amp;Dossiers!$B$33,"")</f>
        <v/>
      </c>
      <c r="B1606" s="18">
        <f>IF($A1606="","",Paramètres!G40)</f>
        <v/>
      </c>
      <c r="C1606" s="18">
        <f>IF($A1606="","",IF(Paramètres!H40="","",Paramètres!H40))</f>
        <v/>
      </c>
      <c r="D1606" s="18">
        <f>IF($A1606="","",IF(Paramètres!I40="","",Paramètres!I40))</f>
        <v/>
      </c>
      <c r="E1606" s="19">
        <f>IF($A1606="","",IF(Paramètres!J40&amp;Paramètres!L40&amp;Paramètres!N40="",Dossiers!$D$33,MAX(IF(Paramètres!J40="",0,IF(Paramètres!K40="",NA(),IF(LEFT(TRIM(Paramètres!K40),1)="F",INDEX($F$1571:$F$1623,MATCH(Paramètres!J40,Paramètres!$G$5:$G$57,0)),INDEX($E$1571:$E$1623,MATCH(Paramètres!J40,Paramètres!$G$5:$G$57,0)))+IF(RIGHT(TRIM(Paramètres!K40),3)="Fin",1-$H1606,IF(LEFT(TRIM(Paramètres!K40),1)="F",1,0)))),IF(Paramètres!L40="",0,IF(Paramètres!M40="",NA(),IF(LEFT(TRIM(Paramètres!M40),1)="F",INDEX($F$1571:$F$1623,MATCH(Paramètres!L40,Paramètres!$G$5:$G$57,0)),INDEX($E$1571:$E$1623,MATCH(Paramètres!L40,Paramètres!$G$5:$G$57,0)))+IF(RIGHT(TRIM(Paramètres!M40),3)="Fin",1-$H1606,IF(LEFT(TRIM(Paramètres!M40),1)="F",1,0)))),IF(Paramètres!N40="",0,IF(Paramètres!O40="",NA(),IF(LEFT(TRIM(Paramètres!O40),1)="F",INDEX($F$1571:$F$1623,MATCH(Paramètres!N40,Paramètres!$G$5:$G$57,0)),INDEX($E$1571:$E$1623,MATCH(Paramètres!N40,Paramètres!$G$5:$G$57,0)))+IF(RIGHT(TRIM(Paramètres!O40),3)="Fin",1-$H1606,IF(LEFT(TRIM(Paramètres!O40),1)="F",1,0)))))))</f>
        <v/>
      </c>
      <c r="F1606" s="19">
        <f>IF($A1606="","",E1606+$H1606-1)</f>
        <v/>
      </c>
      <c r="G1606" s="18" t="n"/>
      <c r="H1606" s="18">
        <f>IF($A1606="","",IF(I1606&lt;&gt;"",I1606,Paramètres!B40))</f>
        <v/>
      </c>
      <c r="I1606" s="18" t="n"/>
    </row>
    <row r="1607">
      <c r="A1607" s="18">
        <f>IF(ISNUMBER(Dossiers!$D$33),Dossiers!$A$33&amp;" · "&amp;Dossiers!$B$33,"")</f>
        <v/>
      </c>
      <c r="B1607" s="18">
        <f>IF($A1607="","",Paramètres!G41)</f>
        <v/>
      </c>
      <c r="C1607" s="18">
        <f>IF($A1607="","",IF(Paramètres!H41="","",Paramètres!H41))</f>
        <v/>
      </c>
      <c r="D1607" s="18">
        <f>IF($A1607="","",IF(Paramètres!I41="","",Paramètres!I41))</f>
        <v/>
      </c>
      <c r="E1607" s="19">
        <f>IF($A1607="","",IF(Paramètres!J41&amp;Paramètres!L41&amp;Paramètres!N41="",Dossiers!$D$33,MAX(IF(Paramètres!J41="",0,IF(Paramètres!K41="",NA(),IF(LEFT(TRIM(Paramètres!K41),1)="F",INDEX($F$1571:$F$1623,MATCH(Paramètres!J41,Paramètres!$G$5:$G$57,0)),INDEX($E$1571:$E$1623,MATCH(Paramètres!J41,Paramètres!$G$5:$G$57,0)))+IF(RIGHT(TRIM(Paramètres!K41),3)="Fin",1-$H1607,IF(LEFT(TRIM(Paramètres!K41),1)="F",1,0)))),IF(Paramètres!L41="",0,IF(Paramètres!M41="",NA(),IF(LEFT(TRIM(Paramètres!M41),1)="F",INDEX($F$1571:$F$1623,MATCH(Paramètres!L41,Paramètres!$G$5:$G$57,0)),INDEX($E$1571:$E$1623,MATCH(Paramètres!L41,Paramètres!$G$5:$G$57,0)))+IF(RIGHT(TRIM(Paramètres!M41),3)="Fin",1-$H1607,IF(LEFT(TRIM(Paramètres!M41),1)="F",1,0)))),IF(Paramètres!N41="",0,IF(Paramètres!O41="",NA(),IF(LEFT(TRIM(Paramètres!O41),1)="F",INDEX($F$1571:$F$1623,MATCH(Paramètres!N41,Paramètres!$G$5:$G$57,0)),INDEX($E$1571:$E$1623,MATCH(Paramètres!N41,Paramètres!$G$5:$G$57,0)))+IF(RIGHT(TRIM(Paramètres!O41),3)="Fin",1-$H1607,IF(LEFT(TRIM(Paramètres!O41),1)="F",1,0)))))))</f>
        <v/>
      </c>
      <c r="F1607" s="19">
        <f>IF($A1607="","",E1607+$H1607-1)</f>
        <v/>
      </c>
      <c r="G1607" s="18" t="n"/>
      <c r="H1607" s="18">
        <f>IF($A1607="","",IF(I1607&lt;&gt;"",I1607,Paramètres!B41))</f>
        <v/>
      </c>
      <c r="I1607" s="18" t="n"/>
    </row>
    <row r="1608">
      <c r="A1608" s="18">
        <f>IF(ISNUMBER(Dossiers!$D$33),Dossiers!$A$33&amp;" · "&amp;Dossiers!$B$33,"")</f>
        <v/>
      </c>
      <c r="B1608" s="18">
        <f>IF($A1608="","",Paramètres!G42)</f>
        <v/>
      </c>
      <c r="C1608" s="18">
        <f>IF($A1608="","",IF(Paramètres!H42="","",Paramètres!H42))</f>
        <v/>
      </c>
      <c r="D1608" s="18">
        <f>IF($A1608="","",IF(Paramètres!I42="","",Paramètres!I42))</f>
        <v/>
      </c>
      <c r="E1608" s="19">
        <f>IF($A1608="","",IF(Paramètres!J42&amp;Paramètres!L42&amp;Paramètres!N42="",Dossiers!$D$33,MAX(IF(Paramètres!J42="",0,IF(Paramètres!K42="",NA(),IF(LEFT(TRIM(Paramètres!K42),1)="F",INDEX($F$1571:$F$1623,MATCH(Paramètres!J42,Paramètres!$G$5:$G$57,0)),INDEX($E$1571:$E$1623,MATCH(Paramètres!J42,Paramètres!$G$5:$G$57,0)))+IF(RIGHT(TRIM(Paramètres!K42),3)="Fin",1-$H1608,IF(LEFT(TRIM(Paramètres!K42),1)="F",1,0)))),IF(Paramètres!L42="",0,IF(Paramètres!M42="",NA(),IF(LEFT(TRIM(Paramètres!M42),1)="F",INDEX($F$1571:$F$1623,MATCH(Paramètres!L42,Paramètres!$G$5:$G$57,0)),INDEX($E$1571:$E$1623,MATCH(Paramètres!L42,Paramètres!$G$5:$G$57,0)))+IF(RIGHT(TRIM(Paramètres!M42),3)="Fin",1-$H1608,IF(LEFT(TRIM(Paramètres!M42),1)="F",1,0)))),IF(Paramètres!N42="",0,IF(Paramètres!O42="",NA(),IF(LEFT(TRIM(Paramètres!O42),1)="F",INDEX($F$1571:$F$1623,MATCH(Paramètres!N42,Paramètres!$G$5:$G$57,0)),INDEX($E$1571:$E$1623,MATCH(Paramètres!N42,Paramètres!$G$5:$G$57,0)))+IF(RIGHT(TRIM(Paramètres!O42),3)="Fin",1-$H1608,IF(LEFT(TRIM(Paramètres!O42),1)="F",1,0)))))))</f>
        <v/>
      </c>
      <c r="F1608" s="19">
        <f>IF($A1608="","",E1608+$H1608-1)</f>
        <v/>
      </c>
      <c r="G1608" s="18" t="n"/>
      <c r="H1608" s="18">
        <f>IF($A1608="","",IF(I1608&lt;&gt;"",I1608,Paramètres!B42))</f>
        <v/>
      </c>
      <c r="I1608" s="18" t="n"/>
    </row>
    <row r="1609">
      <c r="A1609" s="18">
        <f>IF(ISNUMBER(Dossiers!$D$33),Dossiers!$A$33&amp;" · "&amp;Dossiers!$B$33,"")</f>
        <v/>
      </c>
      <c r="B1609" s="18">
        <f>IF($A1609="","",Paramètres!G43)</f>
        <v/>
      </c>
      <c r="C1609" s="18">
        <f>IF($A1609="","",IF(Paramètres!H43="","",Paramètres!H43))</f>
        <v/>
      </c>
      <c r="D1609" s="18">
        <f>IF($A1609="","",IF(Paramètres!I43="","",Paramètres!I43))</f>
        <v/>
      </c>
      <c r="E1609" s="19">
        <f>IF($A1609="","",IF(Paramètres!J43&amp;Paramètres!L43&amp;Paramètres!N43="",Dossiers!$D$33,MAX(IF(Paramètres!J43="",0,IF(Paramètres!K43="",NA(),IF(LEFT(TRIM(Paramètres!K43),1)="F",INDEX($F$1571:$F$1623,MATCH(Paramètres!J43,Paramètres!$G$5:$G$57,0)),INDEX($E$1571:$E$1623,MATCH(Paramètres!J43,Paramètres!$G$5:$G$57,0)))+IF(RIGHT(TRIM(Paramètres!K43),3)="Fin",1-$H1609,IF(LEFT(TRIM(Paramètres!K43),1)="F",1,0)))),IF(Paramètres!L43="",0,IF(Paramètres!M43="",NA(),IF(LEFT(TRIM(Paramètres!M43),1)="F",INDEX($F$1571:$F$1623,MATCH(Paramètres!L43,Paramètres!$G$5:$G$57,0)),INDEX($E$1571:$E$1623,MATCH(Paramètres!L43,Paramètres!$G$5:$G$57,0)))+IF(RIGHT(TRIM(Paramètres!M43),3)="Fin",1-$H1609,IF(LEFT(TRIM(Paramètres!M43),1)="F",1,0)))),IF(Paramètres!N43="",0,IF(Paramètres!O43="",NA(),IF(LEFT(TRIM(Paramètres!O43),1)="F",INDEX($F$1571:$F$1623,MATCH(Paramètres!N43,Paramètres!$G$5:$G$57,0)),INDEX($E$1571:$E$1623,MATCH(Paramètres!N43,Paramètres!$G$5:$G$57,0)))+IF(RIGHT(TRIM(Paramètres!O43),3)="Fin",1-$H1609,IF(LEFT(TRIM(Paramètres!O43),1)="F",1,0)))))))</f>
        <v/>
      </c>
      <c r="F1609" s="19">
        <f>IF($A1609="","",E1609+$H1609-1)</f>
        <v/>
      </c>
      <c r="G1609" s="18" t="n"/>
      <c r="H1609" s="18">
        <f>IF($A1609="","",IF(I1609&lt;&gt;"",I1609,Paramètres!B43))</f>
        <v/>
      </c>
      <c r="I1609" s="18" t="n"/>
    </row>
    <row r="1610">
      <c r="A1610" s="18">
        <f>IF(ISNUMBER(Dossiers!$D$33),Dossiers!$A$33&amp;" · "&amp;Dossiers!$B$33,"")</f>
        <v/>
      </c>
      <c r="B1610" s="18">
        <f>IF($A1610="","",Paramètres!G44)</f>
        <v/>
      </c>
      <c r="C1610" s="18">
        <f>IF($A1610="","",IF(Paramètres!H44="","",Paramètres!H44))</f>
        <v/>
      </c>
      <c r="D1610" s="18">
        <f>IF($A1610="","",IF(Paramètres!I44="","",Paramètres!I44))</f>
        <v/>
      </c>
      <c r="E1610" s="19">
        <f>IF($A1610="","",IF(Paramètres!J44&amp;Paramètres!L44&amp;Paramètres!N44="",Dossiers!$D$33,MAX(IF(Paramètres!J44="",0,IF(Paramètres!K44="",NA(),IF(LEFT(TRIM(Paramètres!K44),1)="F",INDEX($F$1571:$F$1623,MATCH(Paramètres!J44,Paramètres!$G$5:$G$57,0)),INDEX($E$1571:$E$1623,MATCH(Paramètres!J44,Paramètres!$G$5:$G$57,0)))+IF(RIGHT(TRIM(Paramètres!K44),3)="Fin",1-$H1610,IF(LEFT(TRIM(Paramètres!K44),1)="F",1,0)))),IF(Paramètres!L44="",0,IF(Paramètres!M44="",NA(),IF(LEFT(TRIM(Paramètres!M44),1)="F",INDEX($F$1571:$F$1623,MATCH(Paramètres!L44,Paramètres!$G$5:$G$57,0)),INDEX($E$1571:$E$1623,MATCH(Paramètres!L44,Paramètres!$G$5:$G$57,0)))+IF(RIGHT(TRIM(Paramètres!M44),3)="Fin",1-$H1610,IF(LEFT(TRIM(Paramètres!M44),1)="F",1,0)))),IF(Paramètres!N44="",0,IF(Paramètres!O44="",NA(),IF(LEFT(TRIM(Paramètres!O44),1)="F",INDEX($F$1571:$F$1623,MATCH(Paramètres!N44,Paramètres!$G$5:$G$57,0)),INDEX($E$1571:$E$1623,MATCH(Paramètres!N44,Paramètres!$G$5:$G$57,0)))+IF(RIGHT(TRIM(Paramètres!O44),3)="Fin",1-$H1610,IF(LEFT(TRIM(Paramètres!O44),1)="F",1,0)))))))</f>
        <v/>
      </c>
      <c r="F1610" s="19">
        <f>IF($A1610="","",E1610+$H1610-1)</f>
        <v/>
      </c>
      <c r="G1610" s="18" t="n"/>
      <c r="H1610" s="18">
        <f>IF($A1610="","",IF(I1610&lt;&gt;"",I1610,Paramètres!B44))</f>
        <v/>
      </c>
      <c r="I1610" s="18" t="n"/>
    </row>
    <row r="1611">
      <c r="A1611" s="18">
        <f>IF(ISNUMBER(Dossiers!$D$33),Dossiers!$A$33&amp;" · "&amp;Dossiers!$B$33,"")</f>
        <v/>
      </c>
      <c r="B1611" s="18">
        <f>IF($A1611="","",Paramètres!G45)</f>
        <v/>
      </c>
      <c r="C1611" s="20">
        <f>IF($A1611="","",IF(Dossiers!$G$33="","",Dossiers!$G$33))</f>
        <v/>
      </c>
      <c r="D1611" s="18">
        <f>IF($A1611="","",IF(Paramètres!I45="","",Paramètres!I45))</f>
        <v/>
      </c>
      <c r="E1611" s="19">
        <f>IF($A1611="","",IF(Paramètres!J45&amp;Paramètres!L45&amp;Paramètres!N45="",Dossiers!$D$33,MAX(IF(Paramètres!J45="",0,IF(Paramètres!K45="",NA(),IF(LEFT(TRIM(Paramètres!K45),1)="F",INDEX($F$1571:$F$1623,MATCH(Paramètres!J45,Paramètres!$G$5:$G$57,0)),INDEX($E$1571:$E$1623,MATCH(Paramètres!J45,Paramètres!$G$5:$G$57,0)))+IF(RIGHT(TRIM(Paramètres!K45),3)="Fin",1-$H1611,IF(LEFT(TRIM(Paramètres!K45),1)="F",1,0)))),IF(Paramètres!L45="",0,IF(Paramètres!M45="",NA(),IF(LEFT(TRIM(Paramètres!M45),1)="F",INDEX($F$1571:$F$1623,MATCH(Paramètres!L45,Paramètres!$G$5:$G$57,0)),INDEX($E$1571:$E$1623,MATCH(Paramètres!L45,Paramètres!$G$5:$G$57,0)))+IF(RIGHT(TRIM(Paramètres!M45),3)="Fin",1-$H1611,IF(LEFT(TRIM(Paramètres!M45),1)="F",1,0)))),IF(Paramètres!N45="",0,IF(Paramètres!O45="",NA(),IF(LEFT(TRIM(Paramètres!O45),1)="F",INDEX($F$1571:$F$1623,MATCH(Paramètres!N45,Paramètres!$G$5:$G$57,0)),INDEX($E$1571:$E$1623,MATCH(Paramètres!N45,Paramètres!$G$5:$G$57,0)))+IF(RIGHT(TRIM(Paramètres!O45),3)="Fin",1-$H1611,IF(LEFT(TRIM(Paramètres!O45),1)="F",1,0)))))))</f>
        <v/>
      </c>
      <c r="F1611" s="19">
        <f>IF($A1611="","",E1611+$H1611-1)</f>
        <v/>
      </c>
      <c r="G1611" s="18" t="n"/>
      <c r="H1611" s="18">
        <f>IF($A1611="","",IF(I1611&lt;&gt;"",I1611,Paramètres!B45))</f>
        <v/>
      </c>
      <c r="I1611" s="18" t="n"/>
    </row>
    <row r="1612">
      <c r="A1612" s="18">
        <f>IF(ISNUMBER(Dossiers!$D$33),Dossiers!$A$33&amp;" · "&amp;Dossiers!$B$33,"")</f>
        <v/>
      </c>
      <c r="B1612" s="18">
        <f>IF($A1612="","",Paramètres!G46)</f>
        <v/>
      </c>
      <c r="C1612" s="18">
        <f>IF($A1612="","",IF(Paramètres!H46="","",Paramètres!H46))</f>
        <v/>
      </c>
      <c r="D1612" s="18">
        <f>IF($A1612="","",IF(Paramètres!I46="","",Paramètres!I46))</f>
        <v/>
      </c>
      <c r="E1612" s="19">
        <f>IF($A1612="","",IF(Paramètres!J46&amp;Paramètres!L46&amp;Paramètres!N46="",Dossiers!$D$33,MAX(IF(Paramètres!J46="",0,IF(Paramètres!K46="",NA(),IF(LEFT(TRIM(Paramètres!K46),1)="F",INDEX($F$1571:$F$1623,MATCH(Paramètres!J46,Paramètres!$G$5:$G$57,0)),INDEX($E$1571:$E$1623,MATCH(Paramètres!J46,Paramètres!$G$5:$G$57,0)))+IF(RIGHT(TRIM(Paramètres!K46),3)="Fin",1-$H1612,IF(LEFT(TRIM(Paramètres!K46),1)="F",1,0)))),IF(Paramètres!L46="",0,IF(Paramètres!M46="",NA(),IF(LEFT(TRIM(Paramètres!M46),1)="F",INDEX($F$1571:$F$1623,MATCH(Paramètres!L46,Paramètres!$G$5:$G$57,0)),INDEX($E$1571:$E$1623,MATCH(Paramètres!L46,Paramètres!$G$5:$G$57,0)))+IF(RIGHT(TRIM(Paramètres!M46),3)="Fin",1-$H1612,IF(LEFT(TRIM(Paramètres!M46),1)="F",1,0)))),IF(Paramètres!N46="",0,IF(Paramètres!O46="",NA(),IF(LEFT(TRIM(Paramètres!O46),1)="F",INDEX($F$1571:$F$1623,MATCH(Paramètres!N46,Paramètres!$G$5:$G$57,0)),INDEX($E$1571:$E$1623,MATCH(Paramètres!N46,Paramètres!$G$5:$G$57,0)))+IF(RIGHT(TRIM(Paramètres!O46),3)="Fin",1-$H1612,IF(LEFT(TRIM(Paramètres!O46),1)="F",1,0)))))))</f>
        <v/>
      </c>
      <c r="F1612" s="19">
        <f>IF($A1612="","",E1612+$H1612-1)</f>
        <v/>
      </c>
      <c r="G1612" s="18" t="n"/>
      <c r="H1612" s="18">
        <f>IF($A1612="","",IF(I1612&lt;&gt;"",I1612,Paramètres!B46))</f>
        <v/>
      </c>
      <c r="I1612" s="18" t="n"/>
    </row>
    <row r="1613">
      <c r="A1613" s="18">
        <f>IF(ISNUMBER(Dossiers!$D$33),Dossiers!$A$33&amp;" · "&amp;Dossiers!$B$33,"")</f>
        <v/>
      </c>
      <c r="B1613" s="18">
        <f>IF($A1613="","",Paramètres!G47)</f>
        <v/>
      </c>
      <c r="C1613" s="18">
        <f>IF($A1613="","",IF(Paramètres!H47="","",Paramètres!H47))</f>
        <v/>
      </c>
      <c r="D1613" s="18">
        <f>IF($A1613="","",IF(Paramètres!I47="","",Paramètres!I47))</f>
        <v/>
      </c>
      <c r="E1613" s="19">
        <f>IF($A1613="","",IF(Paramètres!J47&amp;Paramètres!L47&amp;Paramètres!N47="",Dossiers!$D$33,MAX(IF(Paramètres!J47="",0,IF(Paramètres!K47="",NA(),IF(LEFT(TRIM(Paramètres!K47),1)="F",INDEX($F$1571:$F$1623,MATCH(Paramètres!J47,Paramètres!$G$5:$G$57,0)),INDEX($E$1571:$E$1623,MATCH(Paramètres!J47,Paramètres!$G$5:$G$57,0)))+IF(RIGHT(TRIM(Paramètres!K47),3)="Fin",1-$H1613,IF(LEFT(TRIM(Paramètres!K47),1)="F",1,0)))),IF(Paramètres!L47="",0,IF(Paramètres!M47="",NA(),IF(LEFT(TRIM(Paramètres!M47),1)="F",INDEX($F$1571:$F$1623,MATCH(Paramètres!L47,Paramètres!$G$5:$G$57,0)),INDEX($E$1571:$E$1623,MATCH(Paramètres!L47,Paramètres!$G$5:$G$57,0)))+IF(RIGHT(TRIM(Paramètres!M47),3)="Fin",1-$H1613,IF(LEFT(TRIM(Paramètres!M47),1)="F",1,0)))),IF(Paramètres!N47="",0,IF(Paramètres!O47="",NA(),IF(LEFT(TRIM(Paramètres!O47),1)="F",INDEX($F$1571:$F$1623,MATCH(Paramètres!N47,Paramètres!$G$5:$G$57,0)),INDEX($E$1571:$E$1623,MATCH(Paramètres!N47,Paramètres!$G$5:$G$57,0)))+IF(RIGHT(TRIM(Paramètres!O47),3)="Fin",1-$H1613,IF(LEFT(TRIM(Paramètres!O47),1)="F",1,0)))))))</f>
        <v/>
      </c>
      <c r="F1613" s="19">
        <f>IF($A1613="","",E1613+$H1613-1)</f>
        <v/>
      </c>
      <c r="G1613" s="18" t="n"/>
      <c r="H1613" s="18">
        <f>IF($A1613="","",IF(I1613&lt;&gt;"",I1613,Paramètres!B47))</f>
        <v/>
      </c>
      <c r="I1613" s="18" t="n"/>
    </row>
    <row r="1614">
      <c r="A1614" s="18">
        <f>IF(ISNUMBER(Dossiers!$D$33),Dossiers!$A$33&amp;" · "&amp;Dossiers!$B$33,"")</f>
        <v/>
      </c>
      <c r="B1614" s="18">
        <f>IF($A1614="","",Paramètres!G48)</f>
        <v/>
      </c>
      <c r="C1614" s="18">
        <f>IF($A1614="","",IF(Paramètres!H48="","",Paramètres!H48))</f>
        <v/>
      </c>
      <c r="D1614" s="18">
        <f>IF($A1614="","",IF(Paramètres!I48="","",Paramètres!I48))</f>
        <v/>
      </c>
      <c r="E1614" s="19">
        <f>IF($A1614="","",IF(Paramètres!J48&amp;Paramètres!L48&amp;Paramètres!N48="",Dossiers!$D$33,MAX(IF(Paramètres!J48="",0,IF(Paramètres!K48="",NA(),IF(LEFT(TRIM(Paramètres!K48),1)="F",INDEX($F$1571:$F$1623,MATCH(Paramètres!J48,Paramètres!$G$5:$G$57,0)),INDEX($E$1571:$E$1623,MATCH(Paramètres!J48,Paramètres!$G$5:$G$57,0)))+IF(RIGHT(TRIM(Paramètres!K48),3)="Fin",1-$H1614,IF(LEFT(TRIM(Paramètres!K48),1)="F",1,0)))),IF(Paramètres!L48="",0,IF(Paramètres!M48="",NA(),IF(LEFT(TRIM(Paramètres!M48),1)="F",INDEX($F$1571:$F$1623,MATCH(Paramètres!L48,Paramètres!$G$5:$G$57,0)),INDEX($E$1571:$E$1623,MATCH(Paramètres!L48,Paramètres!$G$5:$G$57,0)))+IF(RIGHT(TRIM(Paramètres!M48),3)="Fin",1-$H1614,IF(LEFT(TRIM(Paramètres!M48),1)="F",1,0)))),IF(Paramètres!N48="",0,IF(Paramètres!O48="",NA(),IF(LEFT(TRIM(Paramètres!O48),1)="F",INDEX($F$1571:$F$1623,MATCH(Paramètres!N48,Paramètres!$G$5:$G$57,0)),INDEX($E$1571:$E$1623,MATCH(Paramètres!N48,Paramètres!$G$5:$G$57,0)))+IF(RIGHT(TRIM(Paramètres!O48),3)="Fin",1-$H1614,IF(LEFT(TRIM(Paramètres!O48),1)="F",1,0)))))))</f>
        <v/>
      </c>
      <c r="F1614" s="19">
        <f>IF($A1614="","",E1614+$H1614-1)</f>
        <v/>
      </c>
      <c r="G1614" s="18" t="n"/>
      <c r="H1614" s="18">
        <f>IF($A1614="","",IF(I1614&lt;&gt;"",I1614,Paramètres!B48))</f>
        <v/>
      </c>
      <c r="I1614" s="18" t="n"/>
    </row>
    <row r="1615">
      <c r="A1615" s="18">
        <f>IF(ISNUMBER(Dossiers!$D$33),Dossiers!$A$33&amp;" · "&amp;Dossiers!$B$33,"")</f>
        <v/>
      </c>
      <c r="B1615" s="18">
        <f>IF($A1615="","",Paramètres!G49)</f>
        <v/>
      </c>
      <c r="C1615" s="18">
        <f>IF($A1615="","",IF(Paramètres!H49="","",Paramètres!H49))</f>
        <v/>
      </c>
      <c r="D1615" s="18">
        <f>IF($A1615="","",IF(Paramètres!I49="","",Paramètres!I49))</f>
        <v/>
      </c>
      <c r="E1615" s="19">
        <f>IF($A1615="","",IF(Paramètres!J49&amp;Paramètres!L49&amp;Paramètres!N49="",Dossiers!$D$33,MAX(IF(Paramètres!J49="",0,IF(Paramètres!K49="",NA(),IF(LEFT(TRIM(Paramètres!K49),1)="F",INDEX($F$1571:$F$1623,MATCH(Paramètres!J49,Paramètres!$G$5:$G$57,0)),INDEX($E$1571:$E$1623,MATCH(Paramètres!J49,Paramètres!$G$5:$G$57,0)))+IF(RIGHT(TRIM(Paramètres!K49),3)="Fin",1-$H1615,IF(LEFT(TRIM(Paramètres!K49),1)="F",1,0)))),IF(Paramètres!L49="",0,IF(Paramètres!M49="",NA(),IF(LEFT(TRIM(Paramètres!M49),1)="F",INDEX($F$1571:$F$1623,MATCH(Paramètres!L49,Paramètres!$G$5:$G$57,0)),INDEX($E$1571:$E$1623,MATCH(Paramètres!L49,Paramètres!$G$5:$G$57,0)))+IF(RIGHT(TRIM(Paramètres!M49),3)="Fin",1-$H1615,IF(LEFT(TRIM(Paramètres!M49),1)="F",1,0)))),IF(Paramètres!N49="",0,IF(Paramètres!O49="",NA(),IF(LEFT(TRIM(Paramètres!O49),1)="F",INDEX($F$1571:$F$1623,MATCH(Paramètres!N49,Paramètres!$G$5:$G$57,0)),INDEX($E$1571:$E$1623,MATCH(Paramètres!N49,Paramètres!$G$5:$G$57,0)))+IF(RIGHT(TRIM(Paramètres!O49),3)="Fin",1-$H1615,IF(LEFT(TRIM(Paramètres!O49),1)="F",1,0)))))))</f>
        <v/>
      </c>
      <c r="F1615" s="19">
        <f>IF($A1615="","",E1615+$H1615-1)</f>
        <v/>
      </c>
      <c r="G1615" s="18" t="n"/>
      <c r="H1615" s="18">
        <f>IF($A1615="","",IF(I1615&lt;&gt;"",I1615,Paramètres!B49))</f>
        <v/>
      </c>
      <c r="I1615" s="18" t="n"/>
    </row>
    <row r="1616">
      <c r="A1616" s="18">
        <f>IF(ISNUMBER(Dossiers!$D$33),Dossiers!$A$33&amp;" · "&amp;Dossiers!$B$33,"")</f>
        <v/>
      </c>
      <c r="B1616" s="18">
        <f>IF($A1616="","",Paramètres!G50)</f>
        <v/>
      </c>
      <c r="C1616" s="18">
        <f>IF($A1616="","",IF(Paramètres!H50="","",Paramètres!H50))</f>
        <v/>
      </c>
      <c r="D1616" s="18">
        <f>IF($A1616="","",IF(Paramètres!I50="","",Paramètres!I50))</f>
        <v/>
      </c>
      <c r="E1616" s="19">
        <f>IF($A1616="","",IF(Paramètres!J50&amp;Paramètres!L50&amp;Paramètres!N50="",Dossiers!$D$33,MAX(IF(Paramètres!J50="",0,IF(Paramètres!K50="",NA(),IF(LEFT(TRIM(Paramètres!K50),1)="F",INDEX($F$1571:$F$1623,MATCH(Paramètres!J50,Paramètres!$G$5:$G$57,0)),INDEX($E$1571:$E$1623,MATCH(Paramètres!J50,Paramètres!$G$5:$G$57,0)))+IF(RIGHT(TRIM(Paramètres!K50),3)="Fin",1-$H1616,IF(LEFT(TRIM(Paramètres!K50),1)="F",1,0)))),IF(Paramètres!L50="",0,IF(Paramètres!M50="",NA(),IF(LEFT(TRIM(Paramètres!M50),1)="F",INDEX($F$1571:$F$1623,MATCH(Paramètres!L50,Paramètres!$G$5:$G$57,0)),INDEX($E$1571:$E$1623,MATCH(Paramètres!L50,Paramètres!$G$5:$G$57,0)))+IF(RIGHT(TRIM(Paramètres!M50),3)="Fin",1-$H1616,IF(LEFT(TRIM(Paramètres!M50),1)="F",1,0)))),IF(Paramètres!N50="",0,IF(Paramètres!O50="",NA(),IF(LEFT(TRIM(Paramètres!O50),1)="F",INDEX($F$1571:$F$1623,MATCH(Paramètres!N50,Paramètres!$G$5:$G$57,0)),INDEX($E$1571:$E$1623,MATCH(Paramètres!N50,Paramètres!$G$5:$G$57,0)))+IF(RIGHT(TRIM(Paramètres!O50),3)="Fin",1-$H1616,IF(LEFT(TRIM(Paramètres!O50),1)="F",1,0)))))))</f>
        <v/>
      </c>
      <c r="F1616" s="19">
        <f>IF($A1616="","",E1616+$H1616-1)</f>
        <v/>
      </c>
      <c r="G1616" s="18" t="n"/>
      <c r="H1616" s="18">
        <f>IF($A1616="","",IF(I1616&lt;&gt;"",I1616,Paramètres!B50))</f>
        <v/>
      </c>
      <c r="I1616" s="18" t="n"/>
    </row>
    <row r="1617">
      <c r="A1617" s="18">
        <f>IF(ISNUMBER(Dossiers!$D$33),Dossiers!$A$33&amp;" · "&amp;Dossiers!$B$33,"")</f>
        <v/>
      </c>
      <c r="B1617" s="18">
        <f>IF($A1617="","",Paramètres!G51)</f>
        <v/>
      </c>
      <c r="C1617" s="18">
        <f>IF($A1617="","",IF(Paramètres!H51="","",Paramètres!H51))</f>
        <v/>
      </c>
      <c r="D1617" s="18">
        <f>IF($A1617="","",IF(Paramètres!I51="","",Paramètres!I51))</f>
        <v/>
      </c>
      <c r="E1617" s="19">
        <f>IF($A1617="","",IF(Paramètres!J51&amp;Paramètres!L51&amp;Paramètres!N51="",Dossiers!$D$33,MAX(IF(Paramètres!J51="",0,IF(Paramètres!K51="",NA(),IF(LEFT(TRIM(Paramètres!K51),1)="F",INDEX($F$1571:$F$1623,MATCH(Paramètres!J51,Paramètres!$G$5:$G$57,0)),INDEX($E$1571:$E$1623,MATCH(Paramètres!J51,Paramètres!$G$5:$G$57,0)))+IF(RIGHT(TRIM(Paramètres!K51),3)="Fin",1-$H1617,IF(LEFT(TRIM(Paramètres!K51),1)="F",1,0)))),IF(Paramètres!L51="",0,IF(Paramètres!M51="",NA(),IF(LEFT(TRIM(Paramètres!M51),1)="F",INDEX($F$1571:$F$1623,MATCH(Paramètres!L51,Paramètres!$G$5:$G$57,0)),INDEX($E$1571:$E$1623,MATCH(Paramètres!L51,Paramètres!$G$5:$G$57,0)))+IF(RIGHT(TRIM(Paramètres!M51),3)="Fin",1-$H1617,IF(LEFT(TRIM(Paramètres!M51),1)="F",1,0)))),IF(Paramètres!N51="",0,IF(Paramètres!O51="",NA(),IF(LEFT(TRIM(Paramètres!O51),1)="F",INDEX($F$1571:$F$1623,MATCH(Paramètres!N51,Paramètres!$G$5:$G$57,0)),INDEX($E$1571:$E$1623,MATCH(Paramètres!N51,Paramètres!$G$5:$G$57,0)))+IF(RIGHT(TRIM(Paramètres!O51),3)="Fin",1-$H1617,IF(LEFT(TRIM(Paramètres!O51),1)="F",1,0)))))))</f>
        <v/>
      </c>
      <c r="F1617" s="19">
        <f>IF($A1617="","",E1617+$H1617-1)</f>
        <v/>
      </c>
      <c r="G1617" s="18" t="n"/>
      <c r="H1617" s="18">
        <f>IF($A1617="","",IF(I1617&lt;&gt;"",I1617,Paramètres!B51))</f>
        <v/>
      </c>
      <c r="I1617" s="18" t="n"/>
    </row>
    <row r="1618">
      <c r="A1618" s="18">
        <f>IF(ISNUMBER(Dossiers!$D$33),Dossiers!$A$33&amp;" · "&amp;Dossiers!$B$33,"")</f>
        <v/>
      </c>
      <c r="B1618" s="18">
        <f>IF($A1618="","",Paramètres!G52)</f>
        <v/>
      </c>
      <c r="C1618" s="18">
        <f>IF($A1618="","",IF(Paramètres!H52="","",Paramètres!H52))</f>
        <v/>
      </c>
      <c r="D1618" s="18">
        <f>IF($A1618="","",IF(Paramètres!I52="","",Paramètres!I52))</f>
        <v/>
      </c>
      <c r="E1618" s="19">
        <f>IF($A1618="","",IF(Paramètres!J52&amp;Paramètres!L52&amp;Paramètres!N52="",Dossiers!$D$33,MAX(IF(Paramètres!J52="",0,IF(Paramètres!K52="",NA(),IF(LEFT(TRIM(Paramètres!K52),1)="F",INDEX($F$1571:$F$1623,MATCH(Paramètres!J52,Paramètres!$G$5:$G$57,0)),INDEX($E$1571:$E$1623,MATCH(Paramètres!J52,Paramètres!$G$5:$G$57,0)))+IF(RIGHT(TRIM(Paramètres!K52),3)="Fin",1-$H1618,IF(LEFT(TRIM(Paramètres!K52),1)="F",1,0)))),IF(Paramètres!L52="",0,IF(Paramètres!M52="",NA(),IF(LEFT(TRIM(Paramètres!M52),1)="F",INDEX($F$1571:$F$1623,MATCH(Paramètres!L52,Paramètres!$G$5:$G$57,0)),INDEX($E$1571:$E$1623,MATCH(Paramètres!L52,Paramètres!$G$5:$G$57,0)))+IF(RIGHT(TRIM(Paramètres!M52),3)="Fin",1-$H1618,IF(LEFT(TRIM(Paramètres!M52),1)="F",1,0)))),IF(Paramètres!N52="",0,IF(Paramètres!O52="",NA(),IF(LEFT(TRIM(Paramètres!O52),1)="F",INDEX($F$1571:$F$1623,MATCH(Paramètres!N52,Paramètres!$G$5:$G$57,0)),INDEX($E$1571:$E$1623,MATCH(Paramètres!N52,Paramètres!$G$5:$G$57,0)))+IF(RIGHT(TRIM(Paramètres!O52),3)="Fin",1-$H1618,IF(LEFT(TRIM(Paramètres!O52),1)="F",1,0)))))))</f>
        <v/>
      </c>
      <c r="F1618" s="19">
        <f>IF($A1618="","",E1618+$H1618-1)</f>
        <v/>
      </c>
      <c r="G1618" s="18" t="n"/>
      <c r="H1618" s="18">
        <f>IF($A1618="","",IF(I1618&lt;&gt;"",I1618,Paramètres!B52))</f>
        <v/>
      </c>
      <c r="I1618" s="18" t="n"/>
    </row>
    <row r="1619">
      <c r="A1619" s="18">
        <f>IF(ISNUMBER(Dossiers!$D$33),Dossiers!$A$33&amp;" · "&amp;Dossiers!$B$33,"")</f>
        <v/>
      </c>
      <c r="B1619" s="18">
        <f>IF($A1619="","",Paramètres!G53)</f>
        <v/>
      </c>
      <c r="C1619" s="18">
        <f>IF($A1619="","",IF(Paramètres!H53="","",Paramètres!H53))</f>
        <v/>
      </c>
      <c r="D1619" s="18">
        <f>IF($A1619="","",IF(Paramètres!I53="","",Paramètres!I53))</f>
        <v/>
      </c>
      <c r="E1619" s="19">
        <f>IF($A1619="","",IF(Paramètres!J53&amp;Paramètres!L53&amp;Paramètres!N53="",Dossiers!$D$33,MAX(IF(Paramètres!J53="",0,IF(Paramètres!K53="",NA(),IF(LEFT(TRIM(Paramètres!K53),1)="F",INDEX($F$1571:$F$1623,MATCH(Paramètres!J53,Paramètres!$G$5:$G$57,0)),INDEX($E$1571:$E$1623,MATCH(Paramètres!J53,Paramètres!$G$5:$G$57,0)))+IF(RIGHT(TRIM(Paramètres!K53),3)="Fin",1-$H1619,IF(LEFT(TRIM(Paramètres!K53),1)="F",1,0)))),IF(Paramètres!L53="",0,IF(Paramètres!M53="",NA(),IF(LEFT(TRIM(Paramètres!M53),1)="F",INDEX($F$1571:$F$1623,MATCH(Paramètres!L53,Paramètres!$G$5:$G$57,0)),INDEX($E$1571:$E$1623,MATCH(Paramètres!L53,Paramètres!$G$5:$G$57,0)))+IF(RIGHT(TRIM(Paramètres!M53),3)="Fin",1-$H1619,IF(LEFT(TRIM(Paramètres!M53),1)="F",1,0)))),IF(Paramètres!N53="",0,IF(Paramètres!O53="",NA(),IF(LEFT(TRIM(Paramètres!O53),1)="F",INDEX($F$1571:$F$1623,MATCH(Paramètres!N53,Paramètres!$G$5:$G$57,0)),INDEX($E$1571:$E$1623,MATCH(Paramètres!N53,Paramètres!$G$5:$G$57,0)))+IF(RIGHT(TRIM(Paramètres!O53),3)="Fin",1-$H1619,IF(LEFT(TRIM(Paramètres!O53),1)="F",1,0)))))))</f>
        <v/>
      </c>
      <c r="F1619" s="19">
        <f>IF($A1619="","",E1619+$H1619-1)</f>
        <v/>
      </c>
      <c r="G1619" s="18" t="n"/>
      <c r="H1619" s="18">
        <f>IF($A1619="","",IF(I1619&lt;&gt;"",I1619,Paramètres!B53))</f>
        <v/>
      </c>
      <c r="I1619" s="18" t="n"/>
    </row>
    <row r="1620">
      <c r="A1620" s="18">
        <f>IF(ISNUMBER(Dossiers!$D$33),Dossiers!$A$33&amp;" · "&amp;Dossiers!$B$33,"")</f>
        <v/>
      </c>
      <c r="B1620" s="18">
        <f>IF($A1620="","",Paramètres!G54)</f>
        <v/>
      </c>
      <c r="C1620" s="18">
        <f>IF($A1620="","",IF(Paramètres!H54="","",Paramètres!H54))</f>
        <v/>
      </c>
      <c r="D1620" s="18">
        <f>IF($A1620="","",IF(Paramètres!I54="","",Paramètres!I54))</f>
        <v/>
      </c>
      <c r="E1620" s="19">
        <f>IF($A1620="","",IF(Paramètres!J54&amp;Paramètres!L54&amp;Paramètres!N54="",Dossiers!$D$33,MAX(IF(Paramètres!J54="",0,IF(Paramètres!K54="",NA(),IF(LEFT(TRIM(Paramètres!K54),1)="F",INDEX($F$1571:$F$1623,MATCH(Paramètres!J54,Paramètres!$G$5:$G$57,0)),INDEX($E$1571:$E$1623,MATCH(Paramètres!J54,Paramètres!$G$5:$G$57,0)))+IF(RIGHT(TRIM(Paramètres!K54),3)="Fin",1-$H1620,IF(LEFT(TRIM(Paramètres!K54),1)="F",1,0)))),IF(Paramètres!L54="",0,IF(Paramètres!M54="",NA(),IF(LEFT(TRIM(Paramètres!M54),1)="F",INDEX($F$1571:$F$1623,MATCH(Paramètres!L54,Paramètres!$G$5:$G$57,0)),INDEX($E$1571:$E$1623,MATCH(Paramètres!L54,Paramètres!$G$5:$G$57,0)))+IF(RIGHT(TRIM(Paramètres!M54),3)="Fin",1-$H1620,IF(LEFT(TRIM(Paramètres!M54),1)="F",1,0)))),IF(Paramètres!N54="",0,IF(Paramètres!O54="",NA(),IF(LEFT(TRIM(Paramètres!O54),1)="F",INDEX($F$1571:$F$1623,MATCH(Paramètres!N54,Paramètres!$G$5:$G$57,0)),INDEX($E$1571:$E$1623,MATCH(Paramètres!N54,Paramètres!$G$5:$G$57,0)))+IF(RIGHT(TRIM(Paramètres!O54),3)="Fin",1-$H1620,IF(LEFT(TRIM(Paramètres!O54),1)="F",1,0)))))))</f>
        <v/>
      </c>
      <c r="F1620" s="19">
        <f>IF($A1620="","",E1620+$H1620-1)</f>
        <v/>
      </c>
      <c r="G1620" s="18" t="n"/>
      <c r="H1620" s="18">
        <f>IF($A1620="","",IF(I1620&lt;&gt;"",I1620,Paramètres!B54))</f>
        <v/>
      </c>
      <c r="I1620" s="18" t="n"/>
    </row>
    <row r="1621">
      <c r="A1621" s="18">
        <f>IF(ISNUMBER(Dossiers!$D$33),Dossiers!$A$33&amp;" · "&amp;Dossiers!$B$33,"")</f>
        <v/>
      </c>
      <c r="B1621" s="18">
        <f>IF($A1621="","",Paramètres!G55)</f>
        <v/>
      </c>
      <c r="C1621" s="18">
        <f>IF($A1621="","",IF(Paramètres!H55="","",Paramètres!H55))</f>
        <v/>
      </c>
      <c r="D1621" s="18">
        <f>IF($A1621="","",IF(Paramètres!I55="","",Paramètres!I55))</f>
        <v/>
      </c>
      <c r="E1621" s="19">
        <f>IF($A1621="","",IF(Paramètres!J55&amp;Paramètres!L55&amp;Paramètres!N55="",Dossiers!$D$33,MAX(IF(Paramètres!J55="",0,IF(Paramètres!K55="",NA(),IF(LEFT(TRIM(Paramètres!K55),1)="F",INDEX($F$1571:$F$1623,MATCH(Paramètres!J55,Paramètres!$G$5:$G$57,0)),INDEX($E$1571:$E$1623,MATCH(Paramètres!J55,Paramètres!$G$5:$G$57,0)))+IF(RIGHT(TRIM(Paramètres!K55),3)="Fin",1-$H1621,IF(LEFT(TRIM(Paramètres!K55),1)="F",1,0)))),IF(Paramètres!L55="",0,IF(Paramètres!M55="",NA(),IF(LEFT(TRIM(Paramètres!M55),1)="F",INDEX($F$1571:$F$1623,MATCH(Paramètres!L55,Paramètres!$G$5:$G$57,0)),INDEX($E$1571:$E$1623,MATCH(Paramètres!L55,Paramètres!$G$5:$G$57,0)))+IF(RIGHT(TRIM(Paramètres!M55),3)="Fin",1-$H1621,IF(LEFT(TRIM(Paramètres!M55),1)="F",1,0)))),IF(Paramètres!N55="",0,IF(Paramètres!O55="",NA(),IF(LEFT(TRIM(Paramètres!O55),1)="F",INDEX($F$1571:$F$1623,MATCH(Paramètres!N55,Paramètres!$G$5:$G$57,0)),INDEX($E$1571:$E$1623,MATCH(Paramètres!N55,Paramètres!$G$5:$G$57,0)))+IF(RIGHT(TRIM(Paramètres!O55),3)="Fin",1-$H1621,IF(LEFT(TRIM(Paramètres!O55),1)="F",1,0)))))))</f>
        <v/>
      </c>
      <c r="F1621" s="19">
        <f>IF($A1621="","",E1621+$H1621-1)</f>
        <v/>
      </c>
      <c r="G1621" s="18" t="n"/>
      <c r="H1621" s="18">
        <f>IF($A1621="","",IF(I1621&lt;&gt;"",I1621,Paramètres!B55))</f>
        <v/>
      </c>
      <c r="I1621" s="18" t="n"/>
    </row>
    <row r="1622">
      <c r="A1622" s="18">
        <f>IF(ISNUMBER(Dossiers!$D$33),Dossiers!$A$33&amp;" · "&amp;Dossiers!$B$33,"")</f>
        <v/>
      </c>
      <c r="B1622" s="18">
        <f>IF($A1622="","",Paramètres!G56)</f>
        <v/>
      </c>
      <c r="C1622" s="18">
        <f>IF($A1622="","",IF(Paramètres!H56="","",Paramètres!H56))</f>
        <v/>
      </c>
      <c r="D1622" s="18">
        <f>IF($A1622="","",IF(Paramètres!I56="","",Paramètres!I56))</f>
        <v/>
      </c>
      <c r="E1622" s="19">
        <f>IF($A1622="","",MIN(E1623:E1623))</f>
        <v/>
      </c>
      <c r="F1622" s="19">
        <f>IF($A1622="","",MAX(F1623:F1623))</f>
        <v/>
      </c>
      <c r="G1622" s="18" t="n"/>
      <c r="H1622" s="18">
        <f>IF($A1622="","",F1622-E1622+1)</f>
        <v/>
      </c>
      <c r="I1622" s="18" t="n"/>
    </row>
    <row r="1623">
      <c r="A1623" s="18">
        <f>IF(ISNUMBER(Dossiers!$D$33),Dossiers!$A$33&amp;" · "&amp;Dossiers!$B$33,"")</f>
        <v/>
      </c>
      <c r="B1623" s="18">
        <f>IF($A1623="","",Paramètres!G57)</f>
        <v/>
      </c>
      <c r="C1623" s="18">
        <f>IF($A1623="","",IF(Paramètres!H57="","",Paramètres!H57))</f>
        <v/>
      </c>
      <c r="D1623" s="18">
        <f>IF($A1623="","",IF(Paramètres!I57="","",Paramètres!I57))</f>
        <v/>
      </c>
      <c r="E1623" s="19">
        <f>IF($A1623="","",IF(Paramètres!J57&amp;Paramètres!L57&amp;Paramètres!N57="",Dossiers!$D$33,MAX(IF(Paramètres!J57="",0,IF(Paramètres!K57="",NA(),IF(LEFT(TRIM(Paramètres!K57),1)="F",INDEX($F$1571:$F$1623,MATCH(Paramètres!J57,Paramètres!$G$5:$G$57,0)),INDEX($E$1571:$E$1623,MATCH(Paramètres!J57,Paramètres!$G$5:$G$57,0)))+IF(RIGHT(TRIM(Paramètres!K57),3)="Fin",1-$H1623,IF(LEFT(TRIM(Paramètres!K57),1)="F",1,0)))),IF(Paramètres!L57="",0,IF(Paramètres!M57="",NA(),IF(LEFT(TRIM(Paramètres!M57),1)="F",INDEX($F$1571:$F$1623,MATCH(Paramètres!L57,Paramètres!$G$5:$G$57,0)),INDEX($E$1571:$E$1623,MATCH(Paramètres!L57,Paramètres!$G$5:$G$57,0)))+IF(RIGHT(TRIM(Paramètres!M57),3)="Fin",1-$H1623,IF(LEFT(TRIM(Paramètres!M57),1)="F",1,0)))),IF(Paramètres!N57="",0,IF(Paramètres!O57="",NA(),IF(LEFT(TRIM(Paramètres!O57),1)="F",INDEX($F$1571:$F$1623,MATCH(Paramètres!N57,Paramètres!$G$5:$G$57,0)),INDEX($E$1571:$E$1623,MATCH(Paramètres!N57,Paramètres!$G$5:$G$57,0)))+IF(RIGHT(TRIM(Paramètres!O57),3)="Fin",1-$H1623,IF(LEFT(TRIM(Paramètres!O57),1)="F",1,0)))))))</f>
        <v/>
      </c>
      <c r="F1623" s="19">
        <f>IF($A1623="","",E1623+$H1623-1)</f>
        <v/>
      </c>
      <c r="G1623" s="18" t="n"/>
      <c r="H1623" s="18">
        <f>IF($A1623="","",IF(I1623&lt;&gt;"",I1623,Paramètres!B57))</f>
        <v/>
      </c>
      <c r="I1623" s="18" t="n"/>
    </row>
    <row r="1624">
      <c r="A1624" s="16">
        <f>IF(ISNUMBER(Dossiers!$D$34),Dossiers!$E$34,"")</f>
        <v/>
      </c>
      <c r="B1624" s="16">
        <f>IF($A1624="","","Identifiant")</f>
        <v/>
      </c>
      <c r="C1624" s="16">
        <f>IF($A1624="","","Macro Etape")</f>
        <v/>
      </c>
      <c r="D1624" s="16">
        <f>IF($A1624="","","Etape")</f>
        <v/>
      </c>
      <c r="E1624" s="17">
        <f>IF($A1624="","","Début le")</f>
        <v/>
      </c>
      <c r="F1624" s="17">
        <f>IF($A1624="","","Fin prévue le")</f>
        <v/>
      </c>
      <c r="G1624" s="16">
        <f>IF($A1624="","","Statut")</f>
        <v/>
      </c>
      <c r="H1624" s="16">
        <f>IF($A1624="","","Durée (jours)")</f>
        <v/>
      </c>
      <c r="I1624" s="16">
        <f>IF($A1624="","","Durée particulière")</f>
        <v/>
      </c>
      <c r="J1624" s="10">
        <f>IF($A1624="","",HYPERLINK("#'Tableau de bord'!A1","↑ Tableau de bord"))</f>
        <v/>
      </c>
    </row>
    <row r="1625">
      <c r="A1625" s="18">
        <f>IF(ISNUMBER(Dossiers!$D$34),Dossiers!$A$34&amp;" · "&amp;Dossiers!$B$34,"")</f>
        <v/>
      </c>
      <c r="B1625" s="18">
        <f>IF($A1625="","",Paramètres!G5)</f>
        <v/>
      </c>
      <c r="C1625" s="18">
        <f>IF($A1625="","",IF(Paramètres!H5="","",Paramètres!H5))</f>
        <v/>
      </c>
      <c r="D1625" s="18">
        <f>IF($A1625="","",IF(Paramètres!I5="","",Paramètres!I5))</f>
        <v/>
      </c>
      <c r="E1625" s="19">
        <f>IF($A1625="","",MIN(E1626:E1629))</f>
        <v/>
      </c>
      <c r="F1625" s="19">
        <f>IF($A1625="","",MAX(F1626:F1629))</f>
        <v/>
      </c>
      <c r="G1625" s="18" t="n"/>
      <c r="H1625" s="18">
        <f>IF($A1625="","",F1625-E1625+1)</f>
        <v/>
      </c>
      <c r="I1625" s="18" t="n"/>
    </row>
    <row r="1626">
      <c r="A1626" s="18">
        <f>IF(ISNUMBER(Dossiers!$D$34),Dossiers!$A$34&amp;" · "&amp;Dossiers!$B$34,"")</f>
        <v/>
      </c>
      <c r="B1626" s="18">
        <f>IF($A1626="","",Paramètres!G6)</f>
        <v/>
      </c>
      <c r="C1626" s="18">
        <f>IF($A1626="","",IF(Paramètres!H6="","",Paramètres!H6))</f>
        <v/>
      </c>
      <c r="D1626" s="18">
        <f>IF($A1626="","",IF(Paramètres!I6="","",Paramètres!I6))</f>
        <v/>
      </c>
      <c r="E1626" s="19">
        <f>IF($A1626="","",IF(Paramètres!J6&amp;Paramètres!L6&amp;Paramètres!N6="",Dossiers!$D$34,MAX(IF(Paramètres!J6="",0,IF(Paramètres!K6="",NA(),IF(LEFT(TRIM(Paramètres!K6),1)="F",INDEX($F$1625:$F$1677,MATCH(Paramètres!J6,Paramètres!$G$5:$G$57,0)),INDEX($E$1625:$E$1677,MATCH(Paramètres!J6,Paramètres!$G$5:$G$57,0)))+IF(RIGHT(TRIM(Paramètres!K6),3)="Fin",1-$H1626,IF(LEFT(TRIM(Paramètres!K6),1)="F",1,0)))),IF(Paramètres!L6="",0,IF(Paramètres!M6="",NA(),IF(LEFT(TRIM(Paramètres!M6),1)="F",INDEX($F$1625:$F$1677,MATCH(Paramètres!L6,Paramètres!$G$5:$G$57,0)),INDEX($E$1625:$E$1677,MATCH(Paramètres!L6,Paramètres!$G$5:$G$57,0)))+IF(RIGHT(TRIM(Paramètres!M6),3)="Fin",1-$H1626,IF(LEFT(TRIM(Paramètres!M6),1)="F",1,0)))),IF(Paramètres!N6="",0,IF(Paramètres!O6="",NA(),IF(LEFT(TRIM(Paramètres!O6),1)="F",INDEX($F$1625:$F$1677,MATCH(Paramètres!N6,Paramètres!$G$5:$G$57,0)),INDEX($E$1625:$E$1677,MATCH(Paramètres!N6,Paramètres!$G$5:$G$57,0)))+IF(RIGHT(TRIM(Paramètres!O6),3)="Fin",1-$H1626,IF(LEFT(TRIM(Paramètres!O6),1)="F",1,0)))))))</f>
        <v/>
      </c>
      <c r="F1626" s="19">
        <f>IF($A1626="","",E1626+$H1626-1)</f>
        <v/>
      </c>
      <c r="G1626" s="18" t="n"/>
      <c r="H1626" s="18">
        <f>IF($A1626="","",IF(I1626&lt;&gt;"",I1626,Paramètres!B6))</f>
        <v/>
      </c>
      <c r="I1626" s="18" t="n"/>
    </row>
    <row r="1627">
      <c r="A1627" s="18">
        <f>IF(ISNUMBER(Dossiers!$D$34),Dossiers!$A$34&amp;" · "&amp;Dossiers!$B$34,"")</f>
        <v/>
      </c>
      <c r="B1627" s="18">
        <f>IF($A1627="","",Paramètres!G7)</f>
        <v/>
      </c>
      <c r="C1627" s="18">
        <f>IF($A1627="","",IF(Paramètres!H7="","",Paramètres!H7))</f>
        <v/>
      </c>
      <c r="D1627" s="18">
        <f>IF($A1627="","",IF(Paramètres!I7="","",Paramètres!I7))</f>
        <v/>
      </c>
      <c r="E1627" s="19">
        <f>IF($A1627="","",IF(Paramètres!J7&amp;Paramètres!L7&amp;Paramètres!N7="",Dossiers!$D$34,MAX(IF(Paramètres!J7="",0,IF(Paramètres!K7="",NA(),IF(LEFT(TRIM(Paramètres!K7),1)="F",INDEX($F$1625:$F$1677,MATCH(Paramètres!J7,Paramètres!$G$5:$G$57,0)),INDEX($E$1625:$E$1677,MATCH(Paramètres!J7,Paramètres!$G$5:$G$57,0)))+IF(RIGHT(TRIM(Paramètres!K7),3)="Fin",1-$H1627,IF(LEFT(TRIM(Paramètres!K7),1)="F",1,0)))),IF(Paramètres!L7="",0,IF(Paramètres!M7="",NA(),IF(LEFT(TRIM(Paramètres!M7),1)="F",INDEX($F$1625:$F$1677,MATCH(Paramètres!L7,Paramètres!$G$5:$G$57,0)),INDEX($E$1625:$E$1677,MATCH(Paramètres!L7,Paramètres!$G$5:$G$57,0)))+IF(RIGHT(TRIM(Paramètres!M7),3)="Fin",1-$H1627,IF(LEFT(TRIM(Paramètres!M7),1)="F",1,0)))),IF(Paramètres!N7="",0,IF(Paramètres!O7="",NA(),IF(LEFT(TRIM(Paramètres!O7),1)="F",INDEX($F$1625:$F$1677,MATCH(Paramètres!N7,Paramètres!$G$5:$G$57,0)),INDEX($E$1625:$E$1677,MATCH(Paramètres!N7,Paramètres!$G$5:$G$57,0)))+IF(RIGHT(TRIM(Paramètres!O7),3)="Fin",1-$H1627,IF(LEFT(TRIM(Paramètres!O7),1)="F",1,0)))))))</f>
        <v/>
      </c>
      <c r="F1627" s="19">
        <f>IF($A1627="","",E1627+$H1627-1)</f>
        <v/>
      </c>
      <c r="G1627" s="18" t="n"/>
      <c r="H1627" s="18">
        <f>IF($A1627="","",IF(I1627&lt;&gt;"",I1627,Paramètres!B7))</f>
        <v/>
      </c>
      <c r="I1627" s="18" t="n"/>
    </row>
    <row r="1628">
      <c r="A1628" s="18">
        <f>IF(ISNUMBER(Dossiers!$D$34),Dossiers!$A$34&amp;" · "&amp;Dossiers!$B$34,"")</f>
        <v/>
      </c>
      <c r="B1628" s="18">
        <f>IF($A1628="","",Paramètres!G8)</f>
        <v/>
      </c>
      <c r="C1628" s="18">
        <f>IF($A1628="","",IF(Paramètres!H8="","",Paramètres!H8))</f>
        <v/>
      </c>
      <c r="D1628" s="18">
        <f>IF($A1628="","",IF(Paramètres!I8="","",Paramètres!I8))</f>
        <v/>
      </c>
      <c r="E1628" s="19">
        <f>IF($A1628="","",IF(Paramètres!J8&amp;Paramètres!L8&amp;Paramètres!N8="",Dossiers!$D$34,MAX(IF(Paramètres!J8="",0,IF(Paramètres!K8="",NA(),IF(LEFT(TRIM(Paramètres!K8),1)="F",INDEX($F$1625:$F$1677,MATCH(Paramètres!J8,Paramètres!$G$5:$G$57,0)),INDEX($E$1625:$E$1677,MATCH(Paramètres!J8,Paramètres!$G$5:$G$57,0)))+IF(RIGHT(TRIM(Paramètres!K8),3)="Fin",1-$H1628,IF(LEFT(TRIM(Paramètres!K8),1)="F",1,0)))),IF(Paramètres!L8="",0,IF(Paramètres!M8="",NA(),IF(LEFT(TRIM(Paramètres!M8),1)="F",INDEX($F$1625:$F$1677,MATCH(Paramètres!L8,Paramètres!$G$5:$G$57,0)),INDEX($E$1625:$E$1677,MATCH(Paramètres!L8,Paramètres!$G$5:$G$57,0)))+IF(RIGHT(TRIM(Paramètres!M8),3)="Fin",1-$H1628,IF(LEFT(TRIM(Paramètres!M8),1)="F",1,0)))),IF(Paramètres!N8="",0,IF(Paramètres!O8="",NA(),IF(LEFT(TRIM(Paramètres!O8),1)="F",INDEX($F$1625:$F$1677,MATCH(Paramètres!N8,Paramètres!$G$5:$G$57,0)),INDEX($E$1625:$E$1677,MATCH(Paramètres!N8,Paramètres!$G$5:$G$57,0)))+IF(RIGHT(TRIM(Paramètres!O8),3)="Fin",1-$H1628,IF(LEFT(TRIM(Paramètres!O8),1)="F",1,0)))))))</f>
        <v/>
      </c>
      <c r="F1628" s="19">
        <f>IF($A1628="","",E1628+$H1628-1)</f>
        <v/>
      </c>
      <c r="G1628" s="18" t="n"/>
      <c r="H1628" s="18">
        <f>IF($A1628="","",IF(I1628&lt;&gt;"",I1628,Paramètres!B8))</f>
        <v/>
      </c>
      <c r="I1628" s="18" t="n"/>
    </row>
    <row r="1629">
      <c r="A1629" s="18">
        <f>IF(ISNUMBER(Dossiers!$D$34),Dossiers!$A$34&amp;" · "&amp;Dossiers!$B$34,"")</f>
        <v/>
      </c>
      <c r="B1629" s="18">
        <f>IF($A1629="","",Paramètres!G9)</f>
        <v/>
      </c>
      <c r="C1629" s="18">
        <f>IF($A1629="","",IF(Paramètres!H9="","",Paramètres!H9))</f>
        <v/>
      </c>
      <c r="D1629" s="18">
        <f>IF($A1629="","",IF(Paramètres!I9="","",Paramètres!I9))</f>
        <v/>
      </c>
      <c r="E1629" s="19">
        <f>IF($A1629="","",IF(Paramètres!J9&amp;Paramètres!L9&amp;Paramètres!N9="",Dossiers!$D$34,MAX(IF(Paramètres!J9="",0,IF(Paramètres!K9="",NA(),IF(LEFT(TRIM(Paramètres!K9),1)="F",INDEX($F$1625:$F$1677,MATCH(Paramètres!J9,Paramètres!$G$5:$G$57,0)),INDEX($E$1625:$E$1677,MATCH(Paramètres!J9,Paramètres!$G$5:$G$57,0)))+IF(RIGHT(TRIM(Paramètres!K9),3)="Fin",1-$H1629,IF(LEFT(TRIM(Paramètres!K9),1)="F",1,0)))),IF(Paramètres!L9="",0,IF(Paramètres!M9="",NA(),IF(LEFT(TRIM(Paramètres!M9),1)="F",INDEX($F$1625:$F$1677,MATCH(Paramètres!L9,Paramètres!$G$5:$G$57,0)),INDEX($E$1625:$E$1677,MATCH(Paramètres!L9,Paramètres!$G$5:$G$57,0)))+IF(RIGHT(TRIM(Paramètres!M9),3)="Fin",1-$H1629,IF(LEFT(TRIM(Paramètres!M9),1)="F",1,0)))),IF(Paramètres!N9="",0,IF(Paramètres!O9="",NA(),IF(LEFT(TRIM(Paramètres!O9),1)="F",INDEX($F$1625:$F$1677,MATCH(Paramètres!N9,Paramètres!$G$5:$G$57,0)),INDEX($E$1625:$E$1677,MATCH(Paramètres!N9,Paramètres!$G$5:$G$57,0)))+IF(RIGHT(TRIM(Paramètres!O9),3)="Fin",1-$H1629,IF(LEFT(TRIM(Paramètres!O9),1)="F",1,0)))))))</f>
        <v/>
      </c>
      <c r="F1629" s="19">
        <f>IF($A1629="","",E1629+$H1629-1)</f>
        <v/>
      </c>
      <c r="G1629" s="18" t="n"/>
      <c r="H1629" s="18">
        <f>IF($A1629="","",IF(I1629&lt;&gt;"",I1629,Paramètres!B9))</f>
        <v/>
      </c>
      <c r="I1629" s="18" t="n"/>
    </row>
    <row r="1630">
      <c r="A1630" s="18">
        <f>IF(ISNUMBER(Dossiers!$D$34),Dossiers!$A$34&amp;" · "&amp;Dossiers!$B$34,"")</f>
        <v/>
      </c>
      <c r="B1630" s="18">
        <f>IF($A1630="","",Paramètres!G10)</f>
        <v/>
      </c>
      <c r="C1630" s="18">
        <f>IF($A1630="","",IF(Paramètres!H10="","",Paramètres!H10))</f>
        <v/>
      </c>
      <c r="D1630" s="18">
        <f>IF($A1630="","",IF(Paramètres!I10="","",Paramètres!I10))</f>
        <v/>
      </c>
      <c r="E1630" s="19">
        <f>IF($A1630="","",MIN(E1631:E1634))</f>
        <v/>
      </c>
      <c r="F1630" s="19">
        <f>IF($A1630="","",MAX(F1631:F1634))</f>
        <v/>
      </c>
      <c r="G1630" s="18" t="n"/>
      <c r="H1630" s="18">
        <f>IF($A1630="","",F1630-E1630+1)</f>
        <v/>
      </c>
      <c r="I1630" s="18" t="n"/>
    </row>
    <row r="1631">
      <c r="A1631" s="18">
        <f>IF(ISNUMBER(Dossiers!$D$34),Dossiers!$A$34&amp;" · "&amp;Dossiers!$B$34,"")</f>
        <v/>
      </c>
      <c r="B1631" s="18">
        <f>IF($A1631="","",Paramètres!G11)</f>
        <v/>
      </c>
      <c r="C1631" s="18">
        <f>IF($A1631="","",IF(Paramètres!H11="","",Paramètres!H11))</f>
        <v/>
      </c>
      <c r="D1631" s="18">
        <f>IF($A1631="","",IF(Paramètres!I11="","",Paramètres!I11))</f>
        <v/>
      </c>
      <c r="E1631" s="19">
        <f>IF($A1631="","",IF(Paramètres!J11&amp;Paramètres!L11&amp;Paramètres!N11="",Dossiers!$D$34,MAX(IF(Paramètres!J11="",0,IF(Paramètres!K11="",NA(),IF(LEFT(TRIM(Paramètres!K11),1)="F",INDEX($F$1625:$F$1677,MATCH(Paramètres!J11,Paramètres!$G$5:$G$57,0)),INDEX($E$1625:$E$1677,MATCH(Paramètres!J11,Paramètres!$G$5:$G$57,0)))+IF(RIGHT(TRIM(Paramètres!K11),3)="Fin",1-$H1631,IF(LEFT(TRIM(Paramètres!K11),1)="F",1,0)))),IF(Paramètres!L11="",0,IF(Paramètres!M11="",NA(),IF(LEFT(TRIM(Paramètres!M11),1)="F",INDEX($F$1625:$F$1677,MATCH(Paramètres!L11,Paramètres!$G$5:$G$57,0)),INDEX($E$1625:$E$1677,MATCH(Paramètres!L11,Paramètres!$G$5:$G$57,0)))+IF(RIGHT(TRIM(Paramètres!M11),3)="Fin",1-$H1631,IF(LEFT(TRIM(Paramètres!M11),1)="F",1,0)))),IF(Paramètres!N11="",0,IF(Paramètres!O11="",NA(),IF(LEFT(TRIM(Paramètres!O11),1)="F",INDEX($F$1625:$F$1677,MATCH(Paramètres!N11,Paramètres!$G$5:$G$57,0)),INDEX($E$1625:$E$1677,MATCH(Paramètres!N11,Paramètres!$G$5:$G$57,0)))+IF(RIGHT(TRIM(Paramètres!O11),3)="Fin",1-$H1631,IF(LEFT(TRIM(Paramètres!O11),1)="F",1,0)))))))</f>
        <v/>
      </c>
      <c r="F1631" s="19">
        <f>IF($A1631="","",E1631+$H1631-1)</f>
        <v/>
      </c>
      <c r="G1631" s="18" t="n"/>
      <c r="H1631" s="18">
        <f>IF($A1631="","",IF(I1631&lt;&gt;"",I1631,Paramètres!B11))</f>
        <v/>
      </c>
      <c r="I1631" s="18" t="n"/>
    </row>
    <row r="1632">
      <c r="A1632" s="18">
        <f>IF(ISNUMBER(Dossiers!$D$34),Dossiers!$A$34&amp;" · "&amp;Dossiers!$B$34,"")</f>
        <v/>
      </c>
      <c r="B1632" s="18">
        <f>IF($A1632="","",Paramètres!G12)</f>
        <v/>
      </c>
      <c r="C1632" s="18">
        <f>IF($A1632="","",IF(Paramètres!H12="","",Paramètres!H12))</f>
        <v/>
      </c>
      <c r="D1632" s="18">
        <f>IF($A1632="","",IF(Paramètres!I12="","",Paramètres!I12))</f>
        <v/>
      </c>
      <c r="E1632" s="19">
        <f>IF($A1632="","",IF(Paramètres!J12&amp;Paramètres!L12&amp;Paramètres!N12="",Dossiers!$D$34,MAX(IF(Paramètres!J12="",0,IF(Paramètres!K12="",NA(),IF(LEFT(TRIM(Paramètres!K12),1)="F",INDEX($F$1625:$F$1677,MATCH(Paramètres!J12,Paramètres!$G$5:$G$57,0)),INDEX($E$1625:$E$1677,MATCH(Paramètres!J12,Paramètres!$G$5:$G$57,0)))+IF(RIGHT(TRIM(Paramètres!K12),3)="Fin",1-$H1632,IF(LEFT(TRIM(Paramètres!K12),1)="F",1,0)))),IF(Paramètres!L12="",0,IF(Paramètres!M12="",NA(),IF(LEFT(TRIM(Paramètres!M12),1)="F",INDEX($F$1625:$F$1677,MATCH(Paramètres!L12,Paramètres!$G$5:$G$57,0)),INDEX($E$1625:$E$1677,MATCH(Paramètres!L12,Paramètres!$G$5:$G$57,0)))+IF(RIGHT(TRIM(Paramètres!M12),3)="Fin",1-$H1632,IF(LEFT(TRIM(Paramètres!M12),1)="F",1,0)))),IF(Paramètres!N12="",0,IF(Paramètres!O12="",NA(),IF(LEFT(TRIM(Paramètres!O12),1)="F",INDEX($F$1625:$F$1677,MATCH(Paramètres!N12,Paramètres!$G$5:$G$57,0)),INDEX($E$1625:$E$1677,MATCH(Paramètres!N12,Paramètres!$G$5:$G$57,0)))+IF(RIGHT(TRIM(Paramètres!O12),3)="Fin",1-$H1632,IF(LEFT(TRIM(Paramètres!O12),1)="F",1,0)))))))</f>
        <v/>
      </c>
      <c r="F1632" s="19">
        <f>IF($A1632="","",E1632+$H1632-1)</f>
        <v/>
      </c>
      <c r="G1632" s="18" t="n"/>
      <c r="H1632" s="18">
        <f>IF($A1632="","",IF(I1632&lt;&gt;"",I1632,Paramètres!B12))</f>
        <v/>
      </c>
      <c r="I1632" s="18" t="n"/>
    </row>
    <row r="1633">
      <c r="A1633" s="18">
        <f>IF(ISNUMBER(Dossiers!$D$34),Dossiers!$A$34&amp;" · "&amp;Dossiers!$B$34,"")</f>
        <v/>
      </c>
      <c r="B1633" s="18">
        <f>IF($A1633="","",Paramètres!G13)</f>
        <v/>
      </c>
      <c r="C1633" s="18">
        <f>IF($A1633="","",IF(Paramètres!H13="","",Paramètres!H13))</f>
        <v/>
      </c>
      <c r="D1633" s="18">
        <f>IF($A1633="","",IF(Paramètres!I13="","",Paramètres!I13))</f>
        <v/>
      </c>
      <c r="E1633" s="19">
        <f>IF($A1633="","",IF(Paramètres!J13&amp;Paramètres!L13&amp;Paramètres!N13="",Dossiers!$D$34,MAX(IF(Paramètres!J13="",0,IF(Paramètres!K13="",NA(),IF(LEFT(TRIM(Paramètres!K13),1)="F",INDEX($F$1625:$F$1677,MATCH(Paramètres!J13,Paramètres!$G$5:$G$57,0)),INDEX($E$1625:$E$1677,MATCH(Paramètres!J13,Paramètres!$G$5:$G$57,0)))+IF(RIGHT(TRIM(Paramètres!K13),3)="Fin",1-$H1633,IF(LEFT(TRIM(Paramètres!K13),1)="F",1,0)))),IF(Paramètres!L13="",0,IF(Paramètres!M13="",NA(),IF(LEFT(TRIM(Paramètres!M13),1)="F",INDEX($F$1625:$F$1677,MATCH(Paramètres!L13,Paramètres!$G$5:$G$57,0)),INDEX($E$1625:$E$1677,MATCH(Paramètres!L13,Paramètres!$G$5:$G$57,0)))+IF(RIGHT(TRIM(Paramètres!M13),3)="Fin",1-$H1633,IF(LEFT(TRIM(Paramètres!M13),1)="F",1,0)))),IF(Paramètres!N13="",0,IF(Paramètres!O13="",NA(),IF(LEFT(TRIM(Paramètres!O13),1)="F",INDEX($F$1625:$F$1677,MATCH(Paramètres!N13,Paramètres!$G$5:$G$57,0)),INDEX($E$1625:$E$1677,MATCH(Paramètres!N13,Paramètres!$G$5:$G$57,0)))+IF(RIGHT(TRIM(Paramètres!O13),3)="Fin",1-$H1633,IF(LEFT(TRIM(Paramètres!O13),1)="F",1,0)))))))</f>
        <v/>
      </c>
      <c r="F1633" s="19">
        <f>IF($A1633="","",E1633+$H1633-1)</f>
        <v/>
      </c>
      <c r="G1633" s="18" t="n"/>
      <c r="H1633" s="18">
        <f>IF($A1633="","",IF(I1633&lt;&gt;"",I1633,Paramètres!B13))</f>
        <v/>
      </c>
      <c r="I1633" s="18" t="n"/>
    </row>
    <row r="1634">
      <c r="A1634" s="18">
        <f>IF(ISNUMBER(Dossiers!$D$34),Dossiers!$A$34&amp;" · "&amp;Dossiers!$B$34,"")</f>
        <v/>
      </c>
      <c r="B1634" s="18">
        <f>IF($A1634="","",Paramètres!G14)</f>
        <v/>
      </c>
      <c r="C1634" s="18">
        <f>IF($A1634="","",IF(Paramètres!H14="","",Paramètres!H14))</f>
        <v/>
      </c>
      <c r="D1634" s="18">
        <f>IF($A1634="","",IF(Paramètres!I14="","",Paramètres!I14))</f>
        <v/>
      </c>
      <c r="E1634" s="19">
        <f>IF($A1634="","",IF(Paramètres!J14&amp;Paramètres!L14&amp;Paramètres!N14="",Dossiers!$D$34,MAX(IF(Paramètres!J14="",0,IF(Paramètres!K14="",NA(),IF(LEFT(TRIM(Paramètres!K14),1)="F",INDEX($F$1625:$F$1677,MATCH(Paramètres!J14,Paramètres!$G$5:$G$57,0)),INDEX($E$1625:$E$1677,MATCH(Paramètres!J14,Paramètres!$G$5:$G$57,0)))+IF(RIGHT(TRIM(Paramètres!K14),3)="Fin",1-$H1634,IF(LEFT(TRIM(Paramètres!K14),1)="F",1,0)))),IF(Paramètres!L14="",0,IF(Paramètres!M14="",NA(),IF(LEFT(TRIM(Paramètres!M14),1)="F",INDEX($F$1625:$F$1677,MATCH(Paramètres!L14,Paramètres!$G$5:$G$57,0)),INDEX($E$1625:$E$1677,MATCH(Paramètres!L14,Paramètres!$G$5:$G$57,0)))+IF(RIGHT(TRIM(Paramètres!M14),3)="Fin",1-$H1634,IF(LEFT(TRIM(Paramètres!M14),1)="F",1,0)))),IF(Paramètres!N14="",0,IF(Paramètres!O14="",NA(),IF(LEFT(TRIM(Paramètres!O14),1)="F",INDEX($F$1625:$F$1677,MATCH(Paramètres!N14,Paramètres!$G$5:$G$57,0)),INDEX($E$1625:$E$1677,MATCH(Paramètres!N14,Paramètres!$G$5:$G$57,0)))+IF(RIGHT(TRIM(Paramètres!O14),3)="Fin",1-$H1634,IF(LEFT(TRIM(Paramètres!O14),1)="F",1,0)))))))</f>
        <v/>
      </c>
      <c r="F1634" s="19">
        <f>IF($A1634="","",E1634+$H1634-1)</f>
        <v/>
      </c>
      <c r="G1634" s="18" t="n"/>
      <c r="H1634" s="18">
        <f>IF($A1634="","",IF(I1634&lt;&gt;"",I1634,Paramètres!B14))</f>
        <v/>
      </c>
      <c r="I1634" s="18" t="n"/>
    </row>
    <row r="1635">
      <c r="A1635" s="18">
        <f>IF(ISNUMBER(Dossiers!$D$34),Dossiers!$A$34&amp;" · "&amp;Dossiers!$B$34,"")</f>
        <v/>
      </c>
      <c r="B1635" s="18">
        <f>IF($A1635="","",Paramètres!G15)</f>
        <v/>
      </c>
      <c r="C1635" s="18">
        <f>IF($A1635="","",IF(Paramètres!H15="","",Paramètres!H15))</f>
        <v/>
      </c>
      <c r="D1635" s="18">
        <f>IF($A1635="","",IF(Paramètres!I15="","",Paramètres!I15))</f>
        <v/>
      </c>
      <c r="E1635" s="19">
        <f>IF($A1635="","",MIN(E1636:E1651))</f>
        <v/>
      </c>
      <c r="F1635" s="19">
        <f>IF($A1635="","",MAX(F1636:F1651))</f>
        <v/>
      </c>
      <c r="G1635" s="18" t="n"/>
      <c r="H1635" s="18">
        <f>IF($A1635="","",F1635-E1635+1)</f>
        <v/>
      </c>
      <c r="I1635" s="18" t="n"/>
    </row>
    <row r="1636">
      <c r="A1636" s="18">
        <f>IF(ISNUMBER(Dossiers!$D$34),Dossiers!$A$34&amp;" · "&amp;Dossiers!$B$34,"")</f>
        <v/>
      </c>
      <c r="B1636" s="18">
        <f>IF($A1636="","",Paramètres!G16)</f>
        <v/>
      </c>
      <c r="C1636" s="18">
        <f>IF($A1636="","",IF(Paramètres!H16="","",Paramètres!H16))</f>
        <v/>
      </c>
      <c r="D1636" s="18">
        <f>IF($A1636="","",IF(Paramètres!I16="","",Paramètres!I16))</f>
        <v/>
      </c>
      <c r="E1636" s="19">
        <f>IF($A1636="","",IF(Paramètres!J16&amp;Paramètres!L16&amp;Paramètres!N16="",Dossiers!$D$34,MAX(IF(Paramètres!J16="",0,IF(Paramètres!K16="",NA(),IF(LEFT(TRIM(Paramètres!K16),1)="F",INDEX($F$1625:$F$1677,MATCH(Paramètres!J16,Paramètres!$G$5:$G$57,0)),INDEX($E$1625:$E$1677,MATCH(Paramètres!J16,Paramètres!$G$5:$G$57,0)))+IF(RIGHT(TRIM(Paramètres!K16),3)="Fin",1-$H1636,IF(LEFT(TRIM(Paramètres!K16),1)="F",1,0)))),IF(Paramètres!L16="",0,IF(Paramètres!M16="",NA(),IF(LEFT(TRIM(Paramètres!M16),1)="F",INDEX($F$1625:$F$1677,MATCH(Paramètres!L16,Paramètres!$G$5:$G$57,0)),INDEX($E$1625:$E$1677,MATCH(Paramètres!L16,Paramètres!$G$5:$G$57,0)))+IF(RIGHT(TRIM(Paramètres!M16),3)="Fin",1-$H1636,IF(LEFT(TRIM(Paramètres!M16),1)="F",1,0)))),IF(Paramètres!N16="",0,IF(Paramètres!O16="",NA(),IF(LEFT(TRIM(Paramètres!O16),1)="F",INDEX($F$1625:$F$1677,MATCH(Paramètres!N16,Paramètres!$G$5:$G$57,0)),INDEX($E$1625:$E$1677,MATCH(Paramètres!N16,Paramètres!$G$5:$G$57,0)))+IF(RIGHT(TRIM(Paramètres!O16),3)="Fin",1-$H1636,IF(LEFT(TRIM(Paramètres!O16),1)="F",1,0)))))))</f>
        <v/>
      </c>
      <c r="F1636" s="19">
        <f>IF($A1636="","",E1636+$H1636-1)</f>
        <v/>
      </c>
      <c r="G1636" s="18" t="n"/>
      <c r="H1636" s="18">
        <f>IF($A1636="","",IF(I1636&lt;&gt;"",I1636,Paramètres!B16))</f>
        <v/>
      </c>
      <c r="I1636" s="18" t="n"/>
    </row>
    <row r="1637">
      <c r="A1637" s="18">
        <f>IF(ISNUMBER(Dossiers!$D$34),Dossiers!$A$34&amp;" · "&amp;Dossiers!$B$34,"")</f>
        <v/>
      </c>
      <c r="B1637" s="18">
        <f>IF($A1637="","",Paramètres!G17)</f>
        <v/>
      </c>
      <c r="C1637" s="18">
        <f>IF($A1637="","",IF(Paramètres!H17="","",Paramètres!H17))</f>
        <v/>
      </c>
      <c r="D1637" s="18">
        <f>IF($A1637="","",IF(Paramètres!I17="","",Paramètres!I17))</f>
        <v/>
      </c>
      <c r="E1637" s="19">
        <f>IF($A1637="","",IF(Paramètres!J17&amp;Paramètres!L17&amp;Paramètres!N17="",Dossiers!$D$34,MAX(IF(Paramètres!J17="",0,IF(Paramètres!K17="",NA(),IF(LEFT(TRIM(Paramètres!K17),1)="F",INDEX($F$1625:$F$1677,MATCH(Paramètres!J17,Paramètres!$G$5:$G$57,0)),INDEX($E$1625:$E$1677,MATCH(Paramètres!J17,Paramètres!$G$5:$G$57,0)))+IF(RIGHT(TRIM(Paramètres!K17),3)="Fin",1-$H1637,IF(LEFT(TRIM(Paramètres!K17),1)="F",1,0)))),IF(Paramètres!L17="",0,IF(Paramètres!M17="",NA(),IF(LEFT(TRIM(Paramètres!M17),1)="F",INDEX($F$1625:$F$1677,MATCH(Paramètres!L17,Paramètres!$G$5:$G$57,0)),INDEX($E$1625:$E$1677,MATCH(Paramètres!L17,Paramètres!$G$5:$G$57,0)))+IF(RIGHT(TRIM(Paramètres!M17),3)="Fin",1-$H1637,IF(LEFT(TRIM(Paramètres!M17),1)="F",1,0)))),IF(Paramètres!N17="",0,IF(Paramètres!O17="",NA(),IF(LEFT(TRIM(Paramètres!O17),1)="F",INDEX($F$1625:$F$1677,MATCH(Paramètres!N17,Paramètres!$G$5:$G$57,0)),INDEX($E$1625:$E$1677,MATCH(Paramètres!N17,Paramètres!$G$5:$G$57,0)))+IF(RIGHT(TRIM(Paramètres!O17),3)="Fin",1-$H1637,IF(LEFT(TRIM(Paramètres!O17),1)="F",1,0)))))))</f>
        <v/>
      </c>
      <c r="F1637" s="19">
        <f>IF($A1637="","",E1637+$H1637-1)</f>
        <v/>
      </c>
      <c r="G1637" s="18" t="n"/>
      <c r="H1637" s="18">
        <f>IF($A1637="","",IF(I1637&lt;&gt;"",I1637,Paramètres!B17))</f>
        <v/>
      </c>
      <c r="I1637" s="18" t="n"/>
    </row>
    <row r="1638">
      <c r="A1638" s="18">
        <f>IF(ISNUMBER(Dossiers!$D$34),Dossiers!$A$34&amp;" · "&amp;Dossiers!$B$34,"")</f>
        <v/>
      </c>
      <c r="B1638" s="18">
        <f>IF($A1638="","",Paramètres!G18)</f>
        <v/>
      </c>
      <c r="C1638" s="18">
        <f>IF($A1638="","",IF(Paramètres!H18="","",Paramètres!H18))</f>
        <v/>
      </c>
      <c r="D1638" s="18">
        <f>IF($A1638="","",IF(Paramètres!I18="","",Paramètres!I18))</f>
        <v/>
      </c>
      <c r="E1638" s="19">
        <f>IF($A1638="","",IF(Paramètres!J18&amp;Paramètres!L18&amp;Paramètres!N18="",Dossiers!$D$34,MAX(IF(Paramètres!J18="",0,IF(Paramètres!K18="",NA(),IF(LEFT(TRIM(Paramètres!K18),1)="F",INDEX($F$1625:$F$1677,MATCH(Paramètres!J18,Paramètres!$G$5:$G$57,0)),INDEX($E$1625:$E$1677,MATCH(Paramètres!J18,Paramètres!$G$5:$G$57,0)))+IF(RIGHT(TRIM(Paramètres!K18),3)="Fin",1-$H1638,IF(LEFT(TRIM(Paramètres!K18),1)="F",1,0)))),IF(Paramètres!L18="",0,IF(Paramètres!M18="",NA(),IF(LEFT(TRIM(Paramètres!M18),1)="F",INDEX($F$1625:$F$1677,MATCH(Paramètres!L18,Paramètres!$G$5:$G$57,0)),INDEX($E$1625:$E$1677,MATCH(Paramètres!L18,Paramètres!$G$5:$G$57,0)))+IF(RIGHT(TRIM(Paramètres!M18),3)="Fin",1-$H1638,IF(LEFT(TRIM(Paramètres!M18),1)="F",1,0)))),IF(Paramètres!N18="",0,IF(Paramètres!O18="",NA(),IF(LEFT(TRIM(Paramètres!O18),1)="F",INDEX($F$1625:$F$1677,MATCH(Paramètres!N18,Paramètres!$G$5:$G$57,0)),INDEX($E$1625:$E$1677,MATCH(Paramètres!N18,Paramètres!$G$5:$G$57,0)))+IF(RIGHT(TRIM(Paramètres!O18),3)="Fin",1-$H1638,IF(LEFT(TRIM(Paramètres!O18),1)="F",1,0)))))))</f>
        <v/>
      </c>
      <c r="F1638" s="19">
        <f>IF($A1638="","",E1638+$H1638-1)</f>
        <v/>
      </c>
      <c r="G1638" s="18" t="n"/>
      <c r="H1638" s="18">
        <f>IF($A1638="","",IF(I1638&lt;&gt;"",I1638,Paramètres!B18))</f>
        <v/>
      </c>
      <c r="I1638" s="18" t="n"/>
    </row>
    <row r="1639">
      <c r="A1639" s="18">
        <f>IF(ISNUMBER(Dossiers!$D$34),Dossiers!$A$34&amp;" · "&amp;Dossiers!$B$34,"")</f>
        <v/>
      </c>
      <c r="B1639" s="18">
        <f>IF($A1639="","",Paramètres!G19)</f>
        <v/>
      </c>
      <c r="C1639" s="18">
        <f>IF($A1639="","",IF(Paramètres!H19="","",Paramètres!H19))</f>
        <v/>
      </c>
      <c r="D1639" s="18">
        <f>IF($A1639="","",IF(Paramètres!I19="","",Paramètres!I19))</f>
        <v/>
      </c>
      <c r="E1639" s="19">
        <f>IF($A1639="","",IF(Paramètres!J19&amp;Paramètres!L19&amp;Paramètres!N19="",Dossiers!$D$34,MAX(IF(Paramètres!J19="",0,IF(Paramètres!K19="",NA(),IF(LEFT(TRIM(Paramètres!K19),1)="F",INDEX($F$1625:$F$1677,MATCH(Paramètres!J19,Paramètres!$G$5:$G$57,0)),INDEX($E$1625:$E$1677,MATCH(Paramètres!J19,Paramètres!$G$5:$G$57,0)))+IF(RIGHT(TRIM(Paramètres!K19),3)="Fin",1-$H1639,IF(LEFT(TRIM(Paramètres!K19),1)="F",1,0)))),IF(Paramètres!L19="",0,IF(Paramètres!M19="",NA(),IF(LEFT(TRIM(Paramètres!M19),1)="F",INDEX($F$1625:$F$1677,MATCH(Paramètres!L19,Paramètres!$G$5:$G$57,0)),INDEX($E$1625:$E$1677,MATCH(Paramètres!L19,Paramètres!$G$5:$G$57,0)))+IF(RIGHT(TRIM(Paramètres!M19),3)="Fin",1-$H1639,IF(LEFT(TRIM(Paramètres!M19),1)="F",1,0)))),IF(Paramètres!N19="",0,IF(Paramètres!O19="",NA(),IF(LEFT(TRIM(Paramètres!O19),1)="F",INDEX($F$1625:$F$1677,MATCH(Paramètres!N19,Paramètres!$G$5:$G$57,0)),INDEX($E$1625:$E$1677,MATCH(Paramètres!N19,Paramètres!$G$5:$G$57,0)))+IF(RIGHT(TRIM(Paramètres!O19),3)="Fin",1-$H1639,IF(LEFT(TRIM(Paramètres!O19),1)="F",1,0)))))))</f>
        <v/>
      </c>
      <c r="F1639" s="19">
        <f>IF($A1639="","",E1639+$H1639-1)</f>
        <v/>
      </c>
      <c r="G1639" s="18" t="n"/>
      <c r="H1639" s="18">
        <f>IF($A1639="","",IF(I1639&lt;&gt;"",I1639,Paramètres!B19))</f>
        <v/>
      </c>
      <c r="I1639" s="18" t="n"/>
    </row>
    <row r="1640">
      <c r="A1640" s="18">
        <f>IF(ISNUMBER(Dossiers!$D$34),Dossiers!$A$34&amp;" · "&amp;Dossiers!$B$34,"")</f>
        <v/>
      </c>
      <c r="B1640" s="18">
        <f>IF($A1640="","",Paramètres!G20)</f>
        <v/>
      </c>
      <c r="C1640" s="18">
        <f>IF($A1640="","",IF(Paramètres!H20="","",Paramètres!H20))</f>
        <v/>
      </c>
      <c r="D1640" s="18">
        <f>IF($A1640="","",IF(Paramètres!I20="","",Paramètres!I20))</f>
        <v/>
      </c>
      <c r="E1640" s="19">
        <f>IF($A1640="","",IF(Paramètres!J20&amp;Paramètres!L20&amp;Paramètres!N20="",Dossiers!$D$34,MAX(IF(Paramètres!J20="",0,IF(Paramètres!K20="",NA(),IF(LEFT(TRIM(Paramètres!K20),1)="F",INDEX($F$1625:$F$1677,MATCH(Paramètres!J20,Paramètres!$G$5:$G$57,0)),INDEX($E$1625:$E$1677,MATCH(Paramètres!J20,Paramètres!$G$5:$G$57,0)))+IF(RIGHT(TRIM(Paramètres!K20),3)="Fin",1-$H1640,IF(LEFT(TRIM(Paramètres!K20),1)="F",1,0)))),IF(Paramètres!L20="",0,IF(Paramètres!M20="",NA(),IF(LEFT(TRIM(Paramètres!M20),1)="F",INDEX($F$1625:$F$1677,MATCH(Paramètres!L20,Paramètres!$G$5:$G$57,0)),INDEX($E$1625:$E$1677,MATCH(Paramètres!L20,Paramètres!$G$5:$G$57,0)))+IF(RIGHT(TRIM(Paramètres!M20),3)="Fin",1-$H1640,IF(LEFT(TRIM(Paramètres!M20),1)="F",1,0)))),IF(Paramètres!N20="",0,IF(Paramètres!O20="",NA(),IF(LEFT(TRIM(Paramètres!O20),1)="F",INDEX($F$1625:$F$1677,MATCH(Paramètres!N20,Paramètres!$G$5:$G$57,0)),INDEX($E$1625:$E$1677,MATCH(Paramètres!N20,Paramètres!$G$5:$G$57,0)))+IF(RIGHT(TRIM(Paramètres!O20),3)="Fin",1-$H1640,IF(LEFT(TRIM(Paramètres!O20),1)="F",1,0)))))))</f>
        <v/>
      </c>
      <c r="F1640" s="19">
        <f>IF($A1640="","",E1640+$H1640-1)</f>
        <v/>
      </c>
      <c r="G1640" s="18" t="n"/>
      <c r="H1640" s="18">
        <f>IF($A1640="","",IF(I1640&lt;&gt;"",I1640,Paramètres!B20))</f>
        <v/>
      </c>
      <c r="I1640" s="18" t="n"/>
    </row>
    <row r="1641">
      <c r="A1641" s="18">
        <f>IF(ISNUMBER(Dossiers!$D$34),Dossiers!$A$34&amp;" · "&amp;Dossiers!$B$34,"")</f>
        <v/>
      </c>
      <c r="B1641" s="18">
        <f>IF($A1641="","",Paramètres!G21)</f>
        <v/>
      </c>
      <c r="C1641" s="18">
        <f>IF($A1641="","",IF(Paramètres!H21="","",Paramètres!H21))</f>
        <v/>
      </c>
      <c r="D1641" s="18">
        <f>IF($A1641="","",IF(Paramètres!I21="","",Paramètres!I21))</f>
        <v/>
      </c>
      <c r="E1641" s="19">
        <f>IF($A1641="","",IF(Paramètres!J21&amp;Paramètres!L21&amp;Paramètres!N21="",Dossiers!$D$34,MAX(IF(Paramètres!J21="",0,IF(Paramètres!K21="",NA(),IF(LEFT(TRIM(Paramètres!K21),1)="F",INDEX($F$1625:$F$1677,MATCH(Paramètres!J21,Paramètres!$G$5:$G$57,0)),INDEX($E$1625:$E$1677,MATCH(Paramètres!J21,Paramètres!$G$5:$G$57,0)))+IF(RIGHT(TRIM(Paramètres!K21),3)="Fin",1-$H1641,IF(LEFT(TRIM(Paramètres!K21),1)="F",1,0)))),IF(Paramètres!L21="",0,IF(Paramètres!M21="",NA(),IF(LEFT(TRIM(Paramètres!M21),1)="F",INDEX($F$1625:$F$1677,MATCH(Paramètres!L21,Paramètres!$G$5:$G$57,0)),INDEX($E$1625:$E$1677,MATCH(Paramètres!L21,Paramètres!$G$5:$G$57,0)))+IF(RIGHT(TRIM(Paramètres!M21),3)="Fin",1-$H1641,IF(LEFT(TRIM(Paramètres!M21),1)="F",1,0)))),IF(Paramètres!N21="",0,IF(Paramètres!O21="",NA(),IF(LEFT(TRIM(Paramètres!O21),1)="F",INDEX($F$1625:$F$1677,MATCH(Paramètres!N21,Paramètres!$G$5:$G$57,0)),INDEX($E$1625:$E$1677,MATCH(Paramètres!N21,Paramètres!$G$5:$G$57,0)))+IF(RIGHT(TRIM(Paramètres!O21),3)="Fin",1-$H1641,IF(LEFT(TRIM(Paramètres!O21),1)="F",1,0)))))))</f>
        <v/>
      </c>
      <c r="F1641" s="19">
        <f>IF($A1641="","",E1641+$H1641-1)</f>
        <v/>
      </c>
      <c r="G1641" s="18" t="n"/>
      <c r="H1641" s="18">
        <f>IF($A1641="","",IF(I1641&lt;&gt;"",I1641,Paramètres!B21))</f>
        <v/>
      </c>
      <c r="I1641" s="18" t="n"/>
    </row>
    <row r="1642">
      <c r="A1642" s="18">
        <f>IF(ISNUMBER(Dossiers!$D$34),Dossiers!$A$34&amp;" · "&amp;Dossiers!$B$34,"")</f>
        <v/>
      </c>
      <c r="B1642" s="18">
        <f>IF($A1642="","",Paramètres!G22)</f>
        <v/>
      </c>
      <c r="C1642" s="18">
        <f>IF($A1642="","",IF(Paramètres!H22="","",Paramètres!H22))</f>
        <v/>
      </c>
      <c r="D1642" s="18">
        <f>IF($A1642="","",IF(Paramètres!I22="","",Paramètres!I22))</f>
        <v/>
      </c>
      <c r="E1642" s="19">
        <f>IF($A1642="","",IF(Paramètres!J22&amp;Paramètres!L22&amp;Paramètres!N22="",Dossiers!$D$34,MAX(IF(Paramètres!J22="",0,IF(Paramètres!K22="",NA(),IF(LEFT(TRIM(Paramètres!K22),1)="F",INDEX($F$1625:$F$1677,MATCH(Paramètres!J22,Paramètres!$G$5:$G$57,0)),INDEX($E$1625:$E$1677,MATCH(Paramètres!J22,Paramètres!$G$5:$G$57,0)))+IF(RIGHT(TRIM(Paramètres!K22),3)="Fin",1-$H1642,IF(LEFT(TRIM(Paramètres!K22),1)="F",1,0)))),IF(Paramètres!L22="",0,IF(Paramètres!M22="",NA(),IF(LEFT(TRIM(Paramètres!M22),1)="F",INDEX($F$1625:$F$1677,MATCH(Paramètres!L22,Paramètres!$G$5:$G$57,0)),INDEX($E$1625:$E$1677,MATCH(Paramètres!L22,Paramètres!$G$5:$G$57,0)))+IF(RIGHT(TRIM(Paramètres!M22),3)="Fin",1-$H1642,IF(LEFT(TRIM(Paramètres!M22),1)="F",1,0)))),IF(Paramètres!N22="",0,IF(Paramètres!O22="",NA(),IF(LEFT(TRIM(Paramètres!O22),1)="F",INDEX($F$1625:$F$1677,MATCH(Paramètres!N22,Paramètres!$G$5:$G$57,0)),INDEX($E$1625:$E$1677,MATCH(Paramètres!N22,Paramètres!$G$5:$G$57,0)))+IF(RIGHT(TRIM(Paramètres!O22),3)="Fin",1-$H1642,IF(LEFT(TRIM(Paramètres!O22),1)="F",1,0)))))))</f>
        <v/>
      </c>
      <c r="F1642" s="19">
        <f>IF($A1642="","",E1642+$H1642-1)</f>
        <v/>
      </c>
      <c r="G1642" s="18" t="n"/>
      <c r="H1642" s="18">
        <f>IF($A1642="","",IF(I1642&lt;&gt;"",I1642,Paramètres!B22))</f>
        <v/>
      </c>
      <c r="I1642" s="18" t="n"/>
    </row>
    <row r="1643">
      <c r="A1643" s="18">
        <f>IF(ISNUMBER(Dossiers!$D$34),Dossiers!$A$34&amp;" · "&amp;Dossiers!$B$34,"")</f>
        <v/>
      </c>
      <c r="B1643" s="18">
        <f>IF($A1643="","",Paramètres!G23)</f>
        <v/>
      </c>
      <c r="C1643" s="18">
        <f>IF($A1643="","",IF(Paramètres!H23="","",Paramètres!H23))</f>
        <v/>
      </c>
      <c r="D1643" s="18">
        <f>IF($A1643="","",IF(Paramètres!I23="","",Paramètres!I23))</f>
        <v/>
      </c>
      <c r="E1643" s="19">
        <f>IF($A1643="","",IF(Paramètres!J23&amp;Paramètres!L23&amp;Paramètres!N23="",Dossiers!$D$34,MAX(IF(Paramètres!J23="",0,IF(Paramètres!K23="",NA(),IF(LEFT(TRIM(Paramètres!K23),1)="F",INDEX($F$1625:$F$1677,MATCH(Paramètres!J23,Paramètres!$G$5:$G$57,0)),INDEX($E$1625:$E$1677,MATCH(Paramètres!J23,Paramètres!$G$5:$G$57,0)))+IF(RIGHT(TRIM(Paramètres!K23),3)="Fin",1-$H1643,IF(LEFT(TRIM(Paramètres!K23),1)="F",1,0)))),IF(Paramètres!L23="",0,IF(Paramètres!M23="",NA(),IF(LEFT(TRIM(Paramètres!M23),1)="F",INDEX($F$1625:$F$1677,MATCH(Paramètres!L23,Paramètres!$G$5:$G$57,0)),INDEX($E$1625:$E$1677,MATCH(Paramètres!L23,Paramètres!$G$5:$G$57,0)))+IF(RIGHT(TRIM(Paramètres!M23),3)="Fin",1-$H1643,IF(LEFT(TRIM(Paramètres!M23),1)="F",1,0)))),IF(Paramètres!N23="",0,IF(Paramètres!O23="",NA(),IF(LEFT(TRIM(Paramètres!O23),1)="F",INDEX($F$1625:$F$1677,MATCH(Paramètres!N23,Paramètres!$G$5:$G$57,0)),INDEX($E$1625:$E$1677,MATCH(Paramètres!N23,Paramètres!$G$5:$G$57,0)))+IF(RIGHT(TRIM(Paramètres!O23),3)="Fin",1-$H1643,IF(LEFT(TRIM(Paramètres!O23),1)="F",1,0)))))))</f>
        <v/>
      </c>
      <c r="F1643" s="19">
        <f>IF($A1643="","",E1643+$H1643-1)</f>
        <v/>
      </c>
      <c r="G1643" s="18" t="n"/>
      <c r="H1643" s="18">
        <f>IF($A1643="","",IF(I1643&lt;&gt;"",I1643,Paramètres!B23))</f>
        <v/>
      </c>
      <c r="I1643" s="18" t="n"/>
    </row>
    <row r="1644">
      <c r="A1644" s="18">
        <f>IF(ISNUMBER(Dossiers!$D$34),Dossiers!$A$34&amp;" · "&amp;Dossiers!$B$34,"")</f>
        <v/>
      </c>
      <c r="B1644" s="18">
        <f>IF($A1644="","",Paramètres!G24)</f>
        <v/>
      </c>
      <c r="C1644" s="18">
        <f>IF($A1644="","",IF(Paramètres!H24="","",Paramètres!H24))</f>
        <v/>
      </c>
      <c r="D1644" s="18">
        <f>IF($A1644="","",IF(Paramètres!I24="","",Paramètres!I24))</f>
        <v/>
      </c>
      <c r="E1644" s="19">
        <f>IF($A1644="","",IF(Paramètres!J24&amp;Paramètres!L24&amp;Paramètres!N24="",Dossiers!$D$34,MAX(IF(Paramètres!J24="",0,IF(Paramètres!K24="",NA(),IF(LEFT(TRIM(Paramètres!K24),1)="F",INDEX($F$1625:$F$1677,MATCH(Paramètres!J24,Paramètres!$G$5:$G$57,0)),INDEX($E$1625:$E$1677,MATCH(Paramètres!J24,Paramètres!$G$5:$G$57,0)))+IF(RIGHT(TRIM(Paramètres!K24),3)="Fin",1-$H1644,IF(LEFT(TRIM(Paramètres!K24),1)="F",1,0)))),IF(Paramètres!L24="",0,IF(Paramètres!M24="",NA(),IF(LEFT(TRIM(Paramètres!M24),1)="F",INDEX($F$1625:$F$1677,MATCH(Paramètres!L24,Paramètres!$G$5:$G$57,0)),INDEX($E$1625:$E$1677,MATCH(Paramètres!L24,Paramètres!$G$5:$G$57,0)))+IF(RIGHT(TRIM(Paramètres!M24),3)="Fin",1-$H1644,IF(LEFT(TRIM(Paramètres!M24),1)="F",1,0)))),IF(Paramètres!N24="",0,IF(Paramètres!O24="",NA(),IF(LEFT(TRIM(Paramètres!O24),1)="F",INDEX($F$1625:$F$1677,MATCH(Paramètres!N24,Paramètres!$G$5:$G$57,0)),INDEX($E$1625:$E$1677,MATCH(Paramètres!N24,Paramètres!$G$5:$G$57,0)))+IF(RIGHT(TRIM(Paramètres!O24),3)="Fin",1-$H1644,IF(LEFT(TRIM(Paramètres!O24),1)="F",1,0)))))))</f>
        <v/>
      </c>
      <c r="F1644" s="19">
        <f>IF($A1644="","",E1644+$H1644-1)</f>
        <v/>
      </c>
      <c r="G1644" s="18" t="n"/>
      <c r="H1644" s="18">
        <f>IF($A1644="","",IF(I1644&lt;&gt;"",I1644,Paramètres!B24))</f>
        <v/>
      </c>
      <c r="I1644" s="18" t="n"/>
    </row>
    <row r="1645">
      <c r="A1645" s="18">
        <f>IF(ISNUMBER(Dossiers!$D$34),Dossiers!$A$34&amp;" · "&amp;Dossiers!$B$34,"")</f>
        <v/>
      </c>
      <c r="B1645" s="18">
        <f>IF($A1645="","",Paramètres!G25)</f>
        <v/>
      </c>
      <c r="C1645" s="18">
        <f>IF($A1645="","",IF(Paramètres!H25="","",Paramètres!H25))</f>
        <v/>
      </c>
      <c r="D1645" s="18">
        <f>IF($A1645="","",IF(Paramètres!I25="","",Paramètres!I25))</f>
        <v/>
      </c>
      <c r="E1645" s="19">
        <f>IF($A1645="","",IF(Paramètres!J25&amp;Paramètres!L25&amp;Paramètres!N25="",Dossiers!$D$34,MAX(IF(Paramètres!J25="",0,IF(Paramètres!K25="",NA(),IF(LEFT(TRIM(Paramètres!K25),1)="F",INDEX($F$1625:$F$1677,MATCH(Paramètres!J25,Paramètres!$G$5:$G$57,0)),INDEX($E$1625:$E$1677,MATCH(Paramètres!J25,Paramètres!$G$5:$G$57,0)))+IF(RIGHT(TRIM(Paramètres!K25),3)="Fin",1-$H1645,IF(LEFT(TRIM(Paramètres!K25),1)="F",1,0)))),IF(Paramètres!L25="",0,IF(Paramètres!M25="",NA(),IF(LEFT(TRIM(Paramètres!M25),1)="F",INDEX($F$1625:$F$1677,MATCH(Paramètres!L25,Paramètres!$G$5:$G$57,0)),INDEX($E$1625:$E$1677,MATCH(Paramètres!L25,Paramètres!$G$5:$G$57,0)))+IF(RIGHT(TRIM(Paramètres!M25),3)="Fin",1-$H1645,IF(LEFT(TRIM(Paramètres!M25),1)="F",1,0)))),IF(Paramètres!N25="",0,IF(Paramètres!O25="",NA(),IF(LEFT(TRIM(Paramètres!O25),1)="F",INDEX($F$1625:$F$1677,MATCH(Paramètres!N25,Paramètres!$G$5:$G$57,0)),INDEX($E$1625:$E$1677,MATCH(Paramètres!N25,Paramètres!$G$5:$G$57,0)))+IF(RIGHT(TRIM(Paramètres!O25),3)="Fin",1-$H1645,IF(LEFT(TRIM(Paramètres!O25),1)="F",1,0)))))))</f>
        <v/>
      </c>
      <c r="F1645" s="19">
        <f>IF($A1645="","",E1645+$H1645-1)</f>
        <v/>
      </c>
      <c r="G1645" s="18" t="n"/>
      <c r="H1645" s="18">
        <f>IF($A1645="","",IF(I1645&lt;&gt;"",I1645,Paramètres!B25))</f>
        <v/>
      </c>
      <c r="I1645" s="18" t="n"/>
    </row>
    <row r="1646">
      <c r="A1646" s="18">
        <f>IF(ISNUMBER(Dossiers!$D$34),Dossiers!$A$34&amp;" · "&amp;Dossiers!$B$34,"")</f>
        <v/>
      </c>
      <c r="B1646" s="18">
        <f>IF($A1646="","",Paramètres!G26)</f>
        <v/>
      </c>
      <c r="C1646" s="18">
        <f>IF($A1646="","",IF(Paramètres!H26="","",Paramètres!H26))</f>
        <v/>
      </c>
      <c r="D1646" s="18">
        <f>IF($A1646="","",IF(Paramètres!I26="","",Paramètres!I26))</f>
        <v/>
      </c>
      <c r="E1646" s="19">
        <f>IF($A1646="","",IF(Paramètres!J26&amp;Paramètres!L26&amp;Paramètres!N26="",Dossiers!$D$34,MAX(IF(Paramètres!J26="",0,IF(Paramètres!K26="",NA(),IF(LEFT(TRIM(Paramètres!K26),1)="F",INDEX($F$1625:$F$1677,MATCH(Paramètres!J26,Paramètres!$G$5:$G$57,0)),INDEX($E$1625:$E$1677,MATCH(Paramètres!J26,Paramètres!$G$5:$G$57,0)))+IF(RIGHT(TRIM(Paramètres!K26),3)="Fin",1-$H1646,IF(LEFT(TRIM(Paramètres!K26),1)="F",1,0)))),IF(Paramètres!L26="",0,IF(Paramètres!M26="",NA(),IF(LEFT(TRIM(Paramètres!M26),1)="F",INDEX($F$1625:$F$1677,MATCH(Paramètres!L26,Paramètres!$G$5:$G$57,0)),INDEX($E$1625:$E$1677,MATCH(Paramètres!L26,Paramètres!$G$5:$G$57,0)))+IF(RIGHT(TRIM(Paramètres!M26),3)="Fin",1-$H1646,IF(LEFT(TRIM(Paramètres!M26),1)="F",1,0)))),IF(Paramètres!N26="",0,IF(Paramètres!O26="",NA(),IF(LEFT(TRIM(Paramètres!O26),1)="F",INDEX($F$1625:$F$1677,MATCH(Paramètres!N26,Paramètres!$G$5:$G$57,0)),INDEX($E$1625:$E$1677,MATCH(Paramètres!N26,Paramètres!$G$5:$G$57,0)))+IF(RIGHT(TRIM(Paramètres!O26),3)="Fin",1-$H1646,IF(LEFT(TRIM(Paramètres!O26),1)="F",1,0)))))))</f>
        <v/>
      </c>
      <c r="F1646" s="19">
        <f>IF($A1646="","",E1646+$H1646-1)</f>
        <v/>
      </c>
      <c r="G1646" s="18" t="n"/>
      <c r="H1646" s="18">
        <f>IF($A1646="","",IF(I1646&lt;&gt;"",I1646,Paramètres!B26))</f>
        <v/>
      </c>
      <c r="I1646" s="18" t="n"/>
    </row>
    <row r="1647">
      <c r="A1647" s="18">
        <f>IF(ISNUMBER(Dossiers!$D$34),Dossiers!$A$34&amp;" · "&amp;Dossiers!$B$34,"")</f>
        <v/>
      </c>
      <c r="B1647" s="18">
        <f>IF($A1647="","",Paramètres!G27)</f>
        <v/>
      </c>
      <c r="C1647" s="18">
        <f>IF($A1647="","",IF(Paramètres!H27="","",Paramètres!H27))</f>
        <v/>
      </c>
      <c r="D1647" s="18">
        <f>IF($A1647="","",IF(Paramètres!I27="","",Paramètres!I27))</f>
        <v/>
      </c>
      <c r="E1647" s="19">
        <f>IF($A1647="","",IF(Paramètres!J27&amp;Paramètres!L27&amp;Paramètres!N27="",Dossiers!$D$34,MAX(IF(Paramètres!J27="",0,IF(Paramètres!K27="",NA(),IF(LEFT(TRIM(Paramètres!K27),1)="F",INDEX($F$1625:$F$1677,MATCH(Paramètres!J27,Paramètres!$G$5:$G$57,0)),INDEX($E$1625:$E$1677,MATCH(Paramètres!J27,Paramètres!$G$5:$G$57,0)))+IF(RIGHT(TRIM(Paramètres!K27),3)="Fin",1-$H1647,IF(LEFT(TRIM(Paramètres!K27),1)="F",1,0)))),IF(Paramètres!L27="",0,IF(Paramètres!M27="",NA(),IF(LEFT(TRIM(Paramètres!M27),1)="F",INDEX($F$1625:$F$1677,MATCH(Paramètres!L27,Paramètres!$G$5:$G$57,0)),INDEX($E$1625:$E$1677,MATCH(Paramètres!L27,Paramètres!$G$5:$G$57,0)))+IF(RIGHT(TRIM(Paramètres!M27),3)="Fin",1-$H1647,IF(LEFT(TRIM(Paramètres!M27),1)="F",1,0)))),IF(Paramètres!N27="",0,IF(Paramètres!O27="",NA(),IF(LEFT(TRIM(Paramètres!O27),1)="F",INDEX($F$1625:$F$1677,MATCH(Paramètres!N27,Paramètres!$G$5:$G$57,0)),INDEX($E$1625:$E$1677,MATCH(Paramètres!N27,Paramètres!$G$5:$G$57,0)))+IF(RIGHT(TRIM(Paramètres!O27),3)="Fin",1-$H1647,IF(LEFT(TRIM(Paramètres!O27),1)="F",1,0)))))))</f>
        <v/>
      </c>
      <c r="F1647" s="19">
        <f>IF($A1647="","",E1647+$H1647-1)</f>
        <v/>
      </c>
      <c r="G1647" s="18" t="n"/>
      <c r="H1647" s="18">
        <f>IF($A1647="","",IF(I1647&lt;&gt;"",I1647,Paramètres!B27))</f>
        <v/>
      </c>
      <c r="I1647" s="18" t="n"/>
    </row>
    <row r="1648">
      <c r="A1648" s="18">
        <f>IF(ISNUMBER(Dossiers!$D$34),Dossiers!$A$34&amp;" · "&amp;Dossiers!$B$34,"")</f>
        <v/>
      </c>
      <c r="B1648" s="18">
        <f>IF($A1648="","",Paramètres!G28)</f>
        <v/>
      </c>
      <c r="C1648" s="18">
        <f>IF($A1648="","",IF(Paramètres!H28="","",Paramètres!H28))</f>
        <v/>
      </c>
      <c r="D1648" s="18">
        <f>IF($A1648="","",IF(Paramètres!I28="","",Paramètres!I28))</f>
        <v/>
      </c>
      <c r="E1648" s="19">
        <f>IF($A1648="","",IF(Paramètres!J28&amp;Paramètres!L28&amp;Paramètres!N28="",Dossiers!$D$34,MAX(IF(Paramètres!J28="",0,IF(Paramètres!K28="",NA(),IF(LEFT(TRIM(Paramètres!K28),1)="F",INDEX($F$1625:$F$1677,MATCH(Paramètres!J28,Paramètres!$G$5:$G$57,0)),INDEX($E$1625:$E$1677,MATCH(Paramètres!J28,Paramètres!$G$5:$G$57,0)))+IF(RIGHT(TRIM(Paramètres!K28),3)="Fin",1-$H1648,IF(LEFT(TRIM(Paramètres!K28),1)="F",1,0)))),IF(Paramètres!L28="",0,IF(Paramètres!M28="",NA(),IF(LEFT(TRIM(Paramètres!M28),1)="F",INDEX($F$1625:$F$1677,MATCH(Paramètres!L28,Paramètres!$G$5:$G$57,0)),INDEX($E$1625:$E$1677,MATCH(Paramètres!L28,Paramètres!$G$5:$G$57,0)))+IF(RIGHT(TRIM(Paramètres!M28),3)="Fin",1-$H1648,IF(LEFT(TRIM(Paramètres!M28),1)="F",1,0)))),IF(Paramètres!N28="",0,IF(Paramètres!O28="",NA(),IF(LEFT(TRIM(Paramètres!O28),1)="F",INDEX($F$1625:$F$1677,MATCH(Paramètres!N28,Paramètres!$G$5:$G$57,0)),INDEX($E$1625:$E$1677,MATCH(Paramètres!N28,Paramètres!$G$5:$G$57,0)))+IF(RIGHT(TRIM(Paramètres!O28),3)="Fin",1-$H1648,IF(LEFT(TRIM(Paramètres!O28),1)="F",1,0)))))))</f>
        <v/>
      </c>
      <c r="F1648" s="19">
        <f>IF($A1648="","",E1648+$H1648-1)</f>
        <v/>
      </c>
      <c r="G1648" s="18" t="n"/>
      <c r="H1648" s="18">
        <f>IF($A1648="","",IF(I1648&lt;&gt;"",I1648,Paramètres!B28))</f>
        <v/>
      </c>
      <c r="I1648" s="18" t="n"/>
    </row>
    <row r="1649">
      <c r="A1649" s="18">
        <f>IF(ISNUMBER(Dossiers!$D$34),Dossiers!$A$34&amp;" · "&amp;Dossiers!$B$34,"")</f>
        <v/>
      </c>
      <c r="B1649" s="18">
        <f>IF($A1649="","",Paramètres!G29)</f>
        <v/>
      </c>
      <c r="C1649" s="18">
        <f>IF($A1649="","",IF(Paramètres!H29="","",Paramètres!H29))</f>
        <v/>
      </c>
      <c r="D1649" s="18">
        <f>IF($A1649="","",IF(Paramètres!I29="","",Paramètres!I29))</f>
        <v/>
      </c>
      <c r="E1649" s="19">
        <f>IF($A1649="","",IF(Paramètres!J29&amp;Paramètres!L29&amp;Paramètres!N29="",Dossiers!$D$34,MAX(IF(Paramètres!J29="",0,IF(Paramètres!K29="",NA(),IF(LEFT(TRIM(Paramètres!K29),1)="F",INDEX($F$1625:$F$1677,MATCH(Paramètres!J29,Paramètres!$G$5:$G$57,0)),INDEX($E$1625:$E$1677,MATCH(Paramètres!J29,Paramètres!$G$5:$G$57,0)))+IF(RIGHT(TRIM(Paramètres!K29),3)="Fin",1-$H1649,IF(LEFT(TRIM(Paramètres!K29),1)="F",1,0)))),IF(Paramètres!L29="",0,IF(Paramètres!M29="",NA(),IF(LEFT(TRIM(Paramètres!M29),1)="F",INDEX($F$1625:$F$1677,MATCH(Paramètres!L29,Paramètres!$G$5:$G$57,0)),INDEX($E$1625:$E$1677,MATCH(Paramètres!L29,Paramètres!$G$5:$G$57,0)))+IF(RIGHT(TRIM(Paramètres!M29),3)="Fin",1-$H1649,IF(LEFT(TRIM(Paramètres!M29),1)="F",1,0)))),IF(Paramètres!N29="",0,IF(Paramètres!O29="",NA(),IF(LEFT(TRIM(Paramètres!O29),1)="F",INDEX($F$1625:$F$1677,MATCH(Paramètres!N29,Paramètres!$G$5:$G$57,0)),INDEX($E$1625:$E$1677,MATCH(Paramètres!N29,Paramètres!$G$5:$G$57,0)))+IF(RIGHT(TRIM(Paramètres!O29),3)="Fin",1-$H1649,IF(LEFT(TRIM(Paramètres!O29),1)="F",1,0)))))))</f>
        <v/>
      </c>
      <c r="F1649" s="19">
        <f>IF($A1649="","",E1649+$H1649-1)</f>
        <v/>
      </c>
      <c r="G1649" s="18" t="n"/>
      <c r="H1649" s="18">
        <f>IF($A1649="","",IF(I1649&lt;&gt;"",I1649,Paramètres!B29))</f>
        <v/>
      </c>
      <c r="I1649" s="18" t="n"/>
    </row>
    <row r="1650">
      <c r="A1650" s="18">
        <f>IF(ISNUMBER(Dossiers!$D$34),Dossiers!$A$34&amp;" · "&amp;Dossiers!$B$34,"")</f>
        <v/>
      </c>
      <c r="B1650" s="18">
        <f>IF($A1650="","",Paramètres!G30)</f>
        <v/>
      </c>
      <c r="C1650" s="18">
        <f>IF($A1650="","",IF(Paramètres!H30="","",Paramètres!H30))</f>
        <v/>
      </c>
      <c r="D1650" s="18">
        <f>IF($A1650="","",IF(Paramètres!I30="","",Paramètres!I30))</f>
        <v/>
      </c>
      <c r="E1650" s="19">
        <f>IF($A1650="","",IF(Paramètres!J30&amp;Paramètres!L30&amp;Paramètres!N30="",Dossiers!$D$34,MAX(IF(Paramètres!J30="",0,IF(Paramètres!K30="",NA(),IF(LEFT(TRIM(Paramètres!K30),1)="F",INDEX($F$1625:$F$1677,MATCH(Paramètres!J30,Paramètres!$G$5:$G$57,0)),INDEX($E$1625:$E$1677,MATCH(Paramètres!J30,Paramètres!$G$5:$G$57,0)))+IF(RIGHT(TRIM(Paramètres!K30),3)="Fin",1-$H1650,IF(LEFT(TRIM(Paramètres!K30),1)="F",1,0)))),IF(Paramètres!L30="",0,IF(Paramètres!M30="",NA(),IF(LEFT(TRIM(Paramètres!M30),1)="F",INDEX($F$1625:$F$1677,MATCH(Paramètres!L30,Paramètres!$G$5:$G$57,0)),INDEX($E$1625:$E$1677,MATCH(Paramètres!L30,Paramètres!$G$5:$G$57,0)))+IF(RIGHT(TRIM(Paramètres!M30),3)="Fin",1-$H1650,IF(LEFT(TRIM(Paramètres!M30),1)="F",1,0)))),IF(Paramètres!N30="",0,IF(Paramètres!O30="",NA(),IF(LEFT(TRIM(Paramètres!O30),1)="F",INDEX($F$1625:$F$1677,MATCH(Paramètres!N30,Paramètres!$G$5:$G$57,0)),INDEX($E$1625:$E$1677,MATCH(Paramètres!N30,Paramètres!$G$5:$G$57,0)))+IF(RIGHT(TRIM(Paramètres!O30),3)="Fin",1-$H1650,IF(LEFT(TRIM(Paramètres!O30),1)="F",1,0)))))))</f>
        <v/>
      </c>
      <c r="F1650" s="19">
        <f>IF($A1650="","",E1650+$H1650-1)</f>
        <v/>
      </c>
      <c r="G1650" s="18" t="n"/>
      <c r="H1650" s="18">
        <f>IF($A1650="","",IF(I1650&lt;&gt;"",I1650,Paramètres!B30))</f>
        <v/>
      </c>
      <c r="I1650" s="18" t="n"/>
    </row>
    <row r="1651">
      <c r="A1651" s="18">
        <f>IF(ISNUMBER(Dossiers!$D$34),Dossiers!$A$34&amp;" · "&amp;Dossiers!$B$34,"")</f>
        <v/>
      </c>
      <c r="B1651" s="18">
        <f>IF($A1651="","",Paramètres!G31)</f>
        <v/>
      </c>
      <c r="C1651" s="20">
        <f>IF($A1651="","",IF(Dossiers!$F$34="","",Dossiers!$F$34))</f>
        <v/>
      </c>
      <c r="D1651" s="18">
        <f>IF($A1651="","",IF(Paramètres!I31="","",Paramètres!I31))</f>
        <v/>
      </c>
      <c r="E1651" s="19">
        <f>IF($A1651="","",IF(Paramètres!J31&amp;Paramètres!L31&amp;Paramètres!N31="",Dossiers!$D$34,MAX(IF(Paramètres!J31="",0,IF(Paramètres!K31="",NA(),IF(LEFT(TRIM(Paramètres!K31),1)="F",INDEX($F$1625:$F$1677,MATCH(Paramètres!J31,Paramètres!$G$5:$G$57,0)),INDEX($E$1625:$E$1677,MATCH(Paramètres!J31,Paramètres!$G$5:$G$57,0)))+IF(RIGHT(TRIM(Paramètres!K31),3)="Fin",1-$H1651,IF(LEFT(TRIM(Paramètres!K31),1)="F",1,0)))),IF(Paramètres!L31="",0,IF(Paramètres!M31="",NA(),IF(LEFT(TRIM(Paramètres!M31),1)="F",INDEX($F$1625:$F$1677,MATCH(Paramètres!L31,Paramètres!$G$5:$G$57,0)),INDEX($E$1625:$E$1677,MATCH(Paramètres!L31,Paramètres!$G$5:$G$57,0)))+IF(RIGHT(TRIM(Paramètres!M31),3)="Fin",1-$H1651,IF(LEFT(TRIM(Paramètres!M31),1)="F",1,0)))),IF(Paramètres!N31="",0,IF(Paramètres!O31="",NA(),IF(LEFT(TRIM(Paramètres!O31),1)="F",INDEX($F$1625:$F$1677,MATCH(Paramètres!N31,Paramètres!$G$5:$G$57,0)),INDEX($E$1625:$E$1677,MATCH(Paramètres!N31,Paramètres!$G$5:$G$57,0)))+IF(RIGHT(TRIM(Paramètres!O31),3)="Fin",1-$H1651,IF(LEFT(TRIM(Paramètres!O31),1)="F",1,0)))))))</f>
        <v/>
      </c>
      <c r="F1651" s="19">
        <f>IF($A1651="","",E1651+$H1651-1)</f>
        <v/>
      </c>
      <c r="G1651" s="18" t="n"/>
      <c r="H1651" s="18">
        <f>IF($A1651="","",IF(I1651&lt;&gt;"",I1651,Paramètres!B31))</f>
        <v/>
      </c>
      <c r="I1651" s="18" t="n"/>
    </row>
    <row r="1652">
      <c r="A1652" s="18">
        <f>IF(ISNUMBER(Dossiers!$D$34),Dossiers!$A$34&amp;" · "&amp;Dossiers!$B$34,"")</f>
        <v/>
      </c>
      <c r="B1652" s="18">
        <f>IF($A1652="","",Paramètres!G32)</f>
        <v/>
      </c>
      <c r="C1652" s="18">
        <f>IF($A1652="","",IF(Paramètres!H32="","",Paramètres!H32))</f>
        <v/>
      </c>
      <c r="D1652" s="18">
        <f>IF($A1652="","",IF(Paramètres!I32="","",Paramètres!I32))</f>
        <v/>
      </c>
      <c r="E1652" s="19">
        <f>IF($A1652="","",MIN(E1653:E1656))</f>
        <v/>
      </c>
      <c r="F1652" s="19">
        <f>IF($A1652="","",MAX(F1653:F1656))</f>
        <v/>
      </c>
      <c r="G1652" s="18" t="n"/>
      <c r="H1652" s="18">
        <f>IF($A1652="","",F1652-E1652+1)</f>
        <v/>
      </c>
      <c r="I1652" s="18" t="n"/>
    </row>
    <row r="1653">
      <c r="A1653" s="18">
        <f>IF(ISNUMBER(Dossiers!$D$34),Dossiers!$A$34&amp;" · "&amp;Dossiers!$B$34,"")</f>
        <v/>
      </c>
      <c r="B1653" s="18">
        <f>IF($A1653="","",Paramètres!G33)</f>
        <v/>
      </c>
      <c r="C1653" s="18">
        <f>IF($A1653="","",IF(Paramètres!H33="","",Paramètres!H33))</f>
        <v/>
      </c>
      <c r="D1653" s="18">
        <f>IF($A1653="","",IF(Paramètres!I33="","",Paramètres!I33))</f>
        <v/>
      </c>
      <c r="E1653" s="19">
        <f>IF($A1653="","",IF(Paramètres!J33&amp;Paramètres!L33&amp;Paramètres!N33="",Dossiers!$D$34,MAX(IF(Paramètres!J33="",0,IF(Paramètres!K33="",NA(),IF(LEFT(TRIM(Paramètres!K33),1)="F",INDEX($F$1625:$F$1677,MATCH(Paramètres!J33,Paramètres!$G$5:$G$57,0)),INDEX($E$1625:$E$1677,MATCH(Paramètres!J33,Paramètres!$G$5:$G$57,0)))+IF(RIGHT(TRIM(Paramètres!K33),3)="Fin",1-$H1653,IF(LEFT(TRIM(Paramètres!K33),1)="F",1,0)))),IF(Paramètres!L33="",0,IF(Paramètres!M33="",NA(),IF(LEFT(TRIM(Paramètres!M33),1)="F",INDEX($F$1625:$F$1677,MATCH(Paramètres!L33,Paramètres!$G$5:$G$57,0)),INDEX($E$1625:$E$1677,MATCH(Paramètres!L33,Paramètres!$G$5:$G$57,0)))+IF(RIGHT(TRIM(Paramètres!M33),3)="Fin",1-$H1653,IF(LEFT(TRIM(Paramètres!M33),1)="F",1,0)))),IF(Paramètres!N33="",0,IF(Paramètres!O33="",NA(),IF(LEFT(TRIM(Paramètres!O33),1)="F",INDEX($F$1625:$F$1677,MATCH(Paramètres!N33,Paramètres!$G$5:$G$57,0)),INDEX($E$1625:$E$1677,MATCH(Paramètres!N33,Paramètres!$G$5:$G$57,0)))+IF(RIGHT(TRIM(Paramètres!O33),3)="Fin",1-$H1653,IF(LEFT(TRIM(Paramètres!O33),1)="F",1,0)))))))</f>
        <v/>
      </c>
      <c r="F1653" s="19">
        <f>IF($A1653="","",E1653+$H1653-1)</f>
        <v/>
      </c>
      <c r="G1653" s="18" t="n"/>
      <c r="H1653" s="18">
        <f>IF($A1653="","",IF(I1653&lt;&gt;"",I1653,Paramètres!B33))</f>
        <v/>
      </c>
      <c r="I1653" s="18" t="n"/>
    </row>
    <row r="1654">
      <c r="A1654" s="18">
        <f>IF(ISNUMBER(Dossiers!$D$34),Dossiers!$A$34&amp;" · "&amp;Dossiers!$B$34,"")</f>
        <v/>
      </c>
      <c r="B1654" s="18">
        <f>IF($A1654="","",Paramètres!G34)</f>
        <v/>
      </c>
      <c r="C1654" s="18">
        <f>IF($A1654="","",IF(Paramètres!H34="","",Paramètres!H34))</f>
        <v/>
      </c>
      <c r="D1654" s="18">
        <f>IF($A1654="","",IF(Paramètres!I34="","",Paramètres!I34))</f>
        <v/>
      </c>
      <c r="E1654" s="19">
        <f>IF($A1654="","",IF(Paramètres!J34&amp;Paramètres!L34&amp;Paramètres!N34="",Dossiers!$D$34,MAX(IF(Paramètres!J34="",0,IF(Paramètres!K34="",NA(),IF(LEFT(TRIM(Paramètres!K34),1)="F",INDEX($F$1625:$F$1677,MATCH(Paramètres!J34,Paramètres!$G$5:$G$57,0)),INDEX($E$1625:$E$1677,MATCH(Paramètres!J34,Paramètres!$G$5:$G$57,0)))+IF(RIGHT(TRIM(Paramètres!K34),3)="Fin",1-$H1654,IF(LEFT(TRIM(Paramètres!K34),1)="F",1,0)))),IF(Paramètres!L34="",0,IF(Paramètres!M34="",NA(),IF(LEFT(TRIM(Paramètres!M34),1)="F",INDEX($F$1625:$F$1677,MATCH(Paramètres!L34,Paramètres!$G$5:$G$57,0)),INDEX($E$1625:$E$1677,MATCH(Paramètres!L34,Paramètres!$G$5:$G$57,0)))+IF(RIGHT(TRIM(Paramètres!M34),3)="Fin",1-$H1654,IF(LEFT(TRIM(Paramètres!M34),1)="F",1,0)))),IF(Paramètres!N34="",0,IF(Paramètres!O34="",NA(),IF(LEFT(TRIM(Paramètres!O34),1)="F",INDEX($F$1625:$F$1677,MATCH(Paramètres!N34,Paramètres!$G$5:$G$57,0)),INDEX($E$1625:$E$1677,MATCH(Paramètres!N34,Paramètres!$G$5:$G$57,0)))+IF(RIGHT(TRIM(Paramètres!O34),3)="Fin",1-$H1654,IF(LEFT(TRIM(Paramètres!O34),1)="F",1,0)))))))</f>
        <v/>
      </c>
      <c r="F1654" s="19">
        <f>IF($A1654="","",E1654+$H1654-1)</f>
        <v/>
      </c>
      <c r="G1654" s="18" t="n"/>
      <c r="H1654" s="18">
        <f>IF($A1654="","",IF(I1654&lt;&gt;"",I1654,Paramètres!B34))</f>
        <v/>
      </c>
      <c r="I1654" s="18" t="n"/>
    </row>
    <row r="1655">
      <c r="A1655" s="18">
        <f>IF(ISNUMBER(Dossiers!$D$34),Dossiers!$A$34&amp;" · "&amp;Dossiers!$B$34,"")</f>
        <v/>
      </c>
      <c r="B1655" s="18">
        <f>IF($A1655="","",Paramètres!G35)</f>
        <v/>
      </c>
      <c r="C1655" s="18">
        <f>IF($A1655="","",IF(Paramètres!H35="","",Paramètres!H35))</f>
        <v/>
      </c>
      <c r="D1655" s="18">
        <f>IF($A1655="","",IF(Paramètres!I35="","",Paramètres!I35))</f>
        <v/>
      </c>
      <c r="E1655" s="19">
        <f>IF($A1655="","",IF(Paramètres!J35&amp;Paramètres!L35&amp;Paramètres!N35="",Dossiers!$D$34,MAX(IF(Paramètres!J35="",0,IF(Paramètres!K35="",NA(),IF(LEFT(TRIM(Paramètres!K35),1)="F",INDEX($F$1625:$F$1677,MATCH(Paramètres!J35,Paramètres!$G$5:$G$57,0)),INDEX($E$1625:$E$1677,MATCH(Paramètres!J35,Paramètres!$G$5:$G$57,0)))+IF(RIGHT(TRIM(Paramètres!K35),3)="Fin",1-$H1655,IF(LEFT(TRIM(Paramètres!K35),1)="F",1,0)))),IF(Paramètres!L35="",0,IF(Paramètres!M35="",NA(),IF(LEFT(TRIM(Paramètres!M35),1)="F",INDEX($F$1625:$F$1677,MATCH(Paramètres!L35,Paramètres!$G$5:$G$57,0)),INDEX($E$1625:$E$1677,MATCH(Paramètres!L35,Paramètres!$G$5:$G$57,0)))+IF(RIGHT(TRIM(Paramètres!M35),3)="Fin",1-$H1655,IF(LEFT(TRIM(Paramètres!M35),1)="F",1,0)))),IF(Paramètres!N35="",0,IF(Paramètres!O35="",NA(),IF(LEFT(TRIM(Paramètres!O35),1)="F",INDEX($F$1625:$F$1677,MATCH(Paramètres!N35,Paramètres!$G$5:$G$57,0)),INDEX($E$1625:$E$1677,MATCH(Paramètres!N35,Paramètres!$G$5:$G$57,0)))+IF(RIGHT(TRIM(Paramètres!O35),3)="Fin",1-$H1655,IF(LEFT(TRIM(Paramètres!O35),1)="F",1,0)))))))</f>
        <v/>
      </c>
      <c r="F1655" s="19">
        <f>IF($A1655="","",E1655+$H1655-1)</f>
        <v/>
      </c>
      <c r="G1655" s="18" t="n"/>
      <c r="H1655" s="18">
        <f>IF($A1655="","",IF(I1655&lt;&gt;"",I1655,Paramètres!B35))</f>
        <v/>
      </c>
      <c r="I1655" s="18" t="n"/>
    </row>
    <row r="1656">
      <c r="A1656" s="18">
        <f>IF(ISNUMBER(Dossiers!$D$34),Dossiers!$A$34&amp;" · "&amp;Dossiers!$B$34,"")</f>
        <v/>
      </c>
      <c r="B1656" s="18">
        <f>IF($A1656="","",Paramètres!G36)</f>
        <v/>
      </c>
      <c r="C1656" s="18">
        <f>IF($A1656="","",IF(Paramètres!H36="","",Paramètres!H36))</f>
        <v/>
      </c>
      <c r="D1656" s="18">
        <f>IF($A1656="","",IF(Paramètres!I36="","",Paramètres!I36))</f>
        <v/>
      </c>
      <c r="E1656" s="19">
        <f>IF($A1656="","",IF(Paramètres!J36&amp;Paramètres!L36&amp;Paramètres!N36="",Dossiers!$D$34,MAX(IF(Paramètres!J36="",0,IF(Paramètres!K36="",NA(),IF(LEFT(TRIM(Paramètres!K36),1)="F",INDEX($F$1625:$F$1677,MATCH(Paramètres!J36,Paramètres!$G$5:$G$57,0)),INDEX($E$1625:$E$1677,MATCH(Paramètres!J36,Paramètres!$G$5:$G$57,0)))+IF(RIGHT(TRIM(Paramètres!K36),3)="Fin",1-$H1656,IF(LEFT(TRIM(Paramètres!K36),1)="F",1,0)))),IF(Paramètres!L36="",0,IF(Paramètres!M36="",NA(),IF(LEFT(TRIM(Paramètres!M36),1)="F",INDEX($F$1625:$F$1677,MATCH(Paramètres!L36,Paramètres!$G$5:$G$57,0)),INDEX($E$1625:$E$1677,MATCH(Paramètres!L36,Paramètres!$G$5:$G$57,0)))+IF(RIGHT(TRIM(Paramètres!M36),3)="Fin",1-$H1656,IF(LEFT(TRIM(Paramètres!M36),1)="F",1,0)))),IF(Paramètres!N36="",0,IF(Paramètres!O36="",NA(),IF(LEFT(TRIM(Paramètres!O36),1)="F",INDEX($F$1625:$F$1677,MATCH(Paramètres!N36,Paramètres!$G$5:$G$57,0)),INDEX($E$1625:$E$1677,MATCH(Paramètres!N36,Paramètres!$G$5:$G$57,0)))+IF(RIGHT(TRIM(Paramètres!O36),3)="Fin",1-$H1656,IF(LEFT(TRIM(Paramètres!O36),1)="F",1,0)))))))</f>
        <v/>
      </c>
      <c r="F1656" s="19">
        <f>IF($A1656="","",E1656+$H1656-1)</f>
        <v/>
      </c>
      <c r="G1656" s="18" t="n"/>
      <c r="H1656" s="18">
        <f>IF($A1656="","",IF(I1656&lt;&gt;"",I1656,Paramètres!B36))</f>
        <v/>
      </c>
      <c r="I1656" s="18" t="n"/>
    </row>
    <row r="1657">
      <c r="A1657" s="18">
        <f>IF(ISNUMBER(Dossiers!$D$34),Dossiers!$A$34&amp;" · "&amp;Dossiers!$B$34,"")</f>
        <v/>
      </c>
      <c r="B1657" s="18">
        <f>IF($A1657="","",Paramètres!G37)</f>
        <v/>
      </c>
      <c r="C1657" s="18">
        <f>IF($A1657="","",IF(Paramètres!H37="","",Paramètres!H37))</f>
        <v/>
      </c>
      <c r="D1657" s="18">
        <f>IF($A1657="","",IF(Paramètres!I37="","",Paramètres!I37))</f>
        <v/>
      </c>
      <c r="E1657" s="19">
        <f>IF($A1657="","",MIN(E1658:E1675))</f>
        <v/>
      </c>
      <c r="F1657" s="19">
        <f>IF($A1657="","",MAX(F1658:F1675))</f>
        <v/>
      </c>
      <c r="G1657" s="18" t="n"/>
      <c r="H1657" s="18">
        <f>IF($A1657="","",F1657-E1657+1)</f>
        <v/>
      </c>
      <c r="I1657" s="18" t="n"/>
    </row>
    <row r="1658">
      <c r="A1658" s="18">
        <f>IF(ISNUMBER(Dossiers!$D$34),Dossiers!$A$34&amp;" · "&amp;Dossiers!$B$34,"")</f>
        <v/>
      </c>
      <c r="B1658" s="18">
        <f>IF($A1658="","",Paramètres!G38)</f>
        <v/>
      </c>
      <c r="C1658" s="18">
        <f>IF($A1658="","",IF(Paramètres!H38="","",Paramètres!H38))</f>
        <v/>
      </c>
      <c r="D1658" s="18">
        <f>IF($A1658="","",IF(Paramètres!I38="","",Paramètres!I38))</f>
        <v/>
      </c>
      <c r="E1658" s="19">
        <f>IF($A1658="","",IF(Paramètres!J38&amp;Paramètres!L38&amp;Paramètres!N38="",Dossiers!$D$34,MAX(IF(Paramètres!J38="",0,IF(Paramètres!K38="",NA(),IF(LEFT(TRIM(Paramètres!K38),1)="F",INDEX($F$1625:$F$1677,MATCH(Paramètres!J38,Paramètres!$G$5:$G$57,0)),INDEX($E$1625:$E$1677,MATCH(Paramètres!J38,Paramètres!$G$5:$G$57,0)))+IF(RIGHT(TRIM(Paramètres!K38),3)="Fin",1-$H1658,IF(LEFT(TRIM(Paramètres!K38),1)="F",1,0)))),IF(Paramètres!L38="",0,IF(Paramètres!M38="",NA(),IF(LEFT(TRIM(Paramètres!M38),1)="F",INDEX($F$1625:$F$1677,MATCH(Paramètres!L38,Paramètres!$G$5:$G$57,0)),INDEX($E$1625:$E$1677,MATCH(Paramètres!L38,Paramètres!$G$5:$G$57,0)))+IF(RIGHT(TRIM(Paramètres!M38),3)="Fin",1-$H1658,IF(LEFT(TRIM(Paramètres!M38),1)="F",1,0)))),IF(Paramètres!N38="",0,IF(Paramètres!O38="",NA(),IF(LEFT(TRIM(Paramètres!O38),1)="F",INDEX($F$1625:$F$1677,MATCH(Paramètres!N38,Paramètres!$G$5:$G$57,0)),INDEX($E$1625:$E$1677,MATCH(Paramètres!N38,Paramètres!$G$5:$G$57,0)))+IF(RIGHT(TRIM(Paramètres!O38),3)="Fin",1-$H1658,IF(LEFT(TRIM(Paramètres!O38),1)="F",1,0)))))))</f>
        <v/>
      </c>
      <c r="F1658" s="19">
        <f>IF($A1658="","",E1658+$H1658-1)</f>
        <v/>
      </c>
      <c r="G1658" s="18" t="n"/>
      <c r="H1658" s="18">
        <f>IF($A1658="","",IF(I1658&lt;&gt;"",I1658,Paramètres!B38))</f>
        <v/>
      </c>
      <c r="I1658" s="18" t="n"/>
    </row>
    <row r="1659">
      <c r="A1659" s="18">
        <f>IF(ISNUMBER(Dossiers!$D$34),Dossiers!$A$34&amp;" · "&amp;Dossiers!$B$34,"")</f>
        <v/>
      </c>
      <c r="B1659" s="18">
        <f>IF($A1659="","",Paramètres!G39)</f>
        <v/>
      </c>
      <c r="C1659" s="18">
        <f>IF($A1659="","",IF(Paramètres!H39="","",Paramètres!H39))</f>
        <v/>
      </c>
      <c r="D1659" s="18">
        <f>IF($A1659="","",IF(Paramètres!I39="","",Paramètres!I39))</f>
        <v/>
      </c>
      <c r="E1659" s="19">
        <f>IF($A1659="","",IF(Paramètres!J39&amp;Paramètres!L39&amp;Paramètres!N39="",Dossiers!$D$34,MAX(IF(Paramètres!J39="",0,IF(Paramètres!K39="",NA(),IF(LEFT(TRIM(Paramètres!K39),1)="F",INDEX($F$1625:$F$1677,MATCH(Paramètres!J39,Paramètres!$G$5:$G$57,0)),INDEX($E$1625:$E$1677,MATCH(Paramètres!J39,Paramètres!$G$5:$G$57,0)))+IF(RIGHT(TRIM(Paramètres!K39),3)="Fin",1-$H1659,IF(LEFT(TRIM(Paramètres!K39),1)="F",1,0)))),IF(Paramètres!L39="",0,IF(Paramètres!M39="",NA(),IF(LEFT(TRIM(Paramètres!M39),1)="F",INDEX($F$1625:$F$1677,MATCH(Paramètres!L39,Paramètres!$G$5:$G$57,0)),INDEX($E$1625:$E$1677,MATCH(Paramètres!L39,Paramètres!$G$5:$G$57,0)))+IF(RIGHT(TRIM(Paramètres!M39),3)="Fin",1-$H1659,IF(LEFT(TRIM(Paramètres!M39),1)="F",1,0)))),IF(Paramètres!N39="",0,IF(Paramètres!O39="",NA(),IF(LEFT(TRIM(Paramètres!O39),1)="F",INDEX($F$1625:$F$1677,MATCH(Paramètres!N39,Paramètres!$G$5:$G$57,0)),INDEX($E$1625:$E$1677,MATCH(Paramètres!N39,Paramètres!$G$5:$G$57,0)))+IF(RIGHT(TRIM(Paramètres!O39),3)="Fin",1-$H1659,IF(LEFT(TRIM(Paramètres!O39),1)="F",1,0)))))))</f>
        <v/>
      </c>
      <c r="F1659" s="19">
        <f>IF($A1659="","",E1659+$H1659-1)</f>
        <v/>
      </c>
      <c r="G1659" s="18" t="n"/>
      <c r="H1659" s="18">
        <f>IF($A1659="","",IF(I1659&lt;&gt;"",I1659,Paramètres!B39))</f>
        <v/>
      </c>
      <c r="I1659" s="18" t="n"/>
    </row>
    <row r="1660">
      <c r="A1660" s="18">
        <f>IF(ISNUMBER(Dossiers!$D$34),Dossiers!$A$34&amp;" · "&amp;Dossiers!$B$34,"")</f>
        <v/>
      </c>
      <c r="B1660" s="18">
        <f>IF($A1660="","",Paramètres!G40)</f>
        <v/>
      </c>
      <c r="C1660" s="18">
        <f>IF($A1660="","",IF(Paramètres!H40="","",Paramètres!H40))</f>
        <v/>
      </c>
      <c r="D1660" s="18">
        <f>IF($A1660="","",IF(Paramètres!I40="","",Paramètres!I40))</f>
        <v/>
      </c>
      <c r="E1660" s="19">
        <f>IF($A1660="","",IF(Paramètres!J40&amp;Paramètres!L40&amp;Paramètres!N40="",Dossiers!$D$34,MAX(IF(Paramètres!J40="",0,IF(Paramètres!K40="",NA(),IF(LEFT(TRIM(Paramètres!K40),1)="F",INDEX($F$1625:$F$1677,MATCH(Paramètres!J40,Paramètres!$G$5:$G$57,0)),INDEX($E$1625:$E$1677,MATCH(Paramètres!J40,Paramètres!$G$5:$G$57,0)))+IF(RIGHT(TRIM(Paramètres!K40),3)="Fin",1-$H1660,IF(LEFT(TRIM(Paramètres!K40),1)="F",1,0)))),IF(Paramètres!L40="",0,IF(Paramètres!M40="",NA(),IF(LEFT(TRIM(Paramètres!M40),1)="F",INDEX($F$1625:$F$1677,MATCH(Paramètres!L40,Paramètres!$G$5:$G$57,0)),INDEX($E$1625:$E$1677,MATCH(Paramètres!L40,Paramètres!$G$5:$G$57,0)))+IF(RIGHT(TRIM(Paramètres!M40),3)="Fin",1-$H1660,IF(LEFT(TRIM(Paramètres!M40),1)="F",1,0)))),IF(Paramètres!N40="",0,IF(Paramètres!O40="",NA(),IF(LEFT(TRIM(Paramètres!O40),1)="F",INDEX($F$1625:$F$1677,MATCH(Paramètres!N40,Paramètres!$G$5:$G$57,0)),INDEX($E$1625:$E$1677,MATCH(Paramètres!N40,Paramètres!$G$5:$G$57,0)))+IF(RIGHT(TRIM(Paramètres!O40),3)="Fin",1-$H1660,IF(LEFT(TRIM(Paramètres!O40),1)="F",1,0)))))))</f>
        <v/>
      </c>
      <c r="F1660" s="19">
        <f>IF($A1660="","",E1660+$H1660-1)</f>
        <v/>
      </c>
      <c r="G1660" s="18" t="n"/>
      <c r="H1660" s="18">
        <f>IF($A1660="","",IF(I1660&lt;&gt;"",I1660,Paramètres!B40))</f>
        <v/>
      </c>
      <c r="I1660" s="18" t="n"/>
    </row>
    <row r="1661">
      <c r="A1661" s="18">
        <f>IF(ISNUMBER(Dossiers!$D$34),Dossiers!$A$34&amp;" · "&amp;Dossiers!$B$34,"")</f>
        <v/>
      </c>
      <c r="B1661" s="18">
        <f>IF($A1661="","",Paramètres!G41)</f>
        <v/>
      </c>
      <c r="C1661" s="18">
        <f>IF($A1661="","",IF(Paramètres!H41="","",Paramètres!H41))</f>
        <v/>
      </c>
      <c r="D1661" s="18">
        <f>IF($A1661="","",IF(Paramètres!I41="","",Paramètres!I41))</f>
        <v/>
      </c>
      <c r="E1661" s="19">
        <f>IF($A1661="","",IF(Paramètres!J41&amp;Paramètres!L41&amp;Paramètres!N41="",Dossiers!$D$34,MAX(IF(Paramètres!J41="",0,IF(Paramètres!K41="",NA(),IF(LEFT(TRIM(Paramètres!K41),1)="F",INDEX($F$1625:$F$1677,MATCH(Paramètres!J41,Paramètres!$G$5:$G$57,0)),INDEX($E$1625:$E$1677,MATCH(Paramètres!J41,Paramètres!$G$5:$G$57,0)))+IF(RIGHT(TRIM(Paramètres!K41),3)="Fin",1-$H1661,IF(LEFT(TRIM(Paramètres!K41),1)="F",1,0)))),IF(Paramètres!L41="",0,IF(Paramètres!M41="",NA(),IF(LEFT(TRIM(Paramètres!M41),1)="F",INDEX($F$1625:$F$1677,MATCH(Paramètres!L41,Paramètres!$G$5:$G$57,0)),INDEX($E$1625:$E$1677,MATCH(Paramètres!L41,Paramètres!$G$5:$G$57,0)))+IF(RIGHT(TRIM(Paramètres!M41),3)="Fin",1-$H1661,IF(LEFT(TRIM(Paramètres!M41),1)="F",1,0)))),IF(Paramètres!N41="",0,IF(Paramètres!O41="",NA(),IF(LEFT(TRIM(Paramètres!O41),1)="F",INDEX($F$1625:$F$1677,MATCH(Paramètres!N41,Paramètres!$G$5:$G$57,0)),INDEX($E$1625:$E$1677,MATCH(Paramètres!N41,Paramètres!$G$5:$G$57,0)))+IF(RIGHT(TRIM(Paramètres!O41),3)="Fin",1-$H1661,IF(LEFT(TRIM(Paramètres!O41),1)="F",1,0)))))))</f>
        <v/>
      </c>
      <c r="F1661" s="19">
        <f>IF($A1661="","",E1661+$H1661-1)</f>
        <v/>
      </c>
      <c r="G1661" s="18" t="n"/>
      <c r="H1661" s="18">
        <f>IF($A1661="","",IF(I1661&lt;&gt;"",I1661,Paramètres!B41))</f>
        <v/>
      </c>
      <c r="I1661" s="18" t="n"/>
    </row>
    <row r="1662">
      <c r="A1662" s="18">
        <f>IF(ISNUMBER(Dossiers!$D$34),Dossiers!$A$34&amp;" · "&amp;Dossiers!$B$34,"")</f>
        <v/>
      </c>
      <c r="B1662" s="18">
        <f>IF($A1662="","",Paramètres!G42)</f>
        <v/>
      </c>
      <c r="C1662" s="18">
        <f>IF($A1662="","",IF(Paramètres!H42="","",Paramètres!H42))</f>
        <v/>
      </c>
      <c r="D1662" s="18">
        <f>IF($A1662="","",IF(Paramètres!I42="","",Paramètres!I42))</f>
        <v/>
      </c>
      <c r="E1662" s="19">
        <f>IF($A1662="","",IF(Paramètres!J42&amp;Paramètres!L42&amp;Paramètres!N42="",Dossiers!$D$34,MAX(IF(Paramètres!J42="",0,IF(Paramètres!K42="",NA(),IF(LEFT(TRIM(Paramètres!K42),1)="F",INDEX($F$1625:$F$1677,MATCH(Paramètres!J42,Paramètres!$G$5:$G$57,0)),INDEX($E$1625:$E$1677,MATCH(Paramètres!J42,Paramètres!$G$5:$G$57,0)))+IF(RIGHT(TRIM(Paramètres!K42),3)="Fin",1-$H1662,IF(LEFT(TRIM(Paramètres!K42),1)="F",1,0)))),IF(Paramètres!L42="",0,IF(Paramètres!M42="",NA(),IF(LEFT(TRIM(Paramètres!M42),1)="F",INDEX($F$1625:$F$1677,MATCH(Paramètres!L42,Paramètres!$G$5:$G$57,0)),INDEX($E$1625:$E$1677,MATCH(Paramètres!L42,Paramètres!$G$5:$G$57,0)))+IF(RIGHT(TRIM(Paramètres!M42),3)="Fin",1-$H1662,IF(LEFT(TRIM(Paramètres!M42),1)="F",1,0)))),IF(Paramètres!N42="",0,IF(Paramètres!O42="",NA(),IF(LEFT(TRIM(Paramètres!O42),1)="F",INDEX($F$1625:$F$1677,MATCH(Paramètres!N42,Paramètres!$G$5:$G$57,0)),INDEX($E$1625:$E$1677,MATCH(Paramètres!N42,Paramètres!$G$5:$G$57,0)))+IF(RIGHT(TRIM(Paramètres!O42),3)="Fin",1-$H1662,IF(LEFT(TRIM(Paramètres!O42),1)="F",1,0)))))))</f>
        <v/>
      </c>
      <c r="F1662" s="19">
        <f>IF($A1662="","",E1662+$H1662-1)</f>
        <v/>
      </c>
      <c r="G1662" s="18" t="n"/>
      <c r="H1662" s="18">
        <f>IF($A1662="","",IF(I1662&lt;&gt;"",I1662,Paramètres!B42))</f>
        <v/>
      </c>
      <c r="I1662" s="18" t="n"/>
    </row>
    <row r="1663">
      <c r="A1663" s="18">
        <f>IF(ISNUMBER(Dossiers!$D$34),Dossiers!$A$34&amp;" · "&amp;Dossiers!$B$34,"")</f>
        <v/>
      </c>
      <c r="B1663" s="18">
        <f>IF($A1663="","",Paramètres!G43)</f>
        <v/>
      </c>
      <c r="C1663" s="18">
        <f>IF($A1663="","",IF(Paramètres!H43="","",Paramètres!H43))</f>
        <v/>
      </c>
      <c r="D1663" s="18">
        <f>IF($A1663="","",IF(Paramètres!I43="","",Paramètres!I43))</f>
        <v/>
      </c>
      <c r="E1663" s="19">
        <f>IF($A1663="","",IF(Paramètres!J43&amp;Paramètres!L43&amp;Paramètres!N43="",Dossiers!$D$34,MAX(IF(Paramètres!J43="",0,IF(Paramètres!K43="",NA(),IF(LEFT(TRIM(Paramètres!K43),1)="F",INDEX($F$1625:$F$1677,MATCH(Paramètres!J43,Paramètres!$G$5:$G$57,0)),INDEX($E$1625:$E$1677,MATCH(Paramètres!J43,Paramètres!$G$5:$G$57,0)))+IF(RIGHT(TRIM(Paramètres!K43),3)="Fin",1-$H1663,IF(LEFT(TRIM(Paramètres!K43),1)="F",1,0)))),IF(Paramètres!L43="",0,IF(Paramètres!M43="",NA(),IF(LEFT(TRIM(Paramètres!M43),1)="F",INDEX($F$1625:$F$1677,MATCH(Paramètres!L43,Paramètres!$G$5:$G$57,0)),INDEX($E$1625:$E$1677,MATCH(Paramètres!L43,Paramètres!$G$5:$G$57,0)))+IF(RIGHT(TRIM(Paramètres!M43),3)="Fin",1-$H1663,IF(LEFT(TRIM(Paramètres!M43),1)="F",1,0)))),IF(Paramètres!N43="",0,IF(Paramètres!O43="",NA(),IF(LEFT(TRIM(Paramètres!O43),1)="F",INDEX($F$1625:$F$1677,MATCH(Paramètres!N43,Paramètres!$G$5:$G$57,0)),INDEX($E$1625:$E$1677,MATCH(Paramètres!N43,Paramètres!$G$5:$G$57,0)))+IF(RIGHT(TRIM(Paramètres!O43),3)="Fin",1-$H1663,IF(LEFT(TRIM(Paramètres!O43),1)="F",1,0)))))))</f>
        <v/>
      </c>
      <c r="F1663" s="19">
        <f>IF($A1663="","",E1663+$H1663-1)</f>
        <v/>
      </c>
      <c r="G1663" s="18" t="n"/>
      <c r="H1663" s="18">
        <f>IF($A1663="","",IF(I1663&lt;&gt;"",I1663,Paramètres!B43))</f>
        <v/>
      </c>
      <c r="I1663" s="18" t="n"/>
    </row>
    <row r="1664">
      <c r="A1664" s="18">
        <f>IF(ISNUMBER(Dossiers!$D$34),Dossiers!$A$34&amp;" · "&amp;Dossiers!$B$34,"")</f>
        <v/>
      </c>
      <c r="B1664" s="18">
        <f>IF($A1664="","",Paramètres!G44)</f>
        <v/>
      </c>
      <c r="C1664" s="18">
        <f>IF($A1664="","",IF(Paramètres!H44="","",Paramètres!H44))</f>
        <v/>
      </c>
      <c r="D1664" s="18">
        <f>IF($A1664="","",IF(Paramètres!I44="","",Paramètres!I44))</f>
        <v/>
      </c>
      <c r="E1664" s="19">
        <f>IF($A1664="","",IF(Paramètres!J44&amp;Paramètres!L44&amp;Paramètres!N44="",Dossiers!$D$34,MAX(IF(Paramètres!J44="",0,IF(Paramètres!K44="",NA(),IF(LEFT(TRIM(Paramètres!K44),1)="F",INDEX($F$1625:$F$1677,MATCH(Paramètres!J44,Paramètres!$G$5:$G$57,0)),INDEX($E$1625:$E$1677,MATCH(Paramètres!J44,Paramètres!$G$5:$G$57,0)))+IF(RIGHT(TRIM(Paramètres!K44),3)="Fin",1-$H1664,IF(LEFT(TRIM(Paramètres!K44),1)="F",1,0)))),IF(Paramètres!L44="",0,IF(Paramètres!M44="",NA(),IF(LEFT(TRIM(Paramètres!M44),1)="F",INDEX($F$1625:$F$1677,MATCH(Paramètres!L44,Paramètres!$G$5:$G$57,0)),INDEX($E$1625:$E$1677,MATCH(Paramètres!L44,Paramètres!$G$5:$G$57,0)))+IF(RIGHT(TRIM(Paramètres!M44),3)="Fin",1-$H1664,IF(LEFT(TRIM(Paramètres!M44),1)="F",1,0)))),IF(Paramètres!N44="",0,IF(Paramètres!O44="",NA(),IF(LEFT(TRIM(Paramètres!O44),1)="F",INDEX($F$1625:$F$1677,MATCH(Paramètres!N44,Paramètres!$G$5:$G$57,0)),INDEX($E$1625:$E$1677,MATCH(Paramètres!N44,Paramètres!$G$5:$G$57,0)))+IF(RIGHT(TRIM(Paramètres!O44),3)="Fin",1-$H1664,IF(LEFT(TRIM(Paramètres!O44),1)="F",1,0)))))))</f>
        <v/>
      </c>
      <c r="F1664" s="19">
        <f>IF($A1664="","",E1664+$H1664-1)</f>
        <v/>
      </c>
      <c r="G1664" s="18" t="n"/>
      <c r="H1664" s="18">
        <f>IF($A1664="","",IF(I1664&lt;&gt;"",I1664,Paramètres!B44))</f>
        <v/>
      </c>
      <c r="I1664" s="18" t="n"/>
    </row>
    <row r="1665">
      <c r="A1665" s="18">
        <f>IF(ISNUMBER(Dossiers!$D$34),Dossiers!$A$34&amp;" · "&amp;Dossiers!$B$34,"")</f>
        <v/>
      </c>
      <c r="B1665" s="18">
        <f>IF($A1665="","",Paramètres!G45)</f>
        <v/>
      </c>
      <c r="C1665" s="20">
        <f>IF($A1665="","",IF(Dossiers!$G$34="","",Dossiers!$G$34))</f>
        <v/>
      </c>
      <c r="D1665" s="18">
        <f>IF($A1665="","",IF(Paramètres!I45="","",Paramètres!I45))</f>
        <v/>
      </c>
      <c r="E1665" s="19">
        <f>IF($A1665="","",IF(Paramètres!J45&amp;Paramètres!L45&amp;Paramètres!N45="",Dossiers!$D$34,MAX(IF(Paramètres!J45="",0,IF(Paramètres!K45="",NA(),IF(LEFT(TRIM(Paramètres!K45),1)="F",INDEX($F$1625:$F$1677,MATCH(Paramètres!J45,Paramètres!$G$5:$G$57,0)),INDEX($E$1625:$E$1677,MATCH(Paramètres!J45,Paramètres!$G$5:$G$57,0)))+IF(RIGHT(TRIM(Paramètres!K45),3)="Fin",1-$H1665,IF(LEFT(TRIM(Paramètres!K45),1)="F",1,0)))),IF(Paramètres!L45="",0,IF(Paramètres!M45="",NA(),IF(LEFT(TRIM(Paramètres!M45),1)="F",INDEX($F$1625:$F$1677,MATCH(Paramètres!L45,Paramètres!$G$5:$G$57,0)),INDEX($E$1625:$E$1677,MATCH(Paramètres!L45,Paramètres!$G$5:$G$57,0)))+IF(RIGHT(TRIM(Paramètres!M45),3)="Fin",1-$H1665,IF(LEFT(TRIM(Paramètres!M45),1)="F",1,0)))),IF(Paramètres!N45="",0,IF(Paramètres!O45="",NA(),IF(LEFT(TRIM(Paramètres!O45),1)="F",INDEX($F$1625:$F$1677,MATCH(Paramètres!N45,Paramètres!$G$5:$G$57,0)),INDEX($E$1625:$E$1677,MATCH(Paramètres!N45,Paramètres!$G$5:$G$57,0)))+IF(RIGHT(TRIM(Paramètres!O45),3)="Fin",1-$H1665,IF(LEFT(TRIM(Paramètres!O45),1)="F",1,0)))))))</f>
        <v/>
      </c>
      <c r="F1665" s="19">
        <f>IF($A1665="","",E1665+$H1665-1)</f>
        <v/>
      </c>
      <c r="G1665" s="18" t="n"/>
      <c r="H1665" s="18">
        <f>IF($A1665="","",IF(I1665&lt;&gt;"",I1665,Paramètres!B45))</f>
        <v/>
      </c>
      <c r="I1665" s="18" t="n"/>
    </row>
    <row r="1666">
      <c r="A1666" s="18">
        <f>IF(ISNUMBER(Dossiers!$D$34),Dossiers!$A$34&amp;" · "&amp;Dossiers!$B$34,"")</f>
        <v/>
      </c>
      <c r="B1666" s="18">
        <f>IF($A1666="","",Paramètres!G46)</f>
        <v/>
      </c>
      <c r="C1666" s="18">
        <f>IF($A1666="","",IF(Paramètres!H46="","",Paramètres!H46))</f>
        <v/>
      </c>
      <c r="D1666" s="18">
        <f>IF($A1666="","",IF(Paramètres!I46="","",Paramètres!I46))</f>
        <v/>
      </c>
      <c r="E1666" s="19">
        <f>IF($A1666="","",IF(Paramètres!J46&amp;Paramètres!L46&amp;Paramètres!N46="",Dossiers!$D$34,MAX(IF(Paramètres!J46="",0,IF(Paramètres!K46="",NA(),IF(LEFT(TRIM(Paramètres!K46),1)="F",INDEX($F$1625:$F$1677,MATCH(Paramètres!J46,Paramètres!$G$5:$G$57,0)),INDEX($E$1625:$E$1677,MATCH(Paramètres!J46,Paramètres!$G$5:$G$57,0)))+IF(RIGHT(TRIM(Paramètres!K46),3)="Fin",1-$H1666,IF(LEFT(TRIM(Paramètres!K46),1)="F",1,0)))),IF(Paramètres!L46="",0,IF(Paramètres!M46="",NA(),IF(LEFT(TRIM(Paramètres!M46),1)="F",INDEX($F$1625:$F$1677,MATCH(Paramètres!L46,Paramètres!$G$5:$G$57,0)),INDEX($E$1625:$E$1677,MATCH(Paramètres!L46,Paramètres!$G$5:$G$57,0)))+IF(RIGHT(TRIM(Paramètres!M46),3)="Fin",1-$H1666,IF(LEFT(TRIM(Paramètres!M46),1)="F",1,0)))),IF(Paramètres!N46="",0,IF(Paramètres!O46="",NA(),IF(LEFT(TRIM(Paramètres!O46),1)="F",INDEX($F$1625:$F$1677,MATCH(Paramètres!N46,Paramètres!$G$5:$G$57,0)),INDEX($E$1625:$E$1677,MATCH(Paramètres!N46,Paramètres!$G$5:$G$57,0)))+IF(RIGHT(TRIM(Paramètres!O46),3)="Fin",1-$H1666,IF(LEFT(TRIM(Paramètres!O46),1)="F",1,0)))))))</f>
        <v/>
      </c>
      <c r="F1666" s="19">
        <f>IF($A1666="","",E1666+$H1666-1)</f>
        <v/>
      </c>
      <c r="G1666" s="18" t="n"/>
      <c r="H1666" s="18">
        <f>IF($A1666="","",IF(I1666&lt;&gt;"",I1666,Paramètres!B46))</f>
        <v/>
      </c>
      <c r="I1666" s="18" t="n"/>
    </row>
    <row r="1667">
      <c r="A1667" s="18">
        <f>IF(ISNUMBER(Dossiers!$D$34),Dossiers!$A$34&amp;" · "&amp;Dossiers!$B$34,"")</f>
        <v/>
      </c>
      <c r="B1667" s="18">
        <f>IF($A1667="","",Paramètres!G47)</f>
        <v/>
      </c>
      <c r="C1667" s="18">
        <f>IF($A1667="","",IF(Paramètres!H47="","",Paramètres!H47))</f>
        <v/>
      </c>
      <c r="D1667" s="18">
        <f>IF($A1667="","",IF(Paramètres!I47="","",Paramètres!I47))</f>
        <v/>
      </c>
      <c r="E1667" s="19">
        <f>IF($A1667="","",IF(Paramètres!J47&amp;Paramètres!L47&amp;Paramètres!N47="",Dossiers!$D$34,MAX(IF(Paramètres!J47="",0,IF(Paramètres!K47="",NA(),IF(LEFT(TRIM(Paramètres!K47),1)="F",INDEX($F$1625:$F$1677,MATCH(Paramètres!J47,Paramètres!$G$5:$G$57,0)),INDEX($E$1625:$E$1677,MATCH(Paramètres!J47,Paramètres!$G$5:$G$57,0)))+IF(RIGHT(TRIM(Paramètres!K47),3)="Fin",1-$H1667,IF(LEFT(TRIM(Paramètres!K47),1)="F",1,0)))),IF(Paramètres!L47="",0,IF(Paramètres!M47="",NA(),IF(LEFT(TRIM(Paramètres!M47),1)="F",INDEX($F$1625:$F$1677,MATCH(Paramètres!L47,Paramètres!$G$5:$G$57,0)),INDEX($E$1625:$E$1677,MATCH(Paramètres!L47,Paramètres!$G$5:$G$57,0)))+IF(RIGHT(TRIM(Paramètres!M47),3)="Fin",1-$H1667,IF(LEFT(TRIM(Paramètres!M47),1)="F",1,0)))),IF(Paramètres!N47="",0,IF(Paramètres!O47="",NA(),IF(LEFT(TRIM(Paramètres!O47),1)="F",INDEX($F$1625:$F$1677,MATCH(Paramètres!N47,Paramètres!$G$5:$G$57,0)),INDEX($E$1625:$E$1677,MATCH(Paramètres!N47,Paramètres!$G$5:$G$57,0)))+IF(RIGHT(TRIM(Paramètres!O47),3)="Fin",1-$H1667,IF(LEFT(TRIM(Paramètres!O47),1)="F",1,0)))))))</f>
        <v/>
      </c>
      <c r="F1667" s="19">
        <f>IF($A1667="","",E1667+$H1667-1)</f>
        <v/>
      </c>
      <c r="G1667" s="18" t="n"/>
      <c r="H1667" s="18">
        <f>IF($A1667="","",IF(I1667&lt;&gt;"",I1667,Paramètres!B47))</f>
        <v/>
      </c>
      <c r="I1667" s="18" t="n"/>
    </row>
    <row r="1668">
      <c r="A1668" s="18">
        <f>IF(ISNUMBER(Dossiers!$D$34),Dossiers!$A$34&amp;" · "&amp;Dossiers!$B$34,"")</f>
        <v/>
      </c>
      <c r="B1668" s="18">
        <f>IF($A1668="","",Paramètres!G48)</f>
        <v/>
      </c>
      <c r="C1668" s="18">
        <f>IF($A1668="","",IF(Paramètres!H48="","",Paramètres!H48))</f>
        <v/>
      </c>
      <c r="D1668" s="18">
        <f>IF($A1668="","",IF(Paramètres!I48="","",Paramètres!I48))</f>
        <v/>
      </c>
      <c r="E1668" s="19">
        <f>IF($A1668="","",IF(Paramètres!J48&amp;Paramètres!L48&amp;Paramètres!N48="",Dossiers!$D$34,MAX(IF(Paramètres!J48="",0,IF(Paramètres!K48="",NA(),IF(LEFT(TRIM(Paramètres!K48),1)="F",INDEX($F$1625:$F$1677,MATCH(Paramètres!J48,Paramètres!$G$5:$G$57,0)),INDEX($E$1625:$E$1677,MATCH(Paramètres!J48,Paramètres!$G$5:$G$57,0)))+IF(RIGHT(TRIM(Paramètres!K48),3)="Fin",1-$H1668,IF(LEFT(TRIM(Paramètres!K48),1)="F",1,0)))),IF(Paramètres!L48="",0,IF(Paramètres!M48="",NA(),IF(LEFT(TRIM(Paramètres!M48),1)="F",INDEX($F$1625:$F$1677,MATCH(Paramètres!L48,Paramètres!$G$5:$G$57,0)),INDEX($E$1625:$E$1677,MATCH(Paramètres!L48,Paramètres!$G$5:$G$57,0)))+IF(RIGHT(TRIM(Paramètres!M48),3)="Fin",1-$H1668,IF(LEFT(TRIM(Paramètres!M48),1)="F",1,0)))),IF(Paramètres!N48="",0,IF(Paramètres!O48="",NA(),IF(LEFT(TRIM(Paramètres!O48),1)="F",INDEX($F$1625:$F$1677,MATCH(Paramètres!N48,Paramètres!$G$5:$G$57,0)),INDEX($E$1625:$E$1677,MATCH(Paramètres!N48,Paramètres!$G$5:$G$57,0)))+IF(RIGHT(TRIM(Paramètres!O48),3)="Fin",1-$H1668,IF(LEFT(TRIM(Paramètres!O48),1)="F",1,0)))))))</f>
        <v/>
      </c>
      <c r="F1668" s="19">
        <f>IF($A1668="","",E1668+$H1668-1)</f>
        <v/>
      </c>
      <c r="G1668" s="18" t="n"/>
      <c r="H1668" s="18">
        <f>IF($A1668="","",IF(I1668&lt;&gt;"",I1668,Paramètres!B48))</f>
        <v/>
      </c>
      <c r="I1668" s="18" t="n"/>
    </row>
    <row r="1669">
      <c r="A1669" s="18">
        <f>IF(ISNUMBER(Dossiers!$D$34),Dossiers!$A$34&amp;" · "&amp;Dossiers!$B$34,"")</f>
        <v/>
      </c>
      <c r="B1669" s="18">
        <f>IF($A1669="","",Paramètres!G49)</f>
        <v/>
      </c>
      <c r="C1669" s="18">
        <f>IF($A1669="","",IF(Paramètres!H49="","",Paramètres!H49))</f>
        <v/>
      </c>
      <c r="D1669" s="18">
        <f>IF($A1669="","",IF(Paramètres!I49="","",Paramètres!I49))</f>
        <v/>
      </c>
      <c r="E1669" s="19">
        <f>IF($A1669="","",IF(Paramètres!J49&amp;Paramètres!L49&amp;Paramètres!N49="",Dossiers!$D$34,MAX(IF(Paramètres!J49="",0,IF(Paramètres!K49="",NA(),IF(LEFT(TRIM(Paramètres!K49),1)="F",INDEX($F$1625:$F$1677,MATCH(Paramètres!J49,Paramètres!$G$5:$G$57,0)),INDEX($E$1625:$E$1677,MATCH(Paramètres!J49,Paramètres!$G$5:$G$57,0)))+IF(RIGHT(TRIM(Paramètres!K49),3)="Fin",1-$H1669,IF(LEFT(TRIM(Paramètres!K49),1)="F",1,0)))),IF(Paramètres!L49="",0,IF(Paramètres!M49="",NA(),IF(LEFT(TRIM(Paramètres!M49),1)="F",INDEX($F$1625:$F$1677,MATCH(Paramètres!L49,Paramètres!$G$5:$G$57,0)),INDEX($E$1625:$E$1677,MATCH(Paramètres!L49,Paramètres!$G$5:$G$57,0)))+IF(RIGHT(TRIM(Paramètres!M49),3)="Fin",1-$H1669,IF(LEFT(TRIM(Paramètres!M49),1)="F",1,0)))),IF(Paramètres!N49="",0,IF(Paramètres!O49="",NA(),IF(LEFT(TRIM(Paramètres!O49),1)="F",INDEX($F$1625:$F$1677,MATCH(Paramètres!N49,Paramètres!$G$5:$G$57,0)),INDEX($E$1625:$E$1677,MATCH(Paramètres!N49,Paramètres!$G$5:$G$57,0)))+IF(RIGHT(TRIM(Paramètres!O49),3)="Fin",1-$H1669,IF(LEFT(TRIM(Paramètres!O49),1)="F",1,0)))))))</f>
        <v/>
      </c>
      <c r="F1669" s="19">
        <f>IF($A1669="","",E1669+$H1669-1)</f>
        <v/>
      </c>
      <c r="G1669" s="18" t="n"/>
      <c r="H1669" s="18">
        <f>IF($A1669="","",IF(I1669&lt;&gt;"",I1669,Paramètres!B49))</f>
        <v/>
      </c>
      <c r="I1669" s="18" t="n"/>
    </row>
    <row r="1670">
      <c r="A1670" s="18">
        <f>IF(ISNUMBER(Dossiers!$D$34),Dossiers!$A$34&amp;" · "&amp;Dossiers!$B$34,"")</f>
        <v/>
      </c>
      <c r="B1670" s="18">
        <f>IF($A1670="","",Paramètres!G50)</f>
        <v/>
      </c>
      <c r="C1670" s="18">
        <f>IF($A1670="","",IF(Paramètres!H50="","",Paramètres!H50))</f>
        <v/>
      </c>
      <c r="D1670" s="18">
        <f>IF($A1670="","",IF(Paramètres!I50="","",Paramètres!I50))</f>
        <v/>
      </c>
      <c r="E1670" s="19">
        <f>IF($A1670="","",IF(Paramètres!J50&amp;Paramètres!L50&amp;Paramètres!N50="",Dossiers!$D$34,MAX(IF(Paramètres!J50="",0,IF(Paramètres!K50="",NA(),IF(LEFT(TRIM(Paramètres!K50),1)="F",INDEX($F$1625:$F$1677,MATCH(Paramètres!J50,Paramètres!$G$5:$G$57,0)),INDEX($E$1625:$E$1677,MATCH(Paramètres!J50,Paramètres!$G$5:$G$57,0)))+IF(RIGHT(TRIM(Paramètres!K50),3)="Fin",1-$H1670,IF(LEFT(TRIM(Paramètres!K50),1)="F",1,0)))),IF(Paramètres!L50="",0,IF(Paramètres!M50="",NA(),IF(LEFT(TRIM(Paramètres!M50),1)="F",INDEX($F$1625:$F$1677,MATCH(Paramètres!L50,Paramètres!$G$5:$G$57,0)),INDEX($E$1625:$E$1677,MATCH(Paramètres!L50,Paramètres!$G$5:$G$57,0)))+IF(RIGHT(TRIM(Paramètres!M50),3)="Fin",1-$H1670,IF(LEFT(TRIM(Paramètres!M50),1)="F",1,0)))),IF(Paramètres!N50="",0,IF(Paramètres!O50="",NA(),IF(LEFT(TRIM(Paramètres!O50),1)="F",INDEX($F$1625:$F$1677,MATCH(Paramètres!N50,Paramètres!$G$5:$G$57,0)),INDEX($E$1625:$E$1677,MATCH(Paramètres!N50,Paramètres!$G$5:$G$57,0)))+IF(RIGHT(TRIM(Paramètres!O50),3)="Fin",1-$H1670,IF(LEFT(TRIM(Paramètres!O50),1)="F",1,0)))))))</f>
        <v/>
      </c>
      <c r="F1670" s="19">
        <f>IF($A1670="","",E1670+$H1670-1)</f>
        <v/>
      </c>
      <c r="G1670" s="18" t="n"/>
      <c r="H1670" s="18">
        <f>IF($A1670="","",IF(I1670&lt;&gt;"",I1670,Paramètres!B50))</f>
        <v/>
      </c>
      <c r="I1670" s="18" t="n"/>
    </row>
    <row r="1671">
      <c r="A1671" s="18">
        <f>IF(ISNUMBER(Dossiers!$D$34),Dossiers!$A$34&amp;" · "&amp;Dossiers!$B$34,"")</f>
        <v/>
      </c>
      <c r="B1671" s="18">
        <f>IF($A1671="","",Paramètres!G51)</f>
        <v/>
      </c>
      <c r="C1671" s="18">
        <f>IF($A1671="","",IF(Paramètres!H51="","",Paramètres!H51))</f>
        <v/>
      </c>
      <c r="D1671" s="18">
        <f>IF($A1671="","",IF(Paramètres!I51="","",Paramètres!I51))</f>
        <v/>
      </c>
      <c r="E1671" s="19">
        <f>IF($A1671="","",IF(Paramètres!J51&amp;Paramètres!L51&amp;Paramètres!N51="",Dossiers!$D$34,MAX(IF(Paramètres!J51="",0,IF(Paramètres!K51="",NA(),IF(LEFT(TRIM(Paramètres!K51),1)="F",INDEX($F$1625:$F$1677,MATCH(Paramètres!J51,Paramètres!$G$5:$G$57,0)),INDEX($E$1625:$E$1677,MATCH(Paramètres!J51,Paramètres!$G$5:$G$57,0)))+IF(RIGHT(TRIM(Paramètres!K51),3)="Fin",1-$H1671,IF(LEFT(TRIM(Paramètres!K51),1)="F",1,0)))),IF(Paramètres!L51="",0,IF(Paramètres!M51="",NA(),IF(LEFT(TRIM(Paramètres!M51),1)="F",INDEX($F$1625:$F$1677,MATCH(Paramètres!L51,Paramètres!$G$5:$G$57,0)),INDEX($E$1625:$E$1677,MATCH(Paramètres!L51,Paramètres!$G$5:$G$57,0)))+IF(RIGHT(TRIM(Paramètres!M51),3)="Fin",1-$H1671,IF(LEFT(TRIM(Paramètres!M51),1)="F",1,0)))),IF(Paramètres!N51="",0,IF(Paramètres!O51="",NA(),IF(LEFT(TRIM(Paramètres!O51),1)="F",INDEX($F$1625:$F$1677,MATCH(Paramètres!N51,Paramètres!$G$5:$G$57,0)),INDEX($E$1625:$E$1677,MATCH(Paramètres!N51,Paramètres!$G$5:$G$57,0)))+IF(RIGHT(TRIM(Paramètres!O51),3)="Fin",1-$H1671,IF(LEFT(TRIM(Paramètres!O51),1)="F",1,0)))))))</f>
        <v/>
      </c>
      <c r="F1671" s="19">
        <f>IF($A1671="","",E1671+$H1671-1)</f>
        <v/>
      </c>
      <c r="G1671" s="18" t="n"/>
      <c r="H1671" s="18">
        <f>IF($A1671="","",IF(I1671&lt;&gt;"",I1671,Paramètres!B51))</f>
        <v/>
      </c>
      <c r="I1671" s="18" t="n"/>
    </row>
    <row r="1672">
      <c r="A1672" s="18">
        <f>IF(ISNUMBER(Dossiers!$D$34),Dossiers!$A$34&amp;" · "&amp;Dossiers!$B$34,"")</f>
        <v/>
      </c>
      <c r="B1672" s="18">
        <f>IF($A1672="","",Paramètres!G52)</f>
        <v/>
      </c>
      <c r="C1672" s="18">
        <f>IF($A1672="","",IF(Paramètres!H52="","",Paramètres!H52))</f>
        <v/>
      </c>
      <c r="D1672" s="18">
        <f>IF($A1672="","",IF(Paramètres!I52="","",Paramètres!I52))</f>
        <v/>
      </c>
      <c r="E1672" s="19">
        <f>IF($A1672="","",IF(Paramètres!J52&amp;Paramètres!L52&amp;Paramètres!N52="",Dossiers!$D$34,MAX(IF(Paramètres!J52="",0,IF(Paramètres!K52="",NA(),IF(LEFT(TRIM(Paramètres!K52),1)="F",INDEX($F$1625:$F$1677,MATCH(Paramètres!J52,Paramètres!$G$5:$G$57,0)),INDEX($E$1625:$E$1677,MATCH(Paramètres!J52,Paramètres!$G$5:$G$57,0)))+IF(RIGHT(TRIM(Paramètres!K52),3)="Fin",1-$H1672,IF(LEFT(TRIM(Paramètres!K52),1)="F",1,0)))),IF(Paramètres!L52="",0,IF(Paramètres!M52="",NA(),IF(LEFT(TRIM(Paramètres!M52),1)="F",INDEX($F$1625:$F$1677,MATCH(Paramètres!L52,Paramètres!$G$5:$G$57,0)),INDEX($E$1625:$E$1677,MATCH(Paramètres!L52,Paramètres!$G$5:$G$57,0)))+IF(RIGHT(TRIM(Paramètres!M52),3)="Fin",1-$H1672,IF(LEFT(TRIM(Paramètres!M52),1)="F",1,0)))),IF(Paramètres!N52="",0,IF(Paramètres!O52="",NA(),IF(LEFT(TRIM(Paramètres!O52),1)="F",INDEX($F$1625:$F$1677,MATCH(Paramètres!N52,Paramètres!$G$5:$G$57,0)),INDEX($E$1625:$E$1677,MATCH(Paramètres!N52,Paramètres!$G$5:$G$57,0)))+IF(RIGHT(TRIM(Paramètres!O52),3)="Fin",1-$H1672,IF(LEFT(TRIM(Paramètres!O52),1)="F",1,0)))))))</f>
        <v/>
      </c>
      <c r="F1672" s="19">
        <f>IF($A1672="","",E1672+$H1672-1)</f>
        <v/>
      </c>
      <c r="G1672" s="18" t="n"/>
      <c r="H1672" s="18">
        <f>IF($A1672="","",IF(I1672&lt;&gt;"",I1672,Paramètres!B52))</f>
        <v/>
      </c>
      <c r="I1672" s="18" t="n"/>
    </row>
    <row r="1673">
      <c r="A1673" s="18">
        <f>IF(ISNUMBER(Dossiers!$D$34),Dossiers!$A$34&amp;" · "&amp;Dossiers!$B$34,"")</f>
        <v/>
      </c>
      <c r="B1673" s="18">
        <f>IF($A1673="","",Paramètres!G53)</f>
        <v/>
      </c>
      <c r="C1673" s="18">
        <f>IF($A1673="","",IF(Paramètres!H53="","",Paramètres!H53))</f>
        <v/>
      </c>
      <c r="D1673" s="18">
        <f>IF($A1673="","",IF(Paramètres!I53="","",Paramètres!I53))</f>
        <v/>
      </c>
      <c r="E1673" s="19">
        <f>IF($A1673="","",IF(Paramètres!J53&amp;Paramètres!L53&amp;Paramètres!N53="",Dossiers!$D$34,MAX(IF(Paramètres!J53="",0,IF(Paramètres!K53="",NA(),IF(LEFT(TRIM(Paramètres!K53),1)="F",INDEX($F$1625:$F$1677,MATCH(Paramètres!J53,Paramètres!$G$5:$G$57,0)),INDEX($E$1625:$E$1677,MATCH(Paramètres!J53,Paramètres!$G$5:$G$57,0)))+IF(RIGHT(TRIM(Paramètres!K53),3)="Fin",1-$H1673,IF(LEFT(TRIM(Paramètres!K53),1)="F",1,0)))),IF(Paramètres!L53="",0,IF(Paramètres!M53="",NA(),IF(LEFT(TRIM(Paramètres!M53),1)="F",INDEX($F$1625:$F$1677,MATCH(Paramètres!L53,Paramètres!$G$5:$G$57,0)),INDEX($E$1625:$E$1677,MATCH(Paramètres!L53,Paramètres!$G$5:$G$57,0)))+IF(RIGHT(TRIM(Paramètres!M53),3)="Fin",1-$H1673,IF(LEFT(TRIM(Paramètres!M53),1)="F",1,0)))),IF(Paramètres!N53="",0,IF(Paramètres!O53="",NA(),IF(LEFT(TRIM(Paramètres!O53),1)="F",INDEX($F$1625:$F$1677,MATCH(Paramètres!N53,Paramètres!$G$5:$G$57,0)),INDEX($E$1625:$E$1677,MATCH(Paramètres!N53,Paramètres!$G$5:$G$57,0)))+IF(RIGHT(TRIM(Paramètres!O53),3)="Fin",1-$H1673,IF(LEFT(TRIM(Paramètres!O53),1)="F",1,0)))))))</f>
        <v/>
      </c>
      <c r="F1673" s="19">
        <f>IF($A1673="","",E1673+$H1673-1)</f>
        <v/>
      </c>
      <c r="G1673" s="18" t="n"/>
      <c r="H1673" s="18">
        <f>IF($A1673="","",IF(I1673&lt;&gt;"",I1673,Paramètres!B53))</f>
        <v/>
      </c>
      <c r="I1673" s="18" t="n"/>
    </row>
    <row r="1674">
      <c r="A1674" s="18">
        <f>IF(ISNUMBER(Dossiers!$D$34),Dossiers!$A$34&amp;" · "&amp;Dossiers!$B$34,"")</f>
        <v/>
      </c>
      <c r="B1674" s="18">
        <f>IF($A1674="","",Paramètres!G54)</f>
        <v/>
      </c>
      <c r="C1674" s="18">
        <f>IF($A1674="","",IF(Paramètres!H54="","",Paramètres!H54))</f>
        <v/>
      </c>
      <c r="D1674" s="18">
        <f>IF($A1674="","",IF(Paramètres!I54="","",Paramètres!I54))</f>
        <v/>
      </c>
      <c r="E1674" s="19">
        <f>IF($A1674="","",IF(Paramètres!J54&amp;Paramètres!L54&amp;Paramètres!N54="",Dossiers!$D$34,MAX(IF(Paramètres!J54="",0,IF(Paramètres!K54="",NA(),IF(LEFT(TRIM(Paramètres!K54),1)="F",INDEX($F$1625:$F$1677,MATCH(Paramètres!J54,Paramètres!$G$5:$G$57,0)),INDEX($E$1625:$E$1677,MATCH(Paramètres!J54,Paramètres!$G$5:$G$57,0)))+IF(RIGHT(TRIM(Paramètres!K54),3)="Fin",1-$H1674,IF(LEFT(TRIM(Paramètres!K54),1)="F",1,0)))),IF(Paramètres!L54="",0,IF(Paramètres!M54="",NA(),IF(LEFT(TRIM(Paramètres!M54),1)="F",INDEX($F$1625:$F$1677,MATCH(Paramètres!L54,Paramètres!$G$5:$G$57,0)),INDEX($E$1625:$E$1677,MATCH(Paramètres!L54,Paramètres!$G$5:$G$57,0)))+IF(RIGHT(TRIM(Paramètres!M54),3)="Fin",1-$H1674,IF(LEFT(TRIM(Paramètres!M54),1)="F",1,0)))),IF(Paramètres!N54="",0,IF(Paramètres!O54="",NA(),IF(LEFT(TRIM(Paramètres!O54),1)="F",INDEX($F$1625:$F$1677,MATCH(Paramètres!N54,Paramètres!$G$5:$G$57,0)),INDEX($E$1625:$E$1677,MATCH(Paramètres!N54,Paramètres!$G$5:$G$57,0)))+IF(RIGHT(TRIM(Paramètres!O54),3)="Fin",1-$H1674,IF(LEFT(TRIM(Paramètres!O54),1)="F",1,0)))))))</f>
        <v/>
      </c>
      <c r="F1674" s="19">
        <f>IF($A1674="","",E1674+$H1674-1)</f>
        <v/>
      </c>
      <c r="G1674" s="18" t="n"/>
      <c r="H1674" s="18">
        <f>IF($A1674="","",IF(I1674&lt;&gt;"",I1674,Paramètres!B54))</f>
        <v/>
      </c>
      <c r="I1674" s="18" t="n"/>
    </row>
    <row r="1675">
      <c r="A1675" s="18">
        <f>IF(ISNUMBER(Dossiers!$D$34),Dossiers!$A$34&amp;" · "&amp;Dossiers!$B$34,"")</f>
        <v/>
      </c>
      <c r="B1675" s="18">
        <f>IF($A1675="","",Paramètres!G55)</f>
        <v/>
      </c>
      <c r="C1675" s="18">
        <f>IF($A1675="","",IF(Paramètres!H55="","",Paramètres!H55))</f>
        <v/>
      </c>
      <c r="D1675" s="18">
        <f>IF($A1675="","",IF(Paramètres!I55="","",Paramètres!I55))</f>
        <v/>
      </c>
      <c r="E1675" s="19">
        <f>IF($A1675="","",IF(Paramètres!J55&amp;Paramètres!L55&amp;Paramètres!N55="",Dossiers!$D$34,MAX(IF(Paramètres!J55="",0,IF(Paramètres!K55="",NA(),IF(LEFT(TRIM(Paramètres!K55),1)="F",INDEX($F$1625:$F$1677,MATCH(Paramètres!J55,Paramètres!$G$5:$G$57,0)),INDEX($E$1625:$E$1677,MATCH(Paramètres!J55,Paramètres!$G$5:$G$57,0)))+IF(RIGHT(TRIM(Paramètres!K55),3)="Fin",1-$H1675,IF(LEFT(TRIM(Paramètres!K55),1)="F",1,0)))),IF(Paramètres!L55="",0,IF(Paramètres!M55="",NA(),IF(LEFT(TRIM(Paramètres!M55),1)="F",INDEX($F$1625:$F$1677,MATCH(Paramètres!L55,Paramètres!$G$5:$G$57,0)),INDEX($E$1625:$E$1677,MATCH(Paramètres!L55,Paramètres!$G$5:$G$57,0)))+IF(RIGHT(TRIM(Paramètres!M55),3)="Fin",1-$H1675,IF(LEFT(TRIM(Paramètres!M55),1)="F",1,0)))),IF(Paramètres!N55="",0,IF(Paramètres!O55="",NA(),IF(LEFT(TRIM(Paramètres!O55),1)="F",INDEX($F$1625:$F$1677,MATCH(Paramètres!N55,Paramètres!$G$5:$G$57,0)),INDEX($E$1625:$E$1677,MATCH(Paramètres!N55,Paramètres!$G$5:$G$57,0)))+IF(RIGHT(TRIM(Paramètres!O55),3)="Fin",1-$H1675,IF(LEFT(TRIM(Paramètres!O55),1)="F",1,0)))))))</f>
        <v/>
      </c>
      <c r="F1675" s="19">
        <f>IF($A1675="","",E1675+$H1675-1)</f>
        <v/>
      </c>
      <c r="G1675" s="18" t="n"/>
      <c r="H1675" s="18">
        <f>IF($A1675="","",IF(I1675&lt;&gt;"",I1675,Paramètres!B55))</f>
        <v/>
      </c>
      <c r="I1675" s="18" t="n"/>
    </row>
    <row r="1676">
      <c r="A1676" s="18">
        <f>IF(ISNUMBER(Dossiers!$D$34),Dossiers!$A$34&amp;" · "&amp;Dossiers!$B$34,"")</f>
        <v/>
      </c>
      <c r="B1676" s="18">
        <f>IF($A1676="","",Paramètres!G56)</f>
        <v/>
      </c>
      <c r="C1676" s="18">
        <f>IF($A1676="","",IF(Paramètres!H56="","",Paramètres!H56))</f>
        <v/>
      </c>
      <c r="D1676" s="18">
        <f>IF($A1676="","",IF(Paramètres!I56="","",Paramètres!I56))</f>
        <v/>
      </c>
      <c r="E1676" s="19">
        <f>IF($A1676="","",MIN(E1677:E1677))</f>
        <v/>
      </c>
      <c r="F1676" s="19">
        <f>IF($A1676="","",MAX(F1677:F1677))</f>
        <v/>
      </c>
      <c r="G1676" s="18" t="n"/>
      <c r="H1676" s="18">
        <f>IF($A1676="","",F1676-E1676+1)</f>
        <v/>
      </c>
      <c r="I1676" s="18" t="n"/>
    </row>
    <row r="1677">
      <c r="A1677" s="18">
        <f>IF(ISNUMBER(Dossiers!$D$34),Dossiers!$A$34&amp;" · "&amp;Dossiers!$B$34,"")</f>
        <v/>
      </c>
      <c r="B1677" s="18">
        <f>IF($A1677="","",Paramètres!G57)</f>
        <v/>
      </c>
      <c r="C1677" s="18">
        <f>IF($A1677="","",IF(Paramètres!H57="","",Paramètres!H57))</f>
        <v/>
      </c>
      <c r="D1677" s="18">
        <f>IF($A1677="","",IF(Paramètres!I57="","",Paramètres!I57))</f>
        <v/>
      </c>
      <c r="E1677" s="19">
        <f>IF($A1677="","",IF(Paramètres!J57&amp;Paramètres!L57&amp;Paramètres!N57="",Dossiers!$D$34,MAX(IF(Paramètres!J57="",0,IF(Paramètres!K57="",NA(),IF(LEFT(TRIM(Paramètres!K57),1)="F",INDEX($F$1625:$F$1677,MATCH(Paramètres!J57,Paramètres!$G$5:$G$57,0)),INDEX($E$1625:$E$1677,MATCH(Paramètres!J57,Paramètres!$G$5:$G$57,0)))+IF(RIGHT(TRIM(Paramètres!K57),3)="Fin",1-$H1677,IF(LEFT(TRIM(Paramètres!K57),1)="F",1,0)))),IF(Paramètres!L57="",0,IF(Paramètres!M57="",NA(),IF(LEFT(TRIM(Paramètres!M57),1)="F",INDEX($F$1625:$F$1677,MATCH(Paramètres!L57,Paramètres!$G$5:$G$57,0)),INDEX($E$1625:$E$1677,MATCH(Paramètres!L57,Paramètres!$G$5:$G$57,0)))+IF(RIGHT(TRIM(Paramètres!M57),3)="Fin",1-$H1677,IF(LEFT(TRIM(Paramètres!M57),1)="F",1,0)))),IF(Paramètres!N57="",0,IF(Paramètres!O57="",NA(),IF(LEFT(TRIM(Paramètres!O57),1)="F",INDEX($F$1625:$F$1677,MATCH(Paramètres!N57,Paramètres!$G$5:$G$57,0)),INDEX($E$1625:$E$1677,MATCH(Paramètres!N57,Paramètres!$G$5:$G$57,0)))+IF(RIGHT(TRIM(Paramètres!O57),3)="Fin",1-$H1677,IF(LEFT(TRIM(Paramètres!O57),1)="F",1,0)))))))</f>
        <v/>
      </c>
      <c r="F1677" s="19">
        <f>IF($A1677="","",E1677+$H1677-1)</f>
        <v/>
      </c>
      <c r="G1677" s="18" t="n"/>
      <c r="H1677" s="18">
        <f>IF($A1677="","",IF(I1677&lt;&gt;"",I1677,Paramètres!B57))</f>
        <v/>
      </c>
      <c r="I1677" s="18" t="n"/>
    </row>
    <row r="1678">
      <c r="A1678" s="16">
        <f>IF(ISNUMBER(Dossiers!$D$35),Dossiers!$E$35,"")</f>
        <v/>
      </c>
      <c r="B1678" s="16">
        <f>IF($A1678="","","Identifiant")</f>
        <v/>
      </c>
      <c r="C1678" s="16">
        <f>IF($A1678="","","Macro Etape")</f>
        <v/>
      </c>
      <c r="D1678" s="16">
        <f>IF($A1678="","","Etape")</f>
        <v/>
      </c>
      <c r="E1678" s="17">
        <f>IF($A1678="","","Début le")</f>
        <v/>
      </c>
      <c r="F1678" s="17">
        <f>IF($A1678="","","Fin prévue le")</f>
        <v/>
      </c>
      <c r="G1678" s="16">
        <f>IF($A1678="","","Statut")</f>
        <v/>
      </c>
      <c r="H1678" s="16">
        <f>IF($A1678="","","Durée (jours)")</f>
        <v/>
      </c>
      <c r="I1678" s="16">
        <f>IF($A1678="","","Durée particulière")</f>
        <v/>
      </c>
      <c r="J1678" s="10">
        <f>IF($A1678="","",HYPERLINK("#'Tableau de bord'!A1","↑ Tableau de bord"))</f>
        <v/>
      </c>
    </row>
    <row r="1679">
      <c r="A1679" s="18">
        <f>IF(ISNUMBER(Dossiers!$D$35),Dossiers!$A$35&amp;" · "&amp;Dossiers!$B$35,"")</f>
        <v/>
      </c>
      <c r="B1679" s="18">
        <f>IF($A1679="","",Paramètres!G5)</f>
        <v/>
      </c>
      <c r="C1679" s="18">
        <f>IF($A1679="","",IF(Paramètres!H5="","",Paramètres!H5))</f>
        <v/>
      </c>
      <c r="D1679" s="18">
        <f>IF($A1679="","",IF(Paramètres!I5="","",Paramètres!I5))</f>
        <v/>
      </c>
      <c r="E1679" s="19">
        <f>IF($A1679="","",MIN(E1680:E1683))</f>
        <v/>
      </c>
      <c r="F1679" s="19">
        <f>IF($A1679="","",MAX(F1680:F1683))</f>
        <v/>
      </c>
      <c r="G1679" s="18" t="n"/>
      <c r="H1679" s="18">
        <f>IF($A1679="","",F1679-E1679+1)</f>
        <v/>
      </c>
      <c r="I1679" s="18" t="n"/>
    </row>
    <row r="1680">
      <c r="A1680" s="18">
        <f>IF(ISNUMBER(Dossiers!$D$35),Dossiers!$A$35&amp;" · "&amp;Dossiers!$B$35,"")</f>
        <v/>
      </c>
      <c r="B1680" s="18">
        <f>IF($A1680="","",Paramètres!G6)</f>
        <v/>
      </c>
      <c r="C1680" s="18">
        <f>IF($A1680="","",IF(Paramètres!H6="","",Paramètres!H6))</f>
        <v/>
      </c>
      <c r="D1680" s="18">
        <f>IF($A1680="","",IF(Paramètres!I6="","",Paramètres!I6))</f>
        <v/>
      </c>
      <c r="E1680" s="19">
        <f>IF($A1680="","",IF(Paramètres!J6&amp;Paramètres!L6&amp;Paramètres!N6="",Dossiers!$D$35,MAX(IF(Paramètres!J6="",0,IF(Paramètres!K6="",NA(),IF(LEFT(TRIM(Paramètres!K6),1)="F",INDEX($F$1679:$F$1731,MATCH(Paramètres!J6,Paramètres!$G$5:$G$57,0)),INDEX($E$1679:$E$1731,MATCH(Paramètres!J6,Paramètres!$G$5:$G$57,0)))+IF(RIGHT(TRIM(Paramètres!K6),3)="Fin",1-$H1680,IF(LEFT(TRIM(Paramètres!K6),1)="F",1,0)))),IF(Paramètres!L6="",0,IF(Paramètres!M6="",NA(),IF(LEFT(TRIM(Paramètres!M6),1)="F",INDEX($F$1679:$F$1731,MATCH(Paramètres!L6,Paramètres!$G$5:$G$57,0)),INDEX($E$1679:$E$1731,MATCH(Paramètres!L6,Paramètres!$G$5:$G$57,0)))+IF(RIGHT(TRIM(Paramètres!M6),3)="Fin",1-$H1680,IF(LEFT(TRIM(Paramètres!M6),1)="F",1,0)))),IF(Paramètres!N6="",0,IF(Paramètres!O6="",NA(),IF(LEFT(TRIM(Paramètres!O6),1)="F",INDEX($F$1679:$F$1731,MATCH(Paramètres!N6,Paramètres!$G$5:$G$57,0)),INDEX($E$1679:$E$1731,MATCH(Paramètres!N6,Paramètres!$G$5:$G$57,0)))+IF(RIGHT(TRIM(Paramètres!O6),3)="Fin",1-$H1680,IF(LEFT(TRIM(Paramètres!O6),1)="F",1,0)))))))</f>
        <v/>
      </c>
      <c r="F1680" s="19">
        <f>IF($A1680="","",E1680+$H1680-1)</f>
        <v/>
      </c>
      <c r="G1680" s="18" t="n"/>
      <c r="H1680" s="18">
        <f>IF($A1680="","",IF(I1680&lt;&gt;"",I1680,Paramètres!B6))</f>
        <v/>
      </c>
      <c r="I1680" s="18" t="n"/>
    </row>
    <row r="1681">
      <c r="A1681" s="18">
        <f>IF(ISNUMBER(Dossiers!$D$35),Dossiers!$A$35&amp;" · "&amp;Dossiers!$B$35,"")</f>
        <v/>
      </c>
      <c r="B1681" s="18">
        <f>IF($A1681="","",Paramètres!G7)</f>
        <v/>
      </c>
      <c r="C1681" s="18">
        <f>IF($A1681="","",IF(Paramètres!H7="","",Paramètres!H7))</f>
        <v/>
      </c>
      <c r="D1681" s="18">
        <f>IF($A1681="","",IF(Paramètres!I7="","",Paramètres!I7))</f>
        <v/>
      </c>
      <c r="E1681" s="19">
        <f>IF($A1681="","",IF(Paramètres!J7&amp;Paramètres!L7&amp;Paramètres!N7="",Dossiers!$D$35,MAX(IF(Paramètres!J7="",0,IF(Paramètres!K7="",NA(),IF(LEFT(TRIM(Paramètres!K7),1)="F",INDEX($F$1679:$F$1731,MATCH(Paramètres!J7,Paramètres!$G$5:$G$57,0)),INDEX($E$1679:$E$1731,MATCH(Paramètres!J7,Paramètres!$G$5:$G$57,0)))+IF(RIGHT(TRIM(Paramètres!K7),3)="Fin",1-$H1681,IF(LEFT(TRIM(Paramètres!K7),1)="F",1,0)))),IF(Paramètres!L7="",0,IF(Paramètres!M7="",NA(),IF(LEFT(TRIM(Paramètres!M7),1)="F",INDEX($F$1679:$F$1731,MATCH(Paramètres!L7,Paramètres!$G$5:$G$57,0)),INDEX($E$1679:$E$1731,MATCH(Paramètres!L7,Paramètres!$G$5:$G$57,0)))+IF(RIGHT(TRIM(Paramètres!M7),3)="Fin",1-$H1681,IF(LEFT(TRIM(Paramètres!M7),1)="F",1,0)))),IF(Paramètres!N7="",0,IF(Paramètres!O7="",NA(),IF(LEFT(TRIM(Paramètres!O7),1)="F",INDEX($F$1679:$F$1731,MATCH(Paramètres!N7,Paramètres!$G$5:$G$57,0)),INDEX($E$1679:$E$1731,MATCH(Paramètres!N7,Paramètres!$G$5:$G$57,0)))+IF(RIGHT(TRIM(Paramètres!O7),3)="Fin",1-$H1681,IF(LEFT(TRIM(Paramètres!O7),1)="F",1,0)))))))</f>
        <v/>
      </c>
      <c r="F1681" s="19">
        <f>IF($A1681="","",E1681+$H1681-1)</f>
        <v/>
      </c>
      <c r="G1681" s="18" t="n"/>
      <c r="H1681" s="18">
        <f>IF($A1681="","",IF(I1681&lt;&gt;"",I1681,Paramètres!B7))</f>
        <v/>
      </c>
      <c r="I1681" s="18" t="n"/>
    </row>
    <row r="1682">
      <c r="A1682" s="18">
        <f>IF(ISNUMBER(Dossiers!$D$35),Dossiers!$A$35&amp;" · "&amp;Dossiers!$B$35,"")</f>
        <v/>
      </c>
      <c r="B1682" s="18">
        <f>IF($A1682="","",Paramètres!G8)</f>
        <v/>
      </c>
      <c r="C1682" s="18">
        <f>IF($A1682="","",IF(Paramètres!H8="","",Paramètres!H8))</f>
        <v/>
      </c>
      <c r="D1682" s="18">
        <f>IF($A1682="","",IF(Paramètres!I8="","",Paramètres!I8))</f>
        <v/>
      </c>
      <c r="E1682" s="19">
        <f>IF($A1682="","",IF(Paramètres!J8&amp;Paramètres!L8&amp;Paramètres!N8="",Dossiers!$D$35,MAX(IF(Paramètres!J8="",0,IF(Paramètres!K8="",NA(),IF(LEFT(TRIM(Paramètres!K8),1)="F",INDEX($F$1679:$F$1731,MATCH(Paramètres!J8,Paramètres!$G$5:$G$57,0)),INDEX($E$1679:$E$1731,MATCH(Paramètres!J8,Paramètres!$G$5:$G$57,0)))+IF(RIGHT(TRIM(Paramètres!K8),3)="Fin",1-$H1682,IF(LEFT(TRIM(Paramètres!K8),1)="F",1,0)))),IF(Paramètres!L8="",0,IF(Paramètres!M8="",NA(),IF(LEFT(TRIM(Paramètres!M8),1)="F",INDEX($F$1679:$F$1731,MATCH(Paramètres!L8,Paramètres!$G$5:$G$57,0)),INDEX($E$1679:$E$1731,MATCH(Paramètres!L8,Paramètres!$G$5:$G$57,0)))+IF(RIGHT(TRIM(Paramètres!M8),3)="Fin",1-$H1682,IF(LEFT(TRIM(Paramètres!M8),1)="F",1,0)))),IF(Paramètres!N8="",0,IF(Paramètres!O8="",NA(),IF(LEFT(TRIM(Paramètres!O8),1)="F",INDEX($F$1679:$F$1731,MATCH(Paramètres!N8,Paramètres!$G$5:$G$57,0)),INDEX($E$1679:$E$1731,MATCH(Paramètres!N8,Paramètres!$G$5:$G$57,0)))+IF(RIGHT(TRIM(Paramètres!O8),3)="Fin",1-$H1682,IF(LEFT(TRIM(Paramètres!O8),1)="F",1,0)))))))</f>
        <v/>
      </c>
      <c r="F1682" s="19">
        <f>IF($A1682="","",E1682+$H1682-1)</f>
        <v/>
      </c>
      <c r="G1682" s="18" t="n"/>
      <c r="H1682" s="18">
        <f>IF($A1682="","",IF(I1682&lt;&gt;"",I1682,Paramètres!B8))</f>
        <v/>
      </c>
      <c r="I1682" s="18" t="n"/>
    </row>
    <row r="1683">
      <c r="A1683" s="18">
        <f>IF(ISNUMBER(Dossiers!$D$35),Dossiers!$A$35&amp;" · "&amp;Dossiers!$B$35,"")</f>
        <v/>
      </c>
      <c r="B1683" s="18">
        <f>IF($A1683="","",Paramètres!G9)</f>
        <v/>
      </c>
      <c r="C1683" s="18">
        <f>IF($A1683="","",IF(Paramètres!H9="","",Paramètres!H9))</f>
        <v/>
      </c>
      <c r="D1683" s="18">
        <f>IF($A1683="","",IF(Paramètres!I9="","",Paramètres!I9))</f>
        <v/>
      </c>
      <c r="E1683" s="19">
        <f>IF($A1683="","",IF(Paramètres!J9&amp;Paramètres!L9&amp;Paramètres!N9="",Dossiers!$D$35,MAX(IF(Paramètres!J9="",0,IF(Paramètres!K9="",NA(),IF(LEFT(TRIM(Paramètres!K9),1)="F",INDEX($F$1679:$F$1731,MATCH(Paramètres!J9,Paramètres!$G$5:$G$57,0)),INDEX($E$1679:$E$1731,MATCH(Paramètres!J9,Paramètres!$G$5:$G$57,0)))+IF(RIGHT(TRIM(Paramètres!K9),3)="Fin",1-$H1683,IF(LEFT(TRIM(Paramètres!K9),1)="F",1,0)))),IF(Paramètres!L9="",0,IF(Paramètres!M9="",NA(),IF(LEFT(TRIM(Paramètres!M9),1)="F",INDEX($F$1679:$F$1731,MATCH(Paramètres!L9,Paramètres!$G$5:$G$57,0)),INDEX($E$1679:$E$1731,MATCH(Paramètres!L9,Paramètres!$G$5:$G$57,0)))+IF(RIGHT(TRIM(Paramètres!M9),3)="Fin",1-$H1683,IF(LEFT(TRIM(Paramètres!M9),1)="F",1,0)))),IF(Paramètres!N9="",0,IF(Paramètres!O9="",NA(),IF(LEFT(TRIM(Paramètres!O9),1)="F",INDEX($F$1679:$F$1731,MATCH(Paramètres!N9,Paramètres!$G$5:$G$57,0)),INDEX($E$1679:$E$1731,MATCH(Paramètres!N9,Paramètres!$G$5:$G$57,0)))+IF(RIGHT(TRIM(Paramètres!O9),3)="Fin",1-$H1683,IF(LEFT(TRIM(Paramètres!O9),1)="F",1,0)))))))</f>
        <v/>
      </c>
      <c r="F1683" s="19">
        <f>IF($A1683="","",E1683+$H1683-1)</f>
        <v/>
      </c>
      <c r="G1683" s="18" t="n"/>
      <c r="H1683" s="18">
        <f>IF($A1683="","",IF(I1683&lt;&gt;"",I1683,Paramètres!B9))</f>
        <v/>
      </c>
      <c r="I1683" s="18" t="n"/>
    </row>
    <row r="1684">
      <c r="A1684" s="18">
        <f>IF(ISNUMBER(Dossiers!$D$35),Dossiers!$A$35&amp;" · "&amp;Dossiers!$B$35,"")</f>
        <v/>
      </c>
      <c r="B1684" s="18">
        <f>IF($A1684="","",Paramètres!G10)</f>
        <v/>
      </c>
      <c r="C1684" s="18">
        <f>IF($A1684="","",IF(Paramètres!H10="","",Paramètres!H10))</f>
        <v/>
      </c>
      <c r="D1684" s="18">
        <f>IF($A1684="","",IF(Paramètres!I10="","",Paramètres!I10))</f>
        <v/>
      </c>
      <c r="E1684" s="19">
        <f>IF($A1684="","",MIN(E1685:E1688))</f>
        <v/>
      </c>
      <c r="F1684" s="19">
        <f>IF($A1684="","",MAX(F1685:F1688))</f>
        <v/>
      </c>
      <c r="G1684" s="18" t="n"/>
      <c r="H1684" s="18">
        <f>IF($A1684="","",F1684-E1684+1)</f>
        <v/>
      </c>
      <c r="I1684" s="18" t="n"/>
    </row>
    <row r="1685">
      <c r="A1685" s="18">
        <f>IF(ISNUMBER(Dossiers!$D$35),Dossiers!$A$35&amp;" · "&amp;Dossiers!$B$35,"")</f>
        <v/>
      </c>
      <c r="B1685" s="18">
        <f>IF($A1685="","",Paramètres!G11)</f>
        <v/>
      </c>
      <c r="C1685" s="18">
        <f>IF($A1685="","",IF(Paramètres!H11="","",Paramètres!H11))</f>
        <v/>
      </c>
      <c r="D1685" s="18">
        <f>IF($A1685="","",IF(Paramètres!I11="","",Paramètres!I11))</f>
        <v/>
      </c>
      <c r="E1685" s="19">
        <f>IF($A1685="","",IF(Paramètres!J11&amp;Paramètres!L11&amp;Paramètres!N11="",Dossiers!$D$35,MAX(IF(Paramètres!J11="",0,IF(Paramètres!K11="",NA(),IF(LEFT(TRIM(Paramètres!K11),1)="F",INDEX($F$1679:$F$1731,MATCH(Paramètres!J11,Paramètres!$G$5:$G$57,0)),INDEX($E$1679:$E$1731,MATCH(Paramètres!J11,Paramètres!$G$5:$G$57,0)))+IF(RIGHT(TRIM(Paramètres!K11),3)="Fin",1-$H1685,IF(LEFT(TRIM(Paramètres!K11),1)="F",1,0)))),IF(Paramètres!L11="",0,IF(Paramètres!M11="",NA(),IF(LEFT(TRIM(Paramètres!M11),1)="F",INDEX($F$1679:$F$1731,MATCH(Paramètres!L11,Paramètres!$G$5:$G$57,0)),INDEX($E$1679:$E$1731,MATCH(Paramètres!L11,Paramètres!$G$5:$G$57,0)))+IF(RIGHT(TRIM(Paramètres!M11),3)="Fin",1-$H1685,IF(LEFT(TRIM(Paramètres!M11),1)="F",1,0)))),IF(Paramètres!N11="",0,IF(Paramètres!O11="",NA(),IF(LEFT(TRIM(Paramètres!O11),1)="F",INDEX($F$1679:$F$1731,MATCH(Paramètres!N11,Paramètres!$G$5:$G$57,0)),INDEX($E$1679:$E$1731,MATCH(Paramètres!N11,Paramètres!$G$5:$G$57,0)))+IF(RIGHT(TRIM(Paramètres!O11),3)="Fin",1-$H1685,IF(LEFT(TRIM(Paramètres!O11),1)="F",1,0)))))))</f>
        <v/>
      </c>
      <c r="F1685" s="19">
        <f>IF($A1685="","",E1685+$H1685-1)</f>
        <v/>
      </c>
      <c r="G1685" s="18" t="n"/>
      <c r="H1685" s="18">
        <f>IF($A1685="","",IF(I1685&lt;&gt;"",I1685,Paramètres!B11))</f>
        <v/>
      </c>
      <c r="I1685" s="18" t="n"/>
    </row>
    <row r="1686">
      <c r="A1686" s="18">
        <f>IF(ISNUMBER(Dossiers!$D$35),Dossiers!$A$35&amp;" · "&amp;Dossiers!$B$35,"")</f>
        <v/>
      </c>
      <c r="B1686" s="18">
        <f>IF($A1686="","",Paramètres!G12)</f>
        <v/>
      </c>
      <c r="C1686" s="18">
        <f>IF($A1686="","",IF(Paramètres!H12="","",Paramètres!H12))</f>
        <v/>
      </c>
      <c r="D1686" s="18">
        <f>IF($A1686="","",IF(Paramètres!I12="","",Paramètres!I12))</f>
        <v/>
      </c>
      <c r="E1686" s="19">
        <f>IF($A1686="","",IF(Paramètres!J12&amp;Paramètres!L12&amp;Paramètres!N12="",Dossiers!$D$35,MAX(IF(Paramètres!J12="",0,IF(Paramètres!K12="",NA(),IF(LEFT(TRIM(Paramètres!K12),1)="F",INDEX($F$1679:$F$1731,MATCH(Paramètres!J12,Paramètres!$G$5:$G$57,0)),INDEX($E$1679:$E$1731,MATCH(Paramètres!J12,Paramètres!$G$5:$G$57,0)))+IF(RIGHT(TRIM(Paramètres!K12),3)="Fin",1-$H1686,IF(LEFT(TRIM(Paramètres!K12),1)="F",1,0)))),IF(Paramètres!L12="",0,IF(Paramètres!M12="",NA(),IF(LEFT(TRIM(Paramètres!M12),1)="F",INDEX($F$1679:$F$1731,MATCH(Paramètres!L12,Paramètres!$G$5:$G$57,0)),INDEX($E$1679:$E$1731,MATCH(Paramètres!L12,Paramètres!$G$5:$G$57,0)))+IF(RIGHT(TRIM(Paramètres!M12),3)="Fin",1-$H1686,IF(LEFT(TRIM(Paramètres!M12),1)="F",1,0)))),IF(Paramètres!N12="",0,IF(Paramètres!O12="",NA(),IF(LEFT(TRIM(Paramètres!O12),1)="F",INDEX($F$1679:$F$1731,MATCH(Paramètres!N12,Paramètres!$G$5:$G$57,0)),INDEX($E$1679:$E$1731,MATCH(Paramètres!N12,Paramètres!$G$5:$G$57,0)))+IF(RIGHT(TRIM(Paramètres!O12),3)="Fin",1-$H1686,IF(LEFT(TRIM(Paramètres!O12),1)="F",1,0)))))))</f>
        <v/>
      </c>
      <c r="F1686" s="19">
        <f>IF($A1686="","",E1686+$H1686-1)</f>
        <v/>
      </c>
      <c r="G1686" s="18" t="n"/>
      <c r="H1686" s="18">
        <f>IF($A1686="","",IF(I1686&lt;&gt;"",I1686,Paramètres!B12))</f>
        <v/>
      </c>
      <c r="I1686" s="18" t="n"/>
    </row>
    <row r="1687">
      <c r="A1687" s="18">
        <f>IF(ISNUMBER(Dossiers!$D$35),Dossiers!$A$35&amp;" · "&amp;Dossiers!$B$35,"")</f>
        <v/>
      </c>
      <c r="B1687" s="18">
        <f>IF($A1687="","",Paramètres!G13)</f>
        <v/>
      </c>
      <c r="C1687" s="18">
        <f>IF($A1687="","",IF(Paramètres!H13="","",Paramètres!H13))</f>
        <v/>
      </c>
      <c r="D1687" s="18">
        <f>IF($A1687="","",IF(Paramètres!I13="","",Paramètres!I13))</f>
        <v/>
      </c>
      <c r="E1687" s="19">
        <f>IF($A1687="","",IF(Paramètres!J13&amp;Paramètres!L13&amp;Paramètres!N13="",Dossiers!$D$35,MAX(IF(Paramètres!J13="",0,IF(Paramètres!K13="",NA(),IF(LEFT(TRIM(Paramètres!K13),1)="F",INDEX($F$1679:$F$1731,MATCH(Paramètres!J13,Paramètres!$G$5:$G$57,0)),INDEX($E$1679:$E$1731,MATCH(Paramètres!J13,Paramètres!$G$5:$G$57,0)))+IF(RIGHT(TRIM(Paramètres!K13),3)="Fin",1-$H1687,IF(LEFT(TRIM(Paramètres!K13),1)="F",1,0)))),IF(Paramètres!L13="",0,IF(Paramètres!M13="",NA(),IF(LEFT(TRIM(Paramètres!M13),1)="F",INDEX($F$1679:$F$1731,MATCH(Paramètres!L13,Paramètres!$G$5:$G$57,0)),INDEX($E$1679:$E$1731,MATCH(Paramètres!L13,Paramètres!$G$5:$G$57,0)))+IF(RIGHT(TRIM(Paramètres!M13),3)="Fin",1-$H1687,IF(LEFT(TRIM(Paramètres!M13),1)="F",1,0)))),IF(Paramètres!N13="",0,IF(Paramètres!O13="",NA(),IF(LEFT(TRIM(Paramètres!O13),1)="F",INDEX($F$1679:$F$1731,MATCH(Paramètres!N13,Paramètres!$G$5:$G$57,0)),INDEX($E$1679:$E$1731,MATCH(Paramètres!N13,Paramètres!$G$5:$G$57,0)))+IF(RIGHT(TRIM(Paramètres!O13),3)="Fin",1-$H1687,IF(LEFT(TRIM(Paramètres!O13),1)="F",1,0)))))))</f>
        <v/>
      </c>
      <c r="F1687" s="19">
        <f>IF($A1687="","",E1687+$H1687-1)</f>
        <v/>
      </c>
      <c r="G1687" s="18" t="n"/>
      <c r="H1687" s="18">
        <f>IF($A1687="","",IF(I1687&lt;&gt;"",I1687,Paramètres!B13))</f>
        <v/>
      </c>
      <c r="I1687" s="18" t="n"/>
    </row>
    <row r="1688">
      <c r="A1688" s="18">
        <f>IF(ISNUMBER(Dossiers!$D$35),Dossiers!$A$35&amp;" · "&amp;Dossiers!$B$35,"")</f>
        <v/>
      </c>
      <c r="B1688" s="18">
        <f>IF($A1688="","",Paramètres!G14)</f>
        <v/>
      </c>
      <c r="C1688" s="18">
        <f>IF($A1688="","",IF(Paramètres!H14="","",Paramètres!H14))</f>
        <v/>
      </c>
      <c r="D1688" s="18">
        <f>IF($A1688="","",IF(Paramètres!I14="","",Paramètres!I14))</f>
        <v/>
      </c>
      <c r="E1688" s="19">
        <f>IF($A1688="","",IF(Paramètres!J14&amp;Paramètres!L14&amp;Paramètres!N14="",Dossiers!$D$35,MAX(IF(Paramètres!J14="",0,IF(Paramètres!K14="",NA(),IF(LEFT(TRIM(Paramètres!K14),1)="F",INDEX($F$1679:$F$1731,MATCH(Paramètres!J14,Paramètres!$G$5:$G$57,0)),INDEX($E$1679:$E$1731,MATCH(Paramètres!J14,Paramètres!$G$5:$G$57,0)))+IF(RIGHT(TRIM(Paramètres!K14),3)="Fin",1-$H1688,IF(LEFT(TRIM(Paramètres!K14),1)="F",1,0)))),IF(Paramètres!L14="",0,IF(Paramètres!M14="",NA(),IF(LEFT(TRIM(Paramètres!M14),1)="F",INDEX($F$1679:$F$1731,MATCH(Paramètres!L14,Paramètres!$G$5:$G$57,0)),INDEX($E$1679:$E$1731,MATCH(Paramètres!L14,Paramètres!$G$5:$G$57,0)))+IF(RIGHT(TRIM(Paramètres!M14),3)="Fin",1-$H1688,IF(LEFT(TRIM(Paramètres!M14),1)="F",1,0)))),IF(Paramètres!N14="",0,IF(Paramètres!O14="",NA(),IF(LEFT(TRIM(Paramètres!O14),1)="F",INDEX($F$1679:$F$1731,MATCH(Paramètres!N14,Paramètres!$G$5:$G$57,0)),INDEX($E$1679:$E$1731,MATCH(Paramètres!N14,Paramètres!$G$5:$G$57,0)))+IF(RIGHT(TRIM(Paramètres!O14),3)="Fin",1-$H1688,IF(LEFT(TRIM(Paramètres!O14),1)="F",1,0)))))))</f>
        <v/>
      </c>
      <c r="F1688" s="19">
        <f>IF($A1688="","",E1688+$H1688-1)</f>
        <v/>
      </c>
      <c r="G1688" s="18" t="n"/>
      <c r="H1688" s="18">
        <f>IF($A1688="","",IF(I1688&lt;&gt;"",I1688,Paramètres!B14))</f>
        <v/>
      </c>
      <c r="I1688" s="18" t="n"/>
    </row>
    <row r="1689">
      <c r="A1689" s="18">
        <f>IF(ISNUMBER(Dossiers!$D$35),Dossiers!$A$35&amp;" · "&amp;Dossiers!$B$35,"")</f>
        <v/>
      </c>
      <c r="B1689" s="18">
        <f>IF($A1689="","",Paramètres!G15)</f>
        <v/>
      </c>
      <c r="C1689" s="18">
        <f>IF($A1689="","",IF(Paramètres!H15="","",Paramètres!H15))</f>
        <v/>
      </c>
      <c r="D1689" s="18">
        <f>IF($A1689="","",IF(Paramètres!I15="","",Paramètres!I15))</f>
        <v/>
      </c>
      <c r="E1689" s="19">
        <f>IF($A1689="","",MIN(E1690:E1705))</f>
        <v/>
      </c>
      <c r="F1689" s="19">
        <f>IF($A1689="","",MAX(F1690:F1705))</f>
        <v/>
      </c>
      <c r="G1689" s="18" t="n"/>
      <c r="H1689" s="18">
        <f>IF($A1689="","",F1689-E1689+1)</f>
        <v/>
      </c>
      <c r="I1689" s="18" t="n"/>
    </row>
    <row r="1690">
      <c r="A1690" s="18">
        <f>IF(ISNUMBER(Dossiers!$D$35),Dossiers!$A$35&amp;" · "&amp;Dossiers!$B$35,"")</f>
        <v/>
      </c>
      <c r="B1690" s="18">
        <f>IF($A1690="","",Paramètres!G16)</f>
        <v/>
      </c>
      <c r="C1690" s="18">
        <f>IF($A1690="","",IF(Paramètres!H16="","",Paramètres!H16))</f>
        <v/>
      </c>
      <c r="D1690" s="18">
        <f>IF($A1690="","",IF(Paramètres!I16="","",Paramètres!I16))</f>
        <v/>
      </c>
      <c r="E1690" s="19">
        <f>IF($A1690="","",IF(Paramètres!J16&amp;Paramètres!L16&amp;Paramètres!N16="",Dossiers!$D$35,MAX(IF(Paramètres!J16="",0,IF(Paramètres!K16="",NA(),IF(LEFT(TRIM(Paramètres!K16),1)="F",INDEX($F$1679:$F$1731,MATCH(Paramètres!J16,Paramètres!$G$5:$G$57,0)),INDEX($E$1679:$E$1731,MATCH(Paramètres!J16,Paramètres!$G$5:$G$57,0)))+IF(RIGHT(TRIM(Paramètres!K16),3)="Fin",1-$H1690,IF(LEFT(TRIM(Paramètres!K16),1)="F",1,0)))),IF(Paramètres!L16="",0,IF(Paramètres!M16="",NA(),IF(LEFT(TRIM(Paramètres!M16),1)="F",INDEX($F$1679:$F$1731,MATCH(Paramètres!L16,Paramètres!$G$5:$G$57,0)),INDEX($E$1679:$E$1731,MATCH(Paramètres!L16,Paramètres!$G$5:$G$57,0)))+IF(RIGHT(TRIM(Paramètres!M16),3)="Fin",1-$H1690,IF(LEFT(TRIM(Paramètres!M16),1)="F",1,0)))),IF(Paramètres!N16="",0,IF(Paramètres!O16="",NA(),IF(LEFT(TRIM(Paramètres!O16),1)="F",INDEX($F$1679:$F$1731,MATCH(Paramètres!N16,Paramètres!$G$5:$G$57,0)),INDEX($E$1679:$E$1731,MATCH(Paramètres!N16,Paramètres!$G$5:$G$57,0)))+IF(RIGHT(TRIM(Paramètres!O16),3)="Fin",1-$H1690,IF(LEFT(TRIM(Paramètres!O16),1)="F",1,0)))))))</f>
        <v/>
      </c>
      <c r="F1690" s="19">
        <f>IF($A1690="","",E1690+$H1690-1)</f>
        <v/>
      </c>
      <c r="G1690" s="18" t="n"/>
      <c r="H1690" s="18">
        <f>IF($A1690="","",IF(I1690&lt;&gt;"",I1690,Paramètres!B16))</f>
        <v/>
      </c>
      <c r="I1690" s="18" t="n"/>
    </row>
    <row r="1691">
      <c r="A1691" s="18">
        <f>IF(ISNUMBER(Dossiers!$D$35),Dossiers!$A$35&amp;" · "&amp;Dossiers!$B$35,"")</f>
        <v/>
      </c>
      <c r="B1691" s="18">
        <f>IF($A1691="","",Paramètres!G17)</f>
        <v/>
      </c>
      <c r="C1691" s="18">
        <f>IF($A1691="","",IF(Paramètres!H17="","",Paramètres!H17))</f>
        <v/>
      </c>
      <c r="D1691" s="18">
        <f>IF($A1691="","",IF(Paramètres!I17="","",Paramètres!I17))</f>
        <v/>
      </c>
      <c r="E1691" s="19">
        <f>IF($A1691="","",IF(Paramètres!J17&amp;Paramètres!L17&amp;Paramètres!N17="",Dossiers!$D$35,MAX(IF(Paramètres!J17="",0,IF(Paramètres!K17="",NA(),IF(LEFT(TRIM(Paramètres!K17),1)="F",INDEX($F$1679:$F$1731,MATCH(Paramètres!J17,Paramètres!$G$5:$G$57,0)),INDEX($E$1679:$E$1731,MATCH(Paramètres!J17,Paramètres!$G$5:$G$57,0)))+IF(RIGHT(TRIM(Paramètres!K17),3)="Fin",1-$H1691,IF(LEFT(TRIM(Paramètres!K17),1)="F",1,0)))),IF(Paramètres!L17="",0,IF(Paramètres!M17="",NA(),IF(LEFT(TRIM(Paramètres!M17),1)="F",INDEX($F$1679:$F$1731,MATCH(Paramètres!L17,Paramètres!$G$5:$G$57,0)),INDEX($E$1679:$E$1731,MATCH(Paramètres!L17,Paramètres!$G$5:$G$57,0)))+IF(RIGHT(TRIM(Paramètres!M17),3)="Fin",1-$H1691,IF(LEFT(TRIM(Paramètres!M17),1)="F",1,0)))),IF(Paramètres!N17="",0,IF(Paramètres!O17="",NA(),IF(LEFT(TRIM(Paramètres!O17),1)="F",INDEX($F$1679:$F$1731,MATCH(Paramètres!N17,Paramètres!$G$5:$G$57,0)),INDEX($E$1679:$E$1731,MATCH(Paramètres!N17,Paramètres!$G$5:$G$57,0)))+IF(RIGHT(TRIM(Paramètres!O17),3)="Fin",1-$H1691,IF(LEFT(TRIM(Paramètres!O17),1)="F",1,0)))))))</f>
        <v/>
      </c>
      <c r="F1691" s="19">
        <f>IF($A1691="","",E1691+$H1691-1)</f>
        <v/>
      </c>
      <c r="G1691" s="18" t="n"/>
      <c r="H1691" s="18">
        <f>IF($A1691="","",IF(I1691&lt;&gt;"",I1691,Paramètres!B17))</f>
        <v/>
      </c>
      <c r="I1691" s="18" t="n"/>
    </row>
    <row r="1692">
      <c r="A1692" s="18">
        <f>IF(ISNUMBER(Dossiers!$D$35),Dossiers!$A$35&amp;" · "&amp;Dossiers!$B$35,"")</f>
        <v/>
      </c>
      <c r="B1692" s="18">
        <f>IF($A1692="","",Paramètres!G18)</f>
        <v/>
      </c>
      <c r="C1692" s="18">
        <f>IF($A1692="","",IF(Paramètres!H18="","",Paramètres!H18))</f>
        <v/>
      </c>
      <c r="D1692" s="18">
        <f>IF($A1692="","",IF(Paramètres!I18="","",Paramètres!I18))</f>
        <v/>
      </c>
      <c r="E1692" s="19">
        <f>IF($A1692="","",IF(Paramètres!J18&amp;Paramètres!L18&amp;Paramètres!N18="",Dossiers!$D$35,MAX(IF(Paramètres!J18="",0,IF(Paramètres!K18="",NA(),IF(LEFT(TRIM(Paramètres!K18),1)="F",INDEX($F$1679:$F$1731,MATCH(Paramètres!J18,Paramètres!$G$5:$G$57,0)),INDEX($E$1679:$E$1731,MATCH(Paramètres!J18,Paramètres!$G$5:$G$57,0)))+IF(RIGHT(TRIM(Paramètres!K18),3)="Fin",1-$H1692,IF(LEFT(TRIM(Paramètres!K18),1)="F",1,0)))),IF(Paramètres!L18="",0,IF(Paramètres!M18="",NA(),IF(LEFT(TRIM(Paramètres!M18),1)="F",INDEX($F$1679:$F$1731,MATCH(Paramètres!L18,Paramètres!$G$5:$G$57,0)),INDEX($E$1679:$E$1731,MATCH(Paramètres!L18,Paramètres!$G$5:$G$57,0)))+IF(RIGHT(TRIM(Paramètres!M18),3)="Fin",1-$H1692,IF(LEFT(TRIM(Paramètres!M18),1)="F",1,0)))),IF(Paramètres!N18="",0,IF(Paramètres!O18="",NA(),IF(LEFT(TRIM(Paramètres!O18),1)="F",INDEX($F$1679:$F$1731,MATCH(Paramètres!N18,Paramètres!$G$5:$G$57,0)),INDEX($E$1679:$E$1731,MATCH(Paramètres!N18,Paramètres!$G$5:$G$57,0)))+IF(RIGHT(TRIM(Paramètres!O18),3)="Fin",1-$H1692,IF(LEFT(TRIM(Paramètres!O18),1)="F",1,0)))))))</f>
        <v/>
      </c>
      <c r="F1692" s="19">
        <f>IF($A1692="","",E1692+$H1692-1)</f>
        <v/>
      </c>
      <c r="G1692" s="18" t="n"/>
      <c r="H1692" s="18">
        <f>IF($A1692="","",IF(I1692&lt;&gt;"",I1692,Paramètres!B18))</f>
        <v/>
      </c>
      <c r="I1692" s="18" t="n"/>
    </row>
    <row r="1693">
      <c r="A1693" s="18">
        <f>IF(ISNUMBER(Dossiers!$D$35),Dossiers!$A$35&amp;" · "&amp;Dossiers!$B$35,"")</f>
        <v/>
      </c>
      <c r="B1693" s="18">
        <f>IF($A1693="","",Paramètres!G19)</f>
        <v/>
      </c>
      <c r="C1693" s="18">
        <f>IF($A1693="","",IF(Paramètres!H19="","",Paramètres!H19))</f>
        <v/>
      </c>
      <c r="D1693" s="18">
        <f>IF($A1693="","",IF(Paramètres!I19="","",Paramètres!I19))</f>
        <v/>
      </c>
      <c r="E1693" s="19">
        <f>IF($A1693="","",IF(Paramètres!J19&amp;Paramètres!L19&amp;Paramètres!N19="",Dossiers!$D$35,MAX(IF(Paramètres!J19="",0,IF(Paramètres!K19="",NA(),IF(LEFT(TRIM(Paramètres!K19),1)="F",INDEX($F$1679:$F$1731,MATCH(Paramètres!J19,Paramètres!$G$5:$G$57,0)),INDEX($E$1679:$E$1731,MATCH(Paramètres!J19,Paramètres!$G$5:$G$57,0)))+IF(RIGHT(TRIM(Paramètres!K19),3)="Fin",1-$H1693,IF(LEFT(TRIM(Paramètres!K19),1)="F",1,0)))),IF(Paramètres!L19="",0,IF(Paramètres!M19="",NA(),IF(LEFT(TRIM(Paramètres!M19),1)="F",INDEX($F$1679:$F$1731,MATCH(Paramètres!L19,Paramètres!$G$5:$G$57,0)),INDEX($E$1679:$E$1731,MATCH(Paramètres!L19,Paramètres!$G$5:$G$57,0)))+IF(RIGHT(TRIM(Paramètres!M19),3)="Fin",1-$H1693,IF(LEFT(TRIM(Paramètres!M19),1)="F",1,0)))),IF(Paramètres!N19="",0,IF(Paramètres!O19="",NA(),IF(LEFT(TRIM(Paramètres!O19),1)="F",INDEX($F$1679:$F$1731,MATCH(Paramètres!N19,Paramètres!$G$5:$G$57,0)),INDEX($E$1679:$E$1731,MATCH(Paramètres!N19,Paramètres!$G$5:$G$57,0)))+IF(RIGHT(TRIM(Paramètres!O19),3)="Fin",1-$H1693,IF(LEFT(TRIM(Paramètres!O19),1)="F",1,0)))))))</f>
        <v/>
      </c>
      <c r="F1693" s="19">
        <f>IF($A1693="","",E1693+$H1693-1)</f>
        <v/>
      </c>
      <c r="G1693" s="18" t="n"/>
      <c r="H1693" s="18">
        <f>IF($A1693="","",IF(I1693&lt;&gt;"",I1693,Paramètres!B19))</f>
        <v/>
      </c>
      <c r="I1693" s="18" t="n"/>
    </row>
    <row r="1694">
      <c r="A1694" s="18">
        <f>IF(ISNUMBER(Dossiers!$D$35),Dossiers!$A$35&amp;" · "&amp;Dossiers!$B$35,"")</f>
        <v/>
      </c>
      <c r="B1694" s="18">
        <f>IF($A1694="","",Paramètres!G20)</f>
        <v/>
      </c>
      <c r="C1694" s="18">
        <f>IF($A1694="","",IF(Paramètres!H20="","",Paramètres!H20))</f>
        <v/>
      </c>
      <c r="D1694" s="18">
        <f>IF($A1694="","",IF(Paramètres!I20="","",Paramètres!I20))</f>
        <v/>
      </c>
      <c r="E1694" s="19">
        <f>IF($A1694="","",IF(Paramètres!J20&amp;Paramètres!L20&amp;Paramètres!N20="",Dossiers!$D$35,MAX(IF(Paramètres!J20="",0,IF(Paramètres!K20="",NA(),IF(LEFT(TRIM(Paramètres!K20),1)="F",INDEX($F$1679:$F$1731,MATCH(Paramètres!J20,Paramètres!$G$5:$G$57,0)),INDEX($E$1679:$E$1731,MATCH(Paramètres!J20,Paramètres!$G$5:$G$57,0)))+IF(RIGHT(TRIM(Paramètres!K20),3)="Fin",1-$H1694,IF(LEFT(TRIM(Paramètres!K20),1)="F",1,0)))),IF(Paramètres!L20="",0,IF(Paramètres!M20="",NA(),IF(LEFT(TRIM(Paramètres!M20),1)="F",INDEX($F$1679:$F$1731,MATCH(Paramètres!L20,Paramètres!$G$5:$G$57,0)),INDEX($E$1679:$E$1731,MATCH(Paramètres!L20,Paramètres!$G$5:$G$57,0)))+IF(RIGHT(TRIM(Paramètres!M20),3)="Fin",1-$H1694,IF(LEFT(TRIM(Paramètres!M20),1)="F",1,0)))),IF(Paramètres!N20="",0,IF(Paramètres!O20="",NA(),IF(LEFT(TRIM(Paramètres!O20),1)="F",INDEX($F$1679:$F$1731,MATCH(Paramètres!N20,Paramètres!$G$5:$G$57,0)),INDEX($E$1679:$E$1731,MATCH(Paramètres!N20,Paramètres!$G$5:$G$57,0)))+IF(RIGHT(TRIM(Paramètres!O20),3)="Fin",1-$H1694,IF(LEFT(TRIM(Paramètres!O20),1)="F",1,0)))))))</f>
        <v/>
      </c>
      <c r="F1694" s="19">
        <f>IF($A1694="","",E1694+$H1694-1)</f>
        <v/>
      </c>
      <c r="G1694" s="18" t="n"/>
      <c r="H1694" s="18">
        <f>IF($A1694="","",IF(I1694&lt;&gt;"",I1694,Paramètres!B20))</f>
        <v/>
      </c>
      <c r="I1694" s="18" t="n"/>
    </row>
    <row r="1695">
      <c r="A1695" s="18">
        <f>IF(ISNUMBER(Dossiers!$D$35),Dossiers!$A$35&amp;" · "&amp;Dossiers!$B$35,"")</f>
        <v/>
      </c>
      <c r="B1695" s="18">
        <f>IF($A1695="","",Paramètres!G21)</f>
        <v/>
      </c>
      <c r="C1695" s="18">
        <f>IF($A1695="","",IF(Paramètres!H21="","",Paramètres!H21))</f>
        <v/>
      </c>
      <c r="D1695" s="18">
        <f>IF($A1695="","",IF(Paramètres!I21="","",Paramètres!I21))</f>
        <v/>
      </c>
      <c r="E1695" s="19">
        <f>IF($A1695="","",IF(Paramètres!J21&amp;Paramètres!L21&amp;Paramètres!N21="",Dossiers!$D$35,MAX(IF(Paramètres!J21="",0,IF(Paramètres!K21="",NA(),IF(LEFT(TRIM(Paramètres!K21),1)="F",INDEX($F$1679:$F$1731,MATCH(Paramètres!J21,Paramètres!$G$5:$G$57,0)),INDEX($E$1679:$E$1731,MATCH(Paramètres!J21,Paramètres!$G$5:$G$57,0)))+IF(RIGHT(TRIM(Paramètres!K21),3)="Fin",1-$H1695,IF(LEFT(TRIM(Paramètres!K21),1)="F",1,0)))),IF(Paramètres!L21="",0,IF(Paramètres!M21="",NA(),IF(LEFT(TRIM(Paramètres!M21),1)="F",INDEX($F$1679:$F$1731,MATCH(Paramètres!L21,Paramètres!$G$5:$G$57,0)),INDEX($E$1679:$E$1731,MATCH(Paramètres!L21,Paramètres!$G$5:$G$57,0)))+IF(RIGHT(TRIM(Paramètres!M21),3)="Fin",1-$H1695,IF(LEFT(TRIM(Paramètres!M21),1)="F",1,0)))),IF(Paramètres!N21="",0,IF(Paramètres!O21="",NA(),IF(LEFT(TRIM(Paramètres!O21),1)="F",INDEX($F$1679:$F$1731,MATCH(Paramètres!N21,Paramètres!$G$5:$G$57,0)),INDEX($E$1679:$E$1731,MATCH(Paramètres!N21,Paramètres!$G$5:$G$57,0)))+IF(RIGHT(TRIM(Paramètres!O21),3)="Fin",1-$H1695,IF(LEFT(TRIM(Paramètres!O21),1)="F",1,0)))))))</f>
        <v/>
      </c>
      <c r="F1695" s="19">
        <f>IF($A1695="","",E1695+$H1695-1)</f>
        <v/>
      </c>
      <c r="G1695" s="18" t="n"/>
      <c r="H1695" s="18">
        <f>IF($A1695="","",IF(I1695&lt;&gt;"",I1695,Paramètres!B21))</f>
        <v/>
      </c>
      <c r="I1695" s="18" t="n"/>
    </row>
    <row r="1696">
      <c r="A1696" s="18">
        <f>IF(ISNUMBER(Dossiers!$D$35),Dossiers!$A$35&amp;" · "&amp;Dossiers!$B$35,"")</f>
        <v/>
      </c>
      <c r="B1696" s="18">
        <f>IF($A1696="","",Paramètres!G22)</f>
        <v/>
      </c>
      <c r="C1696" s="18">
        <f>IF($A1696="","",IF(Paramètres!H22="","",Paramètres!H22))</f>
        <v/>
      </c>
      <c r="D1696" s="18">
        <f>IF($A1696="","",IF(Paramètres!I22="","",Paramètres!I22))</f>
        <v/>
      </c>
      <c r="E1696" s="19">
        <f>IF($A1696="","",IF(Paramètres!J22&amp;Paramètres!L22&amp;Paramètres!N22="",Dossiers!$D$35,MAX(IF(Paramètres!J22="",0,IF(Paramètres!K22="",NA(),IF(LEFT(TRIM(Paramètres!K22),1)="F",INDEX($F$1679:$F$1731,MATCH(Paramètres!J22,Paramètres!$G$5:$G$57,0)),INDEX($E$1679:$E$1731,MATCH(Paramètres!J22,Paramètres!$G$5:$G$57,0)))+IF(RIGHT(TRIM(Paramètres!K22),3)="Fin",1-$H1696,IF(LEFT(TRIM(Paramètres!K22),1)="F",1,0)))),IF(Paramètres!L22="",0,IF(Paramètres!M22="",NA(),IF(LEFT(TRIM(Paramètres!M22),1)="F",INDEX($F$1679:$F$1731,MATCH(Paramètres!L22,Paramètres!$G$5:$G$57,0)),INDEX($E$1679:$E$1731,MATCH(Paramètres!L22,Paramètres!$G$5:$G$57,0)))+IF(RIGHT(TRIM(Paramètres!M22),3)="Fin",1-$H1696,IF(LEFT(TRIM(Paramètres!M22),1)="F",1,0)))),IF(Paramètres!N22="",0,IF(Paramètres!O22="",NA(),IF(LEFT(TRIM(Paramètres!O22),1)="F",INDEX($F$1679:$F$1731,MATCH(Paramètres!N22,Paramètres!$G$5:$G$57,0)),INDEX($E$1679:$E$1731,MATCH(Paramètres!N22,Paramètres!$G$5:$G$57,0)))+IF(RIGHT(TRIM(Paramètres!O22),3)="Fin",1-$H1696,IF(LEFT(TRIM(Paramètres!O22),1)="F",1,0)))))))</f>
        <v/>
      </c>
      <c r="F1696" s="19">
        <f>IF($A1696="","",E1696+$H1696-1)</f>
        <v/>
      </c>
      <c r="G1696" s="18" t="n"/>
      <c r="H1696" s="18">
        <f>IF($A1696="","",IF(I1696&lt;&gt;"",I1696,Paramètres!B22))</f>
        <v/>
      </c>
      <c r="I1696" s="18" t="n"/>
    </row>
    <row r="1697">
      <c r="A1697" s="18">
        <f>IF(ISNUMBER(Dossiers!$D$35),Dossiers!$A$35&amp;" · "&amp;Dossiers!$B$35,"")</f>
        <v/>
      </c>
      <c r="B1697" s="18">
        <f>IF($A1697="","",Paramètres!G23)</f>
        <v/>
      </c>
      <c r="C1697" s="18">
        <f>IF($A1697="","",IF(Paramètres!H23="","",Paramètres!H23))</f>
        <v/>
      </c>
      <c r="D1697" s="18">
        <f>IF($A1697="","",IF(Paramètres!I23="","",Paramètres!I23))</f>
        <v/>
      </c>
      <c r="E1697" s="19">
        <f>IF($A1697="","",IF(Paramètres!J23&amp;Paramètres!L23&amp;Paramètres!N23="",Dossiers!$D$35,MAX(IF(Paramètres!J23="",0,IF(Paramètres!K23="",NA(),IF(LEFT(TRIM(Paramètres!K23),1)="F",INDEX($F$1679:$F$1731,MATCH(Paramètres!J23,Paramètres!$G$5:$G$57,0)),INDEX($E$1679:$E$1731,MATCH(Paramètres!J23,Paramètres!$G$5:$G$57,0)))+IF(RIGHT(TRIM(Paramètres!K23),3)="Fin",1-$H1697,IF(LEFT(TRIM(Paramètres!K23),1)="F",1,0)))),IF(Paramètres!L23="",0,IF(Paramètres!M23="",NA(),IF(LEFT(TRIM(Paramètres!M23),1)="F",INDEX($F$1679:$F$1731,MATCH(Paramètres!L23,Paramètres!$G$5:$G$57,0)),INDEX($E$1679:$E$1731,MATCH(Paramètres!L23,Paramètres!$G$5:$G$57,0)))+IF(RIGHT(TRIM(Paramètres!M23),3)="Fin",1-$H1697,IF(LEFT(TRIM(Paramètres!M23),1)="F",1,0)))),IF(Paramètres!N23="",0,IF(Paramètres!O23="",NA(),IF(LEFT(TRIM(Paramètres!O23),1)="F",INDEX($F$1679:$F$1731,MATCH(Paramètres!N23,Paramètres!$G$5:$G$57,0)),INDEX($E$1679:$E$1731,MATCH(Paramètres!N23,Paramètres!$G$5:$G$57,0)))+IF(RIGHT(TRIM(Paramètres!O23),3)="Fin",1-$H1697,IF(LEFT(TRIM(Paramètres!O23),1)="F",1,0)))))))</f>
        <v/>
      </c>
      <c r="F1697" s="19">
        <f>IF($A1697="","",E1697+$H1697-1)</f>
        <v/>
      </c>
      <c r="G1697" s="18" t="n"/>
      <c r="H1697" s="18">
        <f>IF($A1697="","",IF(I1697&lt;&gt;"",I1697,Paramètres!B23))</f>
        <v/>
      </c>
      <c r="I1697" s="18" t="n"/>
    </row>
    <row r="1698">
      <c r="A1698" s="18">
        <f>IF(ISNUMBER(Dossiers!$D$35),Dossiers!$A$35&amp;" · "&amp;Dossiers!$B$35,"")</f>
        <v/>
      </c>
      <c r="B1698" s="18">
        <f>IF($A1698="","",Paramètres!G24)</f>
        <v/>
      </c>
      <c r="C1698" s="18">
        <f>IF($A1698="","",IF(Paramètres!H24="","",Paramètres!H24))</f>
        <v/>
      </c>
      <c r="D1698" s="18">
        <f>IF($A1698="","",IF(Paramètres!I24="","",Paramètres!I24))</f>
        <v/>
      </c>
      <c r="E1698" s="19">
        <f>IF($A1698="","",IF(Paramètres!J24&amp;Paramètres!L24&amp;Paramètres!N24="",Dossiers!$D$35,MAX(IF(Paramètres!J24="",0,IF(Paramètres!K24="",NA(),IF(LEFT(TRIM(Paramètres!K24),1)="F",INDEX($F$1679:$F$1731,MATCH(Paramètres!J24,Paramètres!$G$5:$G$57,0)),INDEX($E$1679:$E$1731,MATCH(Paramètres!J24,Paramètres!$G$5:$G$57,0)))+IF(RIGHT(TRIM(Paramètres!K24),3)="Fin",1-$H1698,IF(LEFT(TRIM(Paramètres!K24),1)="F",1,0)))),IF(Paramètres!L24="",0,IF(Paramètres!M24="",NA(),IF(LEFT(TRIM(Paramètres!M24),1)="F",INDEX($F$1679:$F$1731,MATCH(Paramètres!L24,Paramètres!$G$5:$G$57,0)),INDEX($E$1679:$E$1731,MATCH(Paramètres!L24,Paramètres!$G$5:$G$57,0)))+IF(RIGHT(TRIM(Paramètres!M24),3)="Fin",1-$H1698,IF(LEFT(TRIM(Paramètres!M24),1)="F",1,0)))),IF(Paramètres!N24="",0,IF(Paramètres!O24="",NA(),IF(LEFT(TRIM(Paramètres!O24),1)="F",INDEX($F$1679:$F$1731,MATCH(Paramètres!N24,Paramètres!$G$5:$G$57,0)),INDEX($E$1679:$E$1731,MATCH(Paramètres!N24,Paramètres!$G$5:$G$57,0)))+IF(RIGHT(TRIM(Paramètres!O24),3)="Fin",1-$H1698,IF(LEFT(TRIM(Paramètres!O24),1)="F",1,0)))))))</f>
        <v/>
      </c>
      <c r="F1698" s="19">
        <f>IF($A1698="","",E1698+$H1698-1)</f>
        <v/>
      </c>
      <c r="G1698" s="18" t="n"/>
      <c r="H1698" s="18">
        <f>IF($A1698="","",IF(I1698&lt;&gt;"",I1698,Paramètres!B24))</f>
        <v/>
      </c>
      <c r="I1698" s="18" t="n"/>
    </row>
    <row r="1699">
      <c r="A1699" s="18">
        <f>IF(ISNUMBER(Dossiers!$D$35),Dossiers!$A$35&amp;" · "&amp;Dossiers!$B$35,"")</f>
        <v/>
      </c>
      <c r="B1699" s="18">
        <f>IF($A1699="","",Paramètres!G25)</f>
        <v/>
      </c>
      <c r="C1699" s="18">
        <f>IF($A1699="","",IF(Paramètres!H25="","",Paramètres!H25))</f>
        <v/>
      </c>
      <c r="D1699" s="18">
        <f>IF($A1699="","",IF(Paramètres!I25="","",Paramètres!I25))</f>
        <v/>
      </c>
      <c r="E1699" s="19">
        <f>IF($A1699="","",IF(Paramètres!J25&amp;Paramètres!L25&amp;Paramètres!N25="",Dossiers!$D$35,MAX(IF(Paramètres!J25="",0,IF(Paramètres!K25="",NA(),IF(LEFT(TRIM(Paramètres!K25),1)="F",INDEX($F$1679:$F$1731,MATCH(Paramètres!J25,Paramètres!$G$5:$G$57,0)),INDEX($E$1679:$E$1731,MATCH(Paramètres!J25,Paramètres!$G$5:$G$57,0)))+IF(RIGHT(TRIM(Paramètres!K25),3)="Fin",1-$H1699,IF(LEFT(TRIM(Paramètres!K25),1)="F",1,0)))),IF(Paramètres!L25="",0,IF(Paramètres!M25="",NA(),IF(LEFT(TRIM(Paramètres!M25),1)="F",INDEX($F$1679:$F$1731,MATCH(Paramètres!L25,Paramètres!$G$5:$G$57,0)),INDEX($E$1679:$E$1731,MATCH(Paramètres!L25,Paramètres!$G$5:$G$57,0)))+IF(RIGHT(TRIM(Paramètres!M25),3)="Fin",1-$H1699,IF(LEFT(TRIM(Paramètres!M25),1)="F",1,0)))),IF(Paramètres!N25="",0,IF(Paramètres!O25="",NA(),IF(LEFT(TRIM(Paramètres!O25),1)="F",INDEX($F$1679:$F$1731,MATCH(Paramètres!N25,Paramètres!$G$5:$G$57,0)),INDEX($E$1679:$E$1731,MATCH(Paramètres!N25,Paramètres!$G$5:$G$57,0)))+IF(RIGHT(TRIM(Paramètres!O25),3)="Fin",1-$H1699,IF(LEFT(TRIM(Paramètres!O25),1)="F",1,0)))))))</f>
        <v/>
      </c>
      <c r="F1699" s="19">
        <f>IF($A1699="","",E1699+$H1699-1)</f>
        <v/>
      </c>
      <c r="G1699" s="18" t="n"/>
      <c r="H1699" s="18">
        <f>IF($A1699="","",IF(I1699&lt;&gt;"",I1699,Paramètres!B25))</f>
        <v/>
      </c>
      <c r="I1699" s="18" t="n"/>
    </row>
    <row r="1700">
      <c r="A1700" s="18">
        <f>IF(ISNUMBER(Dossiers!$D$35),Dossiers!$A$35&amp;" · "&amp;Dossiers!$B$35,"")</f>
        <v/>
      </c>
      <c r="B1700" s="18">
        <f>IF($A1700="","",Paramètres!G26)</f>
        <v/>
      </c>
      <c r="C1700" s="18">
        <f>IF($A1700="","",IF(Paramètres!H26="","",Paramètres!H26))</f>
        <v/>
      </c>
      <c r="D1700" s="18">
        <f>IF($A1700="","",IF(Paramètres!I26="","",Paramètres!I26))</f>
        <v/>
      </c>
      <c r="E1700" s="19">
        <f>IF($A1700="","",IF(Paramètres!J26&amp;Paramètres!L26&amp;Paramètres!N26="",Dossiers!$D$35,MAX(IF(Paramètres!J26="",0,IF(Paramètres!K26="",NA(),IF(LEFT(TRIM(Paramètres!K26),1)="F",INDEX($F$1679:$F$1731,MATCH(Paramètres!J26,Paramètres!$G$5:$G$57,0)),INDEX($E$1679:$E$1731,MATCH(Paramètres!J26,Paramètres!$G$5:$G$57,0)))+IF(RIGHT(TRIM(Paramètres!K26),3)="Fin",1-$H1700,IF(LEFT(TRIM(Paramètres!K26),1)="F",1,0)))),IF(Paramètres!L26="",0,IF(Paramètres!M26="",NA(),IF(LEFT(TRIM(Paramètres!M26),1)="F",INDEX($F$1679:$F$1731,MATCH(Paramètres!L26,Paramètres!$G$5:$G$57,0)),INDEX($E$1679:$E$1731,MATCH(Paramètres!L26,Paramètres!$G$5:$G$57,0)))+IF(RIGHT(TRIM(Paramètres!M26),3)="Fin",1-$H1700,IF(LEFT(TRIM(Paramètres!M26),1)="F",1,0)))),IF(Paramètres!N26="",0,IF(Paramètres!O26="",NA(),IF(LEFT(TRIM(Paramètres!O26),1)="F",INDEX($F$1679:$F$1731,MATCH(Paramètres!N26,Paramètres!$G$5:$G$57,0)),INDEX($E$1679:$E$1731,MATCH(Paramètres!N26,Paramètres!$G$5:$G$57,0)))+IF(RIGHT(TRIM(Paramètres!O26),3)="Fin",1-$H1700,IF(LEFT(TRIM(Paramètres!O26),1)="F",1,0)))))))</f>
        <v/>
      </c>
      <c r="F1700" s="19">
        <f>IF($A1700="","",E1700+$H1700-1)</f>
        <v/>
      </c>
      <c r="G1700" s="18" t="n"/>
      <c r="H1700" s="18">
        <f>IF($A1700="","",IF(I1700&lt;&gt;"",I1700,Paramètres!B26))</f>
        <v/>
      </c>
      <c r="I1700" s="18" t="n"/>
    </row>
    <row r="1701">
      <c r="A1701" s="18">
        <f>IF(ISNUMBER(Dossiers!$D$35),Dossiers!$A$35&amp;" · "&amp;Dossiers!$B$35,"")</f>
        <v/>
      </c>
      <c r="B1701" s="18">
        <f>IF($A1701="","",Paramètres!G27)</f>
        <v/>
      </c>
      <c r="C1701" s="18">
        <f>IF($A1701="","",IF(Paramètres!H27="","",Paramètres!H27))</f>
        <v/>
      </c>
      <c r="D1701" s="18">
        <f>IF($A1701="","",IF(Paramètres!I27="","",Paramètres!I27))</f>
        <v/>
      </c>
      <c r="E1701" s="19">
        <f>IF($A1701="","",IF(Paramètres!J27&amp;Paramètres!L27&amp;Paramètres!N27="",Dossiers!$D$35,MAX(IF(Paramètres!J27="",0,IF(Paramètres!K27="",NA(),IF(LEFT(TRIM(Paramètres!K27),1)="F",INDEX($F$1679:$F$1731,MATCH(Paramètres!J27,Paramètres!$G$5:$G$57,0)),INDEX($E$1679:$E$1731,MATCH(Paramètres!J27,Paramètres!$G$5:$G$57,0)))+IF(RIGHT(TRIM(Paramètres!K27),3)="Fin",1-$H1701,IF(LEFT(TRIM(Paramètres!K27),1)="F",1,0)))),IF(Paramètres!L27="",0,IF(Paramètres!M27="",NA(),IF(LEFT(TRIM(Paramètres!M27),1)="F",INDEX($F$1679:$F$1731,MATCH(Paramètres!L27,Paramètres!$G$5:$G$57,0)),INDEX($E$1679:$E$1731,MATCH(Paramètres!L27,Paramètres!$G$5:$G$57,0)))+IF(RIGHT(TRIM(Paramètres!M27),3)="Fin",1-$H1701,IF(LEFT(TRIM(Paramètres!M27),1)="F",1,0)))),IF(Paramètres!N27="",0,IF(Paramètres!O27="",NA(),IF(LEFT(TRIM(Paramètres!O27),1)="F",INDEX($F$1679:$F$1731,MATCH(Paramètres!N27,Paramètres!$G$5:$G$57,0)),INDEX($E$1679:$E$1731,MATCH(Paramètres!N27,Paramètres!$G$5:$G$57,0)))+IF(RIGHT(TRIM(Paramètres!O27),3)="Fin",1-$H1701,IF(LEFT(TRIM(Paramètres!O27),1)="F",1,0)))))))</f>
        <v/>
      </c>
      <c r="F1701" s="19">
        <f>IF($A1701="","",E1701+$H1701-1)</f>
        <v/>
      </c>
      <c r="G1701" s="18" t="n"/>
      <c r="H1701" s="18">
        <f>IF($A1701="","",IF(I1701&lt;&gt;"",I1701,Paramètres!B27))</f>
        <v/>
      </c>
      <c r="I1701" s="18" t="n"/>
    </row>
    <row r="1702">
      <c r="A1702" s="18">
        <f>IF(ISNUMBER(Dossiers!$D$35),Dossiers!$A$35&amp;" · "&amp;Dossiers!$B$35,"")</f>
        <v/>
      </c>
      <c r="B1702" s="18">
        <f>IF($A1702="","",Paramètres!G28)</f>
        <v/>
      </c>
      <c r="C1702" s="18">
        <f>IF($A1702="","",IF(Paramètres!H28="","",Paramètres!H28))</f>
        <v/>
      </c>
      <c r="D1702" s="18">
        <f>IF($A1702="","",IF(Paramètres!I28="","",Paramètres!I28))</f>
        <v/>
      </c>
      <c r="E1702" s="19">
        <f>IF($A1702="","",IF(Paramètres!J28&amp;Paramètres!L28&amp;Paramètres!N28="",Dossiers!$D$35,MAX(IF(Paramètres!J28="",0,IF(Paramètres!K28="",NA(),IF(LEFT(TRIM(Paramètres!K28),1)="F",INDEX($F$1679:$F$1731,MATCH(Paramètres!J28,Paramètres!$G$5:$G$57,0)),INDEX($E$1679:$E$1731,MATCH(Paramètres!J28,Paramètres!$G$5:$G$57,0)))+IF(RIGHT(TRIM(Paramètres!K28),3)="Fin",1-$H1702,IF(LEFT(TRIM(Paramètres!K28),1)="F",1,0)))),IF(Paramètres!L28="",0,IF(Paramètres!M28="",NA(),IF(LEFT(TRIM(Paramètres!M28),1)="F",INDEX($F$1679:$F$1731,MATCH(Paramètres!L28,Paramètres!$G$5:$G$57,0)),INDEX($E$1679:$E$1731,MATCH(Paramètres!L28,Paramètres!$G$5:$G$57,0)))+IF(RIGHT(TRIM(Paramètres!M28),3)="Fin",1-$H1702,IF(LEFT(TRIM(Paramètres!M28),1)="F",1,0)))),IF(Paramètres!N28="",0,IF(Paramètres!O28="",NA(),IF(LEFT(TRIM(Paramètres!O28),1)="F",INDEX($F$1679:$F$1731,MATCH(Paramètres!N28,Paramètres!$G$5:$G$57,0)),INDEX($E$1679:$E$1731,MATCH(Paramètres!N28,Paramètres!$G$5:$G$57,0)))+IF(RIGHT(TRIM(Paramètres!O28),3)="Fin",1-$H1702,IF(LEFT(TRIM(Paramètres!O28),1)="F",1,0)))))))</f>
        <v/>
      </c>
      <c r="F1702" s="19">
        <f>IF($A1702="","",E1702+$H1702-1)</f>
        <v/>
      </c>
      <c r="G1702" s="18" t="n"/>
      <c r="H1702" s="18">
        <f>IF($A1702="","",IF(I1702&lt;&gt;"",I1702,Paramètres!B28))</f>
        <v/>
      </c>
      <c r="I1702" s="18" t="n"/>
    </row>
    <row r="1703">
      <c r="A1703" s="18">
        <f>IF(ISNUMBER(Dossiers!$D$35),Dossiers!$A$35&amp;" · "&amp;Dossiers!$B$35,"")</f>
        <v/>
      </c>
      <c r="B1703" s="18">
        <f>IF($A1703="","",Paramètres!G29)</f>
        <v/>
      </c>
      <c r="C1703" s="18">
        <f>IF($A1703="","",IF(Paramètres!H29="","",Paramètres!H29))</f>
        <v/>
      </c>
      <c r="D1703" s="18">
        <f>IF($A1703="","",IF(Paramètres!I29="","",Paramètres!I29))</f>
        <v/>
      </c>
      <c r="E1703" s="19">
        <f>IF($A1703="","",IF(Paramètres!J29&amp;Paramètres!L29&amp;Paramètres!N29="",Dossiers!$D$35,MAX(IF(Paramètres!J29="",0,IF(Paramètres!K29="",NA(),IF(LEFT(TRIM(Paramètres!K29),1)="F",INDEX($F$1679:$F$1731,MATCH(Paramètres!J29,Paramètres!$G$5:$G$57,0)),INDEX($E$1679:$E$1731,MATCH(Paramètres!J29,Paramètres!$G$5:$G$57,0)))+IF(RIGHT(TRIM(Paramètres!K29),3)="Fin",1-$H1703,IF(LEFT(TRIM(Paramètres!K29),1)="F",1,0)))),IF(Paramètres!L29="",0,IF(Paramètres!M29="",NA(),IF(LEFT(TRIM(Paramètres!M29),1)="F",INDEX($F$1679:$F$1731,MATCH(Paramètres!L29,Paramètres!$G$5:$G$57,0)),INDEX($E$1679:$E$1731,MATCH(Paramètres!L29,Paramètres!$G$5:$G$57,0)))+IF(RIGHT(TRIM(Paramètres!M29),3)="Fin",1-$H1703,IF(LEFT(TRIM(Paramètres!M29),1)="F",1,0)))),IF(Paramètres!N29="",0,IF(Paramètres!O29="",NA(),IF(LEFT(TRIM(Paramètres!O29),1)="F",INDEX($F$1679:$F$1731,MATCH(Paramètres!N29,Paramètres!$G$5:$G$57,0)),INDEX($E$1679:$E$1731,MATCH(Paramètres!N29,Paramètres!$G$5:$G$57,0)))+IF(RIGHT(TRIM(Paramètres!O29),3)="Fin",1-$H1703,IF(LEFT(TRIM(Paramètres!O29),1)="F",1,0)))))))</f>
        <v/>
      </c>
      <c r="F1703" s="19">
        <f>IF($A1703="","",E1703+$H1703-1)</f>
        <v/>
      </c>
      <c r="G1703" s="18" t="n"/>
      <c r="H1703" s="18">
        <f>IF($A1703="","",IF(I1703&lt;&gt;"",I1703,Paramètres!B29))</f>
        <v/>
      </c>
      <c r="I1703" s="18" t="n"/>
    </row>
    <row r="1704">
      <c r="A1704" s="18">
        <f>IF(ISNUMBER(Dossiers!$D$35),Dossiers!$A$35&amp;" · "&amp;Dossiers!$B$35,"")</f>
        <v/>
      </c>
      <c r="B1704" s="18">
        <f>IF($A1704="","",Paramètres!G30)</f>
        <v/>
      </c>
      <c r="C1704" s="18">
        <f>IF($A1704="","",IF(Paramètres!H30="","",Paramètres!H30))</f>
        <v/>
      </c>
      <c r="D1704" s="18">
        <f>IF($A1704="","",IF(Paramètres!I30="","",Paramètres!I30))</f>
        <v/>
      </c>
      <c r="E1704" s="19">
        <f>IF($A1704="","",IF(Paramètres!J30&amp;Paramètres!L30&amp;Paramètres!N30="",Dossiers!$D$35,MAX(IF(Paramètres!J30="",0,IF(Paramètres!K30="",NA(),IF(LEFT(TRIM(Paramètres!K30),1)="F",INDEX($F$1679:$F$1731,MATCH(Paramètres!J30,Paramètres!$G$5:$G$57,0)),INDEX($E$1679:$E$1731,MATCH(Paramètres!J30,Paramètres!$G$5:$G$57,0)))+IF(RIGHT(TRIM(Paramètres!K30),3)="Fin",1-$H1704,IF(LEFT(TRIM(Paramètres!K30),1)="F",1,0)))),IF(Paramètres!L30="",0,IF(Paramètres!M30="",NA(),IF(LEFT(TRIM(Paramètres!M30),1)="F",INDEX($F$1679:$F$1731,MATCH(Paramètres!L30,Paramètres!$G$5:$G$57,0)),INDEX($E$1679:$E$1731,MATCH(Paramètres!L30,Paramètres!$G$5:$G$57,0)))+IF(RIGHT(TRIM(Paramètres!M30),3)="Fin",1-$H1704,IF(LEFT(TRIM(Paramètres!M30),1)="F",1,0)))),IF(Paramètres!N30="",0,IF(Paramètres!O30="",NA(),IF(LEFT(TRIM(Paramètres!O30),1)="F",INDEX($F$1679:$F$1731,MATCH(Paramètres!N30,Paramètres!$G$5:$G$57,0)),INDEX($E$1679:$E$1731,MATCH(Paramètres!N30,Paramètres!$G$5:$G$57,0)))+IF(RIGHT(TRIM(Paramètres!O30),3)="Fin",1-$H1704,IF(LEFT(TRIM(Paramètres!O30),1)="F",1,0)))))))</f>
        <v/>
      </c>
      <c r="F1704" s="19">
        <f>IF($A1704="","",E1704+$H1704-1)</f>
        <v/>
      </c>
      <c r="G1704" s="18" t="n"/>
      <c r="H1704" s="18">
        <f>IF($A1704="","",IF(I1704&lt;&gt;"",I1704,Paramètres!B30))</f>
        <v/>
      </c>
      <c r="I1704" s="18" t="n"/>
    </row>
    <row r="1705">
      <c r="A1705" s="18">
        <f>IF(ISNUMBER(Dossiers!$D$35),Dossiers!$A$35&amp;" · "&amp;Dossiers!$B$35,"")</f>
        <v/>
      </c>
      <c r="B1705" s="18">
        <f>IF($A1705="","",Paramètres!G31)</f>
        <v/>
      </c>
      <c r="C1705" s="20">
        <f>IF($A1705="","",IF(Dossiers!$F$35="","",Dossiers!$F$35))</f>
        <v/>
      </c>
      <c r="D1705" s="18">
        <f>IF($A1705="","",IF(Paramètres!I31="","",Paramètres!I31))</f>
        <v/>
      </c>
      <c r="E1705" s="19">
        <f>IF($A1705="","",IF(Paramètres!J31&amp;Paramètres!L31&amp;Paramètres!N31="",Dossiers!$D$35,MAX(IF(Paramètres!J31="",0,IF(Paramètres!K31="",NA(),IF(LEFT(TRIM(Paramètres!K31),1)="F",INDEX($F$1679:$F$1731,MATCH(Paramètres!J31,Paramètres!$G$5:$G$57,0)),INDEX($E$1679:$E$1731,MATCH(Paramètres!J31,Paramètres!$G$5:$G$57,0)))+IF(RIGHT(TRIM(Paramètres!K31),3)="Fin",1-$H1705,IF(LEFT(TRIM(Paramètres!K31),1)="F",1,0)))),IF(Paramètres!L31="",0,IF(Paramètres!M31="",NA(),IF(LEFT(TRIM(Paramètres!M31),1)="F",INDEX($F$1679:$F$1731,MATCH(Paramètres!L31,Paramètres!$G$5:$G$57,0)),INDEX($E$1679:$E$1731,MATCH(Paramètres!L31,Paramètres!$G$5:$G$57,0)))+IF(RIGHT(TRIM(Paramètres!M31),3)="Fin",1-$H1705,IF(LEFT(TRIM(Paramètres!M31),1)="F",1,0)))),IF(Paramètres!N31="",0,IF(Paramètres!O31="",NA(),IF(LEFT(TRIM(Paramètres!O31),1)="F",INDEX($F$1679:$F$1731,MATCH(Paramètres!N31,Paramètres!$G$5:$G$57,0)),INDEX($E$1679:$E$1731,MATCH(Paramètres!N31,Paramètres!$G$5:$G$57,0)))+IF(RIGHT(TRIM(Paramètres!O31),3)="Fin",1-$H1705,IF(LEFT(TRIM(Paramètres!O31),1)="F",1,0)))))))</f>
        <v/>
      </c>
      <c r="F1705" s="19">
        <f>IF($A1705="","",E1705+$H1705-1)</f>
        <v/>
      </c>
      <c r="G1705" s="18" t="n"/>
      <c r="H1705" s="18">
        <f>IF($A1705="","",IF(I1705&lt;&gt;"",I1705,Paramètres!B31))</f>
        <v/>
      </c>
      <c r="I1705" s="18" t="n"/>
    </row>
    <row r="1706">
      <c r="A1706" s="18">
        <f>IF(ISNUMBER(Dossiers!$D$35),Dossiers!$A$35&amp;" · "&amp;Dossiers!$B$35,"")</f>
        <v/>
      </c>
      <c r="B1706" s="18">
        <f>IF($A1706="","",Paramètres!G32)</f>
        <v/>
      </c>
      <c r="C1706" s="18">
        <f>IF($A1706="","",IF(Paramètres!H32="","",Paramètres!H32))</f>
        <v/>
      </c>
      <c r="D1706" s="18">
        <f>IF($A1706="","",IF(Paramètres!I32="","",Paramètres!I32))</f>
        <v/>
      </c>
      <c r="E1706" s="19">
        <f>IF($A1706="","",MIN(E1707:E1710))</f>
        <v/>
      </c>
      <c r="F1706" s="19">
        <f>IF($A1706="","",MAX(F1707:F1710))</f>
        <v/>
      </c>
      <c r="G1706" s="18" t="n"/>
      <c r="H1706" s="18">
        <f>IF($A1706="","",F1706-E1706+1)</f>
        <v/>
      </c>
      <c r="I1706" s="18" t="n"/>
    </row>
    <row r="1707">
      <c r="A1707" s="18">
        <f>IF(ISNUMBER(Dossiers!$D$35),Dossiers!$A$35&amp;" · "&amp;Dossiers!$B$35,"")</f>
        <v/>
      </c>
      <c r="B1707" s="18">
        <f>IF($A1707="","",Paramètres!G33)</f>
        <v/>
      </c>
      <c r="C1707" s="18">
        <f>IF($A1707="","",IF(Paramètres!H33="","",Paramètres!H33))</f>
        <v/>
      </c>
      <c r="D1707" s="18">
        <f>IF($A1707="","",IF(Paramètres!I33="","",Paramètres!I33))</f>
        <v/>
      </c>
      <c r="E1707" s="19">
        <f>IF($A1707="","",IF(Paramètres!J33&amp;Paramètres!L33&amp;Paramètres!N33="",Dossiers!$D$35,MAX(IF(Paramètres!J33="",0,IF(Paramètres!K33="",NA(),IF(LEFT(TRIM(Paramètres!K33),1)="F",INDEX($F$1679:$F$1731,MATCH(Paramètres!J33,Paramètres!$G$5:$G$57,0)),INDEX($E$1679:$E$1731,MATCH(Paramètres!J33,Paramètres!$G$5:$G$57,0)))+IF(RIGHT(TRIM(Paramètres!K33),3)="Fin",1-$H1707,IF(LEFT(TRIM(Paramètres!K33),1)="F",1,0)))),IF(Paramètres!L33="",0,IF(Paramètres!M33="",NA(),IF(LEFT(TRIM(Paramètres!M33),1)="F",INDEX($F$1679:$F$1731,MATCH(Paramètres!L33,Paramètres!$G$5:$G$57,0)),INDEX($E$1679:$E$1731,MATCH(Paramètres!L33,Paramètres!$G$5:$G$57,0)))+IF(RIGHT(TRIM(Paramètres!M33),3)="Fin",1-$H1707,IF(LEFT(TRIM(Paramètres!M33),1)="F",1,0)))),IF(Paramètres!N33="",0,IF(Paramètres!O33="",NA(),IF(LEFT(TRIM(Paramètres!O33),1)="F",INDEX($F$1679:$F$1731,MATCH(Paramètres!N33,Paramètres!$G$5:$G$57,0)),INDEX($E$1679:$E$1731,MATCH(Paramètres!N33,Paramètres!$G$5:$G$57,0)))+IF(RIGHT(TRIM(Paramètres!O33),3)="Fin",1-$H1707,IF(LEFT(TRIM(Paramètres!O33),1)="F",1,0)))))))</f>
        <v/>
      </c>
      <c r="F1707" s="19">
        <f>IF($A1707="","",E1707+$H1707-1)</f>
        <v/>
      </c>
      <c r="G1707" s="18" t="n"/>
      <c r="H1707" s="18">
        <f>IF($A1707="","",IF(I1707&lt;&gt;"",I1707,Paramètres!B33))</f>
        <v/>
      </c>
      <c r="I1707" s="18" t="n"/>
    </row>
    <row r="1708">
      <c r="A1708" s="18">
        <f>IF(ISNUMBER(Dossiers!$D$35),Dossiers!$A$35&amp;" · "&amp;Dossiers!$B$35,"")</f>
        <v/>
      </c>
      <c r="B1708" s="18">
        <f>IF($A1708="","",Paramètres!G34)</f>
        <v/>
      </c>
      <c r="C1708" s="18">
        <f>IF($A1708="","",IF(Paramètres!H34="","",Paramètres!H34))</f>
        <v/>
      </c>
      <c r="D1708" s="18">
        <f>IF($A1708="","",IF(Paramètres!I34="","",Paramètres!I34))</f>
        <v/>
      </c>
      <c r="E1708" s="19">
        <f>IF($A1708="","",IF(Paramètres!J34&amp;Paramètres!L34&amp;Paramètres!N34="",Dossiers!$D$35,MAX(IF(Paramètres!J34="",0,IF(Paramètres!K34="",NA(),IF(LEFT(TRIM(Paramètres!K34),1)="F",INDEX($F$1679:$F$1731,MATCH(Paramètres!J34,Paramètres!$G$5:$G$57,0)),INDEX($E$1679:$E$1731,MATCH(Paramètres!J34,Paramètres!$G$5:$G$57,0)))+IF(RIGHT(TRIM(Paramètres!K34),3)="Fin",1-$H1708,IF(LEFT(TRIM(Paramètres!K34),1)="F",1,0)))),IF(Paramètres!L34="",0,IF(Paramètres!M34="",NA(),IF(LEFT(TRIM(Paramètres!M34),1)="F",INDEX($F$1679:$F$1731,MATCH(Paramètres!L34,Paramètres!$G$5:$G$57,0)),INDEX($E$1679:$E$1731,MATCH(Paramètres!L34,Paramètres!$G$5:$G$57,0)))+IF(RIGHT(TRIM(Paramètres!M34),3)="Fin",1-$H1708,IF(LEFT(TRIM(Paramètres!M34),1)="F",1,0)))),IF(Paramètres!N34="",0,IF(Paramètres!O34="",NA(),IF(LEFT(TRIM(Paramètres!O34),1)="F",INDEX($F$1679:$F$1731,MATCH(Paramètres!N34,Paramètres!$G$5:$G$57,0)),INDEX($E$1679:$E$1731,MATCH(Paramètres!N34,Paramètres!$G$5:$G$57,0)))+IF(RIGHT(TRIM(Paramètres!O34),3)="Fin",1-$H1708,IF(LEFT(TRIM(Paramètres!O34),1)="F",1,0)))))))</f>
        <v/>
      </c>
      <c r="F1708" s="19">
        <f>IF($A1708="","",E1708+$H1708-1)</f>
        <v/>
      </c>
      <c r="G1708" s="18" t="n"/>
      <c r="H1708" s="18">
        <f>IF($A1708="","",IF(I1708&lt;&gt;"",I1708,Paramètres!B34))</f>
        <v/>
      </c>
      <c r="I1708" s="18" t="n"/>
    </row>
    <row r="1709">
      <c r="A1709" s="18">
        <f>IF(ISNUMBER(Dossiers!$D$35),Dossiers!$A$35&amp;" · "&amp;Dossiers!$B$35,"")</f>
        <v/>
      </c>
      <c r="B1709" s="18">
        <f>IF($A1709="","",Paramètres!G35)</f>
        <v/>
      </c>
      <c r="C1709" s="18">
        <f>IF($A1709="","",IF(Paramètres!H35="","",Paramètres!H35))</f>
        <v/>
      </c>
      <c r="D1709" s="18">
        <f>IF($A1709="","",IF(Paramètres!I35="","",Paramètres!I35))</f>
        <v/>
      </c>
      <c r="E1709" s="19">
        <f>IF($A1709="","",IF(Paramètres!J35&amp;Paramètres!L35&amp;Paramètres!N35="",Dossiers!$D$35,MAX(IF(Paramètres!J35="",0,IF(Paramètres!K35="",NA(),IF(LEFT(TRIM(Paramètres!K35),1)="F",INDEX($F$1679:$F$1731,MATCH(Paramètres!J35,Paramètres!$G$5:$G$57,0)),INDEX($E$1679:$E$1731,MATCH(Paramètres!J35,Paramètres!$G$5:$G$57,0)))+IF(RIGHT(TRIM(Paramètres!K35),3)="Fin",1-$H1709,IF(LEFT(TRIM(Paramètres!K35),1)="F",1,0)))),IF(Paramètres!L35="",0,IF(Paramètres!M35="",NA(),IF(LEFT(TRIM(Paramètres!M35),1)="F",INDEX($F$1679:$F$1731,MATCH(Paramètres!L35,Paramètres!$G$5:$G$57,0)),INDEX($E$1679:$E$1731,MATCH(Paramètres!L35,Paramètres!$G$5:$G$57,0)))+IF(RIGHT(TRIM(Paramètres!M35),3)="Fin",1-$H1709,IF(LEFT(TRIM(Paramètres!M35),1)="F",1,0)))),IF(Paramètres!N35="",0,IF(Paramètres!O35="",NA(),IF(LEFT(TRIM(Paramètres!O35),1)="F",INDEX($F$1679:$F$1731,MATCH(Paramètres!N35,Paramètres!$G$5:$G$57,0)),INDEX($E$1679:$E$1731,MATCH(Paramètres!N35,Paramètres!$G$5:$G$57,0)))+IF(RIGHT(TRIM(Paramètres!O35),3)="Fin",1-$H1709,IF(LEFT(TRIM(Paramètres!O35),1)="F",1,0)))))))</f>
        <v/>
      </c>
      <c r="F1709" s="19">
        <f>IF($A1709="","",E1709+$H1709-1)</f>
        <v/>
      </c>
      <c r="G1709" s="18" t="n"/>
      <c r="H1709" s="18">
        <f>IF($A1709="","",IF(I1709&lt;&gt;"",I1709,Paramètres!B35))</f>
        <v/>
      </c>
      <c r="I1709" s="18" t="n"/>
    </row>
    <row r="1710">
      <c r="A1710" s="18">
        <f>IF(ISNUMBER(Dossiers!$D$35),Dossiers!$A$35&amp;" · "&amp;Dossiers!$B$35,"")</f>
        <v/>
      </c>
      <c r="B1710" s="18">
        <f>IF($A1710="","",Paramètres!G36)</f>
        <v/>
      </c>
      <c r="C1710" s="18">
        <f>IF($A1710="","",IF(Paramètres!H36="","",Paramètres!H36))</f>
        <v/>
      </c>
      <c r="D1710" s="18">
        <f>IF($A1710="","",IF(Paramètres!I36="","",Paramètres!I36))</f>
        <v/>
      </c>
      <c r="E1710" s="19">
        <f>IF($A1710="","",IF(Paramètres!J36&amp;Paramètres!L36&amp;Paramètres!N36="",Dossiers!$D$35,MAX(IF(Paramètres!J36="",0,IF(Paramètres!K36="",NA(),IF(LEFT(TRIM(Paramètres!K36),1)="F",INDEX($F$1679:$F$1731,MATCH(Paramètres!J36,Paramètres!$G$5:$G$57,0)),INDEX($E$1679:$E$1731,MATCH(Paramètres!J36,Paramètres!$G$5:$G$57,0)))+IF(RIGHT(TRIM(Paramètres!K36),3)="Fin",1-$H1710,IF(LEFT(TRIM(Paramètres!K36),1)="F",1,0)))),IF(Paramètres!L36="",0,IF(Paramètres!M36="",NA(),IF(LEFT(TRIM(Paramètres!M36),1)="F",INDEX($F$1679:$F$1731,MATCH(Paramètres!L36,Paramètres!$G$5:$G$57,0)),INDEX($E$1679:$E$1731,MATCH(Paramètres!L36,Paramètres!$G$5:$G$57,0)))+IF(RIGHT(TRIM(Paramètres!M36),3)="Fin",1-$H1710,IF(LEFT(TRIM(Paramètres!M36),1)="F",1,0)))),IF(Paramètres!N36="",0,IF(Paramètres!O36="",NA(),IF(LEFT(TRIM(Paramètres!O36),1)="F",INDEX($F$1679:$F$1731,MATCH(Paramètres!N36,Paramètres!$G$5:$G$57,0)),INDEX($E$1679:$E$1731,MATCH(Paramètres!N36,Paramètres!$G$5:$G$57,0)))+IF(RIGHT(TRIM(Paramètres!O36),3)="Fin",1-$H1710,IF(LEFT(TRIM(Paramètres!O36),1)="F",1,0)))))))</f>
        <v/>
      </c>
      <c r="F1710" s="19">
        <f>IF($A1710="","",E1710+$H1710-1)</f>
        <v/>
      </c>
      <c r="G1710" s="18" t="n"/>
      <c r="H1710" s="18">
        <f>IF($A1710="","",IF(I1710&lt;&gt;"",I1710,Paramètres!B36))</f>
        <v/>
      </c>
      <c r="I1710" s="18" t="n"/>
    </row>
    <row r="1711">
      <c r="A1711" s="18">
        <f>IF(ISNUMBER(Dossiers!$D$35),Dossiers!$A$35&amp;" · "&amp;Dossiers!$B$35,"")</f>
        <v/>
      </c>
      <c r="B1711" s="18">
        <f>IF($A1711="","",Paramètres!G37)</f>
        <v/>
      </c>
      <c r="C1711" s="18">
        <f>IF($A1711="","",IF(Paramètres!H37="","",Paramètres!H37))</f>
        <v/>
      </c>
      <c r="D1711" s="18">
        <f>IF($A1711="","",IF(Paramètres!I37="","",Paramètres!I37))</f>
        <v/>
      </c>
      <c r="E1711" s="19">
        <f>IF($A1711="","",MIN(E1712:E1729))</f>
        <v/>
      </c>
      <c r="F1711" s="19">
        <f>IF($A1711="","",MAX(F1712:F1729))</f>
        <v/>
      </c>
      <c r="G1711" s="18" t="n"/>
      <c r="H1711" s="18">
        <f>IF($A1711="","",F1711-E1711+1)</f>
        <v/>
      </c>
      <c r="I1711" s="18" t="n"/>
    </row>
    <row r="1712">
      <c r="A1712" s="18">
        <f>IF(ISNUMBER(Dossiers!$D$35),Dossiers!$A$35&amp;" · "&amp;Dossiers!$B$35,"")</f>
        <v/>
      </c>
      <c r="B1712" s="18">
        <f>IF($A1712="","",Paramètres!G38)</f>
        <v/>
      </c>
      <c r="C1712" s="18">
        <f>IF($A1712="","",IF(Paramètres!H38="","",Paramètres!H38))</f>
        <v/>
      </c>
      <c r="D1712" s="18">
        <f>IF($A1712="","",IF(Paramètres!I38="","",Paramètres!I38))</f>
        <v/>
      </c>
      <c r="E1712" s="19">
        <f>IF($A1712="","",IF(Paramètres!J38&amp;Paramètres!L38&amp;Paramètres!N38="",Dossiers!$D$35,MAX(IF(Paramètres!J38="",0,IF(Paramètres!K38="",NA(),IF(LEFT(TRIM(Paramètres!K38),1)="F",INDEX($F$1679:$F$1731,MATCH(Paramètres!J38,Paramètres!$G$5:$G$57,0)),INDEX($E$1679:$E$1731,MATCH(Paramètres!J38,Paramètres!$G$5:$G$57,0)))+IF(RIGHT(TRIM(Paramètres!K38),3)="Fin",1-$H1712,IF(LEFT(TRIM(Paramètres!K38),1)="F",1,0)))),IF(Paramètres!L38="",0,IF(Paramètres!M38="",NA(),IF(LEFT(TRIM(Paramètres!M38),1)="F",INDEX($F$1679:$F$1731,MATCH(Paramètres!L38,Paramètres!$G$5:$G$57,0)),INDEX($E$1679:$E$1731,MATCH(Paramètres!L38,Paramètres!$G$5:$G$57,0)))+IF(RIGHT(TRIM(Paramètres!M38),3)="Fin",1-$H1712,IF(LEFT(TRIM(Paramètres!M38),1)="F",1,0)))),IF(Paramètres!N38="",0,IF(Paramètres!O38="",NA(),IF(LEFT(TRIM(Paramètres!O38),1)="F",INDEX($F$1679:$F$1731,MATCH(Paramètres!N38,Paramètres!$G$5:$G$57,0)),INDEX($E$1679:$E$1731,MATCH(Paramètres!N38,Paramètres!$G$5:$G$57,0)))+IF(RIGHT(TRIM(Paramètres!O38),3)="Fin",1-$H1712,IF(LEFT(TRIM(Paramètres!O38),1)="F",1,0)))))))</f>
        <v/>
      </c>
      <c r="F1712" s="19">
        <f>IF($A1712="","",E1712+$H1712-1)</f>
        <v/>
      </c>
      <c r="G1712" s="18" t="n"/>
      <c r="H1712" s="18">
        <f>IF($A1712="","",IF(I1712&lt;&gt;"",I1712,Paramètres!B38))</f>
        <v/>
      </c>
      <c r="I1712" s="18" t="n"/>
    </row>
    <row r="1713">
      <c r="A1713" s="18">
        <f>IF(ISNUMBER(Dossiers!$D$35),Dossiers!$A$35&amp;" · "&amp;Dossiers!$B$35,"")</f>
        <v/>
      </c>
      <c r="B1713" s="18">
        <f>IF($A1713="","",Paramètres!G39)</f>
        <v/>
      </c>
      <c r="C1713" s="18">
        <f>IF($A1713="","",IF(Paramètres!H39="","",Paramètres!H39))</f>
        <v/>
      </c>
      <c r="D1713" s="18">
        <f>IF($A1713="","",IF(Paramètres!I39="","",Paramètres!I39))</f>
        <v/>
      </c>
      <c r="E1713" s="19">
        <f>IF($A1713="","",IF(Paramètres!J39&amp;Paramètres!L39&amp;Paramètres!N39="",Dossiers!$D$35,MAX(IF(Paramètres!J39="",0,IF(Paramètres!K39="",NA(),IF(LEFT(TRIM(Paramètres!K39),1)="F",INDEX($F$1679:$F$1731,MATCH(Paramètres!J39,Paramètres!$G$5:$G$57,0)),INDEX($E$1679:$E$1731,MATCH(Paramètres!J39,Paramètres!$G$5:$G$57,0)))+IF(RIGHT(TRIM(Paramètres!K39),3)="Fin",1-$H1713,IF(LEFT(TRIM(Paramètres!K39),1)="F",1,0)))),IF(Paramètres!L39="",0,IF(Paramètres!M39="",NA(),IF(LEFT(TRIM(Paramètres!M39),1)="F",INDEX($F$1679:$F$1731,MATCH(Paramètres!L39,Paramètres!$G$5:$G$57,0)),INDEX($E$1679:$E$1731,MATCH(Paramètres!L39,Paramètres!$G$5:$G$57,0)))+IF(RIGHT(TRIM(Paramètres!M39),3)="Fin",1-$H1713,IF(LEFT(TRIM(Paramètres!M39),1)="F",1,0)))),IF(Paramètres!N39="",0,IF(Paramètres!O39="",NA(),IF(LEFT(TRIM(Paramètres!O39),1)="F",INDEX($F$1679:$F$1731,MATCH(Paramètres!N39,Paramètres!$G$5:$G$57,0)),INDEX($E$1679:$E$1731,MATCH(Paramètres!N39,Paramètres!$G$5:$G$57,0)))+IF(RIGHT(TRIM(Paramètres!O39),3)="Fin",1-$H1713,IF(LEFT(TRIM(Paramètres!O39),1)="F",1,0)))))))</f>
        <v/>
      </c>
      <c r="F1713" s="19">
        <f>IF($A1713="","",E1713+$H1713-1)</f>
        <v/>
      </c>
      <c r="G1713" s="18" t="n"/>
      <c r="H1713" s="18">
        <f>IF($A1713="","",IF(I1713&lt;&gt;"",I1713,Paramètres!B39))</f>
        <v/>
      </c>
      <c r="I1713" s="18" t="n"/>
    </row>
    <row r="1714">
      <c r="A1714" s="18">
        <f>IF(ISNUMBER(Dossiers!$D$35),Dossiers!$A$35&amp;" · "&amp;Dossiers!$B$35,"")</f>
        <v/>
      </c>
      <c r="B1714" s="18">
        <f>IF($A1714="","",Paramètres!G40)</f>
        <v/>
      </c>
      <c r="C1714" s="18">
        <f>IF($A1714="","",IF(Paramètres!H40="","",Paramètres!H40))</f>
        <v/>
      </c>
      <c r="D1714" s="18">
        <f>IF($A1714="","",IF(Paramètres!I40="","",Paramètres!I40))</f>
        <v/>
      </c>
      <c r="E1714" s="19">
        <f>IF($A1714="","",IF(Paramètres!J40&amp;Paramètres!L40&amp;Paramètres!N40="",Dossiers!$D$35,MAX(IF(Paramètres!J40="",0,IF(Paramètres!K40="",NA(),IF(LEFT(TRIM(Paramètres!K40),1)="F",INDEX($F$1679:$F$1731,MATCH(Paramètres!J40,Paramètres!$G$5:$G$57,0)),INDEX($E$1679:$E$1731,MATCH(Paramètres!J40,Paramètres!$G$5:$G$57,0)))+IF(RIGHT(TRIM(Paramètres!K40),3)="Fin",1-$H1714,IF(LEFT(TRIM(Paramètres!K40),1)="F",1,0)))),IF(Paramètres!L40="",0,IF(Paramètres!M40="",NA(),IF(LEFT(TRIM(Paramètres!M40),1)="F",INDEX($F$1679:$F$1731,MATCH(Paramètres!L40,Paramètres!$G$5:$G$57,0)),INDEX($E$1679:$E$1731,MATCH(Paramètres!L40,Paramètres!$G$5:$G$57,0)))+IF(RIGHT(TRIM(Paramètres!M40),3)="Fin",1-$H1714,IF(LEFT(TRIM(Paramètres!M40),1)="F",1,0)))),IF(Paramètres!N40="",0,IF(Paramètres!O40="",NA(),IF(LEFT(TRIM(Paramètres!O40),1)="F",INDEX($F$1679:$F$1731,MATCH(Paramètres!N40,Paramètres!$G$5:$G$57,0)),INDEX($E$1679:$E$1731,MATCH(Paramètres!N40,Paramètres!$G$5:$G$57,0)))+IF(RIGHT(TRIM(Paramètres!O40),3)="Fin",1-$H1714,IF(LEFT(TRIM(Paramètres!O40),1)="F",1,0)))))))</f>
        <v/>
      </c>
      <c r="F1714" s="19">
        <f>IF($A1714="","",E1714+$H1714-1)</f>
        <v/>
      </c>
      <c r="G1714" s="18" t="n"/>
      <c r="H1714" s="18">
        <f>IF($A1714="","",IF(I1714&lt;&gt;"",I1714,Paramètres!B40))</f>
        <v/>
      </c>
      <c r="I1714" s="18" t="n"/>
    </row>
    <row r="1715">
      <c r="A1715" s="18">
        <f>IF(ISNUMBER(Dossiers!$D$35),Dossiers!$A$35&amp;" · "&amp;Dossiers!$B$35,"")</f>
        <v/>
      </c>
      <c r="B1715" s="18">
        <f>IF($A1715="","",Paramètres!G41)</f>
        <v/>
      </c>
      <c r="C1715" s="18">
        <f>IF($A1715="","",IF(Paramètres!H41="","",Paramètres!H41))</f>
        <v/>
      </c>
      <c r="D1715" s="18">
        <f>IF($A1715="","",IF(Paramètres!I41="","",Paramètres!I41))</f>
        <v/>
      </c>
      <c r="E1715" s="19">
        <f>IF($A1715="","",IF(Paramètres!J41&amp;Paramètres!L41&amp;Paramètres!N41="",Dossiers!$D$35,MAX(IF(Paramètres!J41="",0,IF(Paramètres!K41="",NA(),IF(LEFT(TRIM(Paramètres!K41),1)="F",INDEX($F$1679:$F$1731,MATCH(Paramètres!J41,Paramètres!$G$5:$G$57,0)),INDEX($E$1679:$E$1731,MATCH(Paramètres!J41,Paramètres!$G$5:$G$57,0)))+IF(RIGHT(TRIM(Paramètres!K41),3)="Fin",1-$H1715,IF(LEFT(TRIM(Paramètres!K41),1)="F",1,0)))),IF(Paramètres!L41="",0,IF(Paramètres!M41="",NA(),IF(LEFT(TRIM(Paramètres!M41),1)="F",INDEX($F$1679:$F$1731,MATCH(Paramètres!L41,Paramètres!$G$5:$G$57,0)),INDEX($E$1679:$E$1731,MATCH(Paramètres!L41,Paramètres!$G$5:$G$57,0)))+IF(RIGHT(TRIM(Paramètres!M41),3)="Fin",1-$H1715,IF(LEFT(TRIM(Paramètres!M41),1)="F",1,0)))),IF(Paramètres!N41="",0,IF(Paramètres!O41="",NA(),IF(LEFT(TRIM(Paramètres!O41),1)="F",INDEX($F$1679:$F$1731,MATCH(Paramètres!N41,Paramètres!$G$5:$G$57,0)),INDEX($E$1679:$E$1731,MATCH(Paramètres!N41,Paramètres!$G$5:$G$57,0)))+IF(RIGHT(TRIM(Paramètres!O41),3)="Fin",1-$H1715,IF(LEFT(TRIM(Paramètres!O41),1)="F",1,0)))))))</f>
        <v/>
      </c>
      <c r="F1715" s="19">
        <f>IF($A1715="","",E1715+$H1715-1)</f>
        <v/>
      </c>
      <c r="G1715" s="18" t="n"/>
      <c r="H1715" s="18">
        <f>IF($A1715="","",IF(I1715&lt;&gt;"",I1715,Paramètres!B41))</f>
        <v/>
      </c>
      <c r="I1715" s="18" t="n"/>
    </row>
    <row r="1716">
      <c r="A1716" s="18">
        <f>IF(ISNUMBER(Dossiers!$D$35),Dossiers!$A$35&amp;" · "&amp;Dossiers!$B$35,"")</f>
        <v/>
      </c>
      <c r="B1716" s="18">
        <f>IF($A1716="","",Paramètres!G42)</f>
        <v/>
      </c>
      <c r="C1716" s="18">
        <f>IF($A1716="","",IF(Paramètres!H42="","",Paramètres!H42))</f>
        <v/>
      </c>
      <c r="D1716" s="18">
        <f>IF($A1716="","",IF(Paramètres!I42="","",Paramètres!I42))</f>
        <v/>
      </c>
      <c r="E1716" s="19">
        <f>IF($A1716="","",IF(Paramètres!J42&amp;Paramètres!L42&amp;Paramètres!N42="",Dossiers!$D$35,MAX(IF(Paramètres!J42="",0,IF(Paramètres!K42="",NA(),IF(LEFT(TRIM(Paramètres!K42),1)="F",INDEX($F$1679:$F$1731,MATCH(Paramètres!J42,Paramètres!$G$5:$G$57,0)),INDEX($E$1679:$E$1731,MATCH(Paramètres!J42,Paramètres!$G$5:$G$57,0)))+IF(RIGHT(TRIM(Paramètres!K42),3)="Fin",1-$H1716,IF(LEFT(TRIM(Paramètres!K42),1)="F",1,0)))),IF(Paramètres!L42="",0,IF(Paramètres!M42="",NA(),IF(LEFT(TRIM(Paramètres!M42),1)="F",INDEX($F$1679:$F$1731,MATCH(Paramètres!L42,Paramètres!$G$5:$G$57,0)),INDEX($E$1679:$E$1731,MATCH(Paramètres!L42,Paramètres!$G$5:$G$57,0)))+IF(RIGHT(TRIM(Paramètres!M42),3)="Fin",1-$H1716,IF(LEFT(TRIM(Paramètres!M42),1)="F",1,0)))),IF(Paramètres!N42="",0,IF(Paramètres!O42="",NA(),IF(LEFT(TRIM(Paramètres!O42),1)="F",INDEX($F$1679:$F$1731,MATCH(Paramètres!N42,Paramètres!$G$5:$G$57,0)),INDEX($E$1679:$E$1731,MATCH(Paramètres!N42,Paramètres!$G$5:$G$57,0)))+IF(RIGHT(TRIM(Paramètres!O42),3)="Fin",1-$H1716,IF(LEFT(TRIM(Paramètres!O42),1)="F",1,0)))))))</f>
        <v/>
      </c>
      <c r="F1716" s="19">
        <f>IF($A1716="","",E1716+$H1716-1)</f>
        <v/>
      </c>
      <c r="G1716" s="18" t="n"/>
      <c r="H1716" s="18">
        <f>IF($A1716="","",IF(I1716&lt;&gt;"",I1716,Paramètres!B42))</f>
        <v/>
      </c>
      <c r="I1716" s="18" t="n"/>
    </row>
    <row r="1717">
      <c r="A1717" s="18">
        <f>IF(ISNUMBER(Dossiers!$D$35),Dossiers!$A$35&amp;" · "&amp;Dossiers!$B$35,"")</f>
        <v/>
      </c>
      <c r="B1717" s="18">
        <f>IF($A1717="","",Paramètres!G43)</f>
        <v/>
      </c>
      <c r="C1717" s="18">
        <f>IF($A1717="","",IF(Paramètres!H43="","",Paramètres!H43))</f>
        <v/>
      </c>
      <c r="D1717" s="18">
        <f>IF($A1717="","",IF(Paramètres!I43="","",Paramètres!I43))</f>
        <v/>
      </c>
      <c r="E1717" s="19">
        <f>IF($A1717="","",IF(Paramètres!J43&amp;Paramètres!L43&amp;Paramètres!N43="",Dossiers!$D$35,MAX(IF(Paramètres!J43="",0,IF(Paramètres!K43="",NA(),IF(LEFT(TRIM(Paramètres!K43),1)="F",INDEX($F$1679:$F$1731,MATCH(Paramètres!J43,Paramètres!$G$5:$G$57,0)),INDEX($E$1679:$E$1731,MATCH(Paramètres!J43,Paramètres!$G$5:$G$57,0)))+IF(RIGHT(TRIM(Paramètres!K43),3)="Fin",1-$H1717,IF(LEFT(TRIM(Paramètres!K43),1)="F",1,0)))),IF(Paramètres!L43="",0,IF(Paramètres!M43="",NA(),IF(LEFT(TRIM(Paramètres!M43),1)="F",INDEX($F$1679:$F$1731,MATCH(Paramètres!L43,Paramètres!$G$5:$G$57,0)),INDEX($E$1679:$E$1731,MATCH(Paramètres!L43,Paramètres!$G$5:$G$57,0)))+IF(RIGHT(TRIM(Paramètres!M43),3)="Fin",1-$H1717,IF(LEFT(TRIM(Paramètres!M43),1)="F",1,0)))),IF(Paramètres!N43="",0,IF(Paramètres!O43="",NA(),IF(LEFT(TRIM(Paramètres!O43),1)="F",INDEX($F$1679:$F$1731,MATCH(Paramètres!N43,Paramètres!$G$5:$G$57,0)),INDEX($E$1679:$E$1731,MATCH(Paramètres!N43,Paramètres!$G$5:$G$57,0)))+IF(RIGHT(TRIM(Paramètres!O43),3)="Fin",1-$H1717,IF(LEFT(TRIM(Paramètres!O43),1)="F",1,0)))))))</f>
        <v/>
      </c>
      <c r="F1717" s="19">
        <f>IF($A1717="","",E1717+$H1717-1)</f>
        <v/>
      </c>
      <c r="G1717" s="18" t="n"/>
      <c r="H1717" s="18">
        <f>IF($A1717="","",IF(I1717&lt;&gt;"",I1717,Paramètres!B43))</f>
        <v/>
      </c>
      <c r="I1717" s="18" t="n"/>
    </row>
    <row r="1718">
      <c r="A1718" s="18">
        <f>IF(ISNUMBER(Dossiers!$D$35),Dossiers!$A$35&amp;" · "&amp;Dossiers!$B$35,"")</f>
        <v/>
      </c>
      <c r="B1718" s="18">
        <f>IF($A1718="","",Paramètres!G44)</f>
        <v/>
      </c>
      <c r="C1718" s="18">
        <f>IF($A1718="","",IF(Paramètres!H44="","",Paramètres!H44))</f>
        <v/>
      </c>
      <c r="D1718" s="18">
        <f>IF($A1718="","",IF(Paramètres!I44="","",Paramètres!I44))</f>
        <v/>
      </c>
      <c r="E1718" s="19">
        <f>IF($A1718="","",IF(Paramètres!J44&amp;Paramètres!L44&amp;Paramètres!N44="",Dossiers!$D$35,MAX(IF(Paramètres!J44="",0,IF(Paramètres!K44="",NA(),IF(LEFT(TRIM(Paramètres!K44),1)="F",INDEX($F$1679:$F$1731,MATCH(Paramètres!J44,Paramètres!$G$5:$G$57,0)),INDEX($E$1679:$E$1731,MATCH(Paramètres!J44,Paramètres!$G$5:$G$57,0)))+IF(RIGHT(TRIM(Paramètres!K44),3)="Fin",1-$H1718,IF(LEFT(TRIM(Paramètres!K44),1)="F",1,0)))),IF(Paramètres!L44="",0,IF(Paramètres!M44="",NA(),IF(LEFT(TRIM(Paramètres!M44),1)="F",INDEX($F$1679:$F$1731,MATCH(Paramètres!L44,Paramètres!$G$5:$G$57,0)),INDEX($E$1679:$E$1731,MATCH(Paramètres!L44,Paramètres!$G$5:$G$57,0)))+IF(RIGHT(TRIM(Paramètres!M44),3)="Fin",1-$H1718,IF(LEFT(TRIM(Paramètres!M44),1)="F",1,0)))),IF(Paramètres!N44="",0,IF(Paramètres!O44="",NA(),IF(LEFT(TRIM(Paramètres!O44),1)="F",INDEX($F$1679:$F$1731,MATCH(Paramètres!N44,Paramètres!$G$5:$G$57,0)),INDEX($E$1679:$E$1731,MATCH(Paramètres!N44,Paramètres!$G$5:$G$57,0)))+IF(RIGHT(TRIM(Paramètres!O44),3)="Fin",1-$H1718,IF(LEFT(TRIM(Paramètres!O44),1)="F",1,0)))))))</f>
        <v/>
      </c>
      <c r="F1718" s="19">
        <f>IF($A1718="","",E1718+$H1718-1)</f>
        <v/>
      </c>
      <c r="G1718" s="18" t="n"/>
      <c r="H1718" s="18">
        <f>IF($A1718="","",IF(I1718&lt;&gt;"",I1718,Paramètres!B44))</f>
        <v/>
      </c>
      <c r="I1718" s="18" t="n"/>
    </row>
    <row r="1719">
      <c r="A1719" s="18">
        <f>IF(ISNUMBER(Dossiers!$D$35),Dossiers!$A$35&amp;" · "&amp;Dossiers!$B$35,"")</f>
        <v/>
      </c>
      <c r="B1719" s="18">
        <f>IF($A1719="","",Paramètres!G45)</f>
        <v/>
      </c>
      <c r="C1719" s="20">
        <f>IF($A1719="","",IF(Dossiers!$G$35="","",Dossiers!$G$35))</f>
        <v/>
      </c>
      <c r="D1719" s="18">
        <f>IF($A1719="","",IF(Paramètres!I45="","",Paramètres!I45))</f>
        <v/>
      </c>
      <c r="E1719" s="19">
        <f>IF($A1719="","",IF(Paramètres!J45&amp;Paramètres!L45&amp;Paramètres!N45="",Dossiers!$D$35,MAX(IF(Paramètres!J45="",0,IF(Paramètres!K45="",NA(),IF(LEFT(TRIM(Paramètres!K45),1)="F",INDEX($F$1679:$F$1731,MATCH(Paramètres!J45,Paramètres!$G$5:$G$57,0)),INDEX($E$1679:$E$1731,MATCH(Paramètres!J45,Paramètres!$G$5:$G$57,0)))+IF(RIGHT(TRIM(Paramètres!K45),3)="Fin",1-$H1719,IF(LEFT(TRIM(Paramètres!K45),1)="F",1,0)))),IF(Paramètres!L45="",0,IF(Paramètres!M45="",NA(),IF(LEFT(TRIM(Paramètres!M45),1)="F",INDEX($F$1679:$F$1731,MATCH(Paramètres!L45,Paramètres!$G$5:$G$57,0)),INDEX($E$1679:$E$1731,MATCH(Paramètres!L45,Paramètres!$G$5:$G$57,0)))+IF(RIGHT(TRIM(Paramètres!M45),3)="Fin",1-$H1719,IF(LEFT(TRIM(Paramètres!M45),1)="F",1,0)))),IF(Paramètres!N45="",0,IF(Paramètres!O45="",NA(),IF(LEFT(TRIM(Paramètres!O45),1)="F",INDEX($F$1679:$F$1731,MATCH(Paramètres!N45,Paramètres!$G$5:$G$57,0)),INDEX($E$1679:$E$1731,MATCH(Paramètres!N45,Paramètres!$G$5:$G$57,0)))+IF(RIGHT(TRIM(Paramètres!O45),3)="Fin",1-$H1719,IF(LEFT(TRIM(Paramètres!O45),1)="F",1,0)))))))</f>
        <v/>
      </c>
      <c r="F1719" s="19">
        <f>IF($A1719="","",E1719+$H1719-1)</f>
        <v/>
      </c>
      <c r="G1719" s="18" t="n"/>
      <c r="H1719" s="18">
        <f>IF($A1719="","",IF(I1719&lt;&gt;"",I1719,Paramètres!B45))</f>
        <v/>
      </c>
      <c r="I1719" s="18" t="n"/>
    </row>
    <row r="1720">
      <c r="A1720" s="18">
        <f>IF(ISNUMBER(Dossiers!$D$35),Dossiers!$A$35&amp;" · "&amp;Dossiers!$B$35,"")</f>
        <v/>
      </c>
      <c r="B1720" s="18">
        <f>IF($A1720="","",Paramètres!G46)</f>
        <v/>
      </c>
      <c r="C1720" s="18">
        <f>IF($A1720="","",IF(Paramètres!H46="","",Paramètres!H46))</f>
        <v/>
      </c>
      <c r="D1720" s="18">
        <f>IF($A1720="","",IF(Paramètres!I46="","",Paramètres!I46))</f>
        <v/>
      </c>
      <c r="E1720" s="19">
        <f>IF($A1720="","",IF(Paramètres!J46&amp;Paramètres!L46&amp;Paramètres!N46="",Dossiers!$D$35,MAX(IF(Paramètres!J46="",0,IF(Paramètres!K46="",NA(),IF(LEFT(TRIM(Paramètres!K46),1)="F",INDEX($F$1679:$F$1731,MATCH(Paramètres!J46,Paramètres!$G$5:$G$57,0)),INDEX($E$1679:$E$1731,MATCH(Paramètres!J46,Paramètres!$G$5:$G$57,0)))+IF(RIGHT(TRIM(Paramètres!K46),3)="Fin",1-$H1720,IF(LEFT(TRIM(Paramètres!K46),1)="F",1,0)))),IF(Paramètres!L46="",0,IF(Paramètres!M46="",NA(),IF(LEFT(TRIM(Paramètres!M46),1)="F",INDEX($F$1679:$F$1731,MATCH(Paramètres!L46,Paramètres!$G$5:$G$57,0)),INDEX($E$1679:$E$1731,MATCH(Paramètres!L46,Paramètres!$G$5:$G$57,0)))+IF(RIGHT(TRIM(Paramètres!M46),3)="Fin",1-$H1720,IF(LEFT(TRIM(Paramètres!M46),1)="F",1,0)))),IF(Paramètres!N46="",0,IF(Paramètres!O46="",NA(),IF(LEFT(TRIM(Paramètres!O46),1)="F",INDEX($F$1679:$F$1731,MATCH(Paramètres!N46,Paramètres!$G$5:$G$57,0)),INDEX($E$1679:$E$1731,MATCH(Paramètres!N46,Paramètres!$G$5:$G$57,0)))+IF(RIGHT(TRIM(Paramètres!O46),3)="Fin",1-$H1720,IF(LEFT(TRIM(Paramètres!O46),1)="F",1,0)))))))</f>
        <v/>
      </c>
      <c r="F1720" s="19">
        <f>IF($A1720="","",E1720+$H1720-1)</f>
        <v/>
      </c>
      <c r="G1720" s="18" t="n"/>
      <c r="H1720" s="18">
        <f>IF($A1720="","",IF(I1720&lt;&gt;"",I1720,Paramètres!B46))</f>
        <v/>
      </c>
      <c r="I1720" s="18" t="n"/>
    </row>
    <row r="1721">
      <c r="A1721" s="18">
        <f>IF(ISNUMBER(Dossiers!$D$35),Dossiers!$A$35&amp;" · "&amp;Dossiers!$B$35,"")</f>
        <v/>
      </c>
      <c r="B1721" s="18">
        <f>IF($A1721="","",Paramètres!G47)</f>
        <v/>
      </c>
      <c r="C1721" s="18">
        <f>IF($A1721="","",IF(Paramètres!H47="","",Paramètres!H47))</f>
        <v/>
      </c>
      <c r="D1721" s="18">
        <f>IF($A1721="","",IF(Paramètres!I47="","",Paramètres!I47))</f>
        <v/>
      </c>
      <c r="E1721" s="19">
        <f>IF($A1721="","",IF(Paramètres!J47&amp;Paramètres!L47&amp;Paramètres!N47="",Dossiers!$D$35,MAX(IF(Paramètres!J47="",0,IF(Paramètres!K47="",NA(),IF(LEFT(TRIM(Paramètres!K47),1)="F",INDEX($F$1679:$F$1731,MATCH(Paramètres!J47,Paramètres!$G$5:$G$57,0)),INDEX($E$1679:$E$1731,MATCH(Paramètres!J47,Paramètres!$G$5:$G$57,0)))+IF(RIGHT(TRIM(Paramètres!K47),3)="Fin",1-$H1721,IF(LEFT(TRIM(Paramètres!K47),1)="F",1,0)))),IF(Paramètres!L47="",0,IF(Paramètres!M47="",NA(),IF(LEFT(TRIM(Paramètres!M47),1)="F",INDEX($F$1679:$F$1731,MATCH(Paramètres!L47,Paramètres!$G$5:$G$57,0)),INDEX($E$1679:$E$1731,MATCH(Paramètres!L47,Paramètres!$G$5:$G$57,0)))+IF(RIGHT(TRIM(Paramètres!M47),3)="Fin",1-$H1721,IF(LEFT(TRIM(Paramètres!M47),1)="F",1,0)))),IF(Paramètres!N47="",0,IF(Paramètres!O47="",NA(),IF(LEFT(TRIM(Paramètres!O47),1)="F",INDEX($F$1679:$F$1731,MATCH(Paramètres!N47,Paramètres!$G$5:$G$57,0)),INDEX($E$1679:$E$1731,MATCH(Paramètres!N47,Paramètres!$G$5:$G$57,0)))+IF(RIGHT(TRIM(Paramètres!O47),3)="Fin",1-$H1721,IF(LEFT(TRIM(Paramètres!O47),1)="F",1,0)))))))</f>
        <v/>
      </c>
      <c r="F1721" s="19">
        <f>IF($A1721="","",E1721+$H1721-1)</f>
        <v/>
      </c>
      <c r="G1721" s="18" t="n"/>
      <c r="H1721" s="18">
        <f>IF($A1721="","",IF(I1721&lt;&gt;"",I1721,Paramètres!B47))</f>
        <v/>
      </c>
      <c r="I1721" s="18" t="n"/>
    </row>
    <row r="1722">
      <c r="A1722" s="18">
        <f>IF(ISNUMBER(Dossiers!$D$35),Dossiers!$A$35&amp;" · "&amp;Dossiers!$B$35,"")</f>
        <v/>
      </c>
      <c r="B1722" s="18">
        <f>IF($A1722="","",Paramètres!G48)</f>
        <v/>
      </c>
      <c r="C1722" s="18">
        <f>IF($A1722="","",IF(Paramètres!H48="","",Paramètres!H48))</f>
        <v/>
      </c>
      <c r="D1722" s="18">
        <f>IF($A1722="","",IF(Paramètres!I48="","",Paramètres!I48))</f>
        <v/>
      </c>
      <c r="E1722" s="19">
        <f>IF($A1722="","",IF(Paramètres!J48&amp;Paramètres!L48&amp;Paramètres!N48="",Dossiers!$D$35,MAX(IF(Paramètres!J48="",0,IF(Paramètres!K48="",NA(),IF(LEFT(TRIM(Paramètres!K48),1)="F",INDEX($F$1679:$F$1731,MATCH(Paramètres!J48,Paramètres!$G$5:$G$57,0)),INDEX($E$1679:$E$1731,MATCH(Paramètres!J48,Paramètres!$G$5:$G$57,0)))+IF(RIGHT(TRIM(Paramètres!K48),3)="Fin",1-$H1722,IF(LEFT(TRIM(Paramètres!K48),1)="F",1,0)))),IF(Paramètres!L48="",0,IF(Paramètres!M48="",NA(),IF(LEFT(TRIM(Paramètres!M48),1)="F",INDEX($F$1679:$F$1731,MATCH(Paramètres!L48,Paramètres!$G$5:$G$57,0)),INDEX($E$1679:$E$1731,MATCH(Paramètres!L48,Paramètres!$G$5:$G$57,0)))+IF(RIGHT(TRIM(Paramètres!M48),3)="Fin",1-$H1722,IF(LEFT(TRIM(Paramètres!M48),1)="F",1,0)))),IF(Paramètres!N48="",0,IF(Paramètres!O48="",NA(),IF(LEFT(TRIM(Paramètres!O48),1)="F",INDEX($F$1679:$F$1731,MATCH(Paramètres!N48,Paramètres!$G$5:$G$57,0)),INDEX($E$1679:$E$1731,MATCH(Paramètres!N48,Paramètres!$G$5:$G$57,0)))+IF(RIGHT(TRIM(Paramètres!O48),3)="Fin",1-$H1722,IF(LEFT(TRIM(Paramètres!O48),1)="F",1,0)))))))</f>
        <v/>
      </c>
      <c r="F1722" s="19">
        <f>IF($A1722="","",E1722+$H1722-1)</f>
        <v/>
      </c>
      <c r="G1722" s="18" t="n"/>
      <c r="H1722" s="18">
        <f>IF($A1722="","",IF(I1722&lt;&gt;"",I1722,Paramètres!B48))</f>
        <v/>
      </c>
      <c r="I1722" s="18" t="n"/>
    </row>
    <row r="1723">
      <c r="A1723" s="18">
        <f>IF(ISNUMBER(Dossiers!$D$35),Dossiers!$A$35&amp;" · "&amp;Dossiers!$B$35,"")</f>
        <v/>
      </c>
      <c r="B1723" s="18">
        <f>IF($A1723="","",Paramètres!G49)</f>
        <v/>
      </c>
      <c r="C1723" s="18">
        <f>IF($A1723="","",IF(Paramètres!H49="","",Paramètres!H49))</f>
        <v/>
      </c>
      <c r="D1723" s="18">
        <f>IF($A1723="","",IF(Paramètres!I49="","",Paramètres!I49))</f>
        <v/>
      </c>
      <c r="E1723" s="19">
        <f>IF($A1723="","",IF(Paramètres!J49&amp;Paramètres!L49&amp;Paramètres!N49="",Dossiers!$D$35,MAX(IF(Paramètres!J49="",0,IF(Paramètres!K49="",NA(),IF(LEFT(TRIM(Paramètres!K49),1)="F",INDEX($F$1679:$F$1731,MATCH(Paramètres!J49,Paramètres!$G$5:$G$57,0)),INDEX($E$1679:$E$1731,MATCH(Paramètres!J49,Paramètres!$G$5:$G$57,0)))+IF(RIGHT(TRIM(Paramètres!K49),3)="Fin",1-$H1723,IF(LEFT(TRIM(Paramètres!K49),1)="F",1,0)))),IF(Paramètres!L49="",0,IF(Paramètres!M49="",NA(),IF(LEFT(TRIM(Paramètres!M49),1)="F",INDEX($F$1679:$F$1731,MATCH(Paramètres!L49,Paramètres!$G$5:$G$57,0)),INDEX($E$1679:$E$1731,MATCH(Paramètres!L49,Paramètres!$G$5:$G$57,0)))+IF(RIGHT(TRIM(Paramètres!M49),3)="Fin",1-$H1723,IF(LEFT(TRIM(Paramètres!M49),1)="F",1,0)))),IF(Paramètres!N49="",0,IF(Paramètres!O49="",NA(),IF(LEFT(TRIM(Paramètres!O49),1)="F",INDEX($F$1679:$F$1731,MATCH(Paramètres!N49,Paramètres!$G$5:$G$57,0)),INDEX($E$1679:$E$1731,MATCH(Paramètres!N49,Paramètres!$G$5:$G$57,0)))+IF(RIGHT(TRIM(Paramètres!O49),3)="Fin",1-$H1723,IF(LEFT(TRIM(Paramètres!O49),1)="F",1,0)))))))</f>
        <v/>
      </c>
      <c r="F1723" s="19">
        <f>IF($A1723="","",E1723+$H1723-1)</f>
        <v/>
      </c>
      <c r="G1723" s="18" t="n"/>
      <c r="H1723" s="18">
        <f>IF($A1723="","",IF(I1723&lt;&gt;"",I1723,Paramètres!B49))</f>
        <v/>
      </c>
      <c r="I1723" s="18" t="n"/>
    </row>
    <row r="1724">
      <c r="A1724" s="18">
        <f>IF(ISNUMBER(Dossiers!$D$35),Dossiers!$A$35&amp;" · "&amp;Dossiers!$B$35,"")</f>
        <v/>
      </c>
      <c r="B1724" s="18">
        <f>IF($A1724="","",Paramètres!G50)</f>
        <v/>
      </c>
      <c r="C1724" s="18">
        <f>IF($A1724="","",IF(Paramètres!H50="","",Paramètres!H50))</f>
        <v/>
      </c>
      <c r="D1724" s="18">
        <f>IF($A1724="","",IF(Paramètres!I50="","",Paramètres!I50))</f>
        <v/>
      </c>
      <c r="E1724" s="19">
        <f>IF($A1724="","",IF(Paramètres!J50&amp;Paramètres!L50&amp;Paramètres!N50="",Dossiers!$D$35,MAX(IF(Paramètres!J50="",0,IF(Paramètres!K50="",NA(),IF(LEFT(TRIM(Paramètres!K50),1)="F",INDEX($F$1679:$F$1731,MATCH(Paramètres!J50,Paramètres!$G$5:$G$57,0)),INDEX($E$1679:$E$1731,MATCH(Paramètres!J50,Paramètres!$G$5:$G$57,0)))+IF(RIGHT(TRIM(Paramètres!K50),3)="Fin",1-$H1724,IF(LEFT(TRIM(Paramètres!K50),1)="F",1,0)))),IF(Paramètres!L50="",0,IF(Paramètres!M50="",NA(),IF(LEFT(TRIM(Paramètres!M50),1)="F",INDEX($F$1679:$F$1731,MATCH(Paramètres!L50,Paramètres!$G$5:$G$57,0)),INDEX($E$1679:$E$1731,MATCH(Paramètres!L50,Paramètres!$G$5:$G$57,0)))+IF(RIGHT(TRIM(Paramètres!M50),3)="Fin",1-$H1724,IF(LEFT(TRIM(Paramètres!M50),1)="F",1,0)))),IF(Paramètres!N50="",0,IF(Paramètres!O50="",NA(),IF(LEFT(TRIM(Paramètres!O50),1)="F",INDEX($F$1679:$F$1731,MATCH(Paramètres!N50,Paramètres!$G$5:$G$57,0)),INDEX($E$1679:$E$1731,MATCH(Paramètres!N50,Paramètres!$G$5:$G$57,0)))+IF(RIGHT(TRIM(Paramètres!O50),3)="Fin",1-$H1724,IF(LEFT(TRIM(Paramètres!O50),1)="F",1,0)))))))</f>
        <v/>
      </c>
      <c r="F1724" s="19">
        <f>IF($A1724="","",E1724+$H1724-1)</f>
        <v/>
      </c>
      <c r="G1724" s="18" t="n"/>
      <c r="H1724" s="18">
        <f>IF($A1724="","",IF(I1724&lt;&gt;"",I1724,Paramètres!B50))</f>
        <v/>
      </c>
      <c r="I1724" s="18" t="n"/>
    </row>
    <row r="1725">
      <c r="A1725" s="18">
        <f>IF(ISNUMBER(Dossiers!$D$35),Dossiers!$A$35&amp;" · "&amp;Dossiers!$B$35,"")</f>
        <v/>
      </c>
      <c r="B1725" s="18">
        <f>IF($A1725="","",Paramètres!G51)</f>
        <v/>
      </c>
      <c r="C1725" s="18">
        <f>IF($A1725="","",IF(Paramètres!H51="","",Paramètres!H51))</f>
        <v/>
      </c>
      <c r="D1725" s="18">
        <f>IF($A1725="","",IF(Paramètres!I51="","",Paramètres!I51))</f>
        <v/>
      </c>
      <c r="E1725" s="19">
        <f>IF($A1725="","",IF(Paramètres!J51&amp;Paramètres!L51&amp;Paramètres!N51="",Dossiers!$D$35,MAX(IF(Paramètres!J51="",0,IF(Paramètres!K51="",NA(),IF(LEFT(TRIM(Paramètres!K51),1)="F",INDEX($F$1679:$F$1731,MATCH(Paramètres!J51,Paramètres!$G$5:$G$57,0)),INDEX($E$1679:$E$1731,MATCH(Paramètres!J51,Paramètres!$G$5:$G$57,0)))+IF(RIGHT(TRIM(Paramètres!K51),3)="Fin",1-$H1725,IF(LEFT(TRIM(Paramètres!K51),1)="F",1,0)))),IF(Paramètres!L51="",0,IF(Paramètres!M51="",NA(),IF(LEFT(TRIM(Paramètres!M51),1)="F",INDEX($F$1679:$F$1731,MATCH(Paramètres!L51,Paramètres!$G$5:$G$57,0)),INDEX($E$1679:$E$1731,MATCH(Paramètres!L51,Paramètres!$G$5:$G$57,0)))+IF(RIGHT(TRIM(Paramètres!M51),3)="Fin",1-$H1725,IF(LEFT(TRIM(Paramètres!M51),1)="F",1,0)))),IF(Paramètres!N51="",0,IF(Paramètres!O51="",NA(),IF(LEFT(TRIM(Paramètres!O51),1)="F",INDEX($F$1679:$F$1731,MATCH(Paramètres!N51,Paramètres!$G$5:$G$57,0)),INDEX($E$1679:$E$1731,MATCH(Paramètres!N51,Paramètres!$G$5:$G$57,0)))+IF(RIGHT(TRIM(Paramètres!O51),3)="Fin",1-$H1725,IF(LEFT(TRIM(Paramètres!O51),1)="F",1,0)))))))</f>
        <v/>
      </c>
      <c r="F1725" s="19">
        <f>IF($A1725="","",E1725+$H1725-1)</f>
        <v/>
      </c>
      <c r="G1725" s="18" t="n"/>
      <c r="H1725" s="18">
        <f>IF($A1725="","",IF(I1725&lt;&gt;"",I1725,Paramètres!B51))</f>
        <v/>
      </c>
      <c r="I1725" s="18" t="n"/>
    </row>
    <row r="1726">
      <c r="A1726" s="18">
        <f>IF(ISNUMBER(Dossiers!$D$35),Dossiers!$A$35&amp;" · "&amp;Dossiers!$B$35,"")</f>
        <v/>
      </c>
      <c r="B1726" s="18">
        <f>IF($A1726="","",Paramètres!G52)</f>
        <v/>
      </c>
      <c r="C1726" s="18">
        <f>IF($A1726="","",IF(Paramètres!H52="","",Paramètres!H52))</f>
        <v/>
      </c>
      <c r="D1726" s="18">
        <f>IF($A1726="","",IF(Paramètres!I52="","",Paramètres!I52))</f>
        <v/>
      </c>
      <c r="E1726" s="19">
        <f>IF($A1726="","",IF(Paramètres!J52&amp;Paramètres!L52&amp;Paramètres!N52="",Dossiers!$D$35,MAX(IF(Paramètres!J52="",0,IF(Paramètres!K52="",NA(),IF(LEFT(TRIM(Paramètres!K52),1)="F",INDEX($F$1679:$F$1731,MATCH(Paramètres!J52,Paramètres!$G$5:$G$57,0)),INDEX($E$1679:$E$1731,MATCH(Paramètres!J52,Paramètres!$G$5:$G$57,0)))+IF(RIGHT(TRIM(Paramètres!K52),3)="Fin",1-$H1726,IF(LEFT(TRIM(Paramètres!K52),1)="F",1,0)))),IF(Paramètres!L52="",0,IF(Paramètres!M52="",NA(),IF(LEFT(TRIM(Paramètres!M52),1)="F",INDEX($F$1679:$F$1731,MATCH(Paramètres!L52,Paramètres!$G$5:$G$57,0)),INDEX($E$1679:$E$1731,MATCH(Paramètres!L52,Paramètres!$G$5:$G$57,0)))+IF(RIGHT(TRIM(Paramètres!M52),3)="Fin",1-$H1726,IF(LEFT(TRIM(Paramètres!M52),1)="F",1,0)))),IF(Paramètres!N52="",0,IF(Paramètres!O52="",NA(),IF(LEFT(TRIM(Paramètres!O52),1)="F",INDEX($F$1679:$F$1731,MATCH(Paramètres!N52,Paramètres!$G$5:$G$57,0)),INDEX($E$1679:$E$1731,MATCH(Paramètres!N52,Paramètres!$G$5:$G$57,0)))+IF(RIGHT(TRIM(Paramètres!O52),3)="Fin",1-$H1726,IF(LEFT(TRIM(Paramètres!O52),1)="F",1,0)))))))</f>
        <v/>
      </c>
      <c r="F1726" s="19">
        <f>IF($A1726="","",E1726+$H1726-1)</f>
        <v/>
      </c>
      <c r="G1726" s="18" t="n"/>
      <c r="H1726" s="18">
        <f>IF($A1726="","",IF(I1726&lt;&gt;"",I1726,Paramètres!B52))</f>
        <v/>
      </c>
      <c r="I1726" s="18" t="n"/>
    </row>
    <row r="1727">
      <c r="A1727" s="18">
        <f>IF(ISNUMBER(Dossiers!$D$35),Dossiers!$A$35&amp;" · "&amp;Dossiers!$B$35,"")</f>
        <v/>
      </c>
      <c r="B1727" s="18">
        <f>IF($A1727="","",Paramètres!G53)</f>
        <v/>
      </c>
      <c r="C1727" s="18">
        <f>IF($A1727="","",IF(Paramètres!H53="","",Paramètres!H53))</f>
        <v/>
      </c>
      <c r="D1727" s="18">
        <f>IF($A1727="","",IF(Paramètres!I53="","",Paramètres!I53))</f>
        <v/>
      </c>
      <c r="E1727" s="19">
        <f>IF($A1727="","",IF(Paramètres!J53&amp;Paramètres!L53&amp;Paramètres!N53="",Dossiers!$D$35,MAX(IF(Paramètres!J53="",0,IF(Paramètres!K53="",NA(),IF(LEFT(TRIM(Paramètres!K53),1)="F",INDEX($F$1679:$F$1731,MATCH(Paramètres!J53,Paramètres!$G$5:$G$57,0)),INDEX($E$1679:$E$1731,MATCH(Paramètres!J53,Paramètres!$G$5:$G$57,0)))+IF(RIGHT(TRIM(Paramètres!K53),3)="Fin",1-$H1727,IF(LEFT(TRIM(Paramètres!K53),1)="F",1,0)))),IF(Paramètres!L53="",0,IF(Paramètres!M53="",NA(),IF(LEFT(TRIM(Paramètres!M53),1)="F",INDEX($F$1679:$F$1731,MATCH(Paramètres!L53,Paramètres!$G$5:$G$57,0)),INDEX($E$1679:$E$1731,MATCH(Paramètres!L53,Paramètres!$G$5:$G$57,0)))+IF(RIGHT(TRIM(Paramètres!M53),3)="Fin",1-$H1727,IF(LEFT(TRIM(Paramètres!M53),1)="F",1,0)))),IF(Paramètres!N53="",0,IF(Paramètres!O53="",NA(),IF(LEFT(TRIM(Paramètres!O53),1)="F",INDEX($F$1679:$F$1731,MATCH(Paramètres!N53,Paramètres!$G$5:$G$57,0)),INDEX($E$1679:$E$1731,MATCH(Paramètres!N53,Paramètres!$G$5:$G$57,0)))+IF(RIGHT(TRIM(Paramètres!O53),3)="Fin",1-$H1727,IF(LEFT(TRIM(Paramètres!O53),1)="F",1,0)))))))</f>
        <v/>
      </c>
      <c r="F1727" s="19">
        <f>IF($A1727="","",E1727+$H1727-1)</f>
        <v/>
      </c>
      <c r="G1727" s="18" t="n"/>
      <c r="H1727" s="18">
        <f>IF($A1727="","",IF(I1727&lt;&gt;"",I1727,Paramètres!B53))</f>
        <v/>
      </c>
      <c r="I1727" s="18" t="n"/>
    </row>
    <row r="1728">
      <c r="A1728" s="18">
        <f>IF(ISNUMBER(Dossiers!$D$35),Dossiers!$A$35&amp;" · "&amp;Dossiers!$B$35,"")</f>
        <v/>
      </c>
      <c r="B1728" s="18">
        <f>IF($A1728="","",Paramètres!G54)</f>
        <v/>
      </c>
      <c r="C1728" s="18">
        <f>IF($A1728="","",IF(Paramètres!H54="","",Paramètres!H54))</f>
        <v/>
      </c>
      <c r="D1728" s="18">
        <f>IF($A1728="","",IF(Paramètres!I54="","",Paramètres!I54))</f>
        <v/>
      </c>
      <c r="E1728" s="19">
        <f>IF($A1728="","",IF(Paramètres!J54&amp;Paramètres!L54&amp;Paramètres!N54="",Dossiers!$D$35,MAX(IF(Paramètres!J54="",0,IF(Paramètres!K54="",NA(),IF(LEFT(TRIM(Paramètres!K54),1)="F",INDEX($F$1679:$F$1731,MATCH(Paramètres!J54,Paramètres!$G$5:$G$57,0)),INDEX($E$1679:$E$1731,MATCH(Paramètres!J54,Paramètres!$G$5:$G$57,0)))+IF(RIGHT(TRIM(Paramètres!K54),3)="Fin",1-$H1728,IF(LEFT(TRIM(Paramètres!K54),1)="F",1,0)))),IF(Paramètres!L54="",0,IF(Paramètres!M54="",NA(),IF(LEFT(TRIM(Paramètres!M54),1)="F",INDEX($F$1679:$F$1731,MATCH(Paramètres!L54,Paramètres!$G$5:$G$57,0)),INDEX($E$1679:$E$1731,MATCH(Paramètres!L54,Paramètres!$G$5:$G$57,0)))+IF(RIGHT(TRIM(Paramètres!M54),3)="Fin",1-$H1728,IF(LEFT(TRIM(Paramètres!M54),1)="F",1,0)))),IF(Paramètres!N54="",0,IF(Paramètres!O54="",NA(),IF(LEFT(TRIM(Paramètres!O54),1)="F",INDEX($F$1679:$F$1731,MATCH(Paramètres!N54,Paramètres!$G$5:$G$57,0)),INDEX($E$1679:$E$1731,MATCH(Paramètres!N54,Paramètres!$G$5:$G$57,0)))+IF(RIGHT(TRIM(Paramètres!O54),3)="Fin",1-$H1728,IF(LEFT(TRIM(Paramètres!O54),1)="F",1,0)))))))</f>
        <v/>
      </c>
      <c r="F1728" s="19">
        <f>IF($A1728="","",E1728+$H1728-1)</f>
        <v/>
      </c>
      <c r="G1728" s="18" t="n"/>
      <c r="H1728" s="18">
        <f>IF($A1728="","",IF(I1728&lt;&gt;"",I1728,Paramètres!B54))</f>
        <v/>
      </c>
      <c r="I1728" s="18" t="n"/>
    </row>
    <row r="1729">
      <c r="A1729" s="18">
        <f>IF(ISNUMBER(Dossiers!$D$35),Dossiers!$A$35&amp;" · "&amp;Dossiers!$B$35,"")</f>
        <v/>
      </c>
      <c r="B1729" s="18">
        <f>IF($A1729="","",Paramètres!G55)</f>
        <v/>
      </c>
      <c r="C1729" s="18">
        <f>IF($A1729="","",IF(Paramètres!H55="","",Paramètres!H55))</f>
        <v/>
      </c>
      <c r="D1729" s="18">
        <f>IF($A1729="","",IF(Paramètres!I55="","",Paramètres!I55))</f>
        <v/>
      </c>
      <c r="E1729" s="19">
        <f>IF($A1729="","",IF(Paramètres!J55&amp;Paramètres!L55&amp;Paramètres!N55="",Dossiers!$D$35,MAX(IF(Paramètres!J55="",0,IF(Paramètres!K55="",NA(),IF(LEFT(TRIM(Paramètres!K55),1)="F",INDEX($F$1679:$F$1731,MATCH(Paramètres!J55,Paramètres!$G$5:$G$57,0)),INDEX($E$1679:$E$1731,MATCH(Paramètres!J55,Paramètres!$G$5:$G$57,0)))+IF(RIGHT(TRIM(Paramètres!K55),3)="Fin",1-$H1729,IF(LEFT(TRIM(Paramètres!K55),1)="F",1,0)))),IF(Paramètres!L55="",0,IF(Paramètres!M55="",NA(),IF(LEFT(TRIM(Paramètres!M55),1)="F",INDEX($F$1679:$F$1731,MATCH(Paramètres!L55,Paramètres!$G$5:$G$57,0)),INDEX($E$1679:$E$1731,MATCH(Paramètres!L55,Paramètres!$G$5:$G$57,0)))+IF(RIGHT(TRIM(Paramètres!M55),3)="Fin",1-$H1729,IF(LEFT(TRIM(Paramètres!M55),1)="F",1,0)))),IF(Paramètres!N55="",0,IF(Paramètres!O55="",NA(),IF(LEFT(TRIM(Paramètres!O55),1)="F",INDEX($F$1679:$F$1731,MATCH(Paramètres!N55,Paramètres!$G$5:$G$57,0)),INDEX($E$1679:$E$1731,MATCH(Paramètres!N55,Paramètres!$G$5:$G$57,0)))+IF(RIGHT(TRIM(Paramètres!O55),3)="Fin",1-$H1729,IF(LEFT(TRIM(Paramètres!O55),1)="F",1,0)))))))</f>
        <v/>
      </c>
      <c r="F1729" s="19">
        <f>IF($A1729="","",E1729+$H1729-1)</f>
        <v/>
      </c>
      <c r="G1729" s="18" t="n"/>
      <c r="H1729" s="18">
        <f>IF($A1729="","",IF(I1729&lt;&gt;"",I1729,Paramètres!B55))</f>
        <v/>
      </c>
      <c r="I1729" s="18" t="n"/>
    </row>
    <row r="1730">
      <c r="A1730" s="18">
        <f>IF(ISNUMBER(Dossiers!$D$35),Dossiers!$A$35&amp;" · "&amp;Dossiers!$B$35,"")</f>
        <v/>
      </c>
      <c r="B1730" s="18">
        <f>IF($A1730="","",Paramètres!G56)</f>
        <v/>
      </c>
      <c r="C1730" s="18">
        <f>IF($A1730="","",IF(Paramètres!H56="","",Paramètres!H56))</f>
        <v/>
      </c>
      <c r="D1730" s="18">
        <f>IF($A1730="","",IF(Paramètres!I56="","",Paramètres!I56))</f>
        <v/>
      </c>
      <c r="E1730" s="19">
        <f>IF($A1730="","",MIN(E1731:E1731))</f>
        <v/>
      </c>
      <c r="F1730" s="19">
        <f>IF($A1730="","",MAX(F1731:F1731))</f>
        <v/>
      </c>
      <c r="G1730" s="18" t="n"/>
      <c r="H1730" s="18">
        <f>IF($A1730="","",F1730-E1730+1)</f>
        <v/>
      </c>
      <c r="I1730" s="18" t="n"/>
    </row>
    <row r="1731">
      <c r="A1731" s="18">
        <f>IF(ISNUMBER(Dossiers!$D$35),Dossiers!$A$35&amp;" · "&amp;Dossiers!$B$35,"")</f>
        <v/>
      </c>
      <c r="B1731" s="18">
        <f>IF($A1731="","",Paramètres!G57)</f>
        <v/>
      </c>
      <c r="C1731" s="18">
        <f>IF($A1731="","",IF(Paramètres!H57="","",Paramètres!H57))</f>
        <v/>
      </c>
      <c r="D1731" s="18">
        <f>IF($A1731="","",IF(Paramètres!I57="","",Paramètres!I57))</f>
        <v/>
      </c>
      <c r="E1731" s="19">
        <f>IF($A1731="","",IF(Paramètres!J57&amp;Paramètres!L57&amp;Paramètres!N57="",Dossiers!$D$35,MAX(IF(Paramètres!J57="",0,IF(Paramètres!K57="",NA(),IF(LEFT(TRIM(Paramètres!K57),1)="F",INDEX($F$1679:$F$1731,MATCH(Paramètres!J57,Paramètres!$G$5:$G$57,0)),INDEX($E$1679:$E$1731,MATCH(Paramètres!J57,Paramètres!$G$5:$G$57,0)))+IF(RIGHT(TRIM(Paramètres!K57),3)="Fin",1-$H1731,IF(LEFT(TRIM(Paramètres!K57),1)="F",1,0)))),IF(Paramètres!L57="",0,IF(Paramètres!M57="",NA(),IF(LEFT(TRIM(Paramètres!M57),1)="F",INDEX($F$1679:$F$1731,MATCH(Paramètres!L57,Paramètres!$G$5:$G$57,0)),INDEX($E$1679:$E$1731,MATCH(Paramètres!L57,Paramètres!$G$5:$G$57,0)))+IF(RIGHT(TRIM(Paramètres!M57),3)="Fin",1-$H1731,IF(LEFT(TRIM(Paramètres!M57),1)="F",1,0)))),IF(Paramètres!N57="",0,IF(Paramètres!O57="",NA(),IF(LEFT(TRIM(Paramètres!O57),1)="F",INDEX($F$1679:$F$1731,MATCH(Paramètres!N57,Paramètres!$G$5:$G$57,0)),INDEX($E$1679:$E$1731,MATCH(Paramètres!N57,Paramètres!$G$5:$G$57,0)))+IF(RIGHT(TRIM(Paramètres!O57),3)="Fin",1-$H1731,IF(LEFT(TRIM(Paramètres!O57),1)="F",1,0)))))))</f>
        <v/>
      </c>
      <c r="F1731" s="19">
        <f>IF($A1731="","",E1731+$H1731-1)</f>
        <v/>
      </c>
      <c r="G1731" s="18" t="n"/>
      <c r="H1731" s="18">
        <f>IF($A1731="","",IF(I1731&lt;&gt;"",I1731,Paramètres!B57))</f>
        <v/>
      </c>
      <c r="I1731" s="18" t="n"/>
    </row>
    <row r="1732">
      <c r="A1732" s="16">
        <f>IF(ISNUMBER(Dossiers!$D$36),Dossiers!$E$36,"")</f>
        <v/>
      </c>
      <c r="B1732" s="16">
        <f>IF($A1732="","","Identifiant")</f>
        <v/>
      </c>
      <c r="C1732" s="16">
        <f>IF($A1732="","","Macro Etape")</f>
        <v/>
      </c>
      <c r="D1732" s="16">
        <f>IF($A1732="","","Etape")</f>
        <v/>
      </c>
      <c r="E1732" s="17">
        <f>IF($A1732="","","Début le")</f>
        <v/>
      </c>
      <c r="F1732" s="17">
        <f>IF($A1732="","","Fin prévue le")</f>
        <v/>
      </c>
      <c r="G1732" s="16">
        <f>IF($A1732="","","Statut")</f>
        <v/>
      </c>
      <c r="H1732" s="16">
        <f>IF($A1732="","","Durée (jours)")</f>
        <v/>
      </c>
      <c r="I1732" s="16">
        <f>IF($A1732="","","Durée particulière")</f>
        <v/>
      </c>
      <c r="J1732" s="10">
        <f>IF($A1732="","",HYPERLINK("#'Tableau de bord'!A1","↑ Tableau de bord"))</f>
        <v/>
      </c>
    </row>
    <row r="1733">
      <c r="A1733" s="18">
        <f>IF(ISNUMBER(Dossiers!$D$36),Dossiers!$A$36&amp;" · "&amp;Dossiers!$B$36,"")</f>
        <v/>
      </c>
      <c r="B1733" s="18">
        <f>IF($A1733="","",Paramètres!G5)</f>
        <v/>
      </c>
      <c r="C1733" s="18">
        <f>IF($A1733="","",IF(Paramètres!H5="","",Paramètres!H5))</f>
        <v/>
      </c>
      <c r="D1733" s="18">
        <f>IF($A1733="","",IF(Paramètres!I5="","",Paramètres!I5))</f>
        <v/>
      </c>
      <c r="E1733" s="19">
        <f>IF($A1733="","",MIN(E1734:E1737))</f>
        <v/>
      </c>
      <c r="F1733" s="19">
        <f>IF($A1733="","",MAX(F1734:F1737))</f>
        <v/>
      </c>
      <c r="G1733" s="18" t="n"/>
      <c r="H1733" s="18">
        <f>IF($A1733="","",F1733-E1733+1)</f>
        <v/>
      </c>
      <c r="I1733" s="18" t="n"/>
    </row>
    <row r="1734">
      <c r="A1734" s="18">
        <f>IF(ISNUMBER(Dossiers!$D$36),Dossiers!$A$36&amp;" · "&amp;Dossiers!$B$36,"")</f>
        <v/>
      </c>
      <c r="B1734" s="18">
        <f>IF($A1734="","",Paramètres!G6)</f>
        <v/>
      </c>
      <c r="C1734" s="18">
        <f>IF($A1734="","",IF(Paramètres!H6="","",Paramètres!H6))</f>
        <v/>
      </c>
      <c r="D1734" s="18">
        <f>IF($A1734="","",IF(Paramètres!I6="","",Paramètres!I6))</f>
        <v/>
      </c>
      <c r="E1734" s="19">
        <f>IF($A1734="","",IF(Paramètres!J6&amp;Paramètres!L6&amp;Paramètres!N6="",Dossiers!$D$36,MAX(IF(Paramètres!J6="",0,IF(Paramètres!K6="",NA(),IF(LEFT(TRIM(Paramètres!K6),1)="F",INDEX($F$1733:$F$1785,MATCH(Paramètres!J6,Paramètres!$G$5:$G$57,0)),INDEX($E$1733:$E$1785,MATCH(Paramètres!J6,Paramètres!$G$5:$G$57,0)))+IF(RIGHT(TRIM(Paramètres!K6),3)="Fin",1-$H1734,IF(LEFT(TRIM(Paramètres!K6),1)="F",1,0)))),IF(Paramètres!L6="",0,IF(Paramètres!M6="",NA(),IF(LEFT(TRIM(Paramètres!M6),1)="F",INDEX($F$1733:$F$1785,MATCH(Paramètres!L6,Paramètres!$G$5:$G$57,0)),INDEX($E$1733:$E$1785,MATCH(Paramètres!L6,Paramètres!$G$5:$G$57,0)))+IF(RIGHT(TRIM(Paramètres!M6),3)="Fin",1-$H1734,IF(LEFT(TRIM(Paramètres!M6),1)="F",1,0)))),IF(Paramètres!N6="",0,IF(Paramètres!O6="",NA(),IF(LEFT(TRIM(Paramètres!O6),1)="F",INDEX($F$1733:$F$1785,MATCH(Paramètres!N6,Paramètres!$G$5:$G$57,0)),INDEX($E$1733:$E$1785,MATCH(Paramètres!N6,Paramètres!$G$5:$G$57,0)))+IF(RIGHT(TRIM(Paramètres!O6),3)="Fin",1-$H1734,IF(LEFT(TRIM(Paramètres!O6),1)="F",1,0)))))))</f>
        <v/>
      </c>
      <c r="F1734" s="19">
        <f>IF($A1734="","",E1734+$H1734-1)</f>
        <v/>
      </c>
      <c r="G1734" s="18" t="n"/>
      <c r="H1734" s="18">
        <f>IF($A1734="","",IF(I1734&lt;&gt;"",I1734,Paramètres!B6))</f>
        <v/>
      </c>
      <c r="I1734" s="18" t="n"/>
    </row>
    <row r="1735">
      <c r="A1735" s="18">
        <f>IF(ISNUMBER(Dossiers!$D$36),Dossiers!$A$36&amp;" · "&amp;Dossiers!$B$36,"")</f>
        <v/>
      </c>
      <c r="B1735" s="18">
        <f>IF($A1735="","",Paramètres!G7)</f>
        <v/>
      </c>
      <c r="C1735" s="18">
        <f>IF($A1735="","",IF(Paramètres!H7="","",Paramètres!H7))</f>
        <v/>
      </c>
      <c r="D1735" s="18">
        <f>IF($A1735="","",IF(Paramètres!I7="","",Paramètres!I7))</f>
        <v/>
      </c>
      <c r="E1735" s="19">
        <f>IF($A1735="","",IF(Paramètres!J7&amp;Paramètres!L7&amp;Paramètres!N7="",Dossiers!$D$36,MAX(IF(Paramètres!J7="",0,IF(Paramètres!K7="",NA(),IF(LEFT(TRIM(Paramètres!K7),1)="F",INDEX($F$1733:$F$1785,MATCH(Paramètres!J7,Paramètres!$G$5:$G$57,0)),INDEX($E$1733:$E$1785,MATCH(Paramètres!J7,Paramètres!$G$5:$G$57,0)))+IF(RIGHT(TRIM(Paramètres!K7),3)="Fin",1-$H1735,IF(LEFT(TRIM(Paramètres!K7),1)="F",1,0)))),IF(Paramètres!L7="",0,IF(Paramètres!M7="",NA(),IF(LEFT(TRIM(Paramètres!M7),1)="F",INDEX($F$1733:$F$1785,MATCH(Paramètres!L7,Paramètres!$G$5:$G$57,0)),INDEX($E$1733:$E$1785,MATCH(Paramètres!L7,Paramètres!$G$5:$G$57,0)))+IF(RIGHT(TRIM(Paramètres!M7),3)="Fin",1-$H1735,IF(LEFT(TRIM(Paramètres!M7),1)="F",1,0)))),IF(Paramètres!N7="",0,IF(Paramètres!O7="",NA(),IF(LEFT(TRIM(Paramètres!O7),1)="F",INDEX($F$1733:$F$1785,MATCH(Paramètres!N7,Paramètres!$G$5:$G$57,0)),INDEX($E$1733:$E$1785,MATCH(Paramètres!N7,Paramètres!$G$5:$G$57,0)))+IF(RIGHT(TRIM(Paramètres!O7),3)="Fin",1-$H1735,IF(LEFT(TRIM(Paramètres!O7),1)="F",1,0)))))))</f>
        <v/>
      </c>
      <c r="F1735" s="19">
        <f>IF($A1735="","",E1735+$H1735-1)</f>
        <v/>
      </c>
      <c r="G1735" s="18" t="n"/>
      <c r="H1735" s="18">
        <f>IF($A1735="","",IF(I1735&lt;&gt;"",I1735,Paramètres!B7))</f>
        <v/>
      </c>
      <c r="I1735" s="18" t="n"/>
    </row>
    <row r="1736">
      <c r="A1736" s="18">
        <f>IF(ISNUMBER(Dossiers!$D$36),Dossiers!$A$36&amp;" · "&amp;Dossiers!$B$36,"")</f>
        <v/>
      </c>
      <c r="B1736" s="18">
        <f>IF($A1736="","",Paramètres!G8)</f>
        <v/>
      </c>
      <c r="C1736" s="18">
        <f>IF($A1736="","",IF(Paramètres!H8="","",Paramètres!H8))</f>
        <v/>
      </c>
      <c r="D1736" s="18">
        <f>IF($A1736="","",IF(Paramètres!I8="","",Paramètres!I8))</f>
        <v/>
      </c>
      <c r="E1736" s="19">
        <f>IF($A1736="","",IF(Paramètres!J8&amp;Paramètres!L8&amp;Paramètres!N8="",Dossiers!$D$36,MAX(IF(Paramètres!J8="",0,IF(Paramètres!K8="",NA(),IF(LEFT(TRIM(Paramètres!K8),1)="F",INDEX($F$1733:$F$1785,MATCH(Paramètres!J8,Paramètres!$G$5:$G$57,0)),INDEX($E$1733:$E$1785,MATCH(Paramètres!J8,Paramètres!$G$5:$G$57,0)))+IF(RIGHT(TRIM(Paramètres!K8),3)="Fin",1-$H1736,IF(LEFT(TRIM(Paramètres!K8),1)="F",1,0)))),IF(Paramètres!L8="",0,IF(Paramètres!M8="",NA(),IF(LEFT(TRIM(Paramètres!M8),1)="F",INDEX($F$1733:$F$1785,MATCH(Paramètres!L8,Paramètres!$G$5:$G$57,0)),INDEX($E$1733:$E$1785,MATCH(Paramètres!L8,Paramètres!$G$5:$G$57,0)))+IF(RIGHT(TRIM(Paramètres!M8),3)="Fin",1-$H1736,IF(LEFT(TRIM(Paramètres!M8),1)="F",1,0)))),IF(Paramètres!N8="",0,IF(Paramètres!O8="",NA(),IF(LEFT(TRIM(Paramètres!O8),1)="F",INDEX($F$1733:$F$1785,MATCH(Paramètres!N8,Paramètres!$G$5:$G$57,0)),INDEX($E$1733:$E$1785,MATCH(Paramètres!N8,Paramètres!$G$5:$G$57,0)))+IF(RIGHT(TRIM(Paramètres!O8),3)="Fin",1-$H1736,IF(LEFT(TRIM(Paramètres!O8),1)="F",1,0)))))))</f>
        <v/>
      </c>
      <c r="F1736" s="19">
        <f>IF($A1736="","",E1736+$H1736-1)</f>
        <v/>
      </c>
      <c r="G1736" s="18" t="n"/>
      <c r="H1736" s="18">
        <f>IF($A1736="","",IF(I1736&lt;&gt;"",I1736,Paramètres!B8))</f>
        <v/>
      </c>
      <c r="I1736" s="18" t="n"/>
    </row>
    <row r="1737">
      <c r="A1737" s="18">
        <f>IF(ISNUMBER(Dossiers!$D$36),Dossiers!$A$36&amp;" · "&amp;Dossiers!$B$36,"")</f>
        <v/>
      </c>
      <c r="B1737" s="18">
        <f>IF($A1737="","",Paramètres!G9)</f>
        <v/>
      </c>
      <c r="C1737" s="18">
        <f>IF($A1737="","",IF(Paramètres!H9="","",Paramètres!H9))</f>
        <v/>
      </c>
      <c r="D1737" s="18">
        <f>IF($A1737="","",IF(Paramètres!I9="","",Paramètres!I9))</f>
        <v/>
      </c>
      <c r="E1737" s="19">
        <f>IF($A1737="","",IF(Paramètres!J9&amp;Paramètres!L9&amp;Paramètres!N9="",Dossiers!$D$36,MAX(IF(Paramètres!J9="",0,IF(Paramètres!K9="",NA(),IF(LEFT(TRIM(Paramètres!K9),1)="F",INDEX($F$1733:$F$1785,MATCH(Paramètres!J9,Paramètres!$G$5:$G$57,0)),INDEX($E$1733:$E$1785,MATCH(Paramètres!J9,Paramètres!$G$5:$G$57,0)))+IF(RIGHT(TRIM(Paramètres!K9),3)="Fin",1-$H1737,IF(LEFT(TRIM(Paramètres!K9),1)="F",1,0)))),IF(Paramètres!L9="",0,IF(Paramètres!M9="",NA(),IF(LEFT(TRIM(Paramètres!M9),1)="F",INDEX($F$1733:$F$1785,MATCH(Paramètres!L9,Paramètres!$G$5:$G$57,0)),INDEX($E$1733:$E$1785,MATCH(Paramètres!L9,Paramètres!$G$5:$G$57,0)))+IF(RIGHT(TRIM(Paramètres!M9),3)="Fin",1-$H1737,IF(LEFT(TRIM(Paramètres!M9),1)="F",1,0)))),IF(Paramètres!N9="",0,IF(Paramètres!O9="",NA(),IF(LEFT(TRIM(Paramètres!O9),1)="F",INDEX($F$1733:$F$1785,MATCH(Paramètres!N9,Paramètres!$G$5:$G$57,0)),INDEX($E$1733:$E$1785,MATCH(Paramètres!N9,Paramètres!$G$5:$G$57,0)))+IF(RIGHT(TRIM(Paramètres!O9),3)="Fin",1-$H1737,IF(LEFT(TRIM(Paramètres!O9),1)="F",1,0)))))))</f>
        <v/>
      </c>
      <c r="F1737" s="19">
        <f>IF($A1737="","",E1737+$H1737-1)</f>
        <v/>
      </c>
      <c r="G1737" s="18" t="n"/>
      <c r="H1737" s="18">
        <f>IF($A1737="","",IF(I1737&lt;&gt;"",I1737,Paramètres!B9))</f>
        <v/>
      </c>
      <c r="I1737" s="18" t="n"/>
    </row>
    <row r="1738">
      <c r="A1738" s="18">
        <f>IF(ISNUMBER(Dossiers!$D$36),Dossiers!$A$36&amp;" · "&amp;Dossiers!$B$36,"")</f>
        <v/>
      </c>
      <c r="B1738" s="18">
        <f>IF($A1738="","",Paramètres!G10)</f>
        <v/>
      </c>
      <c r="C1738" s="18">
        <f>IF($A1738="","",IF(Paramètres!H10="","",Paramètres!H10))</f>
        <v/>
      </c>
      <c r="D1738" s="18">
        <f>IF($A1738="","",IF(Paramètres!I10="","",Paramètres!I10))</f>
        <v/>
      </c>
      <c r="E1738" s="19">
        <f>IF($A1738="","",MIN(E1739:E1742))</f>
        <v/>
      </c>
      <c r="F1738" s="19">
        <f>IF($A1738="","",MAX(F1739:F1742))</f>
        <v/>
      </c>
      <c r="G1738" s="18" t="n"/>
      <c r="H1738" s="18">
        <f>IF($A1738="","",F1738-E1738+1)</f>
        <v/>
      </c>
      <c r="I1738" s="18" t="n"/>
    </row>
    <row r="1739">
      <c r="A1739" s="18">
        <f>IF(ISNUMBER(Dossiers!$D$36),Dossiers!$A$36&amp;" · "&amp;Dossiers!$B$36,"")</f>
        <v/>
      </c>
      <c r="B1739" s="18">
        <f>IF($A1739="","",Paramètres!G11)</f>
        <v/>
      </c>
      <c r="C1739" s="18">
        <f>IF($A1739="","",IF(Paramètres!H11="","",Paramètres!H11))</f>
        <v/>
      </c>
      <c r="D1739" s="18">
        <f>IF($A1739="","",IF(Paramètres!I11="","",Paramètres!I11))</f>
        <v/>
      </c>
      <c r="E1739" s="19">
        <f>IF($A1739="","",IF(Paramètres!J11&amp;Paramètres!L11&amp;Paramètres!N11="",Dossiers!$D$36,MAX(IF(Paramètres!J11="",0,IF(Paramètres!K11="",NA(),IF(LEFT(TRIM(Paramètres!K11),1)="F",INDEX($F$1733:$F$1785,MATCH(Paramètres!J11,Paramètres!$G$5:$G$57,0)),INDEX($E$1733:$E$1785,MATCH(Paramètres!J11,Paramètres!$G$5:$G$57,0)))+IF(RIGHT(TRIM(Paramètres!K11),3)="Fin",1-$H1739,IF(LEFT(TRIM(Paramètres!K11),1)="F",1,0)))),IF(Paramètres!L11="",0,IF(Paramètres!M11="",NA(),IF(LEFT(TRIM(Paramètres!M11),1)="F",INDEX($F$1733:$F$1785,MATCH(Paramètres!L11,Paramètres!$G$5:$G$57,0)),INDEX($E$1733:$E$1785,MATCH(Paramètres!L11,Paramètres!$G$5:$G$57,0)))+IF(RIGHT(TRIM(Paramètres!M11),3)="Fin",1-$H1739,IF(LEFT(TRIM(Paramètres!M11),1)="F",1,0)))),IF(Paramètres!N11="",0,IF(Paramètres!O11="",NA(),IF(LEFT(TRIM(Paramètres!O11),1)="F",INDEX($F$1733:$F$1785,MATCH(Paramètres!N11,Paramètres!$G$5:$G$57,0)),INDEX($E$1733:$E$1785,MATCH(Paramètres!N11,Paramètres!$G$5:$G$57,0)))+IF(RIGHT(TRIM(Paramètres!O11),3)="Fin",1-$H1739,IF(LEFT(TRIM(Paramètres!O11),1)="F",1,0)))))))</f>
        <v/>
      </c>
      <c r="F1739" s="19">
        <f>IF($A1739="","",E1739+$H1739-1)</f>
        <v/>
      </c>
      <c r="G1739" s="18" t="n"/>
      <c r="H1739" s="18">
        <f>IF($A1739="","",IF(I1739&lt;&gt;"",I1739,Paramètres!B11))</f>
        <v/>
      </c>
      <c r="I1739" s="18" t="n"/>
    </row>
    <row r="1740">
      <c r="A1740" s="18">
        <f>IF(ISNUMBER(Dossiers!$D$36),Dossiers!$A$36&amp;" · "&amp;Dossiers!$B$36,"")</f>
        <v/>
      </c>
      <c r="B1740" s="18">
        <f>IF($A1740="","",Paramètres!G12)</f>
        <v/>
      </c>
      <c r="C1740" s="18">
        <f>IF($A1740="","",IF(Paramètres!H12="","",Paramètres!H12))</f>
        <v/>
      </c>
      <c r="D1740" s="18">
        <f>IF($A1740="","",IF(Paramètres!I12="","",Paramètres!I12))</f>
        <v/>
      </c>
      <c r="E1740" s="19">
        <f>IF($A1740="","",IF(Paramètres!J12&amp;Paramètres!L12&amp;Paramètres!N12="",Dossiers!$D$36,MAX(IF(Paramètres!J12="",0,IF(Paramètres!K12="",NA(),IF(LEFT(TRIM(Paramètres!K12),1)="F",INDEX($F$1733:$F$1785,MATCH(Paramètres!J12,Paramètres!$G$5:$G$57,0)),INDEX($E$1733:$E$1785,MATCH(Paramètres!J12,Paramètres!$G$5:$G$57,0)))+IF(RIGHT(TRIM(Paramètres!K12),3)="Fin",1-$H1740,IF(LEFT(TRIM(Paramètres!K12),1)="F",1,0)))),IF(Paramètres!L12="",0,IF(Paramètres!M12="",NA(),IF(LEFT(TRIM(Paramètres!M12),1)="F",INDEX($F$1733:$F$1785,MATCH(Paramètres!L12,Paramètres!$G$5:$G$57,0)),INDEX($E$1733:$E$1785,MATCH(Paramètres!L12,Paramètres!$G$5:$G$57,0)))+IF(RIGHT(TRIM(Paramètres!M12),3)="Fin",1-$H1740,IF(LEFT(TRIM(Paramètres!M12),1)="F",1,0)))),IF(Paramètres!N12="",0,IF(Paramètres!O12="",NA(),IF(LEFT(TRIM(Paramètres!O12),1)="F",INDEX($F$1733:$F$1785,MATCH(Paramètres!N12,Paramètres!$G$5:$G$57,0)),INDEX($E$1733:$E$1785,MATCH(Paramètres!N12,Paramètres!$G$5:$G$57,0)))+IF(RIGHT(TRIM(Paramètres!O12),3)="Fin",1-$H1740,IF(LEFT(TRIM(Paramètres!O12),1)="F",1,0)))))))</f>
        <v/>
      </c>
      <c r="F1740" s="19">
        <f>IF($A1740="","",E1740+$H1740-1)</f>
        <v/>
      </c>
      <c r="G1740" s="18" t="n"/>
      <c r="H1740" s="18">
        <f>IF($A1740="","",IF(I1740&lt;&gt;"",I1740,Paramètres!B12))</f>
        <v/>
      </c>
      <c r="I1740" s="18" t="n"/>
    </row>
    <row r="1741">
      <c r="A1741" s="18">
        <f>IF(ISNUMBER(Dossiers!$D$36),Dossiers!$A$36&amp;" · "&amp;Dossiers!$B$36,"")</f>
        <v/>
      </c>
      <c r="B1741" s="18">
        <f>IF($A1741="","",Paramètres!G13)</f>
        <v/>
      </c>
      <c r="C1741" s="18">
        <f>IF($A1741="","",IF(Paramètres!H13="","",Paramètres!H13))</f>
        <v/>
      </c>
      <c r="D1741" s="18">
        <f>IF($A1741="","",IF(Paramètres!I13="","",Paramètres!I13))</f>
        <v/>
      </c>
      <c r="E1741" s="19">
        <f>IF($A1741="","",IF(Paramètres!J13&amp;Paramètres!L13&amp;Paramètres!N13="",Dossiers!$D$36,MAX(IF(Paramètres!J13="",0,IF(Paramètres!K13="",NA(),IF(LEFT(TRIM(Paramètres!K13),1)="F",INDEX($F$1733:$F$1785,MATCH(Paramètres!J13,Paramètres!$G$5:$G$57,0)),INDEX($E$1733:$E$1785,MATCH(Paramètres!J13,Paramètres!$G$5:$G$57,0)))+IF(RIGHT(TRIM(Paramètres!K13),3)="Fin",1-$H1741,IF(LEFT(TRIM(Paramètres!K13),1)="F",1,0)))),IF(Paramètres!L13="",0,IF(Paramètres!M13="",NA(),IF(LEFT(TRIM(Paramètres!M13),1)="F",INDEX($F$1733:$F$1785,MATCH(Paramètres!L13,Paramètres!$G$5:$G$57,0)),INDEX($E$1733:$E$1785,MATCH(Paramètres!L13,Paramètres!$G$5:$G$57,0)))+IF(RIGHT(TRIM(Paramètres!M13),3)="Fin",1-$H1741,IF(LEFT(TRIM(Paramètres!M13),1)="F",1,0)))),IF(Paramètres!N13="",0,IF(Paramètres!O13="",NA(),IF(LEFT(TRIM(Paramètres!O13),1)="F",INDEX($F$1733:$F$1785,MATCH(Paramètres!N13,Paramètres!$G$5:$G$57,0)),INDEX($E$1733:$E$1785,MATCH(Paramètres!N13,Paramètres!$G$5:$G$57,0)))+IF(RIGHT(TRIM(Paramètres!O13),3)="Fin",1-$H1741,IF(LEFT(TRIM(Paramètres!O13),1)="F",1,0)))))))</f>
        <v/>
      </c>
      <c r="F1741" s="19">
        <f>IF($A1741="","",E1741+$H1741-1)</f>
        <v/>
      </c>
      <c r="G1741" s="18" t="n"/>
      <c r="H1741" s="18">
        <f>IF($A1741="","",IF(I1741&lt;&gt;"",I1741,Paramètres!B13))</f>
        <v/>
      </c>
      <c r="I1741" s="18" t="n"/>
    </row>
    <row r="1742">
      <c r="A1742" s="18">
        <f>IF(ISNUMBER(Dossiers!$D$36),Dossiers!$A$36&amp;" · "&amp;Dossiers!$B$36,"")</f>
        <v/>
      </c>
      <c r="B1742" s="18">
        <f>IF($A1742="","",Paramètres!G14)</f>
        <v/>
      </c>
      <c r="C1742" s="18">
        <f>IF($A1742="","",IF(Paramètres!H14="","",Paramètres!H14))</f>
        <v/>
      </c>
      <c r="D1742" s="18">
        <f>IF($A1742="","",IF(Paramètres!I14="","",Paramètres!I14))</f>
        <v/>
      </c>
      <c r="E1742" s="19">
        <f>IF($A1742="","",IF(Paramètres!J14&amp;Paramètres!L14&amp;Paramètres!N14="",Dossiers!$D$36,MAX(IF(Paramètres!J14="",0,IF(Paramètres!K14="",NA(),IF(LEFT(TRIM(Paramètres!K14),1)="F",INDEX($F$1733:$F$1785,MATCH(Paramètres!J14,Paramètres!$G$5:$G$57,0)),INDEX($E$1733:$E$1785,MATCH(Paramètres!J14,Paramètres!$G$5:$G$57,0)))+IF(RIGHT(TRIM(Paramètres!K14),3)="Fin",1-$H1742,IF(LEFT(TRIM(Paramètres!K14),1)="F",1,0)))),IF(Paramètres!L14="",0,IF(Paramètres!M14="",NA(),IF(LEFT(TRIM(Paramètres!M14),1)="F",INDEX($F$1733:$F$1785,MATCH(Paramètres!L14,Paramètres!$G$5:$G$57,0)),INDEX($E$1733:$E$1785,MATCH(Paramètres!L14,Paramètres!$G$5:$G$57,0)))+IF(RIGHT(TRIM(Paramètres!M14),3)="Fin",1-$H1742,IF(LEFT(TRIM(Paramètres!M14),1)="F",1,0)))),IF(Paramètres!N14="",0,IF(Paramètres!O14="",NA(),IF(LEFT(TRIM(Paramètres!O14),1)="F",INDEX($F$1733:$F$1785,MATCH(Paramètres!N14,Paramètres!$G$5:$G$57,0)),INDEX($E$1733:$E$1785,MATCH(Paramètres!N14,Paramètres!$G$5:$G$57,0)))+IF(RIGHT(TRIM(Paramètres!O14),3)="Fin",1-$H1742,IF(LEFT(TRIM(Paramètres!O14),1)="F",1,0)))))))</f>
        <v/>
      </c>
      <c r="F1742" s="19">
        <f>IF($A1742="","",E1742+$H1742-1)</f>
        <v/>
      </c>
      <c r="G1742" s="18" t="n"/>
      <c r="H1742" s="18">
        <f>IF($A1742="","",IF(I1742&lt;&gt;"",I1742,Paramètres!B14))</f>
        <v/>
      </c>
      <c r="I1742" s="18" t="n"/>
    </row>
    <row r="1743">
      <c r="A1743" s="18">
        <f>IF(ISNUMBER(Dossiers!$D$36),Dossiers!$A$36&amp;" · "&amp;Dossiers!$B$36,"")</f>
        <v/>
      </c>
      <c r="B1743" s="18">
        <f>IF($A1743="","",Paramètres!G15)</f>
        <v/>
      </c>
      <c r="C1743" s="18">
        <f>IF($A1743="","",IF(Paramètres!H15="","",Paramètres!H15))</f>
        <v/>
      </c>
      <c r="D1743" s="18">
        <f>IF($A1743="","",IF(Paramètres!I15="","",Paramètres!I15))</f>
        <v/>
      </c>
      <c r="E1743" s="19">
        <f>IF($A1743="","",MIN(E1744:E1759))</f>
        <v/>
      </c>
      <c r="F1743" s="19">
        <f>IF($A1743="","",MAX(F1744:F1759))</f>
        <v/>
      </c>
      <c r="G1743" s="18" t="n"/>
      <c r="H1743" s="18">
        <f>IF($A1743="","",F1743-E1743+1)</f>
        <v/>
      </c>
      <c r="I1743" s="18" t="n"/>
    </row>
    <row r="1744">
      <c r="A1744" s="18">
        <f>IF(ISNUMBER(Dossiers!$D$36),Dossiers!$A$36&amp;" · "&amp;Dossiers!$B$36,"")</f>
        <v/>
      </c>
      <c r="B1744" s="18">
        <f>IF($A1744="","",Paramètres!G16)</f>
        <v/>
      </c>
      <c r="C1744" s="18">
        <f>IF($A1744="","",IF(Paramètres!H16="","",Paramètres!H16))</f>
        <v/>
      </c>
      <c r="D1744" s="18">
        <f>IF($A1744="","",IF(Paramètres!I16="","",Paramètres!I16))</f>
        <v/>
      </c>
      <c r="E1744" s="19">
        <f>IF($A1744="","",IF(Paramètres!J16&amp;Paramètres!L16&amp;Paramètres!N16="",Dossiers!$D$36,MAX(IF(Paramètres!J16="",0,IF(Paramètres!K16="",NA(),IF(LEFT(TRIM(Paramètres!K16),1)="F",INDEX($F$1733:$F$1785,MATCH(Paramètres!J16,Paramètres!$G$5:$G$57,0)),INDEX($E$1733:$E$1785,MATCH(Paramètres!J16,Paramètres!$G$5:$G$57,0)))+IF(RIGHT(TRIM(Paramètres!K16),3)="Fin",1-$H1744,IF(LEFT(TRIM(Paramètres!K16),1)="F",1,0)))),IF(Paramètres!L16="",0,IF(Paramètres!M16="",NA(),IF(LEFT(TRIM(Paramètres!M16),1)="F",INDEX($F$1733:$F$1785,MATCH(Paramètres!L16,Paramètres!$G$5:$G$57,0)),INDEX($E$1733:$E$1785,MATCH(Paramètres!L16,Paramètres!$G$5:$G$57,0)))+IF(RIGHT(TRIM(Paramètres!M16),3)="Fin",1-$H1744,IF(LEFT(TRIM(Paramètres!M16),1)="F",1,0)))),IF(Paramètres!N16="",0,IF(Paramètres!O16="",NA(),IF(LEFT(TRIM(Paramètres!O16),1)="F",INDEX($F$1733:$F$1785,MATCH(Paramètres!N16,Paramètres!$G$5:$G$57,0)),INDEX($E$1733:$E$1785,MATCH(Paramètres!N16,Paramètres!$G$5:$G$57,0)))+IF(RIGHT(TRIM(Paramètres!O16),3)="Fin",1-$H1744,IF(LEFT(TRIM(Paramètres!O16),1)="F",1,0)))))))</f>
        <v/>
      </c>
      <c r="F1744" s="19">
        <f>IF($A1744="","",E1744+$H1744-1)</f>
        <v/>
      </c>
      <c r="G1744" s="18" t="n"/>
      <c r="H1744" s="18">
        <f>IF($A1744="","",IF(I1744&lt;&gt;"",I1744,Paramètres!B16))</f>
        <v/>
      </c>
      <c r="I1744" s="18" t="n"/>
    </row>
    <row r="1745">
      <c r="A1745" s="18">
        <f>IF(ISNUMBER(Dossiers!$D$36),Dossiers!$A$36&amp;" · "&amp;Dossiers!$B$36,"")</f>
        <v/>
      </c>
      <c r="B1745" s="18">
        <f>IF($A1745="","",Paramètres!G17)</f>
        <v/>
      </c>
      <c r="C1745" s="18">
        <f>IF($A1745="","",IF(Paramètres!H17="","",Paramètres!H17))</f>
        <v/>
      </c>
      <c r="D1745" s="18">
        <f>IF($A1745="","",IF(Paramètres!I17="","",Paramètres!I17))</f>
        <v/>
      </c>
      <c r="E1745" s="19">
        <f>IF($A1745="","",IF(Paramètres!J17&amp;Paramètres!L17&amp;Paramètres!N17="",Dossiers!$D$36,MAX(IF(Paramètres!J17="",0,IF(Paramètres!K17="",NA(),IF(LEFT(TRIM(Paramètres!K17),1)="F",INDEX($F$1733:$F$1785,MATCH(Paramètres!J17,Paramètres!$G$5:$G$57,0)),INDEX($E$1733:$E$1785,MATCH(Paramètres!J17,Paramètres!$G$5:$G$57,0)))+IF(RIGHT(TRIM(Paramètres!K17),3)="Fin",1-$H1745,IF(LEFT(TRIM(Paramètres!K17),1)="F",1,0)))),IF(Paramètres!L17="",0,IF(Paramètres!M17="",NA(),IF(LEFT(TRIM(Paramètres!M17),1)="F",INDEX($F$1733:$F$1785,MATCH(Paramètres!L17,Paramètres!$G$5:$G$57,0)),INDEX($E$1733:$E$1785,MATCH(Paramètres!L17,Paramètres!$G$5:$G$57,0)))+IF(RIGHT(TRIM(Paramètres!M17),3)="Fin",1-$H1745,IF(LEFT(TRIM(Paramètres!M17),1)="F",1,0)))),IF(Paramètres!N17="",0,IF(Paramètres!O17="",NA(),IF(LEFT(TRIM(Paramètres!O17),1)="F",INDEX($F$1733:$F$1785,MATCH(Paramètres!N17,Paramètres!$G$5:$G$57,0)),INDEX($E$1733:$E$1785,MATCH(Paramètres!N17,Paramètres!$G$5:$G$57,0)))+IF(RIGHT(TRIM(Paramètres!O17),3)="Fin",1-$H1745,IF(LEFT(TRIM(Paramètres!O17),1)="F",1,0)))))))</f>
        <v/>
      </c>
      <c r="F1745" s="19">
        <f>IF($A1745="","",E1745+$H1745-1)</f>
        <v/>
      </c>
      <c r="G1745" s="18" t="n"/>
      <c r="H1745" s="18">
        <f>IF($A1745="","",IF(I1745&lt;&gt;"",I1745,Paramètres!B17))</f>
        <v/>
      </c>
      <c r="I1745" s="18" t="n"/>
    </row>
    <row r="1746">
      <c r="A1746" s="18">
        <f>IF(ISNUMBER(Dossiers!$D$36),Dossiers!$A$36&amp;" · "&amp;Dossiers!$B$36,"")</f>
        <v/>
      </c>
      <c r="B1746" s="18">
        <f>IF($A1746="","",Paramètres!G18)</f>
        <v/>
      </c>
      <c r="C1746" s="18">
        <f>IF($A1746="","",IF(Paramètres!H18="","",Paramètres!H18))</f>
        <v/>
      </c>
      <c r="D1746" s="18">
        <f>IF($A1746="","",IF(Paramètres!I18="","",Paramètres!I18))</f>
        <v/>
      </c>
      <c r="E1746" s="19">
        <f>IF($A1746="","",IF(Paramètres!J18&amp;Paramètres!L18&amp;Paramètres!N18="",Dossiers!$D$36,MAX(IF(Paramètres!J18="",0,IF(Paramètres!K18="",NA(),IF(LEFT(TRIM(Paramètres!K18),1)="F",INDEX($F$1733:$F$1785,MATCH(Paramètres!J18,Paramètres!$G$5:$G$57,0)),INDEX($E$1733:$E$1785,MATCH(Paramètres!J18,Paramètres!$G$5:$G$57,0)))+IF(RIGHT(TRIM(Paramètres!K18),3)="Fin",1-$H1746,IF(LEFT(TRIM(Paramètres!K18),1)="F",1,0)))),IF(Paramètres!L18="",0,IF(Paramètres!M18="",NA(),IF(LEFT(TRIM(Paramètres!M18),1)="F",INDEX($F$1733:$F$1785,MATCH(Paramètres!L18,Paramètres!$G$5:$G$57,0)),INDEX($E$1733:$E$1785,MATCH(Paramètres!L18,Paramètres!$G$5:$G$57,0)))+IF(RIGHT(TRIM(Paramètres!M18),3)="Fin",1-$H1746,IF(LEFT(TRIM(Paramètres!M18),1)="F",1,0)))),IF(Paramètres!N18="",0,IF(Paramètres!O18="",NA(),IF(LEFT(TRIM(Paramètres!O18),1)="F",INDEX($F$1733:$F$1785,MATCH(Paramètres!N18,Paramètres!$G$5:$G$57,0)),INDEX($E$1733:$E$1785,MATCH(Paramètres!N18,Paramètres!$G$5:$G$57,0)))+IF(RIGHT(TRIM(Paramètres!O18),3)="Fin",1-$H1746,IF(LEFT(TRIM(Paramètres!O18),1)="F",1,0)))))))</f>
        <v/>
      </c>
      <c r="F1746" s="19">
        <f>IF($A1746="","",E1746+$H1746-1)</f>
        <v/>
      </c>
      <c r="G1746" s="18" t="n"/>
      <c r="H1746" s="18">
        <f>IF($A1746="","",IF(I1746&lt;&gt;"",I1746,Paramètres!B18))</f>
        <v/>
      </c>
      <c r="I1746" s="18" t="n"/>
    </row>
    <row r="1747">
      <c r="A1747" s="18">
        <f>IF(ISNUMBER(Dossiers!$D$36),Dossiers!$A$36&amp;" · "&amp;Dossiers!$B$36,"")</f>
        <v/>
      </c>
      <c r="B1747" s="18">
        <f>IF($A1747="","",Paramètres!G19)</f>
        <v/>
      </c>
      <c r="C1747" s="18">
        <f>IF($A1747="","",IF(Paramètres!H19="","",Paramètres!H19))</f>
        <v/>
      </c>
      <c r="D1747" s="18">
        <f>IF($A1747="","",IF(Paramètres!I19="","",Paramètres!I19))</f>
        <v/>
      </c>
      <c r="E1747" s="19">
        <f>IF($A1747="","",IF(Paramètres!J19&amp;Paramètres!L19&amp;Paramètres!N19="",Dossiers!$D$36,MAX(IF(Paramètres!J19="",0,IF(Paramètres!K19="",NA(),IF(LEFT(TRIM(Paramètres!K19),1)="F",INDEX($F$1733:$F$1785,MATCH(Paramètres!J19,Paramètres!$G$5:$G$57,0)),INDEX($E$1733:$E$1785,MATCH(Paramètres!J19,Paramètres!$G$5:$G$57,0)))+IF(RIGHT(TRIM(Paramètres!K19),3)="Fin",1-$H1747,IF(LEFT(TRIM(Paramètres!K19),1)="F",1,0)))),IF(Paramètres!L19="",0,IF(Paramètres!M19="",NA(),IF(LEFT(TRIM(Paramètres!M19),1)="F",INDEX($F$1733:$F$1785,MATCH(Paramètres!L19,Paramètres!$G$5:$G$57,0)),INDEX($E$1733:$E$1785,MATCH(Paramètres!L19,Paramètres!$G$5:$G$57,0)))+IF(RIGHT(TRIM(Paramètres!M19),3)="Fin",1-$H1747,IF(LEFT(TRIM(Paramètres!M19),1)="F",1,0)))),IF(Paramètres!N19="",0,IF(Paramètres!O19="",NA(),IF(LEFT(TRIM(Paramètres!O19),1)="F",INDEX($F$1733:$F$1785,MATCH(Paramètres!N19,Paramètres!$G$5:$G$57,0)),INDEX($E$1733:$E$1785,MATCH(Paramètres!N19,Paramètres!$G$5:$G$57,0)))+IF(RIGHT(TRIM(Paramètres!O19),3)="Fin",1-$H1747,IF(LEFT(TRIM(Paramètres!O19),1)="F",1,0)))))))</f>
        <v/>
      </c>
      <c r="F1747" s="19">
        <f>IF($A1747="","",E1747+$H1747-1)</f>
        <v/>
      </c>
      <c r="G1747" s="18" t="n"/>
      <c r="H1747" s="18">
        <f>IF($A1747="","",IF(I1747&lt;&gt;"",I1747,Paramètres!B19))</f>
        <v/>
      </c>
      <c r="I1747" s="18" t="n"/>
    </row>
    <row r="1748">
      <c r="A1748" s="18">
        <f>IF(ISNUMBER(Dossiers!$D$36),Dossiers!$A$36&amp;" · "&amp;Dossiers!$B$36,"")</f>
        <v/>
      </c>
      <c r="B1748" s="18">
        <f>IF($A1748="","",Paramètres!G20)</f>
        <v/>
      </c>
      <c r="C1748" s="18">
        <f>IF($A1748="","",IF(Paramètres!H20="","",Paramètres!H20))</f>
        <v/>
      </c>
      <c r="D1748" s="18">
        <f>IF($A1748="","",IF(Paramètres!I20="","",Paramètres!I20))</f>
        <v/>
      </c>
      <c r="E1748" s="19">
        <f>IF($A1748="","",IF(Paramètres!J20&amp;Paramètres!L20&amp;Paramètres!N20="",Dossiers!$D$36,MAX(IF(Paramètres!J20="",0,IF(Paramètres!K20="",NA(),IF(LEFT(TRIM(Paramètres!K20),1)="F",INDEX($F$1733:$F$1785,MATCH(Paramètres!J20,Paramètres!$G$5:$G$57,0)),INDEX($E$1733:$E$1785,MATCH(Paramètres!J20,Paramètres!$G$5:$G$57,0)))+IF(RIGHT(TRIM(Paramètres!K20),3)="Fin",1-$H1748,IF(LEFT(TRIM(Paramètres!K20),1)="F",1,0)))),IF(Paramètres!L20="",0,IF(Paramètres!M20="",NA(),IF(LEFT(TRIM(Paramètres!M20),1)="F",INDEX($F$1733:$F$1785,MATCH(Paramètres!L20,Paramètres!$G$5:$G$57,0)),INDEX($E$1733:$E$1785,MATCH(Paramètres!L20,Paramètres!$G$5:$G$57,0)))+IF(RIGHT(TRIM(Paramètres!M20),3)="Fin",1-$H1748,IF(LEFT(TRIM(Paramètres!M20),1)="F",1,0)))),IF(Paramètres!N20="",0,IF(Paramètres!O20="",NA(),IF(LEFT(TRIM(Paramètres!O20),1)="F",INDEX($F$1733:$F$1785,MATCH(Paramètres!N20,Paramètres!$G$5:$G$57,0)),INDEX($E$1733:$E$1785,MATCH(Paramètres!N20,Paramètres!$G$5:$G$57,0)))+IF(RIGHT(TRIM(Paramètres!O20),3)="Fin",1-$H1748,IF(LEFT(TRIM(Paramètres!O20),1)="F",1,0)))))))</f>
        <v/>
      </c>
      <c r="F1748" s="19">
        <f>IF($A1748="","",E1748+$H1748-1)</f>
        <v/>
      </c>
      <c r="G1748" s="18" t="n"/>
      <c r="H1748" s="18">
        <f>IF($A1748="","",IF(I1748&lt;&gt;"",I1748,Paramètres!B20))</f>
        <v/>
      </c>
      <c r="I1748" s="18" t="n"/>
    </row>
    <row r="1749">
      <c r="A1749" s="18">
        <f>IF(ISNUMBER(Dossiers!$D$36),Dossiers!$A$36&amp;" · "&amp;Dossiers!$B$36,"")</f>
        <v/>
      </c>
      <c r="B1749" s="18">
        <f>IF($A1749="","",Paramètres!G21)</f>
        <v/>
      </c>
      <c r="C1749" s="18">
        <f>IF($A1749="","",IF(Paramètres!H21="","",Paramètres!H21))</f>
        <v/>
      </c>
      <c r="D1749" s="18">
        <f>IF($A1749="","",IF(Paramètres!I21="","",Paramètres!I21))</f>
        <v/>
      </c>
      <c r="E1749" s="19">
        <f>IF($A1749="","",IF(Paramètres!J21&amp;Paramètres!L21&amp;Paramètres!N21="",Dossiers!$D$36,MAX(IF(Paramètres!J21="",0,IF(Paramètres!K21="",NA(),IF(LEFT(TRIM(Paramètres!K21),1)="F",INDEX($F$1733:$F$1785,MATCH(Paramètres!J21,Paramètres!$G$5:$G$57,0)),INDEX($E$1733:$E$1785,MATCH(Paramètres!J21,Paramètres!$G$5:$G$57,0)))+IF(RIGHT(TRIM(Paramètres!K21),3)="Fin",1-$H1749,IF(LEFT(TRIM(Paramètres!K21),1)="F",1,0)))),IF(Paramètres!L21="",0,IF(Paramètres!M21="",NA(),IF(LEFT(TRIM(Paramètres!M21),1)="F",INDEX($F$1733:$F$1785,MATCH(Paramètres!L21,Paramètres!$G$5:$G$57,0)),INDEX($E$1733:$E$1785,MATCH(Paramètres!L21,Paramètres!$G$5:$G$57,0)))+IF(RIGHT(TRIM(Paramètres!M21),3)="Fin",1-$H1749,IF(LEFT(TRIM(Paramètres!M21),1)="F",1,0)))),IF(Paramètres!N21="",0,IF(Paramètres!O21="",NA(),IF(LEFT(TRIM(Paramètres!O21),1)="F",INDEX($F$1733:$F$1785,MATCH(Paramètres!N21,Paramètres!$G$5:$G$57,0)),INDEX($E$1733:$E$1785,MATCH(Paramètres!N21,Paramètres!$G$5:$G$57,0)))+IF(RIGHT(TRIM(Paramètres!O21),3)="Fin",1-$H1749,IF(LEFT(TRIM(Paramètres!O21),1)="F",1,0)))))))</f>
        <v/>
      </c>
      <c r="F1749" s="19">
        <f>IF($A1749="","",E1749+$H1749-1)</f>
        <v/>
      </c>
      <c r="G1749" s="18" t="n"/>
      <c r="H1749" s="18">
        <f>IF($A1749="","",IF(I1749&lt;&gt;"",I1749,Paramètres!B21))</f>
        <v/>
      </c>
      <c r="I1749" s="18" t="n"/>
    </row>
    <row r="1750">
      <c r="A1750" s="18">
        <f>IF(ISNUMBER(Dossiers!$D$36),Dossiers!$A$36&amp;" · "&amp;Dossiers!$B$36,"")</f>
        <v/>
      </c>
      <c r="B1750" s="18">
        <f>IF($A1750="","",Paramètres!G22)</f>
        <v/>
      </c>
      <c r="C1750" s="18">
        <f>IF($A1750="","",IF(Paramètres!H22="","",Paramètres!H22))</f>
        <v/>
      </c>
      <c r="D1750" s="18">
        <f>IF($A1750="","",IF(Paramètres!I22="","",Paramètres!I22))</f>
        <v/>
      </c>
      <c r="E1750" s="19">
        <f>IF($A1750="","",IF(Paramètres!J22&amp;Paramètres!L22&amp;Paramètres!N22="",Dossiers!$D$36,MAX(IF(Paramètres!J22="",0,IF(Paramètres!K22="",NA(),IF(LEFT(TRIM(Paramètres!K22),1)="F",INDEX($F$1733:$F$1785,MATCH(Paramètres!J22,Paramètres!$G$5:$G$57,0)),INDEX($E$1733:$E$1785,MATCH(Paramètres!J22,Paramètres!$G$5:$G$57,0)))+IF(RIGHT(TRIM(Paramètres!K22),3)="Fin",1-$H1750,IF(LEFT(TRIM(Paramètres!K22),1)="F",1,0)))),IF(Paramètres!L22="",0,IF(Paramètres!M22="",NA(),IF(LEFT(TRIM(Paramètres!M22),1)="F",INDEX($F$1733:$F$1785,MATCH(Paramètres!L22,Paramètres!$G$5:$G$57,0)),INDEX($E$1733:$E$1785,MATCH(Paramètres!L22,Paramètres!$G$5:$G$57,0)))+IF(RIGHT(TRIM(Paramètres!M22),3)="Fin",1-$H1750,IF(LEFT(TRIM(Paramètres!M22),1)="F",1,0)))),IF(Paramètres!N22="",0,IF(Paramètres!O22="",NA(),IF(LEFT(TRIM(Paramètres!O22),1)="F",INDEX($F$1733:$F$1785,MATCH(Paramètres!N22,Paramètres!$G$5:$G$57,0)),INDEX($E$1733:$E$1785,MATCH(Paramètres!N22,Paramètres!$G$5:$G$57,0)))+IF(RIGHT(TRIM(Paramètres!O22),3)="Fin",1-$H1750,IF(LEFT(TRIM(Paramètres!O22),1)="F",1,0)))))))</f>
        <v/>
      </c>
      <c r="F1750" s="19">
        <f>IF($A1750="","",E1750+$H1750-1)</f>
        <v/>
      </c>
      <c r="G1750" s="18" t="n"/>
      <c r="H1750" s="18">
        <f>IF($A1750="","",IF(I1750&lt;&gt;"",I1750,Paramètres!B22))</f>
        <v/>
      </c>
      <c r="I1750" s="18" t="n"/>
    </row>
    <row r="1751">
      <c r="A1751" s="18">
        <f>IF(ISNUMBER(Dossiers!$D$36),Dossiers!$A$36&amp;" · "&amp;Dossiers!$B$36,"")</f>
        <v/>
      </c>
      <c r="B1751" s="18">
        <f>IF($A1751="","",Paramètres!G23)</f>
        <v/>
      </c>
      <c r="C1751" s="18">
        <f>IF($A1751="","",IF(Paramètres!H23="","",Paramètres!H23))</f>
        <v/>
      </c>
      <c r="D1751" s="18">
        <f>IF($A1751="","",IF(Paramètres!I23="","",Paramètres!I23))</f>
        <v/>
      </c>
      <c r="E1751" s="19">
        <f>IF($A1751="","",IF(Paramètres!J23&amp;Paramètres!L23&amp;Paramètres!N23="",Dossiers!$D$36,MAX(IF(Paramètres!J23="",0,IF(Paramètres!K23="",NA(),IF(LEFT(TRIM(Paramètres!K23),1)="F",INDEX($F$1733:$F$1785,MATCH(Paramètres!J23,Paramètres!$G$5:$G$57,0)),INDEX($E$1733:$E$1785,MATCH(Paramètres!J23,Paramètres!$G$5:$G$57,0)))+IF(RIGHT(TRIM(Paramètres!K23),3)="Fin",1-$H1751,IF(LEFT(TRIM(Paramètres!K23),1)="F",1,0)))),IF(Paramètres!L23="",0,IF(Paramètres!M23="",NA(),IF(LEFT(TRIM(Paramètres!M23),1)="F",INDEX($F$1733:$F$1785,MATCH(Paramètres!L23,Paramètres!$G$5:$G$57,0)),INDEX($E$1733:$E$1785,MATCH(Paramètres!L23,Paramètres!$G$5:$G$57,0)))+IF(RIGHT(TRIM(Paramètres!M23),3)="Fin",1-$H1751,IF(LEFT(TRIM(Paramètres!M23),1)="F",1,0)))),IF(Paramètres!N23="",0,IF(Paramètres!O23="",NA(),IF(LEFT(TRIM(Paramètres!O23),1)="F",INDEX($F$1733:$F$1785,MATCH(Paramètres!N23,Paramètres!$G$5:$G$57,0)),INDEX($E$1733:$E$1785,MATCH(Paramètres!N23,Paramètres!$G$5:$G$57,0)))+IF(RIGHT(TRIM(Paramètres!O23),3)="Fin",1-$H1751,IF(LEFT(TRIM(Paramètres!O23),1)="F",1,0)))))))</f>
        <v/>
      </c>
      <c r="F1751" s="19">
        <f>IF($A1751="","",E1751+$H1751-1)</f>
        <v/>
      </c>
      <c r="G1751" s="18" t="n"/>
      <c r="H1751" s="18">
        <f>IF($A1751="","",IF(I1751&lt;&gt;"",I1751,Paramètres!B23))</f>
        <v/>
      </c>
      <c r="I1751" s="18" t="n"/>
    </row>
    <row r="1752">
      <c r="A1752" s="18">
        <f>IF(ISNUMBER(Dossiers!$D$36),Dossiers!$A$36&amp;" · "&amp;Dossiers!$B$36,"")</f>
        <v/>
      </c>
      <c r="B1752" s="18">
        <f>IF($A1752="","",Paramètres!G24)</f>
        <v/>
      </c>
      <c r="C1752" s="18">
        <f>IF($A1752="","",IF(Paramètres!H24="","",Paramètres!H24))</f>
        <v/>
      </c>
      <c r="D1752" s="18">
        <f>IF($A1752="","",IF(Paramètres!I24="","",Paramètres!I24))</f>
        <v/>
      </c>
      <c r="E1752" s="19">
        <f>IF($A1752="","",IF(Paramètres!J24&amp;Paramètres!L24&amp;Paramètres!N24="",Dossiers!$D$36,MAX(IF(Paramètres!J24="",0,IF(Paramètres!K24="",NA(),IF(LEFT(TRIM(Paramètres!K24),1)="F",INDEX($F$1733:$F$1785,MATCH(Paramètres!J24,Paramètres!$G$5:$G$57,0)),INDEX($E$1733:$E$1785,MATCH(Paramètres!J24,Paramètres!$G$5:$G$57,0)))+IF(RIGHT(TRIM(Paramètres!K24),3)="Fin",1-$H1752,IF(LEFT(TRIM(Paramètres!K24),1)="F",1,0)))),IF(Paramètres!L24="",0,IF(Paramètres!M24="",NA(),IF(LEFT(TRIM(Paramètres!M24),1)="F",INDEX($F$1733:$F$1785,MATCH(Paramètres!L24,Paramètres!$G$5:$G$57,0)),INDEX($E$1733:$E$1785,MATCH(Paramètres!L24,Paramètres!$G$5:$G$57,0)))+IF(RIGHT(TRIM(Paramètres!M24),3)="Fin",1-$H1752,IF(LEFT(TRIM(Paramètres!M24),1)="F",1,0)))),IF(Paramètres!N24="",0,IF(Paramètres!O24="",NA(),IF(LEFT(TRIM(Paramètres!O24),1)="F",INDEX($F$1733:$F$1785,MATCH(Paramètres!N24,Paramètres!$G$5:$G$57,0)),INDEX($E$1733:$E$1785,MATCH(Paramètres!N24,Paramètres!$G$5:$G$57,0)))+IF(RIGHT(TRIM(Paramètres!O24),3)="Fin",1-$H1752,IF(LEFT(TRIM(Paramètres!O24),1)="F",1,0)))))))</f>
        <v/>
      </c>
      <c r="F1752" s="19">
        <f>IF($A1752="","",E1752+$H1752-1)</f>
        <v/>
      </c>
      <c r="G1752" s="18" t="n"/>
      <c r="H1752" s="18">
        <f>IF($A1752="","",IF(I1752&lt;&gt;"",I1752,Paramètres!B24))</f>
        <v/>
      </c>
      <c r="I1752" s="18" t="n"/>
    </row>
    <row r="1753">
      <c r="A1753" s="18">
        <f>IF(ISNUMBER(Dossiers!$D$36),Dossiers!$A$36&amp;" · "&amp;Dossiers!$B$36,"")</f>
        <v/>
      </c>
      <c r="B1753" s="18">
        <f>IF($A1753="","",Paramètres!G25)</f>
        <v/>
      </c>
      <c r="C1753" s="18">
        <f>IF($A1753="","",IF(Paramètres!H25="","",Paramètres!H25))</f>
        <v/>
      </c>
      <c r="D1753" s="18">
        <f>IF($A1753="","",IF(Paramètres!I25="","",Paramètres!I25))</f>
        <v/>
      </c>
      <c r="E1753" s="19">
        <f>IF($A1753="","",IF(Paramètres!J25&amp;Paramètres!L25&amp;Paramètres!N25="",Dossiers!$D$36,MAX(IF(Paramètres!J25="",0,IF(Paramètres!K25="",NA(),IF(LEFT(TRIM(Paramètres!K25),1)="F",INDEX($F$1733:$F$1785,MATCH(Paramètres!J25,Paramètres!$G$5:$G$57,0)),INDEX($E$1733:$E$1785,MATCH(Paramètres!J25,Paramètres!$G$5:$G$57,0)))+IF(RIGHT(TRIM(Paramètres!K25),3)="Fin",1-$H1753,IF(LEFT(TRIM(Paramètres!K25),1)="F",1,0)))),IF(Paramètres!L25="",0,IF(Paramètres!M25="",NA(),IF(LEFT(TRIM(Paramètres!M25),1)="F",INDEX($F$1733:$F$1785,MATCH(Paramètres!L25,Paramètres!$G$5:$G$57,0)),INDEX($E$1733:$E$1785,MATCH(Paramètres!L25,Paramètres!$G$5:$G$57,0)))+IF(RIGHT(TRIM(Paramètres!M25),3)="Fin",1-$H1753,IF(LEFT(TRIM(Paramètres!M25),1)="F",1,0)))),IF(Paramètres!N25="",0,IF(Paramètres!O25="",NA(),IF(LEFT(TRIM(Paramètres!O25),1)="F",INDEX($F$1733:$F$1785,MATCH(Paramètres!N25,Paramètres!$G$5:$G$57,0)),INDEX($E$1733:$E$1785,MATCH(Paramètres!N25,Paramètres!$G$5:$G$57,0)))+IF(RIGHT(TRIM(Paramètres!O25),3)="Fin",1-$H1753,IF(LEFT(TRIM(Paramètres!O25),1)="F",1,0)))))))</f>
        <v/>
      </c>
      <c r="F1753" s="19">
        <f>IF($A1753="","",E1753+$H1753-1)</f>
        <v/>
      </c>
      <c r="G1753" s="18" t="n"/>
      <c r="H1753" s="18">
        <f>IF($A1753="","",IF(I1753&lt;&gt;"",I1753,Paramètres!B25))</f>
        <v/>
      </c>
      <c r="I1753" s="18" t="n"/>
    </row>
    <row r="1754">
      <c r="A1754" s="18">
        <f>IF(ISNUMBER(Dossiers!$D$36),Dossiers!$A$36&amp;" · "&amp;Dossiers!$B$36,"")</f>
        <v/>
      </c>
      <c r="B1754" s="18">
        <f>IF($A1754="","",Paramètres!G26)</f>
        <v/>
      </c>
      <c r="C1754" s="18">
        <f>IF($A1754="","",IF(Paramètres!H26="","",Paramètres!H26))</f>
        <v/>
      </c>
      <c r="D1754" s="18">
        <f>IF($A1754="","",IF(Paramètres!I26="","",Paramètres!I26))</f>
        <v/>
      </c>
      <c r="E1754" s="19">
        <f>IF($A1754="","",IF(Paramètres!J26&amp;Paramètres!L26&amp;Paramètres!N26="",Dossiers!$D$36,MAX(IF(Paramètres!J26="",0,IF(Paramètres!K26="",NA(),IF(LEFT(TRIM(Paramètres!K26),1)="F",INDEX($F$1733:$F$1785,MATCH(Paramètres!J26,Paramètres!$G$5:$G$57,0)),INDEX($E$1733:$E$1785,MATCH(Paramètres!J26,Paramètres!$G$5:$G$57,0)))+IF(RIGHT(TRIM(Paramètres!K26),3)="Fin",1-$H1754,IF(LEFT(TRIM(Paramètres!K26),1)="F",1,0)))),IF(Paramètres!L26="",0,IF(Paramètres!M26="",NA(),IF(LEFT(TRIM(Paramètres!M26),1)="F",INDEX($F$1733:$F$1785,MATCH(Paramètres!L26,Paramètres!$G$5:$G$57,0)),INDEX($E$1733:$E$1785,MATCH(Paramètres!L26,Paramètres!$G$5:$G$57,0)))+IF(RIGHT(TRIM(Paramètres!M26),3)="Fin",1-$H1754,IF(LEFT(TRIM(Paramètres!M26),1)="F",1,0)))),IF(Paramètres!N26="",0,IF(Paramètres!O26="",NA(),IF(LEFT(TRIM(Paramètres!O26),1)="F",INDEX($F$1733:$F$1785,MATCH(Paramètres!N26,Paramètres!$G$5:$G$57,0)),INDEX($E$1733:$E$1785,MATCH(Paramètres!N26,Paramètres!$G$5:$G$57,0)))+IF(RIGHT(TRIM(Paramètres!O26),3)="Fin",1-$H1754,IF(LEFT(TRIM(Paramètres!O26),1)="F",1,0)))))))</f>
        <v/>
      </c>
      <c r="F1754" s="19">
        <f>IF($A1754="","",E1754+$H1754-1)</f>
        <v/>
      </c>
      <c r="G1754" s="18" t="n"/>
      <c r="H1754" s="18">
        <f>IF($A1754="","",IF(I1754&lt;&gt;"",I1754,Paramètres!B26))</f>
        <v/>
      </c>
      <c r="I1754" s="18" t="n"/>
    </row>
    <row r="1755">
      <c r="A1755" s="18">
        <f>IF(ISNUMBER(Dossiers!$D$36),Dossiers!$A$36&amp;" · "&amp;Dossiers!$B$36,"")</f>
        <v/>
      </c>
      <c r="B1755" s="18">
        <f>IF($A1755="","",Paramètres!G27)</f>
        <v/>
      </c>
      <c r="C1755" s="18">
        <f>IF($A1755="","",IF(Paramètres!H27="","",Paramètres!H27))</f>
        <v/>
      </c>
      <c r="D1755" s="18">
        <f>IF($A1755="","",IF(Paramètres!I27="","",Paramètres!I27))</f>
        <v/>
      </c>
      <c r="E1755" s="19">
        <f>IF($A1755="","",IF(Paramètres!J27&amp;Paramètres!L27&amp;Paramètres!N27="",Dossiers!$D$36,MAX(IF(Paramètres!J27="",0,IF(Paramètres!K27="",NA(),IF(LEFT(TRIM(Paramètres!K27),1)="F",INDEX($F$1733:$F$1785,MATCH(Paramètres!J27,Paramètres!$G$5:$G$57,0)),INDEX($E$1733:$E$1785,MATCH(Paramètres!J27,Paramètres!$G$5:$G$57,0)))+IF(RIGHT(TRIM(Paramètres!K27),3)="Fin",1-$H1755,IF(LEFT(TRIM(Paramètres!K27),1)="F",1,0)))),IF(Paramètres!L27="",0,IF(Paramètres!M27="",NA(),IF(LEFT(TRIM(Paramètres!M27),1)="F",INDEX($F$1733:$F$1785,MATCH(Paramètres!L27,Paramètres!$G$5:$G$57,0)),INDEX($E$1733:$E$1785,MATCH(Paramètres!L27,Paramètres!$G$5:$G$57,0)))+IF(RIGHT(TRIM(Paramètres!M27),3)="Fin",1-$H1755,IF(LEFT(TRIM(Paramètres!M27),1)="F",1,0)))),IF(Paramètres!N27="",0,IF(Paramètres!O27="",NA(),IF(LEFT(TRIM(Paramètres!O27),1)="F",INDEX($F$1733:$F$1785,MATCH(Paramètres!N27,Paramètres!$G$5:$G$57,0)),INDEX($E$1733:$E$1785,MATCH(Paramètres!N27,Paramètres!$G$5:$G$57,0)))+IF(RIGHT(TRIM(Paramètres!O27),3)="Fin",1-$H1755,IF(LEFT(TRIM(Paramètres!O27),1)="F",1,0)))))))</f>
        <v/>
      </c>
      <c r="F1755" s="19">
        <f>IF($A1755="","",E1755+$H1755-1)</f>
        <v/>
      </c>
      <c r="G1755" s="18" t="n"/>
      <c r="H1755" s="18">
        <f>IF($A1755="","",IF(I1755&lt;&gt;"",I1755,Paramètres!B27))</f>
        <v/>
      </c>
      <c r="I1755" s="18" t="n"/>
    </row>
    <row r="1756">
      <c r="A1756" s="18">
        <f>IF(ISNUMBER(Dossiers!$D$36),Dossiers!$A$36&amp;" · "&amp;Dossiers!$B$36,"")</f>
        <v/>
      </c>
      <c r="B1756" s="18">
        <f>IF($A1756="","",Paramètres!G28)</f>
        <v/>
      </c>
      <c r="C1756" s="18">
        <f>IF($A1756="","",IF(Paramètres!H28="","",Paramètres!H28))</f>
        <v/>
      </c>
      <c r="D1756" s="18">
        <f>IF($A1756="","",IF(Paramètres!I28="","",Paramètres!I28))</f>
        <v/>
      </c>
      <c r="E1756" s="19">
        <f>IF($A1756="","",IF(Paramètres!J28&amp;Paramètres!L28&amp;Paramètres!N28="",Dossiers!$D$36,MAX(IF(Paramètres!J28="",0,IF(Paramètres!K28="",NA(),IF(LEFT(TRIM(Paramètres!K28),1)="F",INDEX($F$1733:$F$1785,MATCH(Paramètres!J28,Paramètres!$G$5:$G$57,0)),INDEX($E$1733:$E$1785,MATCH(Paramètres!J28,Paramètres!$G$5:$G$57,0)))+IF(RIGHT(TRIM(Paramètres!K28),3)="Fin",1-$H1756,IF(LEFT(TRIM(Paramètres!K28),1)="F",1,0)))),IF(Paramètres!L28="",0,IF(Paramètres!M28="",NA(),IF(LEFT(TRIM(Paramètres!M28),1)="F",INDEX($F$1733:$F$1785,MATCH(Paramètres!L28,Paramètres!$G$5:$G$57,0)),INDEX($E$1733:$E$1785,MATCH(Paramètres!L28,Paramètres!$G$5:$G$57,0)))+IF(RIGHT(TRIM(Paramètres!M28),3)="Fin",1-$H1756,IF(LEFT(TRIM(Paramètres!M28),1)="F",1,0)))),IF(Paramètres!N28="",0,IF(Paramètres!O28="",NA(),IF(LEFT(TRIM(Paramètres!O28),1)="F",INDEX($F$1733:$F$1785,MATCH(Paramètres!N28,Paramètres!$G$5:$G$57,0)),INDEX($E$1733:$E$1785,MATCH(Paramètres!N28,Paramètres!$G$5:$G$57,0)))+IF(RIGHT(TRIM(Paramètres!O28),3)="Fin",1-$H1756,IF(LEFT(TRIM(Paramètres!O28),1)="F",1,0)))))))</f>
        <v/>
      </c>
      <c r="F1756" s="19">
        <f>IF($A1756="","",E1756+$H1756-1)</f>
        <v/>
      </c>
      <c r="G1756" s="18" t="n"/>
      <c r="H1756" s="18">
        <f>IF($A1756="","",IF(I1756&lt;&gt;"",I1756,Paramètres!B28))</f>
        <v/>
      </c>
      <c r="I1756" s="18" t="n"/>
    </row>
    <row r="1757">
      <c r="A1757" s="18">
        <f>IF(ISNUMBER(Dossiers!$D$36),Dossiers!$A$36&amp;" · "&amp;Dossiers!$B$36,"")</f>
        <v/>
      </c>
      <c r="B1757" s="18">
        <f>IF($A1757="","",Paramètres!G29)</f>
        <v/>
      </c>
      <c r="C1757" s="18">
        <f>IF($A1757="","",IF(Paramètres!H29="","",Paramètres!H29))</f>
        <v/>
      </c>
      <c r="D1757" s="18">
        <f>IF($A1757="","",IF(Paramètres!I29="","",Paramètres!I29))</f>
        <v/>
      </c>
      <c r="E1757" s="19">
        <f>IF($A1757="","",IF(Paramètres!J29&amp;Paramètres!L29&amp;Paramètres!N29="",Dossiers!$D$36,MAX(IF(Paramètres!J29="",0,IF(Paramètres!K29="",NA(),IF(LEFT(TRIM(Paramètres!K29),1)="F",INDEX($F$1733:$F$1785,MATCH(Paramètres!J29,Paramètres!$G$5:$G$57,0)),INDEX($E$1733:$E$1785,MATCH(Paramètres!J29,Paramètres!$G$5:$G$57,0)))+IF(RIGHT(TRIM(Paramètres!K29),3)="Fin",1-$H1757,IF(LEFT(TRIM(Paramètres!K29),1)="F",1,0)))),IF(Paramètres!L29="",0,IF(Paramètres!M29="",NA(),IF(LEFT(TRIM(Paramètres!M29),1)="F",INDEX($F$1733:$F$1785,MATCH(Paramètres!L29,Paramètres!$G$5:$G$57,0)),INDEX($E$1733:$E$1785,MATCH(Paramètres!L29,Paramètres!$G$5:$G$57,0)))+IF(RIGHT(TRIM(Paramètres!M29),3)="Fin",1-$H1757,IF(LEFT(TRIM(Paramètres!M29),1)="F",1,0)))),IF(Paramètres!N29="",0,IF(Paramètres!O29="",NA(),IF(LEFT(TRIM(Paramètres!O29),1)="F",INDEX($F$1733:$F$1785,MATCH(Paramètres!N29,Paramètres!$G$5:$G$57,0)),INDEX($E$1733:$E$1785,MATCH(Paramètres!N29,Paramètres!$G$5:$G$57,0)))+IF(RIGHT(TRIM(Paramètres!O29),3)="Fin",1-$H1757,IF(LEFT(TRIM(Paramètres!O29),1)="F",1,0)))))))</f>
        <v/>
      </c>
      <c r="F1757" s="19">
        <f>IF($A1757="","",E1757+$H1757-1)</f>
        <v/>
      </c>
      <c r="G1757" s="18" t="n"/>
      <c r="H1757" s="18">
        <f>IF($A1757="","",IF(I1757&lt;&gt;"",I1757,Paramètres!B29))</f>
        <v/>
      </c>
      <c r="I1757" s="18" t="n"/>
    </row>
    <row r="1758">
      <c r="A1758" s="18">
        <f>IF(ISNUMBER(Dossiers!$D$36),Dossiers!$A$36&amp;" · "&amp;Dossiers!$B$36,"")</f>
        <v/>
      </c>
      <c r="B1758" s="18">
        <f>IF($A1758="","",Paramètres!G30)</f>
        <v/>
      </c>
      <c r="C1758" s="18">
        <f>IF($A1758="","",IF(Paramètres!H30="","",Paramètres!H30))</f>
        <v/>
      </c>
      <c r="D1758" s="18">
        <f>IF($A1758="","",IF(Paramètres!I30="","",Paramètres!I30))</f>
        <v/>
      </c>
      <c r="E1758" s="19">
        <f>IF($A1758="","",IF(Paramètres!J30&amp;Paramètres!L30&amp;Paramètres!N30="",Dossiers!$D$36,MAX(IF(Paramètres!J30="",0,IF(Paramètres!K30="",NA(),IF(LEFT(TRIM(Paramètres!K30),1)="F",INDEX($F$1733:$F$1785,MATCH(Paramètres!J30,Paramètres!$G$5:$G$57,0)),INDEX($E$1733:$E$1785,MATCH(Paramètres!J30,Paramètres!$G$5:$G$57,0)))+IF(RIGHT(TRIM(Paramètres!K30),3)="Fin",1-$H1758,IF(LEFT(TRIM(Paramètres!K30),1)="F",1,0)))),IF(Paramètres!L30="",0,IF(Paramètres!M30="",NA(),IF(LEFT(TRIM(Paramètres!M30),1)="F",INDEX($F$1733:$F$1785,MATCH(Paramètres!L30,Paramètres!$G$5:$G$57,0)),INDEX($E$1733:$E$1785,MATCH(Paramètres!L30,Paramètres!$G$5:$G$57,0)))+IF(RIGHT(TRIM(Paramètres!M30),3)="Fin",1-$H1758,IF(LEFT(TRIM(Paramètres!M30),1)="F",1,0)))),IF(Paramètres!N30="",0,IF(Paramètres!O30="",NA(),IF(LEFT(TRIM(Paramètres!O30),1)="F",INDEX($F$1733:$F$1785,MATCH(Paramètres!N30,Paramètres!$G$5:$G$57,0)),INDEX($E$1733:$E$1785,MATCH(Paramètres!N30,Paramètres!$G$5:$G$57,0)))+IF(RIGHT(TRIM(Paramètres!O30),3)="Fin",1-$H1758,IF(LEFT(TRIM(Paramètres!O30),1)="F",1,0)))))))</f>
        <v/>
      </c>
      <c r="F1758" s="19">
        <f>IF($A1758="","",E1758+$H1758-1)</f>
        <v/>
      </c>
      <c r="G1758" s="18" t="n"/>
      <c r="H1758" s="18">
        <f>IF($A1758="","",IF(I1758&lt;&gt;"",I1758,Paramètres!B30))</f>
        <v/>
      </c>
      <c r="I1758" s="18" t="n"/>
    </row>
    <row r="1759">
      <c r="A1759" s="18">
        <f>IF(ISNUMBER(Dossiers!$D$36),Dossiers!$A$36&amp;" · "&amp;Dossiers!$B$36,"")</f>
        <v/>
      </c>
      <c r="B1759" s="18">
        <f>IF($A1759="","",Paramètres!G31)</f>
        <v/>
      </c>
      <c r="C1759" s="20">
        <f>IF($A1759="","",IF(Dossiers!$F$36="","",Dossiers!$F$36))</f>
        <v/>
      </c>
      <c r="D1759" s="18">
        <f>IF($A1759="","",IF(Paramètres!I31="","",Paramètres!I31))</f>
        <v/>
      </c>
      <c r="E1759" s="19">
        <f>IF($A1759="","",IF(Paramètres!J31&amp;Paramètres!L31&amp;Paramètres!N31="",Dossiers!$D$36,MAX(IF(Paramètres!J31="",0,IF(Paramètres!K31="",NA(),IF(LEFT(TRIM(Paramètres!K31),1)="F",INDEX($F$1733:$F$1785,MATCH(Paramètres!J31,Paramètres!$G$5:$G$57,0)),INDEX($E$1733:$E$1785,MATCH(Paramètres!J31,Paramètres!$G$5:$G$57,0)))+IF(RIGHT(TRIM(Paramètres!K31),3)="Fin",1-$H1759,IF(LEFT(TRIM(Paramètres!K31),1)="F",1,0)))),IF(Paramètres!L31="",0,IF(Paramètres!M31="",NA(),IF(LEFT(TRIM(Paramètres!M31),1)="F",INDEX($F$1733:$F$1785,MATCH(Paramètres!L31,Paramètres!$G$5:$G$57,0)),INDEX($E$1733:$E$1785,MATCH(Paramètres!L31,Paramètres!$G$5:$G$57,0)))+IF(RIGHT(TRIM(Paramètres!M31),3)="Fin",1-$H1759,IF(LEFT(TRIM(Paramètres!M31),1)="F",1,0)))),IF(Paramètres!N31="",0,IF(Paramètres!O31="",NA(),IF(LEFT(TRIM(Paramètres!O31),1)="F",INDEX($F$1733:$F$1785,MATCH(Paramètres!N31,Paramètres!$G$5:$G$57,0)),INDEX($E$1733:$E$1785,MATCH(Paramètres!N31,Paramètres!$G$5:$G$57,0)))+IF(RIGHT(TRIM(Paramètres!O31),3)="Fin",1-$H1759,IF(LEFT(TRIM(Paramètres!O31),1)="F",1,0)))))))</f>
        <v/>
      </c>
      <c r="F1759" s="19">
        <f>IF($A1759="","",E1759+$H1759-1)</f>
        <v/>
      </c>
      <c r="G1759" s="18" t="n"/>
      <c r="H1759" s="18">
        <f>IF($A1759="","",IF(I1759&lt;&gt;"",I1759,Paramètres!B31))</f>
        <v/>
      </c>
      <c r="I1759" s="18" t="n"/>
    </row>
    <row r="1760">
      <c r="A1760" s="18">
        <f>IF(ISNUMBER(Dossiers!$D$36),Dossiers!$A$36&amp;" · "&amp;Dossiers!$B$36,"")</f>
        <v/>
      </c>
      <c r="B1760" s="18">
        <f>IF($A1760="","",Paramètres!G32)</f>
        <v/>
      </c>
      <c r="C1760" s="18">
        <f>IF($A1760="","",IF(Paramètres!H32="","",Paramètres!H32))</f>
        <v/>
      </c>
      <c r="D1760" s="18">
        <f>IF($A1760="","",IF(Paramètres!I32="","",Paramètres!I32))</f>
        <v/>
      </c>
      <c r="E1760" s="19">
        <f>IF($A1760="","",MIN(E1761:E1764))</f>
        <v/>
      </c>
      <c r="F1760" s="19">
        <f>IF($A1760="","",MAX(F1761:F1764))</f>
        <v/>
      </c>
      <c r="G1760" s="18" t="n"/>
      <c r="H1760" s="18">
        <f>IF($A1760="","",F1760-E1760+1)</f>
        <v/>
      </c>
      <c r="I1760" s="18" t="n"/>
    </row>
    <row r="1761">
      <c r="A1761" s="18">
        <f>IF(ISNUMBER(Dossiers!$D$36),Dossiers!$A$36&amp;" · "&amp;Dossiers!$B$36,"")</f>
        <v/>
      </c>
      <c r="B1761" s="18">
        <f>IF($A1761="","",Paramètres!G33)</f>
        <v/>
      </c>
      <c r="C1761" s="18">
        <f>IF($A1761="","",IF(Paramètres!H33="","",Paramètres!H33))</f>
        <v/>
      </c>
      <c r="D1761" s="18">
        <f>IF($A1761="","",IF(Paramètres!I33="","",Paramètres!I33))</f>
        <v/>
      </c>
      <c r="E1761" s="19">
        <f>IF($A1761="","",IF(Paramètres!J33&amp;Paramètres!L33&amp;Paramètres!N33="",Dossiers!$D$36,MAX(IF(Paramètres!J33="",0,IF(Paramètres!K33="",NA(),IF(LEFT(TRIM(Paramètres!K33),1)="F",INDEX($F$1733:$F$1785,MATCH(Paramètres!J33,Paramètres!$G$5:$G$57,0)),INDEX($E$1733:$E$1785,MATCH(Paramètres!J33,Paramètres!$G$5:$G$57,0)))+IF(RIGHT(TRIM(Paramètres!K33),3)="Fin",1-$H1761,IF(LEFT(TRIM(Paramètres!K33),1)="F",1,0)))),IF(Paramètres!L33="",0,IF(Paramètres!M33="",NA(),IF(LEFT(TRIM(Paramètres!M33),1)="F",INDEX($F$1733:$F$1785,MATCH(Paramètres!L33,Paramètres!$G$5:$G$57,0)),INDEX($E$1733:$E$1785,MATCH(Paramètres!L33,Paramètres!$G$5:$G$57,0)))+IF(RIGHT(TRIM(Paramètres!M33),3)="Fin",1-$H1761,IF(LEFT(TRIM(Paramètres!M33),1)="F",1,0)))),IF(Paramètres!N33="",0,IF(Paramètres!O33="",NA(),IF(LEFT(TRIM(Paramètres!O33),1)="F",INDEX($F$1733:$F$1785,MATCH(Paramètres!N33,Paramètres!$G$5:$G$57,0)),INDEX($E$1733:$E$1785,MATCH(Paramètres!N33,Paramètres!$G$5:$G$57,0)))+IF(RIGHT(TRIM(Paramètres!O33),3)="Fin",1-$H1761,IF(LEFT(TRIM(Paramètres!O33),1)="F",1,0)))))))</f>
        <v/>
      </c>
      <c r="F1761" s="19">
        <f>IF($A1761="","",E1761+$H1761-1)</f>
        <v/>
      </c>
      <c r="G1761" s="18" t="n"/>
      <c r="H1761" s="18">
        <f>IF($A1761="","",IF(I1761&lt;&gt;"",I1761,Paramètres!B33))</f>
        <v/>
      </c>
      <c r="I1761" s="18" t="n"/>
    </row>
    <row r="1762">
      <c r="A1762" s="18">
        <f>IF(ISNUMBER(Dossiers!$D$36),Dossiers!$A$36&amp;" · "&amp;Dossiers!$B$36,"")</f>
        <v/>
      </c>
      <c r="B1762" s="18">
        <f>IF($A1762="","",Paramètres!G34)</f>
        <v/>
      </c>
      <c r="C1762" s="18">
        <f>IF($A1762="","",IF(Paramètres!H34="","",Paramètres!H34))</f>
        <v/>
      </c>
      <c r="D1762" s="18">
        <f>IF($A1762="","",IF(Paramètres!I34="","",Paramètres!I34))</f>
        <v/>
      </c>
      <c r="E1762" s="19">
        <f>IF($A1762="","",IF(Paramètres!J34&amp;Paramètres!L34&amp;Paramètres!N34="",Dossiers!$D$36,MAX(IF(Paramètres!J34="",0,IF(Paramètres!K34="",NA(),IF(LEFT(TRIM(Paramètres!K34),1)="F",INDEX($F$1733:$F$1785,MATCH(Paramètres!J34,Paramètres!$G$5:$G$57,0)),INDEX($E$1733:$E$1785,MATCH(Paramètres!J34,Paramètres!$G$5:$G$57,0)))+IF(RIGHT(TRIM(Paramètres!K34),3)="Fin",1-$H1762,IF(LEFT(TRIM(Paramètres!K34),1)="F",1,0)))),IF(Paramètres!L34="",0,IF(Paramètres!M34="",NA(),IF(LEFT(TRIM(Paramètres!M34),1)="F",INDEX($F$1733:$F$1785,MATCH(Paramètres!L34,Paramètres!$G$5:$G$57,0)),INDEX($E$1733:$E$1785,MATCH(Paramètres!L34,Paramètres!$G$5:$G$57,0)))+IF(RIGHT(TRIM(Paramètres!M34),3)="Fin",1-$H1762,IF(LEFT(TRIM(Paramètres!M34),1)="F",1,0)))),IF(Paramètres!N34="",0,IF(Paramètres!O34="",NA(),IF(LEFT(TRIM(Paramètres!O34),1)="F",INDEX($F$1733:$F$1785,MATCH(Paramètres!N34,Paramètres!$G$5:$G$57,0)),INDEX($E$1733:$E$1785,MATCH(Paramètres!N34,Paramètres!$G$5:$G$57,0)))+IF(RIGHT(TRIM(Paramètres!O34),3)="Fin",1-$H1762,IF(LEFT(TRIM(Paramètres!O34),1)="F",1,0)))))))</f>
        <v/>
      </c>
      <c r="F1762" s="19">
        <f>IF($A1762="","",E1762+$H1762-1)</f>
        <v/>
      </c>
      <c r="G1762" s="18" t="n"/>
      <c r="H1762" s="18">
        <f>IF($A1762="","",IF(I1762&lt;&gt;"",I1762,Paramètres!B34))</f>
        <v/>
      </c>
      <c r="I1762" s="18" t="n"/>
    </row>
    <row r="1763">
      <c r="A1763" s="18">
        <f>IF(ISNUMBER(Dossiers!$D$36),Dossiers!$A$36&amp;" · "&amp;Dossiers!$B$36,"")</f>
        <v/>
      </c>
      <c r="B1763" s="18">
        <f>IF($A1763="","",Paramètres!G35)</f>
        <v/>
      </c>
      <c r="C1763" s="18">
        <f>IF($A1763="","",IF(Paramètres!H35="","",Paramètres!H35))</f>
        <v/>
      </c>
      <c r="D1763" s="18">
        <f>IF($A1763="","",IF(Paramètres!I35="","",Paramètres!I35))</f>
        <v/>
      </c>
      <c r="E1763" s="19">
        <f>IF($A1763="","",IF(Paramètres!J35&amp;Paramètres!L35&amp;Paramètres!N35="",Dossiers!$D$36,MAX(IF(Paramètres!J35="",0,IF(Paramètres!K35="",NA(),IF(LEFT(TRIM(Paramètres!K35),1)="F",INDEX($F$1733:$F$1785,MATCH(Paramètres!J35,Paramètres!$G$5:$G$57,0)),INDEX($E$1733:$E$1785,MATCH(Paramètres!J35,Paramètres!$G$5:$G$57,0)))+IF(RIGHT(TRIM(Paramètres!K35),3)="Fin",1-$H1763,IF(LEFT(TRIM(Paramètres!K35),1)="F",1,0)))),IF(Paramètres!L35="",0,IF(Paramètres!M35="",NA(),IF(LEFT(TRIM(Paramètres!M35),1)="F",INDEX($F$1733:$F$1785,MATCH(Paramètres!L35,Paramètres!$G$5:$G$57,0)),INDEX($E$1733:$E$1785,MATCH(Paramètres!L35,Paramètres!$G$5:$G$57,0)))+IF(RIGHT(TRIM(Paramètres!M35),3)="Fin",1-$H1763,IF(LEFT(TRIM(Paramètres!M35),1)="F",1,0)))),IF(Paramètres!N35="",0,IF(Paramètres!O35="",NA(),IF(LEFT(TRIM(Paramètres!O35),1)="F",INDEX($F$1733:$F$1785,MATCH(Paramètres!N35,Paramètres!$G$5:$G$57,0)),INDEX($E$1733:$E$1785,MATCH(Paramètres!N35,Paramètres!$G$5:$G$57,0)))+IF(RIGHT(TRIM(Paramètres!O35),3)="Fin",1-$H1763,IF(LEFT(TRIM(Paramètres!O35),1)="F",1,0)))))))</f>
        <v/>
      </c>
      <c r="F1763" s="19">
        <f>IF($A1763="","",E1763+$H1763-1)</f>
        <v/>
      </c>
      <c r="G1763" s="18" t="n"/>
      <c r="H1763" s="18">
        <f>IF($A1763="","",IF(I1763&lt;&gt;"",I1763,Paramètres!B35))</f>
        <v/>
      </c>
      <c r="I1763" s="18" t="n"/>
    </row>
    <row r="1764">
      <c r="A1764" s="18">
        <f>IF(ISNUMBER(Dossiers!$D$36),Dossiers!$A$36&amp;" · "&amp;Dossiers!$B$36,"")</f>
        <v/>
      </c>
      <c r="B1764" s="18">
        <f>IF($A1764="","",Paramètres!G36)</f>
        <v/>
      </c>
      <c r="C1764" s="18">
        <f>IF($A1764="","",IF(Paramètres!H36="","",Paramètres!H36))</f>
        <v/>
      </c>
      <c r="D1764" s="18">
        <f>IF($A1764="","",IF(Paramètres!I36="","",Paramètres!I36))</f>
        <v/>
      </c>
      <c r="E1764" s="19">
        <f>IF($A1764="","",IF(Paramètres!J36&amp;Paramètres!L36&amp;Paramètres!N36="",Dossiers!$D$36,MAX(IF(Paramètres!J36="",0,IF(Paramètres!K36="",NA(),IF(LEFT(TRIM(Paramètres!K36),1)="F",INDEX($F$1733:$F$1785,MATCH(Paramètres!J36,Paramètres!$G$5:$G$57,0)),INDEX($E$1733:$E$1785,MATCH(Paramètres!J36,Paramètres!$G$5:$G$57,0)))+IF(RIGHT(TRIM(Paramètres!K36),3)="Fin",1-$H1764,IF(LEFT(TRIM(Paramètres!K36),1)="F",1,0)))),IF(Paramètres!L36="",0,IF(Paramètres!M36="",NA(),IF(LEFT(TRIM(Paramètres!M36),1)="F",INDEX($F$1733:$F$1785,MATCH(Paramètres!L36,Paramètres!$G$5:$G$57,0)),INDEX($E$1733:$E$1785,MATCH(Paramètres!L36,Paramètres!$G$5:$G$57,0)))+IF(RIGHT(TRIM(Paramètres!M36),3)="Fin",1-$H1764,IF(LEFT(TRIM(Paramètres!M36),1)="F",1,0)))),IF(Paramètres!N36="",0,IF(Paramètres!O36="",NA(),IF(LEFT(TRIM(Paramètres!O36),1)="F",INDEX($F$1733:$F$1785,MATCH(Paramètres!N36,Paramètres!$G$5:$G$57,0)),INDEX($E$1733:$E$1785,MATCH(Paramètres!N36,Paramètres!$G$5:$G$57,0)))+IF(RIGHT(TRIM(Paramètres!O36),3)="Fin",1-$H1764,IF(LEFT(TRIM(Paramètres!O36),1)="F",1,0)))))))</f>
        <v/>
      </c>
      <c r="F1764" s="19">
        <f>IF($A1764="","",E1764+$H1764-1)</f>
        <v/>
      </c>
      <c r="G1764" s="18" t="n"/>
      <c r="H1764" s="18">
        <f>IF($A1764="","",IF(I1764&lt;&gt;"",I1764,Paramètres!B36))</f>
        <v/>
      </c>
      <c r="I1764" s="18" t="n"/>
    </row>
    <row r="1765">
      <c r="A1765" s="18">
        <f>IF(ISNUMBER(Dossiers!$D$36),Dossiers!$A$36&amp;" · "&amp;Dossiers!$B$36,"")</f>
        <v/>
      </c>
      <c r="B1765" s="18">
        <f>IF($A1765="","",Paramètres!G37)</f>
        <v/>
      </c>
      <c r="C1765" s="18">
        <f>IF($A1765="","",IF(Paramètres!H37="","",Paramètres!H37))</f>
        <v/>
      </c>
      <c r="D1765" s="18">
        <f>IF($A1765="","",IF(Paramètres!I37="","",Paramètres!I37))</f>
        <v/>
      </c>
      <c r="E1765" s="19">
        <f>IF($A1765="","",MIN(E1766:E1783))</f>
        <v/>
      </c>
      <c r="F1765" s="19">
        <f>IF($A1765="","",MAX(F1766:F1783))</f>
        <v/>
      </c>
      <c r="G1765" s="18" t="n"/>
      <c r="H1765" s="18">
        <f>IF($A1765="","",F1765-E1765+1)</f>
        <v/>
      </c>
      <c r="I1765" s="18" t="n"/>
    </row>
    <row r="1766">
      <c r="A1766" s="18">
        <f>IF(ISNUMBER(Dossiers!$D$36),Dossiers!$A$36&amp;" · "&amp;Dossiers!$B$36,"")</f>
        <v/>
      </c>
      <c r="B1766" s="18">
        <f>IF($A1766="","",Paramètres!G38)</f>
        <v/>
      </c>
      <c r="C1766" s="18">
        <f>IF($A1766="","",IF(Paramètres!H38="","",Paramètres!H38))</f>
        <v/>
      </c>
      <c r="D1766" s="18">
        <f>IF($A1766="","",IF(Paramètres!I38="","",Paramètres!I38))</f>
        <v/>
      </c>
      <c r="E1766" s="19">
        <f>IF($A1766="","",IF(Paramètres!J38&amp;Paramètres!L38&amp;Paramètres!N38="",Dossiers!$D$36,MAX(IF(Paramètres!J38="",0,IF(Paramètres!K38="",NA(),IF(LEFT(TRIM(Paramètres!K38),1)="F",INDEX($F$1733:$F$1785,MATCH(Paramètres!J38,Paramètres!$G$5:$G$57,0)),INDEX($E$1733:$E$1785,MATCH(Paramètres!J38,Paramètres!$G$5:$G$57,0)))+IF(RIGHT(TRIM(Paramètres!K38),3)="Fin",1-$H1766,IF(LEFT(TRIM(Paramètres!K38),1)="F",1,0)))),IF(Paramètres!L38="",0,IF(Paramètres!M38="",NA(),IF(LEFT(TRIM(Paramètres!M38),1)="F",INDEX($F$1733:$F$1785,MATCH(Paramètres!L38,Paramètres!$G$5:$G$57,0)),INDEX($E$1733:$E$1785,MATCH(Paramètres!L38,Paramètres!$G$5:$G$57,0)))+IF(RIGHT(TRIM(Paramètres!M38),3)="Fin",1-$H1766,IF(LEFT(TRIM(Paramètres!M38),1)="F",1,0)))),IF(Paramètres!N38="",0,IF(Paramètres!O38="",NA(),IF(LEFT(TRIM(Paramètres!O38),1)="F",INDEX($F$1733:$F$1785,MATCH(Paramètres!N38,Paramètres!$G$5:$G$57,0)),INDEX($E$1733:$E$1785,MATCH(Paramètres!N38,Paramètres!$G$5:$G$57,0)))+IF(RIGHT(TRIM(Paramètres!O38),3)="Fin",1-$H1766,IF(LEFT(TRIM(Paramètres!O38),1)="F",1,0)))))))</f>
        <v/>
      </c>
      <c r="F1766" s="19">
        <f>IF($A1766="","",E1766+$H1766-1)</f>
        <v/>
      </c>
      <c r="G1766" s="18" t="n"/>
      <c r="H1766" s="18">
        <f>IF($A1766="","",IF(I1766&lt;&gt;"",I1766,Paramètres!B38))</f>
        <v/>
      </c>
      <c r="I1766" s="18" t="n"/>
    </row>
    <row r="1767">
      <c r="A1767" s="18">
        <f>IF(ISNUMBER(Dossiers!$D$36),Dossiers!$A$36&amp;" · "&amp;Dossiers!$B$36,"")</f>
        <v/>
      </c>
      <c r="B1767" s="18">
        <f>IF($A1767="","",Paramètres!G39)</f>
        <v/>
      </c>
      <c r="C1767" s="18">
        <f>IF($A1767="","",IF(Paramètres!H39="","",Paramètres!H39))</f>
        <v/>
      </c>
      <c r="D1767" s="18">
        <f>IF($A1767="","",IF(Paramètres!I39="","",Paramètres!I39))</f>
        <v/>
      </c>
      <c r="E1767" s="19">
        <f>IF($A1767="","",IF(Paramètres!J39&amp;Paramètres!L39&amp;Paramètres!N39="",Dossiers!$D$36,MAX(IF(Paramètres!J39="",0,IF(Paramètres!K39="",NA(),IF(LEFT(TRIM(Paramètres!K39),1)="F",INDEX($F$1733:$F$1785,MATCH(Paramètres!J39,Paramètres!$G$5:$G$57,0)),INDEX($E$1733:$E$1785,MATCH(Paramètres!J39,Paramètres!$G$5:$G$57,0)))+IF(RIGHT(TRIM(Paramètres!K39),3)="Fin",1-$H1767,IF(LEFT(TRIM(Paramètres!K39),1)="F",1,0)))),IF(Paramètres!L39="",0,IF(Paramètres!M39="",NA(),IF(LEFT(TRIM(Paramètres!M39),1)="F",INDEX($F$1733:$F$1785,MATCH(Paramètres!L39,Paramètres!$G$5:$G$57,0)),INDEX($E$1733:$E$1785,MATCH(Paramètres!L39,Paramètres!$G$5:$G$57,0)))+IF(RIGHT(TRIM(Paramètres!M39),3)="Fin",1-$H1767,IF(LEFT(TRIM(Paramètres!M39),1)="F",1,0)))),IF(Paramètres!N39="",0,IF(Paramètres!O39="",NA(),IF(LEFT(TRIM(Paramètres!O39),1)="F",INDEX($F$1733:$F$1785,MATCH(Paramètres!N39,Paramètres!$G$5:$G$57,0)),INDEX($E$1733:$E$1785,MATCH(Paramètres!N39,Paramètres!$G$5:$G$57,0)))+IF(RIGHT(TRIM(Paramètres!O39),3)="Fin",1-$H1767,IF(LEFT(TRIM(Paramètres!O39),1)="F",1,0)))))))</f>
        <v/>
      </c>
      <c r="F1767" s="19">
        <f>IF($A1767="","",E1767+$H1767-1)</f>
        <v/>
      </c>
      <c r="G1767" s="18" t="n"/>
      <c r="H1767" s="18">
        <f>IF($A1767="","",IF(I1767&lt;&gt;"",I1767,Paramètres!B39))</f>
        <v/>
      </c>
      <c r="I1767" s="18" t="n"/>
    </row>
    <row r="1768">
      <c r="A1768" s="18">
        <f>IF(ISNUMBER(Dossiers!$D$36),Dossiers!$A$36&amp;" · "&amp;Dossiers!$B$36,"")</f>
        <v/>
      </c>
      <c r="B1768" s="18">
        <f>IF($A1768="","",Paramètres!G40)</f>
        <v/>
      </c>
      <c r="C1768" s="18">
        <f>IF($A1768="","",IF(Paramètres!H40="","",Paramètres!H40))</f>
        <v/>
      </c>
      <c r="D1768" s="18">
        <f>IF($A1768="","",IF(Paramètres!I40="","",Paramètres!I40))</f>
        <v/>
      </c>
      <c r="E1768" s="19">
        <f>IF($A1768="","",IF(Paramètres!J40&amp;Paramètres!L40&amp;Paramètres!N40="",Dossiers!$D$36,MAX(IF(Paramètres!J40="",0,IF(Paramètres!K40="",NA(),IF(LEFT(TRIM(Paramètres!K40),1)="F",INDEX($F$1733:$F$1785,MATCH(Paramètres!J40,Paramètres!$G$5:$G$57,0)),INDEX($E$1733:$E$1785,MATCH(Paramètres!J40,Paramètres!$G$5:$G$57,0)))+IF(RIGHT(TRIM(Paramètres!K40),3)="Fin",1-$H1768,IF(LEFT(TRIM(Paramètres!K40),1)="F",1,0)))),IF(Paramètres!L40="",0,IF(Paramètres!M40="",NA(),IF(LEFT(TRIM(Paramètres!M40),1)="F",INDEX($F$1733:$F$1785,MATCH(Paramètres!L40,Paramètres!$G$5:$G$57,0)),INDEX($E$1733:$E$1785,MATCH(Paramètres!L40,Paramètres!$G$5:$G$57,0)))+IF(RIGHT(TRIM(Paramètres!M40),3)="Fin",1-$H1768,IF(LEFT(TRIM(Paramètres!M40),1)="F",1,0)))),IF(Paramètres!N40="",0,IF(Paramètres!O40="",NA(),IF(LEFT(TRIM(Paramètres!O40),1)="F",INDEX($F$1733:$F$1785,MATCH(Paramètres!N40,Paramètres!$G$5:$G$57,0)),INDEX($E$1733:$E$1785,MATCH(Paramètres!N40,Paramètres!$G$5:$G$57,0)))+IF(RIGHT(TRIM(Paramètres!O40),3)="Fin",1-$H1768,IF(LEFT(TRIM(Paramètres!O40),1)="F",1,0)))))))</f>
        <v/>
      </c>
      <c r="F1768" s="19">
        <f>IF($A1768="","",E1768+$H1768-1)</f>
        <v/>
      </c>
      <c r="G1768" s="18" t="n"/>
      <c r="H1768" s="18">
        <f>IF($A1768="","",IF(I1768&lt;&gt;"",I1768,Paramètres!B40))</f>
        <v/>
      </c>
      <c r="I1768" s="18" t="n"/>
    </row>
    <row r="1769">
      <c r="A1769" s="18">
        <f>IF(ISNUMBER(Dossiers!$D$36),Dossiers!$A$36&amp;" · "&amp;Dossiers!$B$36,"")</f>
        <v/>
      </c>
      <c r="B1769" s="18">
        <f>IF($A1769="","",Paramètres!G41)</f>
        <v/>
      </c>
      <c r="C1769" s="18">
        <f>IF($A1769="","",IF(Paramètres!H41="","",Paramètres!H41))</f>
        <v/>
      </c>
      <c r="D1769" s="18">
        <f>IF($A1769="","",IF(Paramètres!I41="","",Paramètres!I41))</f>
        <v/>
      </c>
      <c r="E1769" s="19">
        <f>IF($A1769="","",IF(Paramètres!J41&amp;Paramètres!L41&amp;Paramètres!N41="",Dossiers!$D$36,MAX(IF(Paramètres!J41="",0,IF(Paramètres!K41="",NA(),IF(LEFT(TRIM(Paramètres!K41),1)="F",INDEX($F$1733:$F$1785,MATCH(Paramètres!J41,Paramètres!$G$5:$G$57,0)),INDEX($E$1733:$E$1785,MATCH(Paramètres!J41,Paramètres!$G$5:$G$57,0)))+IF(RIGHT(TRIM(Paramètres!K41),3)="Fin",1-$H1769,IF(LEFT(TRIM(Paramètres!K41),1)="F",1,0)))),IF(Paramètres!L41="",0,IF(Paramètres!M41="",NA(),IF(LEFT(TRIM(Paramètres!M41),1)="F",INDEX($F$1733:$F$1785,MATCH(Paramètres!L41,Paramètres!$G$5:$G$57,0)),INDEX($E$1733:$E$1785,MATCH(Paramètres!L41,Paramètres!$G$5:$G$57,0)))+IF(RIGHT(TRIM(Paramètres!M41),3)="Fin",1-$H1769,IF(LEFT(TRIM(Paramètres!M41),1)="F",1,0)))),IF(Paramètres!N41="",0,IF(Paramètres!O41="",NA(),IF(LEFT(TRIM(Paramètres!O41),1)="F",INDEX($F$1733:$F$1785,MATCH(Paramètres!N41,Paramètres!$G$5:$G$57,0)),INDEX($E$1733:$E$1785,MATCH(Paramètres!N41,Paramètres!$G$5:$G$57,0)))+IF(RIGHT(TRIM(Paramètres!O41),3)="Fin",1-$H1769,IF(LEFT(TRIM(Paramètres!O41),1)="F",1,0)))))))</f>
        <v/>
      </c>
      <c r="F1769" s="19">
        <f>IF($A1769="","",E1769+$H1769-1)</f>
        <v/>
      </c>
      <c r="G1769" s="18" t="n"/>
      <c r="H1769" s="18">
        <f>IF($A1769="","",IF(I1769&lt;&gt;"",I1769,Paramètres!B41))</f>
        <v/>
      </c>
      <c r="I1769" s="18" t="n"/>
    </row>
    <row r="1770">
      <c r="A1770" s="18">
        <f>IF(ISNUMBER(Dossiers!$D$36),Dossiers!$A$36&amp;" · "&amp;Dossiers!$B$36,"")</f>
        <v/>
      </c>
      <c r="B1770" s="18">
        <f>IF($A1770="","",Paramètres!G42)</f>
        <v/>
      </c>
      <c r="C1770" s="18">
        <f>IF($A1770="","",IF(Paramètres!H42="","",Paramètres!H42))</f>
        <v/>
      </c>
      <c r="D1770" s="18">
        <f>IF($A1770="","",IF(Paramètres!I42="","",Paramètres!I42))</f>
        <v/>
      </c>
      <c r="E1770" s="19">
        <f>IF($A1770="","",IF(Paramètres!J42&amp;Paramètres!L42&amp;Paramètres!N42="",Dossiers!$D$36,MAX(IF(Paramètres!J42="",0,IF(Paramètres!K42="",NA(),IF(LEFT(TRIM(Paramètres!K42),1)="F",INDEX($F$1733:$F$1785,MATCH(Paramètres!J42,Paramètres!$G$5:$G$57,0)),INDEX($E$1733:$E$1785,MATCH(Paramètres!J42,Paramètres!$G$5:$G$57,0)))+IF(RIGHT(TRIM(Paramètres!K42),3)="Fin",1-$H1770,IF(LEFT(TRIM(Paramètres!K42),1)="F",1,0)))),IF(Paramètres!L42="",0,IF(Paramètres!M42="",NA(),IF(LEFT(TRIM(Paramètres!M42),1)="F",INDEX($F$1733:$F$1785,MATCH(Paramètres!L42,Paramètres!$G$5:$G$57,0)),INDEX($E$1733:$E$1785,MATCH(Paramètres!L42,Paramètres!$G$5:$G$57,0)))+IF(RIGHT(TRIM(Paramètres!M42),3)="Fin",1-$H1770,IF(LEFT(TRIM(Paramètres!M42),1)="F",1,0)))),IF(Paramètres!N42="",0,IF(Paramètres!O42="",NA(),IF(LEFT(TRIM(Paramètres!O42),1)="F",INDEX($F$1733:$F$1785,MATCH(Paramètres!N42,Paramètres!$G$5:$G$57,0)),INDEX($E$1733:$E$1785,MATCH(Paramètres!N42,Paramètres!$G$5:$G$57,0)))+IF(RIGHT(TRIM(Paramètres!O42),3)="Fin",1-$H1770,IF(LEFT(TRIM(Paramètres!O42),1)="F",1,0)))))))</f>
        <v/>
      </c>
      <c r="F1770" s="19">
        <f>IF($A1770="","",E1770+$H1770-1)</f>
        <v/>
      </c>
      <c r="G1770" s="18" t="n"/>
      <c r="H1770" s="18">
        <f>IF($A1770="","",IF(I1770&lt;&gt;"",I1770,Paramètres!B42))</f>
        <v/>
      </c>
      <c r="I1770" s="18" t="n"/>
    </row>
    <row r="1771">
      <c r="A1771" s="18">
        <f>IF(ISNUMBER(Dossiers!$D$36),Dossiers!$A$36&amp;" · "&amp;Dossiers!$B$36,"")</f>
        <v/>
      </c>
      <c r="B1771" s="18">
        <f>IF($A1771="","",Paramètres!G43)</f>
        <v/>
      </c>
      <c r="C1771" s="18">
        <f>IF($A1771="","",IF(Paramètres!H43="","",Paramètres!H43))</f>
        <v/>
      </c>
      <c r="D1771" s="18">
        <f>IF($A1771="","",IF(Paramètres!I43="","",Paramètres!I43))</f>
        <v/>
      </c>
      <c r="E1771" s="19">
        <f>IF($A1771="","",IF(Paramètres!J43&amp;Paramètres!L43&amp;Paramètres!N43="",Dossiers!$D$36,MAX(IF(Paramètres!J43="",0,IF(Paramètres!K43="",NA(),IF(LEFT(TRIM(Paramètres!K43),1)="F",INDEX($F$1733:$F$1785,MATCH(Paramètres!J43,Paramètres!$G$5:$G$57,0)),INDEX($E$1733:$E$1785,MATCH(Paramètres!J43,Paramètres!$G$5:$G$57,0)))+IF(RIGHT(TRIM(Paramètres!K43),3)="Fin",1-$H1771,IF(LEFT(TRIM(Paramètres!K43),1)="F",1,0)))),IF(Paramètres!L43="",0,IF(Paramètres!M43="",NA(),IF(LEFT(TRIM(Paramètres!M43),1)="F",INDEX($F$1733:$F$1785,MATCH(Paramètres!L43,Paramètres!$G$5:$G$57,0)),INDEX($E$1733:$E$1785,MATCH(Paramètres!L43,Paramètres!$G$5:$G$57,0)))+IF(RIGHT(TRIM(Paramètres!M43),3)="Fin",1-$H1771,IF(LEFT(TRIM(Paramètres!M43),1)="F",1,0)))),IF(Paramètres!N43="",0,IF(Paramètres!O43="",NA(),IF(LEFT(TRIM(Paramètres!O43),1)="F",INDEX($F$1733:$F$1785,MATCH(Paramètres!N43,Paramètres!$G$5:$G$57,0)),INDEX($E$1733:$E$1785,MATCH(Paramètres!N43,Paramètres!$G$5:$G$57,0)))+IF(RIGHT(TRIM(Paramètres!O43),3)="Fin",1-$H1771,IF(LEFT(TRIM(Paramètres!O43),1)="F",1,0)))))))</f>
        <v/>
      </c>
      <c r="F1771" s="19">
        <f>IF($A1771="","",E1771+$H1771-1)</f>
        <v/>
      </c>
      <c r="G1771" s="18" t="n"/>
      <c r="H1771" s="18">
        <f>IF($A1771="","",IF(I1771&lt;&gt;"",I1771,Paramètres!B43))</f>
        <v/>
      </c>
      <c r="I1771" s="18" t="n"/>
    </row>
    <row r="1772">
      <c r="A1772" s="18">
        <f>IF(ISNUMBER(Dossiers!$D$36),Dossiers!$A$36&amp;" · "&amp;Dossiers!$B$36,"")</f>
        <v/>
      </c>
      <c r="B1772" s="18">
        <f>IF($A1772="","",Paramètres!G44)</f>
        <v/>
      </c>
      <c r="C1772" s="18">
        <f>IF($A1772="","",IF(Paramètres!H44="","",Paramètres!H44))</f>
        <v/>
      </c>
      <c r="D1772" s="18">
        <f>IF($A1772="","",IF(Paramètres!I44="","",Paramètres!I44))</f>
        <v/>
      </c>
      <c r="E1772" s="19">
        <f>IF($A1772="","",IF(Paramètres!J44&amp;Paramètres!L44&amp;Paramètres!N44="",Dossiers!$D$36,MAX(IF(Paramètres!J44="",0,IF(Paramètres!K44="",NA(),IF(LEFT(TRIM(Paramètres!K44),1)="F",INDEX($F$1733:$F$1785,MATCH(Paramètres!J44,Paramètres!$G$5:$G$57,0)),INDEX($E$1733:$E$1785,MATCH(Paramètres!J44,Paramètres!$G$5:$G$57,0)))+IF(RIGHT(TRIM(Paramètres!K44),3)="Fin",1-$H1772,IF(LEFT(TRIM(Paramètres!K44),1)="F",1,0)))),IF(Paramètres!L44="",0,IF(Paramètres!M44="",NA(),IF(LEFT(TRIM(Paramètres!M44),1)="F",INDEX($F$1733:$F$1785,MATCH(Paramètres!L44,Paramètres!$G$5:$G$57,0)),INDEX($E$1733:$E$1785,MATCH(Paramètres!L44,Paramètres!$G$5:$G$57,0)))+IF(RIGHT(TRIM(Paramètres!M44),3)="Fin",1-$H1772,IF(LEFT(TRIM(Paramètres!M44),1)="F",1,0)))),IF(Paramètres!N44="",0,IF(Paramètres!O44="",NA(),IF(LEFT(TRIM(Paramètres!O44),1)="F",INDEX($F$1733:$F$1785,MATCH(Paramètres!N44,Paramètres!$G$5:$G$57,0)),INDEX($E$1733:$E$1785,MATCH(Paramètres!N44,Paramètres!$G$5:$G$57,0)))+IF(RIGHT(TRIM(Paramètres!O44),3)="Fin",1-$H1772,IF(LEFT(TRIM(Paramètres!O44),1)="F",1,0)))))))</f>
        <v/>
      </c>
      <c r="F1772" s="19">
        <f>IF($A1772="","",E1772+$H1772-1)</f>
        <v/>
      </c>
      <c r="G1772" s="18" t="n"/>
      <c r="H1772" s="18">
        <f>IF($A1772="","",IF(I1772&lt;&gt;"",I1772,Paramètres!B44))</f>
        <v/>
      </c>
      <c r="I1772" s="18" t="n"/>
    </row>
    <row r="1773">
      <c r="A1773" s="18">
        <f>IF(ISNUMBER(Dossiers!$D$36),Dossiers!$A$36&amp;" · "&amp;Dossiers!$B$36,"")</f>
        <v/>
      </c>
      <c r="B1773" s="18">
        <f>IF($A1773="","",Paramètres!G45)</f>
        <v/>
      </c>
      <c r="C1773" s="20">
        <f>IF($A1773="","",IF(Dossiers!$G$36="","",Dossiers!$G$36))</f>
        <v/>
      </c>
      <c r="D1773" s="18">
        <f>IF($A1773="","",IF(Paramètres!I45="","",Paramètres!I45))</f>
        <v/>
      </c>
      <c r="E1773" s="19">
        <f>IF($A1773="","",IF(Paramètres!J45&amp;Paramètres!L45&amp;Paramètres!N45="",Dossiers!$D$36,MAX(IF(Paramètres!J45="",0,IF(Paramètres!K45="",NA(),IF(LEFT(TRIM(Paramètres!K45),1)="F",INDEX($F$1733:$F$1785,MATCH(Paramètres!J45,Paramètres!$G$5:$G$57,0)),INDEX($E$1733:$E$1785,MATCH(Paramètres!J45,Paramètres!$G$5:$G$57,0)))+IF(RIGHT(TRIM(Paramètres!K45),3)="Fin",1-$H1773,IF(LEFT(TRIM(Paramètres!K45),1)="F",1,0)))),IF(Paramètres!L45="",0,IF(Paramètres!M45="",NA(),IF(LEFT(TRIM(Paramètres!M45),1)="F",INDEX($F$1733:$F$1785,MATCH(Paramètres!L45,Paramètres!$G$5:$G$57,0)),INDEX($E$1733:$E$1785,MATCH(Paramètres!L45,Paramètres!$G$5:$G$57,0)))+IF(RIGHT(TRIM(Paramètres!M45),3)="Fin",1-$H1773,IF(LEFT(TRIM(Paramètres!M45),1)="F",1,0)))),IF(Paramètres!N45="",0,IF(Paramètres!O45="",NA(),IF(LEFT(TRIM(Paramètres!O45),1)="F",INDEX($F$1733:$F$1785,MATCH(Paramètres!N45,Paramètres!$G$5:$G$57,0)),INDEX($E$1733:$E$1785,MATCH(Paramètres!N45,Paramètres!$G$5:$G$57,0)))+IF(RIGHT(TRIM(Paramètres!O45),3)="Fin",1-$H1773,IF(LEFT(TRIM(Paramètres!O45),1)="F",1,0)))))))</f>
        <v/>
      </c>
      <c r="F1773" s="19">
        <f>IF($A1773="","",E1773+$H1773-1)</f>
        <v/>
      </c>
      <c r="G1773" s="18" t="n"/>
      <c r="H1773" s="18">
        <f>IF($A1773="","",IF(I1773&lt;&gt;"",I1773,Paramètres!B45))</f>
        <v/>
      </c>
      <c r="I1773" s="18" t="n"/>
    </row>
    <row r="1774">
      <c r="A1774" s="18">
        <f>IF(ISNUMBER(Dossiers!$D$36),Dossiers!$A$36&amp;" · "&amp;Dossiers!$B$36,"")</f>
        <v/>
      </c>
      <c r="B1774" s="18">
        <f>IF($A1774="","",Paramètres!G46)</f>
        <v/>
      </c>
      <c r="C1774" s="18">
        <f>IF($A1774="","",IF(Paramètres!H46="","",Paramètres!H46))</f>
        <v/>
      </c>
      <c r="D1774" s="18">
        <f>IF($A1774="","",IF(Paramètres!I46="","",Paramètres!I46))</f>
        <v/>
      </c>
      <c r="E1774" s="19">
        <f>IF($A1774="","",IF(Paramètres!J46&amp;Paramètres!L46&amp;Paramètres!N46="",Dossiers!$D$36,MAX(IF(Paramètres!J46="",0,IF(Paramètres!K46="",NA(),IF(LEFT(TRIM(Paramètres!K46),1)="F",INDEX($F$1733:$F$1785,MATCH(Paramètres!J46,Paramètres!$G$5:$G$57,0)),INDEX($E$1733:$E$1785,MATCH(Paramètres!J46,Paramètres!$G$5:$G$57,0)))+IF(RIGHT(TRIM(Paramètres!K46),3)="Fin",1-$H1774,IF(LEFT(TRIM(Paramètres!K46),1)="F",1,0)))),IF(Paramètres!L46="",0,IF(Paramètres!M46="",NA(),IF(LEFT(TRIM(Paramètres!M46),1)="F",INDEX($F$1733:$F$1785,MATCH(Paramètres!L46,Paramètres!$G$5:$G$57,0)),INDEX($E$1733:$E$1785,MATCH(Paramètres!L46,Paramètres!$G$5:$G$57,0)))+IF(RIGHT(TRIM(Paramètres!M46),3)="Fin",1-$H1774,IF(LEFT(TRIM(Paramètres!M46),1)="F",1,0)))),IF(Paramètres!N46="",0,IF(Paramètres!O46="",NA(),IF(LEFT(TRIM(Paramètres!O46),1)="F",INDEX($F$1733:$F$1785,MATCH(Paramètres!N46,Paramètres!$G$5:$G$57,0)),INDEX($E$1733:$E$1785,MATCH(Paramètres!N46,Paramètres!$G$5:$G$57,0)))+IF(RIGHT(TRIM(Paramètres!O46),3)="Fin",1-$H1774,IF(LEFT(TRIM(Paramètres!O46),1)="F",1,0)))))))</f>
        <v/>
      </c>
      <c r="F1774" s="19">
        <f>IF($A1774="","",E1774+$H1774-1)</f>
        <v/>
      </c>
      <c r="G1774" s="18" t="n"/>
      <c r="H1774" s="18">
        <f>IF($A1774="","",IF(I1774&lt;&gt;"",I1774,Paramètres!B46))</f>
        <v/>
      </c>
      <c r="I1774" s="18" t="n"/>
    </row>
    <row r="1775">
      <c r="A1775" s="18">
        <f>IF(ISNUMBER(Dossiers!$D$36),Dossiers!$A$36&amp;" · "&amp;Dossiers!$B$36,"")</f>
        <v/>
      </c>
      <c r="B1775" s="18">
        <f>IF($A1775="","",Paramètres!G47)</f>
        <v/>
      </c>
      <c r="C1775" s="18">
        <f>IF($A1775="","",IF(Paramètres!H47="","",Paramètres!H47))</f>
        <v/>
      </c>
      <c r="D1775" s="18">
        <f>IF($A1775="","",IF(Paramètres!I47="","",Paramètres!I47))</f>
        <v/>
      </c>
      <c r="E1775" s="19">
        <f>IF($A1775="","",IF(Paramètres!J47&amp;Paramètres!L47&amp;Paramètres!N47="",Dossiers!$D$36,MAX(IF(Paramètres!J47="",0,IF(Paramètres!K47="",NA(),IF(LEFT(TRIM(Paramètres!K47),1)="F",INDEX($F$1733:$F$1785,MATCH(Paramètres!J47,Paramètres!$G$5:$G$57,0)),INDEX($E$1733:$E$1785,MATCH(Paramètres!J47,Paramètres!$G$5:$G$57,0)))+IF(RIGHT(TRIM(Paramètres!K47),3)="Fin",1-$H1775,IF(LEFT(TRIM(Paramètres!K47),1)="F",1,0)))),IF(Paramètres!L47="",0,IF(Paramètres!M47="",NA(),IF(LEFT(TRIM(Paramètres!M47),1)="F",INDEX($F$1733:$F$1785,MATCH(Paramètres!L47,Paramètres!$G$5:$G$57,0)),INDEX($E$1733:$E$1785,MATCH(Paramètres!L47,Paramètres!$G$5:$G$57,0)))+IF(RIGHT(TRIM(Paramètres!M47),3)="Fin",1-$H1775,IF(LEFT(TRIM(Paramètres!M47),1)="F",1,0)))),IF(Paramètres!N47="",0,IF(Paramètres!O47="",NA(),IF(LEFT(TRIM(Paramètres!O47),1)="F",INDEX($F$1733:$F$1785,MATCH(Paramètres!N47,Paramètres!$G$5:$G$57,0)),INDEX($E$1733:$E$1785,MATCH(Paramètres!N47,Paramètres!$G$5:$G$57,0)))+IF(RIGHT(TRIM(Paramètres!O47),3)="Fin",1-$H1775,IF(LEFT(TRIM(Paramètres!O47),1)="F",1,0)))))))</f>
        <v/>
      </c>
      <c r="F1775" s="19">
        <f>IF($A1775="","",E1775+$H1775-1)</f>
        <v/>
      </c>
      <c r="G1775" s="18" t="n"/>
      <c r="H1775" s="18">
        <f>IF($A1775="","",IF(I1775&lt;&gt;"",I1775,Paramètres!B47))</f>
        <v/>
      </c>
      <c r="I1775" s="18" t="n"/>
    </row>
    <row r="1776">
      <c r="A1776" s="18">
        <f>IF(ISNUMBER(Dossiers!$D$36),Dossiers!$A$36&amp;" · "&amp;Dossiers!$B$36,"")</f>
        <v/>
      </c>
      <c r="B1776" s="18">
        <f>IF($A1776="","",Paramètres!G48)</f>
        <v/>
      </c>
      <c r="C1776" s="18">
        <f>IF($A1776="","",IF(Paramètres!H48="","",Paramètres!H48))</f>
        <v/>
      </c>
      <c r="D1776" s="18">
        <f>IF($A1776="","",IF(Paramètres!I48="","",Paramètres!I48))</f>
        <v/>
      </c>
      <c r="E1776" s="19">
        <f>IF($A1776="","",IF(Paramètres!J48&amp;Paramètres!L48&amp;Paramètres!N48="",Dossiers!$D$36,MAX(IF(Paramètres!J48="",0,IF(Paramètres!K48="",NA(),IF(LEFT(TRIM(Paramètres!K48),1)="F",INDEX($F$1733:$F$1785,MATCH(Paramètres!J48,Paramètres!$G$5:$G$57,0)),INDEX($E$1733:$E$1785,MATCH(Paramètres!J48,Paramètres!$G$5:$G$57,0)))+IF(RIGHT(TRIM(Paramètres!K48),3)="Fin",1-$H1776,IF(LEFT(TRIM(Paramètres!K48),1)="F",1,0)))),IF(Paramètres!L48="",0,IF(Paramètres!M48="",NA(),IF(LEFT(TRIM(Paramètres!M48),1)="F",INDEX($F$1733:$F$1785,MATCH(Paramètres!L48,Paramètres!$G$5:$G$57,0)),INDEX($E$1733:$E$1785,MATCH(Paramètres!L48,Paramètres!$G$5:$G$57,0)))+IF(RIGHT(TRIM(Paramètres!M48),3)="Fin",1-$H1776,IF(LEFT(TRIM(Paramètres!M48),1)="F",1,0)))),IF(Paramètres!N48="",0,IF(Paramètres!O48="",NA(),IF(LEFT(TRIM(Paramètres!O48),1)="F",INDEX($F$1733:$F$1785,MATCH(Paramètres!N48,Paramètres!$G$5:$G$57,0)),INDEX($E$1733:$E$1785,MATCH(Paramètres!N48,Paramètres!$G$5:$G$57,0)))+IF(RIGHT(TRIM(Paramètres!O48),3)="Fin",1-$H1776,IF(LEFT(TRIM(Paramètres!O48),1)="F",1,0)))))))</f>
        <v/>
      </c>
      <c r="F1776" s="19">
        <f>IF($A1776="","",E1776+$H1776-1)</f>
        <v/>
      </c>
      <c r="G1776" s="18" t="n"/>
      <c r="H1776" s="18">
        <f>IF($A1776="","",IF(I1776&lt;&gt;"",I1776,Paramètres!B48))</f>
        <v/>
      </c>
      <c r="I1776" s="18" t="n"/>
    </row>
    <row r="1777">
      <c r="A1777" s="18">
        <f>IF(ISNUMBER(Dossiers!$D$36),Dossiers!$A$36&amp;" · "&amp;Dossiers!$B$36,"")</f>
        <v/>
      </c>
      <c r="B1777" s="18">
        <f>IF($A1777="","",Paramètres!G49)</f>
        <v/>
      </c>
      <c r="C1777" s="18">
        <f>IF($A1777="","",IF(Paramètres!H49="","",Paramètres!H49))</f>
        <v/>
      </c>
      <c r="D1777" s="18">
        <f>IF($A1777="","",IF(Paramètres!I49="","",Paramètres!I49))</f>
        <v/>
      </c>
      <c r="E1777" s="19">
        <f>IF($A1777="","",IF(Paramètres!J49&amp;Paramètres!L49&amp;Paramètres!N49="",Dossiers!$D$36,MAX(IF(Paramètres!J49="",0,IF(Paramètres!K49="",NA(),IF(LEFT(TRIM(Paramètres!K49),1)="F",INDEX($F$1733:$F$1785,MATCH(Paramètres!J49,Paramètres!$G$5:$G$57,0)),INDEX($E$1733:$E$1785,MATCH(Paramètres!J49,Paramètres!$G$5:$G$57,0)))+IF(RIGHT(TRIM(Paramètres!K49),3)="Fin",1-$H1777,IF(LEFT(TRIM(Paramètres!K49),1)="F",1,0)))),IF(Paramètres!L49="",0,IF(Paramètres!M49="",NA(),IF(LEFT(TRIM(Paramètres!M49),1)="F",INDEX($F$1733:$F$1785,MATCH(Paramètres!L49,Paramètres!$G$5:$G$57,0)),INDEX($E$1733:$E$1785,MATCH(Paramètres!L49,Paramètres!$G$5:$G$57,0)))+IF(RIGHT(TRIM(Paramètres!M49),3)="Fin",1-$H1777,IF(LEFT(TRIM(Paramètres!M49),1)="F",1,0)))),IF(Paramètres!N49="",0,IF(Paramètres!O49="",NA(),IF(LEFT(TRIM(Paramètres!O49),1)="F",INDEX($F$1733:$F$1785,MATCH(Paramètres!N49,Paramètres!$G$5:$G$57,0)),INDEX($E$1733:$E$1785,MATCH(Paramètres!N49,Paramètres!$G$5:$G$57,0)))+IF(RIGHT(TRIM(Paramètres!O49),3)="Fin",1-$H1777,IF(LEFT(TRIM(Paramètres!O49),1)="F",1,0)))))))</f>
        <v/>
      </c>
      <c r="F1777" s="19">
        <f>IF($A1777="","",E1777+$H1777-1)</f>
        <v/>
      </c>
      <c r="G1777" s="18" t="n"/>
      <c r="H1777" s="18">
        <f>IF($A1777="","",IF(I1777&lt;&gt;"",I1777,Paramètres!B49))</f>
        <v/>
      </c>
      <c r="I1777" s="18" t="n"/>
    </row>
    <row r="1778">
      <c r="A1778" s="18">
        <f>IF(ISNUMBER(Dossiers!$D$36),Dossiers!$A$36&amp;" · "&amp;Dossiers!$B$36,"")</f>
        <v/>
      </c>
      <c r="B1778" s="18">
        <f>IF($A1778="","",Paramètres!G50)</f>
        <v/>
      </c>
      <c r="C1778" s="18">
        <f>IF($A1778="","",IF(Paramètres!H50="","",Paramètres!H50))</f>
        <v/>
      </c>
      <c r="D1778" s="18">
        <f>IF($A1778="","",IF(Paramètres!I50="","",Paramètres!I50))</f>
        <v/>
      </c>
      <c r="E1778" s="19">
        <f>IF($A1778="","",IF(Paramètres!J50&amp;Paramètres!L50&amp;Paramètres!N50="",Dossiers!$D$36,MAX(IF(Paramètres!J50="",0,IF(Paramètres!K50="",NA(),IF(LEFT(TRIM(Paramètres!K50),1)="F",INDEX($F$1733:$F$1785,MATCH(Paramètres!J50,Paramètres!$G$5:$G$57,0)),INDEX($E$1733:$E$1785,MATCH(Paramètres!J50,Paramètres!$G$5:$G$57,0)))+IF(RIGHT(TRIM(Paramètres!K50),3)="Fin",1-$H1778,IF(LEFT(TRIM(Paramètres!K50),1)="F",1,0)))),IF(Paramètres!L50="",0,IF(Paramètres!M50="",NA(),IF(LEFT(TRIM(Paramètres!M50),1)="F",INDEX($F$1733:$F$1785,MATCH(Paramètres!L50,Paramètres!$G$5:$G$57,0)),INDEX($E$1733:$E$1785,MATCH(Paramètres!L50,Paramètres!$G$5:$G$57,0)))+IF(RIGHT(TRIM(Paramètres!M50),3)="Fin",1-$H1778,IF(LEFT(TRIM(Paramètres!M50),1)="F",1,0)))),IF(Paramètres!N50="",0,IF(Paramètres!O50="",NA(),IF(LEFT(TRIM(Paramètres!O50),1)="F",INDEX($F$1733:$F$1785,MATCH(Paramètres!N50,Paramètres!$G$5:$G$57,0)),INDEX($E$1733:$E$1785,MATCH(Paramètres!N50,Paramètres!$G$5:$G$57,0)))+IF(RIGHT(TRIM(Paramètres!O50),3)="Fin",1-$H1778,IF(LEFT(TRIM(Paramètres!O50),1)="F",1,0)))))))</f>
        <v/>
      </c>
      <c r="F1778" s="19">
        <f>IF($A1778="","",E1778+$H1778-1)</f>
        <v/>
      </c>
      <c r="G1778" s="18" t="n"/>
      <c r="H1778" s="18">
        <f>IF($A1778="","",IF(I1778&lt;&gt;"",I1778,Paramètres!B50))</f>
        <v/>
      </c>
      <c r="I1778" s="18" t="n"/>
    </row>
    <row r="1779">
      <c r="A1779" s="18">
        <f>IF(ISNUMBER(Dossiers!$D$36),Dossiers!$A$36&amp;" · "&amp;Dossiers!$B$36,"")</f>
        <v/>
      </c>
      <c r="B1779" s="18">
        <f>IF($A1779="","",Paramètres!G51)</f>
        <v/>
      </c>
      <c r="C1779" s="18">
        <f>IF($A1779="","",IF(Paramètres!H51="","",Paramètres!H51))</f>
        <v/>
      </c>
      <c r="D1779" s="18">
        <f>IF($A1779="","",IF(Paramètres!I51="","",Paramètres!I51))</f>
        <v/>
      </c>
      <c r="E1779" s="19">
        <f>IF($A1779="","",IF(Paramètres!J51&amp;Paramètres!L51&amp;Paramètres!N51="",Dossiers!$D$36,MAX(IF(Paramètres!J51="",0,IF(Paramètres!K51="",NA(),IF(LEFT(TRIM(Paramètres!K51),1)="F",INDEX($F$1733:$F$1785,MATCH(Paramètres!J51,Paramètres!$G$5:$G$57,0)),INDEX($E$1733:$E$1785,MATCH(Paramètres!J51,Paramètres!$G$5:$G$57,0)))+IF(RIGHT(TRIM(Paramètres!K51),3)="Fin",1-$H1779,IF(LEFT(TRIM(Paramètres!K51),1)="F",1,0)))),IF(Paramètres!L51="",0,IF(Paramètres!M51="",NA(),IF(LEFT(TRIM(Paramètres!M51),1)="F",INDEX($F$1733:$F$1785,MATCH(Paramètres!L51,Paramètres!$G$5:$G$57,0)),INDEX($E$1733:$E$1785,MATCH(Paramètres!L51,Paramètres!$G$5:$G$57,0)))+IF(RIGHT(TRIM(Paramètres!M51),3)="Fin",1-$H1779,IF(LEFT(TRIM(Paramètres!M51),1)="F",1,0)))),IF(Paramètres!N51="",0,IF(Paramètres!O51="",NA(),IF(LEFT(TRIM(Paramètres!O51),1)="F",INDEX($F$1733:$F$1785,MATCH(Paramètres!N51,Paramètres!$G$5:$G$57,0)),INDEX($E$1733:$E$1785,MATCH(Paramètres!N51,Paramètres!$G$5:$G$57,0)))+IF(RIGHT(TRIM(Paramètres!O51),3)="Fin",1-$H1779,IF(LEFT(TRIM(Paramètres!O51),1)="F",1,0)))))))</f>
        <v/>
      </c>
      <c r="F1779" s="19">
        <f>IF($A1779="","",E1779+$H1779-1)</f>
        <v/>
      </c>
      <c r="G1779" s="18" t="n"/>
      <c r="H1779" s="18">
        <f>IF($A1779="","",IF(I1779&lt;&gt;"",I1779,Paramètres!B51))</f>
        <v/>
      </c>
      <c r="I1779" s="18" t="n"/>
    </row>
    <row r="1780">
      <c r="A1780" s="18">
        <f>IF(ISNUMBER(Dossiers!$D$36),Dossiers!$A$36&amp;" · "&amp;Dossiers!$B$36,"")</f>
        <v/>
      </c>
      <c r="B1780" s="18">
        <f>IF($A1780="","",Paramètres!G52)</f>
        <v/>
      </c>
      <c r="C1780" s="18">
        <f>IF($A1780="","",IF(Paramètres!H52="","",Paramètres!H52))</f>
        <v/>
      </c>
      <c r="D1780" s="18">
        <f>IF($A1780="","",IF(Paramètres!I52="","",Paramètres!I52))</f>
        <v/>
      </c>
      <c r="E1780" s="19">
        <f>IF($A1780="","",IF(Paramètres!J52&amp;Paramètres!L52&amp;Paramètres!N52="",Dossiers!$D$36,MAX(IF(Paramètres!J52="",0,IF(Paramètres!K52="",NA(),IF(LEFT(TRIM(Paramètres!K52),1)="F",INDEX($F$1733:$F$1785,MATCH(Paramètres!J52,Paramètres!$G$5:$G$57,0)),INDEX($E$1733:$E$1785,MATCH(Paramètres!J52,Paramètres!$G$5:$G$57,0)))+IF(RIGHT(TRIM(Paramètres!K52),3)="Fin",1-$H1780,IF(LEFT(TRIM(Paramètres!K52),1)="F",1,0)))),IF(Paramètres!L52="",0,IF(Paramètres!M52="",NA(),IF(LEFT(TRIM(Paramètres!M52),1)="F",INDEX($F$1733:$F$1785,MATCH(Paramètres!L52,Paramètres!$G$5:$G$57,0)),INDEX($E$1733:$E$1785,MATCH(Paramètres!L52,Paramètres!$G$5:$G$57,0)))+IF(RIGHT(TRIM(Paramètres!M52),3)="Fin",1-$H1780,IF(LEFT(TRIM(Paramètres!M52),1)="F",1,0)))),IF(Paramètres!N52="",0,IF(Paramètres!O52="",NA(),IF(LEFT(TRIM(Paramètres!O52),1)="F",INDEX($F$1733:$F$1785,MATCH(Paramètres!N52,Paramètres!$G$5:$G$57,0)),INDEX($E$1733:$E$1785,MATCH(Paramètres!N52,Paramètres!$G$5:$G$57,0)))+IF(RIGHT(TRIM(Paramètres!O52),3)="Fin",1-$H1780,IF(LEFT(TRIM(Paramètres!O52),1)="F",1,0)))))))</f>
        <v/>
      </c>
      <c r="F1780" s="19">
        <f>IF($A1780="","",E1780+$H1780-1)</f>
        <v/>
      </c>
      <c r="G1780" s="18" t="n"/>
      <c r="H1780" s="18">
        <f>IF($A1780="","",IF(I1780&lt;&gt;"",I1780,Paramètres!B52))</f>
        <v/>
      </c>
      <c r="I1780" s="18" t="n"/>
    </row>
    <row r="1781">
      <c r="A1781" s="18">
        <f>IF(ISNUMBER(Dossiers!$D$36),Dossiers!$A$36&amp;" · "&amp;Dossiers!$B$36,"")</f>
        <v/>
      </c>
      <c r="B1781" s="18">
        <f>IF($A1781="","",Paramètres!G53)</f>
        <v/>
      </c>
      <c r="C1781" s="18">
        <f>IF($A1781="","",IF(Paramètres!H53="","",Paramètres!H53))</f>
        <v/>
      </c>
      <c r="D1781" s="18">
        <f>IF($A1781="","",IF(Paramètres!I53="","",Paramètres!I53))</f>
        <v/>
      </c>
      <c r="E1781" s="19">
        <f>IF($A1781="","",IF(Paramètres!J53&amp;Paramètres!L53&amp;Paramètres!N53="",Dossiers!$D$36,MAX(IF(Paramètres!J53="",0,IF(Paramètres!K53="",NA(),IF(LEFT(TRIM(Paramètres!K53),1)="F",INDEX($F$1733:$F$1785,MATCH(Paramètres!J53,Paramètres!$G$5:$G$57,0)),INDEX($E$1733:$E$1785,MATCH(Paramètres!J53,Paramètres!$G$5:$G$57,0)))+IF(RIGHT(TRIM(Paramètres!K53),3)="Fin",1-$H1781,IF(LEFT(TRIM(Paramètres!K53),1)="F",1,0)))),IF(Paramètres!L53="",0,IF(Paramètres!M53="",NA(),IF(LEFT(TRIM(Paramètres!M53),1)="F",INDEX($F$1733:$F$1785,MATCH(Paramètres!L53,Paramètres!$G$5:$G$57,0)),INDEX($E$1733:$E$1785,MATCH(Paramètres!L53,Paramètres!$G$5:$G$57,0)))+IF(RIGHT(TRIM(Paramètres!M53),3)="Fin",1-$H1781,IF(LEFT(TRIM(Paramètres!M53),1)="F",1,0)))),IF(Paramètres!N53="",0,IF(Paramètres!O53="",NA(),IF(LEFT(TRIM(Paramètres!O53),1)="F",INDEX($F$1733:$F$1785,MATCH(Paramètres!N53,Paramètres!$G$5:$G$57,0)),INDEX($E$1733:$E$1785,MATCH(Paramètres!N53,Paramètres!$G$5:$G$57,0)))+IF(RIGHT(TRIM(Paramètres!O53),3)="Fin",1-$H1781,IF(LEFT(TRIM(Paramètres!O53),1)="F",1,0)))))))</f>
        <v/>
      </c>
      <c r="F1781" s="19">
        <f>IF($A1781="","",E1781+$H1781-1)</f>
        <v/>
      </c>
      <c r="G1781" s="18" t="n"/>
      <c r="H1781" s="18">
        <f>IF($A1781="","",IF(I1781&lt;&gt;"",I1781,Paramètres!B53))</f>
        <v/>
      </c>
      <c r="I1781" s="18" t="n"/>
    </row>
    <row r="1782">
      <c r="A1782" s="18">
        <f>IF(ISNUMBER(Dossiers!$D$36),Dossiers!$A$36&amp;" · "&amp;Dossiers!$B$36,"")</f>
        <v/>
      </c>
      <c r="B1782" s="18">
        <f>IF($A1782="","",Paramètres!G54)</f>
        <v/>
      </c>
      <c r="C1782" s="18">
        <f>IF($A1782="","",IF(Paramètres!H54="","",Paramètres!H54))</f>
        <v/>
      </c>
      <c r="D1782" s="18">
        <f>IF($A1782="","",IF(Paramètres!I54="","",Paramètres!I54))</f>
        <v/>
      </c>
      <c r="E1782" s="19">
        <f>IF($A1782="","",IF(Paramètres!J54&amp;Paramètres!L54&amp;Paramètres!N54="",Dossiers!$D$36,MAX(IF(Paramètres!J54="",0,IF(Paramètres!K54="",NA(),IF(LEFT(TRIM(Paramètres!K54),1)="F",INDEX($F$1733:$F$1785,MATCH(Paramètres!J54,Paramètres!$G$5:$G$57,0)),INDEX($E$1733:$E$1785,MATCH(Paramètres!J54,Paramètres!$G$5:$G$57,0)))+IF(RIGHT(TRIM(Paramètres!K54),3)="Fin",1-$H1782,IF(LEFT(TRIM(Paramètres!K54),1)="F",1,0)))),IF(Paramètres!L54="",0,IF(Paramètres!M54="",NA(),IF(LEFT(TRIM(Paramètres!M54),1)="F",INDEX($F$1733:$F$1785,MATCH(Paramètres!L54,Paramètres!$G$5:$G$57,0)),INDEX($E$1733:$E$1785,MATCH(Paramètres!L54,Paramètres!$G$5:$G$57,0)))+IF(RIGHT(TRIM(Paramètres!M54),3)="Fin",1-$H1782,IF(LEFT(TRIM(Paramètres!M54),1)="F",1,0)))),IF(Paramètres!N54="",0,IF(Paramètres!O54="",NA(),IF(LEFT(TRIM(Paramètres!O54),1)="F",INDEX($F$1733:$F$1785,MATCH(Paramètres!N54,Paramètres!$G$5:$G$57,0)),INDEX($E$1733:$E$1785,MATCH(Paramètres!N54,Paramètres!$G$5:$G$57,0)))+IF(RIGHT(TRIM(Paramètres!O54),3)="Fin",1-$H1782,IF(LEFT(TRIM(Paramètres!O54),1)="F",1,0)))))))</f>
        <v/>
      </c>
      <c r="F1782" s="19">
        <f>IF($A1782="","",E1782+$H1782-1)</f>
        <v/>
      </c>
      <c r="G1782" s="18" t="n"/>
      <c r="H1782" s="18">
        <f>IF($A1782="","",IF(I1782&lt;&gt;"",I1782,Paramètres!B54))</f>
        <v/>
      </c>
      <c r="I1782" s="18" t="n"/>
    </row>
    <row r="1783">
      <c r="A1783" s="18">
        <f>IF(ISNUMBER(Dossiers!$D$36),Dossiers!$A$36&amp;" · "&amp;Dossiers!$B$36,"")</f>
        <v/>
      </c>
      <c r="B1783" s="18">
        <f>IF($A1783="","",Paramètres!G55)</f>
        <v/>
      </c>
      <c r="C1783" s="18">
        <f>IF($A1783="","",IF(Paramètres!H55="","",Paramètres!H55))</f>
        <v/>
      </c>
      <c r="D1783" s="18">
        <f>IF($A1783="","",IF(Paramètres!I55="","",Paramètres!I55))</f>
        <v/>
      </c>
      <c r="E1783" s="19">
        <f>IF($A1783="","",IF(Paramètres!J55&amp;Paramètres!L55&amp;Paramètres!N55="",Dossiers!$D$36,MAX(IF(Paramètres!J55="",0,IF(Paramètres!K55="",NA(),IF(LEFT(TRIM(Paramètres!K55),1)="F",INDEX($F$1733:$F$1785,MATCH(Paramètres!J55,Paramètres!$G$5:$G$57,0)),INDEX($E$1733:$E$1785,MATCH(Paramètres!J55,Paramètres!$G$5:$G$57,0)))+IF(RIGHT(TRIM(Paramètres!K55),3)="Fin",1-$H1783,IF(LEFT(TRIM(Paramètres!K55),1)="F",1,0)))),IF(Paramètres!L55="",0,IF(Paramètres!M55="",NA(),IF(LEFT(TRIM(Paramètres!M55),1)="F",INDEX($F$1733:$F$1785,MATCH(Paramètres!L55,Paramètres!$G$5:$G$57,0)),INDEX($E$1733:$E$1785,MATCH(Paramètres!L55,Paramètres!$G$5:$G$57,0)))+IF(RIGHT(TRIM(Paramètres!M55),3)="Fin",1-$H1783,IF(LEFT(TRIM(Paramètres!M55),1)="F",1,0)))),IF(Paramètres!N55="",0,IF(Paramètres!O55="",NA(),IF(LEFT(TRIM(Paramètres!O55),1)="F",INDEX($F$1733:$F$1785,MATCH(Paramètres!N55,Paramètres!$G$5:$G$57,0)),INDEX($E$1733:$E$1785,MATCH(Paramètres!N55,Paramètres!$G$5:$G$57,0)))+IF(RIGHT(TRIM(Paramètres!O55),3)="Fin",1-$H1783,IF(LEFT(TRIM(Paramètres!O55),1)="F",1,0)))))))</f>
        <v/>
      </c>
      <c r="F1783" s="19">
        <f>IF($A1783="","",E1783+$H1783-1)</f>
        <v/>
      </c>
      <c r="G1783" s="18" t="n"/>
      <c r="H1783" s="18">
        <f>IF($A1783="","",IF(I1783&lt;&gt;"",I1783,Paramètres!B55))</f>
        <v/>
      </c>
      <c r="I1783" s="18" t="n"/>
    </row>
    <row r="1784">
      <c r="A1784" s="18">
        <f>IF(ISNUMBER(Dossiers!$D$36),Dossiers!$A$36&amp;" · "&amp;Dossiers!$B$36,"")</f>
        <v/>
      </c>
      <c r="B1784" s="18">
        <f>IF($A1784="","",Paramètres!G56)</f>
        <v/>
      </c>
      <c r="C1784" s="18">
        <f>IF($A1784="","",IF(Paramètres!H56="","",Paramètres!H56))</f>
        <v/>
      </c>
      <c r="D1784" s="18">
        <f>IF($A1784="","",IF(Paramètres!I56="","",Paramètres!I56))</f>
        <v/>
      </c>
      <c r="E1784" s="19">
        <f>IF($A1784="","",MIN(E1785:E1785))</f>
        <v/>
      </c>
      <c r="F1784" s="19">
        <f>IF($A1784="","",MAX(F1785:F1785))</f>
        <v/>
      </c>
      <c r="G1784" s="18" t="n"/>
      <c r="H1784" s="18">
        <f>IF($A1784="","",F1784-E1784+1)</f>
        <v/>
      </c>
      <c r="I1784" s="18" t="n"/>
    </row>
    <row r="1785">
      <c r="A1785" s="18">
        <f>IF(ISNUMBER(Dossiers!$D$36),Dossiers!$A$36&amp;" · "&amp;Dossiers!$B$36,"")</f>
        <v/>
      </c>
      <c r="B1785" s="18">
        <f>IF($A1785="","",Paramètres!G57)</f>
        <v/>
      </c>
      <c r="C1785" s="18">
        <f>IF($A1785="","",IF(Paramètres!H57="","",Paramètres!H57))</f>
        <v/>
      </c>
      <c r="D1785" s="18">
        <f>IF($A1785="","",IF(Paramètres!I57="","",Paramètres!I57))</f>
        <v/>
      </c>
      <c r="E1785" s="19">
        <f>IF($A1785="","",IF(Paramètres!J57&amp;Paramètres!L57&amp;Paramètres!N57="",Dossiers!$D$36,MAX(IF(Paramètres!J57="",0,IF(Paramètres!K57="",NA(),IF(LEFT(TRIM(Paramètres!K57),1)="F",INDEX($F$1733:$F$1785,MATCH(Paramètres!J57,Paramètres!$G$5:$G$57,0)),INDEX($E$1733:$E$1785,MATCH(Paramètres!J57,Paramètres!$G$5:$G$57,0)))+IF(RIGHT(TRIM(Paramètres!K57),3)="Fin",1-$H1785,IF(LEFT(TRIM(Paramètres!K57),1)="F",1,0)))),IF(Paramètres!L57="",0,IF(Paramètres!M57="",NA(),IF(LEFT(TRIM(Paramètres!M57),1)="F",INDEX($F$1733:$F$1785,MATCH(Paramètres!L57,Paramètres!$G$5:$G$57,0)),INDEX($E$1733:$E$1785,MATCH(Paramètres!L57,Paramètres!$G$5:$G$57,0)))+IF(RIGHT(TRIM(Paramètres!M57),3)="Fin",1-$H1785,IF(LEFT(TRIM(Paramètres!M57),1)="F",1,0)))),IF(Paramètres!N57="",0,IF(Paramètres!O57="",NA(),IF(LEFT(TRIM(Paramètres!O57),1)="F",INDEX($F$1733:$F$1785,MATCH(Paramètres!N57,Paramètres!$G$5:$G$57,0)),INDEX($E$1733:$E$1785,MATCH(Paramètres!N57,Paramètres!$G$5:$G$57,0)))+IF(RIGHT(TRIM(Paramètres!O57),3)="Fin",1-$H1785,IF(LEFT(TRIM(Paramètres!O57),1)="F",1,0)))))))</f>
        <v/>
      </c>
      <c r="F1785" s="19">
        <f>IF($A1785="","",E1785+$H1785-1)</f>
        <v/>
      </c>
      <c r="G1785" s="18" t="n"/>
      <c r="H1785" s="18">
        <f>IF($A1785="","",IF(I1785&lt;&gt;"",I1785,Paramètres!B57))</f>
        <v/>
      </c>
      <c r="I1785" s="18" t="n"/>
    </row>
    <row r="1786">
      <c r="A1786" s="16">
        <f>IF(ISNUMBER(Dossiers!$D$37),Dossiers!$E$37,"")</f>
        <v/>
      </c>
      <c r="B1786" s="16">
        <f>IF($A1786="","","Identifiant")</f>
        <v/>
      </c>
      <c r="C1786" s="16">
        <f>IF($A1786="","","Macro Etape")</f>
        <v/>
      </c>
      <c r="D1786" s="16">
        <f>IF($A1786="","","Etape")</f>
        <v/>
      </c>
      <c r="E1786" s="17">
        <f>IF($A1786="","","Début le")</f>
        <v/>
      </c>
      <c r="F1786" s="17">
        <f>IF($A1786="","","Fin prévue le")</f>
        <v/>
      </c>
      <c r="G1786" s="16">
        <f>IF($A1786="","","Statut")</f>
        <v/>
      </c>
      <c r="H1786" s="16">
        <f>IF($A1786="","","Durée (jours)")</f>
        <v/>
      </c>
      <c r="I1786" s="16">
        <f>IF($A1786="","","Durée particulière")</f>
        <v/>
      </c>
      <c r="J1786" s="10">
        <f>IF($A1786="","",HYPERLINK("#'Tableau de bord'!A1","↑ Tableau de bord"))</f>
        <v/>
      </c>
    </row>
    <row r="1787">
      <c r="A1787" s="18">
        <f>IF(ISNUMBER(Dossiers!$D$37),Dossiers!$A$37&amp;" · "&amp;Dossiers!$B$37,"")</f>
        <v/>
      </c>
      <c r="B1787" s="18">
        <f>IF($A1787="","",Paramètres!G5)</f>
        <v/>
      </c>
      <c r="C1787" s="18">
        <f>IF($A1787="","",IF(Paramètres!H5="","",Paramètres!H5))</f>
        <v/>
      </c>
      <c r="D1787" s="18">
        <f>IF($A1787="","",IF(Paramètres!I5="","",Paramètres!I5))</f>
        <v/>
      </c>
      <c r="E1787" s="19">
        <f>IF($A1787="","",MIN(E1788:E1791))</f>
        <v/>
      </c>
      <c r="F1787" s="19">
        <f>IF($A1787="","",MAX(F1788:F1791))</f>
        <v/>
      </c>
      <c r="G1787" s="18" t="n"/>
      <c r="H1787" s="18">
        <f>IF($A1787="","",F1787-E1787+1)</f>
        <v/>
      </c>
      <c r="I1787" s="18" t="n"/>
    </row>
    <row r="1788">
      <c r="A1788" s="18">
        <f>IF(ISNUMBER(Dossiers!$D$37),Dossiers!$A$37&amp;" · "&amp;Dossiers!$B$37,"")</f>
        <v/>
      </c>
      <c r="B1788" s="18">
        <f>IF($A1788="","",Paramètres!G6)</f>
        <v/>
      </c>
      <c r="C1788" s="18">
        <f>IF($A1788="","",IF(Paramètres!H6="","",Paramètres!H6))</f>
        <v/>
      </c>
      <c r="D1788" s="18">
        <f>IF($A1788="","",IF(Paramètres!I6="","",Paramètres!I6))</f>
        <v/>
      </c>
      <c r="E1788" s="19">
        <f>IF($A1788="","",IF(Paramètres!J6&amp;Paramètres!L6&amp;Paramètres!N6="",Dossiers!$D$37,MAX(IF(Paramètres!J6="",0,IF(Paramètres!K6="",NA(),IF(LEFT(TRIM(Paramètres!K6),1)="F",INDEX($F$1787:$F$1839,MATCH(Paramètres!J6,Paramètres!$G$5:$G$57,0)),INDEX($E$1787:$E$1839,MATCH(Paramètres!J6,Paramètres!$G$5:$G$57,0)))+IF(RIGHT(TRIM(Paramètres!K6),3)="Fin",1-$H1788,IF(LEFT(TRIM(Paramètres!K6),1)="F",1,0)))),IF(Paramètres!L6="",0,IF(Paramètres!M6="",NA(),IF(LEFT(TRIM(Paramètres!M6),1)="F",INDEX($F$1787:$F$1839,MATCH(Paramètres!L6,Paramètres!$G$5:$G$57,0)),INDEX($E$1787:$E$1839,MATCH(Paramètres!L6,Paramètres!$G$5:$G$57,0)))+IF(RIGHT(TRIM(Paramètres!M6),3)="Fin",1-$H1788,IF(LEFT(TRIM(Paramètres!M6),1)="F",1,0)))),IF(Paramètres!N6="",0,IF(Paramètres!O6="",NA(),IF(LEFT(TRIM(Paramètres!O6),1)="F",INDEX($F$1787:$F$1839,MATCH(Paramètres!N6,Paramètres!$G$5:$G$57,0)),INDEX($E$1787:$E$1839,MATCH(Paramètres!N6,Paramètres!$G$5:$G$57,0)))+IF(RIGHT(TRIM(Paramètres!O6),3)="Fin",1-$H1788,IF(LEFT(TRIM(Paramètres!O6),1)="F",1,0)))))))</f>
        <v/>
      </c>
      <c r="F1788" s="19">
        <f>IF($A1788="","",E1788+$H1788-1)</f>
        <v/>
      </c>
      <c r="G1788" s="18" t="n"/>
      <c r="H1788" s="18">
        <f>IF($A1788="","",IF(I1788&lt;&gt;"",I1788,Paramètres!B6))</f>
        <v/>
      </c>
      <c r="I1788" s="18" t="n"/>
    </row>
    <row r="1789">
      <c r="A1789" s="18">
        <f>IF(ISNUMBER(Dossiers!$D$37),Dossiers!$A$37&amp;" · "&amp;Dossiers!$B$37,"")</f>
        <v/>
      </c>
      <c r="B1789" s="18">
        <f>IF($A1789="","",Paramètres!G7)</f>
        <v/>
      </c>
      <c r="C1789" s="18">
        <f>IF($A1789="","",IF(Paramètres!H7="","",Paramètres!H7))</f>
        <v/>
      </c>
      <c r="D1789" s="18">
        <f>IF($A1789="","",IF(Paramètres!I7="","",Paramètres!I7))</f>
        <v/>
      </c>
      <c r="E1789" s="19">
        <f>IF($A1789="","",IF(Paramètres!J7&amp;Paramètres!L7&amp;Paramètres!N7="",Dossiers!$D$37,MAX(IF(Paramètres!J7="",0,IF(Paramètres!K7="",NA(),IF(LEFT(TRIM(Paramètres!K7),1)="F",INDEX($F$1787:$F$1839,MATCH(Paramètres!J7,Paramètres!$G$5:$G$57,0)),INDEX($E$1787:$E$1839,MATCH(Paramètres!J7,Paramètres!$G$5:$G$57,0)))+IF(RIGHT(TRIM(Paramètres!K7),3)="Fin",1-$H1789,IF(LEFT(TRIM(Paramètres!K7),1)="F",1,0)))),IF(Paramètres!L7="",0,IF(Paramètres!M7="",NA(),IF(LEFT(TRIM(Paramètres!M7),1)="F",INDEX($F$1787:$F$1839,MATCH(Paramètres!L7,Paramètres!$G$5:$G$57,0)),INDEX($E$1787:$E$1839,MATCH(Paramètres!L7,Paramètres!$G$5:$G$57,0)))+IF(RIGHT(TRIM(Paramètres!M7),3)="Fin",1-$H1789,IF(LEFT(TRIM(Paramètres!M7),1)="F",1,0)))),IF(Paramètres!N7="",0,IF(Paramètres!O7="",NA(),IF(LEFT(TRIM(Paramètres!O7),1)="F",INDEX($F$1787:$F$1839,MATCH(Paramètres!N7,Paramètres!$G$5:$G$57,0)),INDEX($E$1787:$E$1839,MATCH(Paramètres!N7,Paramètres!$G$5:$G$57,0)))+IF(RIGHT(TRIM(Paramètres!O7),3)="Fin",1-$H1789,IF(LEFT(TRIM(Paramètres!O7),1)="F",1,0)))))))</f>
        <v/>
      </c>
      <c r="F1789" s="19">
        <f>IF($A1789="","",E1789+$H1789-1)</f>
        <v/>
      </c>
      <c r="G1789" s="18" t="n"/>
      <c r="H1789" s="18">
        <f>IF($A1789="","",IF(I1789&lt;&gt;"",I1789,Paramètres!B7))</f>
        <v/>
      </c>
      <c r="I1789" s="18" t="n"/>
    </row>
    <row r="1790">
      <c r="A1790" s="18">
        <f>IF(ISNUMBER(Dossiers!$D$37),Dossiers!$A$37&amp;" · "&amp;Dossiers!$B$37,"")</f>
        <v/>
      </c>
      <c r="B1790" s="18">
        <f>IF($A1790="","",Paramètres!G8)</f>
        <v/>
      </c>
      <c r="C1790" s="18">
        <f>IF($A1790="","",IF(Paramètres!H8="","",Paramètres!H8))</f>
        <v/>
      </c>
      <c r="D1790" s="18">
        <f>IF($A1790="","",IF(Paramètres!I8="","",Paramètres!I8))</f>
        <v/>
      </c>
      <c r="E1790" s="19">
        <f>IF($A1790="","",IF(Paramètres!J8&amp;Paramètres!L8&amp;Paramètres!N8="",Dossiers!$D$37,MAX(IF(Paramètres!J8="",0,IF(Paramètres!K8="",NA(),IF(LEFT(TRIM(Paramètres!K8),1)="F",INDEX($F$1787:$F$1839,MATCH(Paramètres!J8,Paramètres!$G$5:$G$57,0)),INDEX($E$1787:$E$1839,MATCH(Paramètres!J8,Paramètres!$G$5:$G$57,0)))+IF(RIGHT(TRIM(Paramètres!K8),3)="Fin",1-$H1790,IF(LEFT(TRIM(Paramètres!K8),1)="F",1,0)))),IF(Paramètres!L8="",0,IF(Paramètres!M8="",NA(),IF(LEFT(TRIM(Paramètres!M8),1)="F",INDEX($F$1787:$F$1839,MATCH(Paramètres!L8,Paramètres!$G$5:$G$57,0)),INDEX($E$1787:$E$1839,MATCH(Paramètres!L8,Paramètres!$G$5:$G$57,0)))+IF(RIGHT(TRIM(Paramètres!M8),3)="Fin",1-$H1790,IF(LEFT(TRIM(Paramètres!M8),1)="F",1,0)))),IF(Paramètres!N8="",0,IF(Paramètres!O8="",NA(),IF(LEFT(TRIM(Paramètres!O8),1)="F",INDEX($F$1787:$F$1839,MATCH(Paramètres!N8,Paramètres!$G$5:$G$57,0)),INDEX($E$1787:$E$1839,MATCH(Paramètres!N8,Paramètres!$G$5:$G$57,0)))+IF(RIGHT(TRIM(Paramètres!O8),3)="Fin",1-$H1790,IF(LEFT(TRIM(Paramètres!O8),1)="F",1,0)))))))</f>
        <v/>
      </c>
      <c r="F1790" s="19">
        <f>IF($A1790="","",E1790+$H1790-1)</f>
        <v/>
      </c>
      <c r="G1790" s="18" t="n"/>
      <c r="H1790" s="18">
        <f>IF($A1790="","",IF(I1790&lt;&gt;"",I1790,Paramètres!B8))</f>
        <v/>
      </c>
      <c r="I1790" s="18" t="n"/>
    </row>
    <row r="1791">
      <c r="A1791" s="18">
        <f>IF(ISNUMBER(Dossiers!$D$37),Dossiers!$A$37&amp;" · "&amp;Dossiers!$B$37,"")</f>
        <v/>
      </c>
      <c r="B1791" s="18">
        <f>IF($A1791="","",Paramètres!G9)</f>
        <v/>
      </c>
      <c r="C1791" s="18">
        <f>IF($A1791="","",IF(Paramètres!H9="","",Paramètres!H9))</f>
        <v/>
      </c>
      <c r="D1791" s="18">
        <f>IF($A1791="","",IF(Paramètres!I9="","",Paramètres!I9))</f>
        <v/>
      </c>
      <c r="E1791" s="19">
        <f>IF($A1791="","",IF(Paramètres!J9&amp;Paramètres!L9&amp;Paramètres!N9="",Dossiers!$D$37,MAX(IF(Paramètres!J9="",0,IF(Paramètres!K9="",NA(),IF(LEFT(TRIM(Paramètres!K9),1)="F",INDEX($F$1787:$F$1839,MATCH(Paramètres!J9,Paramètres!$G$5:$G$57,0)),INDEX($E$1787:$E$1839,MATCH(Paramètres!J9,Paramètres!$G$5:$G$57,0)))+IF(RIGHT(TRIM(Paramètres!K9),3)="Fin",1-$H1791,IF(LEFT(TRIM(Paramètres!K9),1)="F",1,0)))),IF(Paramètres!L9="",0,IF(Paramètres!M9="",NA(),IF(LEFT(TRIM(Paramètres!M9),1)="F",INDEX($F$1787:$F$1839,MATCH(Paramètres!L9,Paramètres!$G$5:$G$57,0)),INDEX($E$1787:$E$1839,MATCH(Paramètres!L9,Paramètres!$G$5:$G$57,0)))+IF(RIGHT(TRIM(Paramètres!M9),3)="Fin",1-$H1791,IF(LEFT(TRIM(Paramètres!M9),1)="F",1,0)))),IF(Paramètres!N9="",0,IF(Paramètres!O9="",NA(),IF(LEFT(TRIM(Paramètres!O9),1)="F",INDEX($F$1787:$F$1839,MATCH(Paramètres!N9,Paramètres!$G$5:$G$57,0)),INDEX($E$1787:$E$1839,MATCH(Paramètres!N9,Paramètres!$G$5:$G$57,0)))+IF(RIGHT(TRIM(Paramètres!O9),3)="Fin",1-$H1791,IF(LEFT(TRIM(Paramètres!O9),1)="F",1,0)))))))</f>
        <v/>
      </c>
      <c r="F1791" s="19">
        <f>IF($A1791="","",E1791+$H1791-1)</f>
        <v/>
      </c>
      <c r="G1791" s="18" t="n"/>
      <c r="H1791" s="18">
        <f>IF($A1791="","",IF(I1791&lt;&gt;"",I1791,Paramètres!B9))</f>
        <v/>
      </c>
      <c r="I1791" s="18" t="n"/>
    </row>
    <row r="1792">
      <c r="A1792" s="18">
        <f>IF(ISNUMBER(Dossiers!$D$37),Dossiers!$A$37&amp;" · "&amp;Dossiers!$B$37,"")</f>
        <v/>
      </c>
      <c r="B1792" s="18">
        <f>IF($A1792="","",Paramètres!G10)</f>
        <v/>
      </c>
      <c r="C1792" s="18">
        <f>IF($A1792="","",IF(Paramètres!H10="","",Paramètres!H10))</f>
        <v/>
      </c>
      <c r="D1792" s="18">
        <f>IF($A1792="","",IF(Paramètres!I10="","",Paramètres!I10))</f>
        <v/>
      </c>
      <c r="E1792" s="19">
        <f>IF($A1792="","",MIN(E1793:E1796))</f>
        <v/>
      </c>
      <c r="F1792" s="19">
        <f>IF($A1792="","",MAX(F1793:F1796))</f>
        <v/>
      </c>
      <c r="G1792" s="18" t="n"/>
      <c r="H1792" s="18">
        <f>IF($A1792="","",F1792-E1792+1)</f>
        <v/>
      </c>
      <c r="I1792" s="18" t="n"/>
    </row>
    <row r="1793">
      <c r="A1793" s="18">
        <f>IF(ISNUMBER(Dossiers!$D$37),Dossiers!$A$37&amp;" · "&amp;Dossiers!$B$37,"")</f>
        <v/>
      </c>
      <c r="B1793" s="18">
        <f>IF($A1793="","",Paramètres!G11)</f>
        <v/>
      </c>
      <c r="C1793" s="18">
        <f>IF($A1793="","",IF(Paramètres!H11="","",Paramètres!H11))</f>
        <v/>
      </c>
      <c r="D1793" s="18">
        <f>IF($A1793="","",IF(Paramètres!I11="","",Paramètres!I11))</f>
        <v/>
      </c>
      <c r="E1793" s="19">
        <f>IF($A1793="","",IF(Paramètres!J11&amp;Paramètres!L11&amp;Paramètres!N11="",Dossiers!$D$37,MAX(IF(Paramètres!J11="",0,IF(Paramètres!K11="",NA(),IF(LEFT(TRIM(Paramètres!K11),1)="F",INDEX($F$1787:$F$1839,MATCH(Paramètres!J11,Paramètres!$G$5:$G$57,0)),INDEX($E$1787:$E$1839,MATCH(Paramètres!J11,Paramètres!$G$5:$G$57,0)))+IF(RIGHT(TRIM(Paramètres!K11),3)="Fin",1-$H1793,IF(LEFT(TRIM(Paramètres!K11),1)="F",1,0)))),IF(Paramètres!L11="",0,IF(Paramètres!M11="",NA(),IF(LEFT(TRIM(Paramètres!M11),1)="F",INDEX($F$1787:$F$1839,MATCH(Paramètres!L11,Paramètres!$G$5:$G$57,0)),INDEX($E$1787:$E$1839,MATCH(Paramètres!L11,Paramètres!$G$5:$G$57,0)))+IF(RIGHT(TRIM(Paramètres!M11),3)="Fin",1-$H1793,IF(LEFT(TRIM(Paramètres!M11),1)="F",1,0)))),IF(Paramètres!N11="",0,IF(Paramètres!O11="",NA(),IF(LEFT(TRIM(Paramètres!O11),1)="F",INDEX($F$1787:$F$1839,MATCH(Paramètres!N11,Paramètres!$G$5:$G$57,0)),INDEX($E$1787:$E$1839,MATCH(Paramètres!N11,Paramètres!$G$5:$G$57,0)))+IF(RIGHT(TRIM(Paramètres!O11),3)="Fin",1-$H1793,IF(LEFT(TRIM(Paramètres!O11),1)="F",1,0)))))))</f>
        <v/>
      </c>
      <c r="F1793" s="19">
        <f>IF($A1793="","",E1793+$H1793-1)</f>
        <v/>
      </c>
      <c r="G1793" s="18" t="n"/>
      <c r="H1793" s="18">
        <f>IF($A1793="","",IF(I1793&lt;&gt;"",I1793,Paramètres!B11))</f>
        <v/>
      </c>
      <c r="I1793" s="18" t="n"/>
    </row>
    <row r="1794">
      <c r="A1794" s="18">
        <f>IF(ISNUMBER(Dossiers!$D$37),Dossiers!$A$37&amp;" · "&amp;Dossiers!$B$37,"")</f>
        <v/>
      </c>
      <c r="B1794" s="18">
        <f>IF($A1794="","",Paramètres!G12)</f>
        <v/>
      </c>
      <c r="C1794" s="18">
        <f>IF($A1794="","",IF(Paramètres!H12="","",Paramètres!H12))</f>
        <v/>
      </c>
      <c r="D1794" s="18">
        <f>IF($A1794="","",IF(Paramètres!I12="","",Paramètres!I12))</f>
        <v/>
      </c>
      <c r="E1794" s="19">
        <f>IF($A1794="","",IF(Paramètres!J12&amp;Paramètres!L12&amp;Paramètres!N12="",Dossiers!$D$37,MAX(IF(Paramètres!J12="",0,IF(Paramètres!K12="",NA(),IF(LEFT(TRIM(Paramètres!K12),1)="F",INDEX($F$1787:$F$1839,MATCH(Paramètres!J12,Paramètres!$G$5:$G$57,0)),INDEX($E$1787:$E$1839,MATCH(Paramètres!J12,Paramètres!$G$5:$G$57,0)))+IF(RIGHT(TRIM(Paramètres!K12),3)="Fin",1-$H1794,IF(LEFT(TRIM(Paramètres!K12),1)="F",1,0)))),IF(Paramètres!L12="",0,IF(Paramètres!M12="",NA(),IF(LEFT(TRIM(Paramètres!M12),1)="F",INDEX($F$1787:$F$1839,MATCH(Paramètres!L12,Paramètres!$G$5:$G$57,0)),INDEX($E$1787:$E$1839,MATCH(Paramètres!L12,Paramètres!$G$5:$G$57,0)))+IF(RIGHT(TRIM(Paramètres!M12),3)="Fin",1-$H1794,IF(LEFT(TRIM(Paramètres!M12),1)="F",1,0)))),IF(Paramètres!N12="",0,IF(Paramètres!O12="",NA(),IF(LEFT(TRIM(Paramètres!O12),1)="F",INDEX($F$1787:$F$1839,MATCH(Paramètres!N12,Paramètres!$G$5:$G$57,0)),INDEX($E$1787:$E$1839,MATCH(Paramètres!N12,Paramètres!$G$5:$G$57,0)))+IF(RIGHT(TRIM(Paramètres!O12),3)="Fin",1-$H1794,IF(LEFT(TRIM(Paramètres!O12),1)="F",1,0)))))))</f>
        <v/>
      </c>
      <c r="F1794" s="19">
        <f>IF($A1794="","",E1794+$H1794-1)</f>
        <v/>
      </c>
      <c r="G1794" s="18" t="n"/>
      <c r="H1794" s="18">
        <f>IF($A1794="","",IF(I1794&lt;&gt;"",I1794,Paramètres!B12))</f>
        <v/>
      </c>
      <c r="I1794" s="18" t="n"/>
    </row>
    <row r="1795">
      <c r="A1795" s="18">
        <f>IF(ISNUMBER(Dossiers!$D$37),Dossiers!$A$37&amp;" · "&amp;Dossiers!$B$37,"")</f>
        <v/>
      </c>
      <c r="B1795" s="18">
        <f>IF($A1795="","",Paramètres!G13)</f>
        <v/>
      </c>
      <c r="C1795" s="18">
        <f>IF($A1795="","",IF(Paramètres!H13="","",Paramètres!H13))</f>
        <v/>
      </c>
      <c r="D1795" s="18">
        <f>IF($A1795="","",IF(Paramètres!I13="","",Paramètres!I13))</f>
        <v/>
      </c>
      <c r="E1795" s="19">
        <f>IF($A1795="","",IF(Paramètres!J13&amp;Paramètres!L13&amp;Paramètres!N13="",Dossiers!$D$37,MAX(IF(Paramètres!J13="",0,IF(Paramètres!K13="",NA(),IF(LEFT(TRIM(Paramètres!K13),1)="F",INDEX($F$1787:$F$1839,MATCH(Paramètres!J13,Paramètres!$G$5:$G$57,0)),INDEX($E$1787:$E$1839,MATCH(Paramètres!J13,Paramètres!$G$5:$G$57,0)))+IF(RIGHT(TRIM(Paramètres!K13),3)="Fin",1-$H1795,IF(LEFT(TRIM(Paramètres!K13),1)="F",1,0)))),IF(Paramètres!L13="",0,IF(Paramètres!M13="",NA(),IF(LEFT(TRIM(Paramètres!M13),1)="F",INDEX($F$1787:$F$1839,MATCH(Paramètres!L13,Paramètres!$G$5:$G$57,0)),INDEX($E$1787:$E$1839,MATCH(Paramètres!L13,Paramètres!$G$5:$G$57,0)))+IF(RIGHT(TRIM(Paramètres!M13),3)="Fin",1-$H1795,IF(LEFT(TRIM(Paramètres!M13),1)="F",1,0)))),IF(Paramètres!N13="",0,IF(Paramètres!O13="",NA(),IF(LEFT(TRIM(Paramètres!O13),1)="F",INDEX($F$1787:$F$1839,MATCH(Paramètres!N13,Paramètres!$G$5:$G$57,0)),INDEX($E$1787:$E$1839,MATCH(Paramètres!N13,Paramètres!$G$5:$G$57,0)))+IF(RIGHT(TRIM(Paramètres!O13),3)="Fin",1-$H1795,IF(LEFT(TRIM(Paramètres!O13),1)="F",1,0)))))))</f>
        <v/>
      </c>
      <c r="F1795" s="19">
        <f>IF($A1795="","",E1795+$H1795-1)</f>
        <v/>
      </c>
      <c r="G1795" s="18" t="n"/>
      <c r="H1795" s="18">
        <f>IF($A1795="","",IF(I1795&lt;&gt;"",I1795,Paramètres!B13))</f>
        <v/>
      </c>
      <c r="I1795" s="18" t="n"/>
    </row>
    <row r="1796">
      <c r="A1796" s="18">
        <f>IF(ISNUMBER(Dossiers!$D$37),Dossiers!$A$37&amp;" · "&amp;Dossiers!$B$37,"")</f>
        <v/>
      </c>
      <c r="B1796" s="18">
        <f>IF($A1796="","",Paramètres!G14)</f>
        <v/>
      </c>
      <c r="C1796" s="18">
        <f>IF($A1796="","",IF(Paramètres!H14="","",Paramètres!H14))</f>
        <v/>
      </c>
      <c r="D1796" s="18">
        <f>IF($A1796="","",IF(Paramètres!I14="","",Paramètres!I14))</f>
        <v/>
      </c>
      <c r="E1796" s="19">
        <f>IF($A1796="","",IF(Paramètres!J14&amp;Paramètres!L14&amp;Paramètres!N14="",Dossiers!$D$37,MAX(IF(Paramètres!J14="",0,IF(Paramètres!K14="",NA(),IF(LEFT(TRIM(Paramètres!K14),1)="F",INDEX($F$1787:$F$1839,MATCH(Paramètres!J14,Paramètres!$G$5:$G$57,0)),INDEX($E$1787:$E$1839,MATCH(Paramètres!J14,Paramètres!$G$5:$G$57,0)))+IF(RIGHT(TRIM(Paramètres!K14),3)="Fin",1-$H1796,IF(LEFT(TRIM(Paramètres!K14),1)="F",1,0)))),IF(Paramètres!L14="",0,IF(Paramètres!M14="",NA(),IF(LEFT(TRIM(Paramètres!M14),1)="F",INDEX($F$1787:$F$1839,MATCH(Paramètres!L14,Paramètres!$G$5:$G$57,0)),INDEX($E$1787:$E$1839,MATCH(Paramètres!L14,Paramètres!$G$5:$G$57,0)))+IF(RIGHT(TRIM(Paramètres!M14),3)="Fin",1-$H1796,IF(LEFT(TRIM(Paramètres!M14),1)="F",1,0)))),IF(Paramètres!N14="",0,IF(Paramètres!O14="",NA(),IF(LEFT(TRIM(Paramètres!O14),1)="F",INDEX($F$1787:$F$1839,MATCH(Paramètres!N14,Paramètres!$G$5:$G$57,0)),INDEX($E$1787:$E$1839,MATCH(Paramètres!N14,Paramètres!$G$5:$G$57,0)))+IF(RIGHT(TRIM(Paramètres!O14),3)="Fin",1-$H1796,IF(LEFT(TRIM(Paramètres!O14),1)="F",1,0)))))))</f>
        <v/>
      </c>
      <c r="F1796" s="19">
        <f>IF($A1796="","",E1796+$H1796-1)</f>
        <v/>
      </c>
      <c r="G1796" s="18" t="n"/>
      <c r="H1796" s="18">
        <f>IF($A1796="","",IF(I1796&lt;&gt;"",I1796,Paramètres!B14))</f>
        <v/>
      </c>
      <c r="I1796" s="18" t="n"/>
    </row>
    <row r="1797">
      <c r="A1797" s="18">
        <f>IF(ISNUMBER(Dossiers!$D$37),Dossiers!$A$37&amp;" · "&amp;Dossiers!$B$37,"")</f>
        <v/>
      </c>
      <c r="B1797" s="18">
        <f>IF($A1797="","",Paramètres!G15)</f>
        <v/>
      </c>
      <c r="C1797" s="18">
        <f>IF($A1797="","",IF(Paramètres!H15="","",Paramètres!H15))</f>
        <v/>
      </c>
      <c r="D1797" s="18">
        <f>IF($A1797="","",IF(Paramètres!I15="","",Paramètres!I15))</f>
        <v/>
      </c>
      <c r="E1797" s="19">
        <f>IF($A1797="","",MIN(E1798:E1813))</f>
        <v/>
      </c>
      <c r="F1797" s="19">
        <f>IF($A1797="","",MAX(F1798:F1813))</f>
        <v/>
      </c>
      <c r="G1797" s="18" t="n"/>
      <c r="H1797" s="18">
        <f>IF($A1797="","",F1797-E1797+1)</f>
        <v/>
      </c>
      <c r="I1797" s="18" t="n"/>
    </row>
    <row r="1798">
      <c r="A1798" s="18">
        <f>IF(ISNUMBER(Dossiers!$D$37),Dossiers!$A$37&amp;" · "&amp;Dossiers!$B$37,"")</f>
        <v/>
      </c>
      <c r="B1798" s="18">
        <f>IF($A1798="","",Paramètres!G16)</f>
        <v/>
      </c>
      <c r="C1798" s="18">
        <f>IF($A1798="","",IF(Paramètres!H16="","",Paramètres!H16))</f>
        <v/>
      </c>
      <c r="D1798" s="18">
        <f>IF($A1798="","",IF(Paramètres!I16="","",Paramètres!I16))</f>
        <v/>
      </c>
      <c r="E1798" s="19">
        <f>IF($A1798="","",IF(Paramètres!J16&amp;Paramètres!L16&amp;Paramètres!N16="",Dossiers!$D$37,MAX(IF(Paramètres!J16="",0,IF(Paramètres!K16="",NA(),IF(LEFT(TRIM(Paramètres!K16),1)="F",INDEX($F$1787:$F$1839,MATCH(Paramètres!J16,Paramètres!$G$5:$G$57,0)),INDEX($E$1787:$E$1839,MATCH(Paramètres!J16,Paramètres!$G$5:$G$57,0)))+IF(RIGHT(TRIM(Paramètres!K16),3)="Fin",1-$H1798,IF(LEFT(TRIM(Paramètres!K16),1)="F",1,0)))),IF(Paramètres!L16="",0,IF(Paramètres!M16="",NA(),IF(LEFT(TRIM(Paramètres!M16),1)="F",INDEX($F$1787:$F$1839,MATCH(Paramètres!L16,Paramètres!$G$5:$G$57,0)),INDEX($E$1787:$E$1839,MATCH(Paramètres!L16,Paramètres!$G$5:$G$57,0)))+IF(RIGHT(TRIM(Paramètres!M16),3)="Fin",1-$H1798,IF(LEFT(TRIM(Paramètres!M16),1)="F",1,0)))),IF(Paramètres!N16="",0,IF(Paramètres!O16="",NA(),IF(LEFT(TRIM(Paramètres!O16),1)="F",INDEX($F$1787:$F$1839,MATCH(Paramètres!N16,Paramètres!$G$5:$G$57,0)),INDEX($E$1787:$E$1839,MATCH(Paramètres!N16,Paramètres!$G$5:$G$57,0)))+IF(RIGHT(TRIM(Paramètres!O16),3)="Fin",1-$H1798,IF(LEFT(TRIM(Paramètres!O16),1)="F",1,0)))))))</f>
        <v/>
      </c>
      <c r="F1798" s="19">
        <f>IF($A1798="","",E1798+$H1798-1)</f>
        <v/>
      </c>
      <c r="G1798" s="18" t="n"/>
      <c r="H1798" s="18">
        <f>IF($A1798="","",IF(I1798&lt;&gt;"",I1798,Paramètres!B16))</f>
        <v/>
      </c>
      <c r="I1798" s="18" t="n"/>
    </row>
    <row r="1799">
      <c r="A1799" s="18">
        <f>IF(ISNUMBER(Dossiers!$D$37),Dossiers!$A$37&amp;" · "&amp;Dossiers!$B$37,"")</f>
        <v/>
      </c>
      <c r="B1799" s="18">
        <f>IF($A1799="","",Paramètres!G17)</f>
        <v/>
      </c>
      <c r="C1799" s="18">
        <f>IF($A1799="","",IF(Paramètres!H17="","",Paramètres!H17))</f>
        <v/>
      </c>
      <c r="D1799" s="18">
        <f>IF($A1799="","",IF(Paramètres!I17="","",Paramètres!I17))</f>
        <v/>
      </c>
      <c r="E1799" s="19">
        <f>IF($A1799="","",IF(Paramètres!J17&amp;Paramètres!L17&amp;Paramètres!N17="",Dossiers!$D$37,MAX(IF(Paramètres!J17="",0,IF(Paramètres!K17="",NA(),IF(LEFT(TRIM(Paramètres!K17),1)="F",INDEX($F$1787:$F$1839,MATCH(Paramètres!J17,Paramètres!$G$5:$G$57,0)),INDEX($E$1787:$E$1839,MATCH(Paramètres!J17,Paramètres!$G$5:$G$57,0)))+IF(RIGHT(TRIM(Paramètres!K17),3)="Fin",1-$H1799,IF(LEFT(TRIM(Paramètres!K17),1)="F",1,0)))),IF(Paramètres!L17="",0,IF(Paramètres!M17="",NA(),IF(LEFT(TRIM(Paramètres!M17),1)="F",INDEX($F$1787:$F$1839,MATCH(Paramètres!L17,Paramètres!$G$5:$G$57,0)),INDEX($E$1787:$E$1839,MATCH(Paramètres!L17,Paramètres!$G$5:$G$57,0)))+IF(RIGHT(TRIM(Paramètres!M17),3)="Fin",1-$H1799,IF(LEFT(TRIM(Paramètres!M17),1)="F",1,0)))),IF(Paramètres!N17="",0,IF(Paramètres!O17="",NA(),IF(LEFT(TRIM(Paramètres!O17),1)="F",INDEX($F$1787:$F$1839,MATCH(Paramètres!N17,Paramètres!$G$5:$G$57,0)),INDEX($E$1787:$E$1839,MATCH(Paramètres!N17,Paramètres!$G$5:$G$57,0)))+IF(RIGHT(TRIM(Paramètres!O17),3)="Fin",1-$H1799,IF(LEFT(TRIM(Paramètres!O17),1)="F",1,0)))))))</f>
        <v/>
      </c>
      <c r="F1799" s="19">
        <f>IF($A1799="","",E1799+$H1799-1)</f>
        <v/>
      </c>
      <c r="G1799" s="18" t="n"/>
      <c r="H1799" s="18">
        <f>IF($A1799="","",IF(I1799&lt;&gt;"",I1799,Paramètres!B17))</f>
        <v/>
      </c>
      <c r="I1799" s="18" t="n"/>
    </row>
    <row r="1800">
      <c r="A1800" s="18">
        <f>IF(ISNUMBER(Dossiers!$D$37),Dossiers!$A$37&amp;" · "&amp;Dossiers!$B$37,"")</f>
        <v/>
      </c>
      <c r="B1800" s="18">
        <f>IF($A1800="","",Paramètres!G18)</f>
        <v/>
      </c>
      <c r="C1800" s="18">
        <f>IF($A1800="","",IF(Paramètres!H18="","",Paramètres!H18))</f>
        <v/>
      </c>
      <c r="D1800" s="18">
        <f>IF($A1800="","",IF(Paramètres!I18="","",Paramètres!I18))</f>
        <v/>
      </c>
      <c r="E1800" s="19">
        <f>IF($A1800="","",IF(Paramètres!J18&amp;Paramètres!L18&amp;Paramètres!N18="",Dossiers!$D$37,MAX(IF(Paramètres!J18="",0,IF(Paramètres!K18="",NA(),IF(LEFT(TRIM(Paramètres!K18),1)="F",INDEX($F$1787:$F$1839,MATCH(Paramètres!J18,Paramètres!$G$5:$G$57,0)),INDEX($E$1787:$E$1839,MATCH(Paramètres!J18,Paramètres!$G$5:$G$57,0)))+IF(RIGHT(TRIM(Paramètres!K18),3)="Fin",1-$H1800,IF(LEFT(TRIM(Paramètres!K18),1)="F",1,0)))),IF(Paramètres!L18="",0,IF(Paramètres!M18="",NA(),IF(LEFT(TRIM(Paramètres!M18),1)="F",INDEX($F$1787:$F$1839,MATCH(Paramètres!L18,Paramètres!$G$5:$G$57,0)),INDEX($E$1787:$E$1839,MATCH(Paramètres!L18,Paramètres!$G$5:$G$57,0)))+IF(RIGHT(TRIM(Paramètres!M18),3)="Fin",1-$H1800,IF(LEFT(TRIM(Paramètres!M18),1)="F",1,0)))),IF(Paramètres!N18="",0,IF(Paramètres!O18="",NA(),IF(LEFT(TRIM(Paramètres!O18),1)="F",INDEX($F$1787:$F$1839,MATCH(Paramètres!N18,Paramètres!$G$5:$G$57,0)),INDEX($E$1787:$E$1839,MATCH(Paramètres!N18,Paramètres!$G$5:$G$57,0)))+IF(RIGHT(TRIM(Paramètres!O18),3)="Fin",1-$H1800,IF(LEFT(TRIM(Paramètres!O18),1)="F",1,0)))))))</f>
        <v/>
      </c>
      <c r="F1800" s="19">
        <f>IF($A1800="","",E1800+$H1800-1)</f>
        <v/>
      </c>
      <c r="G1800" s="18" t="n"/>
      <c r="H1800" s="18">
        <f>IF($A1800="","",IF(I1800&lt;&gt;"",I1800,Paramètres!B18))</f>
        <v/>
      </c>
      <c r="I1800" s="18" t="n"/>
    </row>
    <row r="1801">
      <c r="A1801" s="18">
        <f>IF(ISNUMBER(Dossiers!$D$37),Dossiers!$A$37&amp;" · "&amp;Dossiers!$B$37,"")</f>
        <v/>
      </c>
      <c r="B1801" s="18">
        <f>IF($A1801="","",Paramètres!G19)</f>
        <v/>
      </c>
      <c r="C1801" s="18">
        <f>IF($A1801="","",IF(Paramètres!H19="","",Paramètres!H19))</f>
        <v/>
      </c>
      <c r="D1801" s="18">
        <f>IF($A1801="","",IF(Paramètres!I19="","",Paramètres!I19))</f>
        <v/>
      </c>
      <c r="E1801" s="19">
        <f>IF($A1801="","",IF(Paramètres!J19&amp;Paramètres!L19&amp;Paramètres!N19="",Dossiers!$D$37,MAX(IF(Paramètres!J19="",0,IF(Paramètres!K19="",NA(),IF(LEFT(TRIM(Paramètres!K19),1)="F",INDEX($F$1787:$F$1839,MATCH(Paramètres!J19,Paramètres!$G$5:$G$57,0)),INDEX($E$1787:$E$1839,MATCH(Paramètres!J19,Paramètres!$G$5:$G$57,0)))+IF(RIGHT(TRIM(Paramètres!K19),3)="Fin",1-$H1801,IF(LEFT(TRIM(Paramètres!K19),1)="F",1,0)))),IF(Paramètres!L19="",0,IF(Paramètres!M19="",NA(),IF(LEFT(TRIM(Paramètres!M19),1)="F",INDEX($F$1787:$F$1839,MATCH(Paramètres!L19,Paramètres!$G$5:$G$57,0)),INDEX($E$1787:$E$1839,MATCH(Paramètres!L19,Paramètres!$G$5:$G$57,0)))+IF(RIGHT(TRIM(Paramètres!M19),3)="Fin",1-$H1801,IF(LEFT(TRIM(Paramètres!M19),1)="F",1,0)))),IF(Paramètres!N19="",0,IF(Paramètres!O19="",NA(),IF(LEFT(TRIM(Paramètres!O19),1)="F",INDEX($F$1787:$F$1839,MATCH(Paramètres!N19,Paramètres!$G$5:$G$57,0)),INDEX($E$1787:$E$1839,MATCH(Paramètres!N19,Paramètres!$G$5:$G$57,0)))+IF(RIGHT(TRIM(Paramètres!O19),3)="Fin",1-$H1801,IF(LEFT(TRIM(Paramètres!O19),1)="F",1,0)))))))</f>
        <v/>
      </c>
      <c r="F1801" s="19">
        <f>IF($A1801="","",E1801+$H1801-1)</f>
        <v/>
      </c>
      <c r="G1801" s="18" t="n"/>
      <c r="H1801" s="18">
        <f>IF($A1801="","",IF(I1801&lt;&gt;"",I1801,Paramètres!B19))</f>
        <v/>
      </c>
      <c r="I1801" s="18" t="n"/>
    </row>
    <row r="1802">
      <c r="A1802" s="18">
        <f>IF(ISNUMBER(Dossiers!$D$37),Dossiers!$A$37&amp;" · "&amp;Dossiers!$B$37,"")</f>
        <v/>
      </c>
      <c r="B1802" s="18">
        <f>IF($A1802="","",Paramètres!G20)</f>
        <v/>
      </c>
      <c r="C1802" s="18">
        <f>IF($A1802="","",IF(Paramètres!H20="","",Paramètres!H20))</f>
        <v/>
      </c>
      <c r="D1802" s="18">
        <f>IF($A1802="","",IF(Paramètres!I20="","",Paramètres!I20))</f>
        <v/>
      </c>
      <c r="E1802" s="19">
        <f>IF($A1802="","",IF(Paramètres!J20&amp;Paramètres!L20&amp;Paramètres!N20="",Dossiers!$D$37,MAX(IF(Paramètres!J20="",0,IF(Paramètres!K20="",NA(),IF(LEFT(TRIM(Paramètres!K20),1)="F",INDEX($F$1787:$F$1839,MATCH(Paramètres!J20,Paramètres!$G$5:$G$57,0)),INDEX($E$1787:$E$1839,MATCH(Paramètres!J20,Paramètres!$G$5:$G$57,0)))+IF(RIGHT(TRIM(Paramètres!K20),3)="Fin",1-$H1802,IF(LEFT(TRIM(Paramètres!K20),1)="F",1,0)))),IF(Paramètres!L20="",0,IF(Paramètres!M20="",NA(),IF(LEFT(TRIM(Paramètres!M20),1)="F",INDEX($F$1787:$F$1839,MATCH(Paramètres!L20,Paramètres!$G$5:$G$57,0)),INDEX($E$1787:$E$1839,MATCH(Paramètres!L20,Paramètres!$G$5:$G$57,0)))+IF(RIGHT(TRIM(Paramètres!M20),3)="Fin",1-$H1802,IF(LEFT(TRIM(Paramètres!M20),1)="F",1,0)))),IF(Paramètres!N20="",0,IF(Paramètres!O20="",NA(),IF(LEFT(TRIM(Paramètres!O20),1)="F",INDEX($F$1787:$F$1839,MATCH(Paramètres!N20,Paramètres!$G$5:$G$57,0)),INDEX($E$1787:$E$1839,MATCH(Paramètres!N20,Paramètres!$G$5:$G$57,0)))+IF(RIGHT(TRIM(Paramètres!O20),3)="Fin",1-$H1802,IF(LEFT(TRIM(Paramètres!O20),1)="F",1,0)))))))</f>
        <v/>
      </c>
      <c r="F1802" s="19">
        <f>IF($A1802="","",E1802+$H1802-1)</f>
        <v/>
      </c>
      <c r="G1802" s="18" t="n"/>
      <c r="H1802" s="18">
        <f>IF($A1802="","",IF(I1802&lt;&gt;"",I1802,Paramètres!B20))</f>
        <v/>
      </c>
      <c r="I1802" s="18" t="n"/>
    </row>
    <row r="1803">
      <c r="A1803" s="18">
        <f>IF(ISNUMBER(Dossiers!$D$37),Dossiers!$A$37&amp;" · "&amp;Dossiers!$B$37,"")</f>
        <v/>
      </c>
      <c r="B1803" s="18">
        <f>IF($A1803="","",Paramètres!G21)</f>
        <v/>
      </c>
      <c r="C1803" s="18">
        <f>IF($A1803="","",IF(Paramètres!H21="","",Paramètres!H21))</f>
        <v/>
      </c>
      <c r="D1803" s="18">
        <f>IF($A1803="","",IF(Paramètres!I21="","",Paramètres!I21))</f>
        <v/>
      </c>
      <c r="E1803" s="19">
        <f>IF($A1803="","",IF(Paramètres!J21&amp;Paramètres!L21&amp;Paramètres!N21="",Dossiers!$D$37,MAX(IF(Paramètres!J21="",0,IF(Paramètres!K21="",NA(),IF(LEFT(TRIM(Paramètres!K21),1)="F",INDEX($F$1787:$F$1839,MATCH(Paramètres!J21,Paramètres!$G$5:$G$57,0)),INDEX($E$1787:$E$1839,MATCH(Paramètres!J21,Paramètres!$G$5:$G$57,0)))+IF(RIGHT(TRIM(Paramètres!K21),3)="Fin",1-$H1803,IF(LEFT(TRIM(Paramètres!K21),1)="F",1,0)))),IF(Paramètres!L21="",0,IF(Paramètres!M21="",NA(),IF(LEFT(TRIM(Paramètres!M21),1)="F",INDEX($F$1787:$F$1839,MATCH(Paramètres!L21,Paramètres!$G$5:$G$57,0)),INDEX($E$1787:$E$1839,MATCH(Paramètres!L21,Paramètres!$G$5:$G$57,0)))+IF(RIGHT(TRIM(Paramètres!M21),3)="Fin",1-$H1803,IF(LEFT(TRIM(Paramètres!M21),1)="F",1,0)))),IF(Paramètres!N21="",0,IF(Paramètres!O21="",NA(),IF(LEFT(TRIM(Paramètres!O21),1)="F",INDEX($F$1787:$F$1839,MATCH(Paramètres!N21,Paramètres!$G$5:$G$57,0)),INDEX($E$1787:$E$1839,MATCH(Paramètres!N21,Paramètres!$G$5:$G$57,0)))+IF(RIGHT(TRIM(Paramètres!O21),3)="Fin",1-$H1803,IF(LEFT(TRIM(Paramètres!O21),1)="F",1,0)))))))</f>
        <v/>
      </c>
      <c r="F1803" s="19">
        <f>IF($A1803="","",E1803+$H1803-1)</f>
        <v/>
      </c>
      <c r="G1803" s="18" t="n"/>
      <c r="H1803" s="18">
        <f>IF($A1803="","",IF(I1803&lt;&gt;"",I1803,Paramètres!B21))</f>
        <v/>
      </c>
      <c r="I1803" s="18" t="n"/>
    </row>
    <row r="1804">
      <c r="A1804" s="18">
        <f>IF(ISNUMBER(Dossiers!$D$37),Dossiers!$A$37&amp;" · "&amp;Dossiers!$B$37,"")</f>
        <v/>
      </c>
      <c r="B1804" s="18">
        <f>IF($A1804="","",Paramètres!G22)</f>
        <v/>
      </c>
      <c r="C1804" s="18">
        <f>IF($A1804="","",IF(Paramètres!H22="","",Paramètres!H22))</f>
        <v/>
      </c>
      <c r="D1804" s="18">
        <f>IF($A1804="","",IF(Paramètres!I22="","",Paramètres!I22))</f>
        <v/>
      </c>
      <c r="E1804" s="19">
        <f>IF($A1804="","",IF(Paramètres!J22&amp;Paramètres!L22&amp;Paramètres!N22="",Dossiers!$D$37,MAX(IF(Paramètres!J22="",0,IF(Paramètres!K22="",NA(),IF(LEFT(TRIM(Paramètres!K22),1)="F",INDEX($F$1787:$F$1839,MATCH(Paramètres!J22,Paramètres!$G$5:$G$57,0)),INDEX($E$1787:$E$1839,MATCH(Paramètres!J22,Paramètres!$G$5:$G$57,0)))+IF(RIGHT(TRIM(Paramètres!K22),3)="Fin",1-$H1804,IF(LEFT(TRIM(Paramètres!K22),1)="F",1,0)))),IF(Paramètres!L22="",0,IF(Paramètres!M22="",NA(),IF(LEFT(TRIM(Paramètres!M22),1)="F",INDEX($F$1787:$F$1839,MATCH(Paramètres!L22,Paramètres!$G$5:$G$57,0)),INDEX($E$1787:$E$1839,MATCH(Paramètres!L22,Paramètres!$G$5:$G$57,0)))+IF(RIGHT(TRIM(Paramètres!M22),3)="Fin",1-$H1804,IF(LEFT(TRIM(Paramètres!M22),1)="F",1,0)))),IF(Paramètres!N22="",0,IF(Paramètres!O22="",NA(),IF(LEFT(TRIM(Paramètres!O22),1)="F",INDEX($F$1787:$F$1839,MATCH(Paramètres!N22,Paramètres!$G$5:$G$57,0)),INDEX($E$1787:$E$1839,MATCH(Paramètres!N22,Paramètres!$G$5:$G$57,0)))+IF(RIGHT(TRIM(Paramètres!O22),3)="Fin",1-$H1804,IF(LEFT(TRIM(Paramètres!O22),1)="F",1,0)))))))</f>
        <v/>
      </c>
      <c r="F1804" s="19">
        <f>IF($A1804="","",E1804+$H1804-1)</f>
        <v/>
      </c>
      <c r="G1804" s="18" t="n"/>
      <c r="H1804" s="18">
        <f>IF($A1804="","",IF(I1804&lt;&gt;"",I1804,Paramètres!B22))</f>
        <v/>
      </c>
      <c r="I1804" s="18" t="n"/>
    </row>
    <row r="1805">
      <c r="A1805" s="18">
        <f>IF(ISNUMBER(Dossiers!$D$37),Dossiers!$A$37&amp;" · "&amp;Dossiers!$B$37,"")</f>
        <v/>
      </c>
      <c r="B1805" s="18">
        <f>IF($A1805="","",Paramètres!G23)</f>
        <v/>
      </c>
      <c r="C1805" s="18">
        <f>IF($A1805="","",IF(Paramètres!H23="","",Paramètres!H23))</f>
        <v/>
      </c>
      <c r="D1805" s="18">
        <f>IF($A1805="","",IF(Paramètres!I23="","",Paramètres!I23))</f>
        <v/>
      </c>
      <c r="E1805" s="19">
        <f>IF($A1805="","",IF(Paramètres!J23&amp;Paramètres!L23&amp;Paramètres!N23="",Dossiers!$D$37,MAX(IF(Paramètres!J23="",0,IF(Paramètres!K23="",NA(),IF(LEFT(TRIM(Paramètres!K23),1)="F",INDEX($F$1787:$F$1839,MATCH(Paramètres!J23,Paramètres!$G$5:$G$57,0)),INDEX($E$1787:$E$1839,MATCH(Paramètres!J23,Paramètres!$G$5:$G$57,0)))+IF(RIGHT(TRIM(Paramètres!K23),3)="Fin",1-$H1805,IF(LEFT(TRIM(Paramètres!K23),1)="F",1,0)))),IF(Paramètres!L23="",0,IF(Paramètres!M23="",NA(),IF(LEFT(TRIM(Paramètres!M23),1)="F",INDEX($F$1787:$F$1839,MATCH(Paramètres!L23,Paramètres!$G$5:$G$57,0)),INDEX($E$1787:$E$1839,MATCH(Paramètres!L23,Paramètres!$G$5:$G$57,0)))+IF(RIGHT(TRIM(Paramètres!M23),3)="Fin",1-$H1805,IF(LEFT(TRIM(Paramètres!M23),1)="F",1,0)))),IF(Paramètres!N23="",0,IF(Paramètres!O23="",NA(),IF(LEFT(TRIM(Paramètres!O23),1)="F",INDEX($F$1787:$F$1839,MATCH(Paramètres!N23,Paramètres!$G$5:$G$57,0)),INDEX($E$1787:$E$1839,MATCH(Paramètres!N23,Paramètres!$G$5:$G$57,0)))+IF(RIGHT(TRIM(Paramètres!O23),3)="Fin",1-$H1805,IF(LEFT(TRIM(Paramètres!O23),1)="F",1,0)))))))</f>
        <v/>
      </c>
      <c r="F1805" s="19">
        <f>IF($A1805="","",E1805+$H1805-1)</f>
        <v/>
      </c>
      <c r="G1805" s="18" t="n"/>
      <c r="H1805" s="18">
        <f>IF($A1805="","",IF(I1805&lt;&gt;"",I1805,Paramètres!B23))</f>
        <v/>
      </c>
      <c r="I1805" s="18" t="n"/>
    </row>
    <row r="1806">
      <c r="A1806" s="18">
        <f>IF(ISNUMBER(Dossiers!$D$37),Dossiers!$A$37&amp;" · "&amp;Dossiers!$B$37,"")</f>
        <v/>
      </c>
      <c r="B1806" s="18">
        <f>IF($A1806="","",Paramètres!G24)</f>
        <v/>
      </c>
      <c r="C1806" s="18">
        <f>IF($A1806="","",IF(Paramètres!H24="","",Paramètres!H24))</f>
        <v/>
      </c>
      <c r="D1806" s="18">
        <f>IF($A1806="","",IF(Paramètres!I24="","",Paramètres!I24))</f>
        <v/>
      </c>
      <c r="E1806" s="19">
        <f>IF($A1806="","",IF(Paramètres!J24&amp;Paramètres!L24&amp;Paramètres!N24="",Dossiers!$D$37,MAX(IF(Paramètres!J24="",0,IF(Paramètres!K24="",NA(),IF(LEFT(TRIM(Paramètres!K24),1)="F",INDEX($F$1787:$F$1839,MATCH(Paramètres!J24,Paramètres!$G$5:$G$57,0)),INDEX($E$1787:$E$1839,MATCH(Paramètres!J24,Paramètres!$G$5:$G$57,0)))+IF(RIGHT(TRIM(Paramètres!K24),3)="Fin",1-$H1806,IF(LEFT(TRIM(Paramètres!K24),1)="F",1,0)))),IF(Paramètres!L24="",0,IF(Paramètres!M24="",NA(),IF(LEFT(TRIM(Paramètres!M24),1)="F",INDEX($F$1787:$F$1839,MATCH(Paramètres!L24,Paramètres!$G$5:$G$57,0)),INDEX($E$1787:$E$1839,MATCH(Paramètres!L24,Paramètres!$G$5:$G$57,0)))+IF(RIGHT(TRIM(Paramètres!M24),3)="Fin",1-$H1806,IF(LEFT(TRIM(Paramètres!M24),1)="F",1,0)))),IF(Paramètres!N24="",0,IF(Paramètres!O24="",NA(),IF(LEFT(TRIM(Paramètres!O24),1)="F",INDEX($F$1787:$F$1839,MATCH(Paramètres!N24,Paramètres!$G$5:$G$57,0)),INDEX($E$1787:$E$1839,MATCH(Paramètres!N24,Paramètres!$G$5:$G$57,0)))+IF(RIGHT(TRIM(Paramètres!O24),3)="Fin",1-$H1806,IF(LEFT(TRIM(Paramètres!O24),1)="F",1,0)))))))</f>
        <v/>
      </c>
      <c r="F1806" s="19">
        <f>IF($A1806="","",E1806+$H1806-1)</f>
        <v/>
      </c>
      <c r="G1806" s="18" t="n"/>
      <c r="H1806" s="18">
        <f>IF($A1806="","",IF(I1806&lt;&gt;"",I1806,Paramètres!B24))</f>
        <v/>
      </c>
      <c r="I1806" s="18" t="n"/>
    </row>
    <row r="1807">
      <c r="A1807" s="18">
        <f>IF(ISNUMBER(Dossiers!$D$37),Dossiers!$A$37&amp;" · "&amp;Dossiers!$B$37,"")</f>
        <v/>
      </c>
      <c r="B1807" s="18">
        <f>IF($A1807="","",Paramètres!G25)</f>
        <v/>
      </c>
      <c r="C1807" s="18">
        <f>IF($A1807="","",IF(Paramètres!H25="","",Paramètres!H25))</f>
        <v/>
      </c>
      <c r="D1807" s="18">
        <f>IF($A1807="","",IF(Paramètres!I25="","",Paramètres!I25))</f>
        <v/>
      </c>
      <c r="E1807" s="19">
        <f>IF($A1807="","",IF(Paramètres!J25&amp;Paramètres!L25&amp;Paramètres!N25="",Dossiers!$D$37,MAX(IF(Paramètres!J25="",0,IF(Paramètres!K25="",NA(),IF(LEFT(TRIM(Paramètres!K25),1)="F",INDEX($F$1787:$F$1839,MATCH(Paramètres!J25,Paramètres!$G$5:$G$57,0)),INDEX($E$1787:$E$1839,MATCH(Paramètres!J25,Paramètres!$G$5:$G$57,0)))+IF(RIGHT(TRIM(Paramètres!K25),3)="Fin",1-$H1807,IF(LEFT(TRIM(Paramètres!K25),1)="F",1,0)))),IF(Paramètres!L25="",0,IF(Paramètres!M25="",NA(),IF(LEFT(TRIM(Paramètres!M25),1)="F",INDEX($F$1787:$F$1839,MATCH(Paramètres!L25,Paramètres!$G$5:$G$57,0)),INDEX($E$1787:$E$1839,MATCH(Paramètres!L25,Paramètres!$G$5:$G$57,0)))+IF(RIGHT(TRIM(Paramètres!M25),3)="Fin",1-$H1807,IF(LEFT(TRIM(Paramètres!M25),1)="F",1,0)))),IF(Paramètres!N25="",0,IF(Paramètres!O25="",NA(),IF(LEFT(TRIM(Paramètres!O25),1)="F",INDEX($F$1787:$F$1839,MATCH(Paramètres!N25,Paramètres!$G$5:$G$57,0)),INDEX($E$1787:$E$1839,MATCH(Paramètres!N25,Paramètres!$G$5:$G$57,0)))+IF(RIGHT(TRIM(Paramètres!O25),3)="Fin",1-$H1807,IF(LEFT(TRIM(Paramètres!O25),1)="F",1,0)))))))</f>
        <v/>
      </c>
      <c r="F1807" s="19">
        <f>IF($A1807="","",E1807+$H1807-1)</f>
        <v/>
      </c>
      <c r="G1807" s="18" t="n"/>
      <c r="H1807" s="18">
        <f>IF($A1807="","",IF(I1807&lt;&gt;"",I1807,Paramètres!B25))</f>
        <v/>
      </c>
      <c r="I1807" s="18" t="n"/>
    </row>
    <row r="1808">
      <c r="A1808" s="18">
        <f>IF(ISNUMBER(Dossiers!$D$37),Dossiers!$A$37&amp;" · "&amp;Dossiers!$B$37,"")</f>
        <v/>
      </c>
      <c r="B1808" s="18">
        <f>IF($A1808="","",Paramètres!G26)</f>
        <v/>
      </c>
      <c r="C1808" s="18">
        <f>IF($A1808="","",IF(Paramètres!H26="","",Paramètres!H26))</f>
        <v/>
      </c>
      <c r="D1808" s="18">
        <f>IF($A1808="","",IF(Paramètres!I26="","",Paramètres!I26))</f>
        <v/>
      </c>
      <c r="E1808" s="19">
        <f>IF($A1808="","",IF(Paramètres!J26&amp;Paramètres!L26&amp;Paramètres!N26="",Dossiers!$D$37,MAX(IF(Paramètres!J26="",0,IF(Paramètres!K26="",NA(),IF(LEFT(TRIM(Paramètres!K26),1)="F",INDEX($F$1787:$F$1839,MATCH(Paramètres!J26,Paramètres!$G$5:$G$57,0)),INDEX($E$1787:$E$1839,MATCH(Paramètres!J26,Paramètres!$G$5:$G$57,0)))+IF(RIGHT(TRIM(Paramètres!K26),3)="Fin",1-$H1808,IF(LEFT(TRIM(Paramètres!K26),1)="F",1,0)))),IF(Paramètres!L26="",0,IF(Paramètres!M26="",NA(),IF(LEFT(TRIM(Paramètres!M26),1)="F",INDEX($F$1787:$F$1839,MATCH(Paramètres!L26,Paramètres!$G$5:$G$57,0)),INDEX($E$1787:$E$1839,MATCH(Paramètres!L26,Paramètres!$G$5:$G$57,0)))+IF(RIGHT(TRIM(Paramètres!M26),3)="Fin",1-$H1808,IF(LEFT(TRIM(Paramètres!M26),1)="F",1,0)))),IF(Paramètres!N26="",0,IF(Paramètres!O26="",NA(),IF(LEFT(TRIM(Paramètres!O26),1)="F",INDEX($F$1787:$F$1839,MATCH(Paramètres!N26,Paramètres!$G$5:$G$57,0)),INDEX($E$1787:$E$1839,MATCH(Paramètres!N26,Paramètres!$G$5:$G$57,0)))+IF(RIGHT(TRIM(Paramètres!O26),3)="Fin",1-$H1808,IF(LEFT(TRIM(Paramètres!O26),1)="F",1,0)))))))</f>
        <v/>
      </c>
      <c r="F1808" s="19">
        <f>IF($A1808="","",E1808+$H1808-1)</f>
        <v/>
      </c>
      <c r="G1808" s="18" t="n"/>
      <c r="H1808" s="18">
        <f>IF($A1808="","",IF(I1808&lt;&gt;"",I1808,Paramètres!B26))</f>
        <v/>
      </c>
      <c r="I1808" s="18" t="n"/>
    </row>
    <row r="1809">
      <c r="A1809" s="18">
        <f>IF(ISNUMBER(Dossiers!$D$37),Dossiers!$A$37&amp;" · "&amp;Dossiers!$B$37,"")</f>
        <v/>
      </c>
      <c r="B1809" s="18">
        <f>IF($A1809="","",Paramètres!G27)</f>
        <v/>
      </c>
      <c r="C1809" s="18">
        <f>IF($A1809="","",IF(Paramètres!H27="","",Paramètres!H27))</f>
        <v/>
      </c>
      <c r="D1809" s="18">
        <f>IF($A1809="","",IF(Paramètres!I27="","",Paramètres!I27))</f>
        <v/>
      </c>
      <c r="E1809" s="19">
        <f>IF($A1809="","",IF(Paramètres!J27&amp;Paramètres!L27&amp;Paramètres!N27="",Dossiers!$D$37,MAX(IF(Paramètres!J27="",0,IF(Paramètres!K27="",NA(),IF(LEFT(TRIM(Paramètres!K27),1)="F",INDEX($F$1787:$F$1839,MATCH(Paramètres!J27,Paramètres!$G$5:$G$57,0)),INDEX($E$1787:$E$1839,MATCH(Paramètres!J27,Paramètres!$G$5:$G$57,0)))+IF(RIGHT(TRIM(Paramètres!K27),3)="Fin",1-$H1809,IF(LEFT(TRIM(Paramètres!K27),1)="F",1,0)))),IF(Paramètres!L27="",0,IF(Paramètres!M27="",NA(),IF(LEFT(TRIM(Paramètres!M27),1)="F",INDEX($F$1787:$F$1839,MATCH(Paramètres!L27,Paramètres!$G$5:$G$57,0)),INDEX($E$1787:$E$1839,MATCH(Paramètres!L27,Paramètres!$G$5:$G$57,0)))+IF(RIGHT(TRIM(Paramètres!M27),3)="Fin",1-$H1809,IF(LEFT(TRIM(Paramètres!M27),1)="F",1,0)))),IF(Paramètres!N27="",0,IF(Paramètres!O27="",NA(),IF(LEFT(TRIM(Paramètres!O27),1)="F",INDEX($F$1787:$F$1839,MATCH(Paramètres!N27,Paramètres!$G$5:$G$57,0)),INDEX($E$1787:$E$1839,MATCH(Paramètres!N27,Paramètres!$G$5:$G$57,0)))+IF(RIGHT(TRIM(Paramètres!O27),3)="Fin",1-$H1809,IF(LEFT(TRIM(Paramètres!O27),1)="F",1,0)))))))</f>
        <v/>
      </c>
      <c r="F1809" s="19">
        <f>IF($A1809="","",E1809+$H1809-1)</f>
        <v/>
      </c>
      <c r="G1809" s="18" t="n"/>
      <c r="H1809" s="18">
        <f>IF($A1809="","",IF(I1809&lt;&gt;"",I1809,Paramètres!B27))</f>
        <v/>
      </c>
      <c r="I1809" s="18" t="n"/>
    </row>
    <row r="1810">
      <c r="A1810" s="18">
        <f>IF(ISNUMBER(Dossiers!$D$37),Dossiers!$A$37&amp;" · "&amp;Dossiers!$B$37,"")</f>
        <v/>
      </c>
      <c r="B1810" s="18">
        <f>IF($A1810="","",Paramètres!G28)</f>
        <v/>
      </c>
      <c r="C1810" s="18">
        <f>IF($A1810="","",IF(Paramètres!H28="","",Paramètres!H28))</f>
        <v/>
      </c>
      <c r="D1810" s="18">
        <f>IF($A1810="","",IF(Paramètres!I28="","",Paramètres!I28))</f>
        <v/>
      </c>
      <c r="E1810" s="19">
        <f>IF($A1810="","",IF(Paramètres!J28&amp;Paramètres!L28&amp;Paramètres!N28="",Dossiers!$D$37,MAX(IF(Paramètres!J28="",0,IF(Paramètres!K28="",NA(),IF(LEFT(TRIM(Paramètres!K28),1)="F",INDEX($F$1787:$F$1839,MATCH(Paramètres!J28,Paramètres!$G$5:$G$57,0)),INDEX($E$1787:$E$1839,MATCH(Paramètres!J28,Paramètres!$G$5:$G$57,0)))+IF(RIGHT(TRIM(Paramètres!K28),3)="Fin",1-$H1810,IF(LEFT(TRIM(Paramètres!K28),1)="F",1,0)))),IF(Paramètres!L28="",0,IF(Paramètres!M28="",NA(),IF(LEFT(TRIM(Paramètres!M28),1)="F",INDEX($F$1787:$F$1839,MATCH(Paramètres!L28,Paramètres!$G$5:$G$57,0)),INDEX($E$1787:$E$1839,MATCH(Paramètres!L28,Paramètres!$G$5:$G$57,0)))+IF(RIGHT(TRIM(Paramètres!M28),3)="Fin",1-$H1810,IF(LEFT(TRIM(Paramètres!M28),1)="F",1,0)))),IF(Paramètres!N28="",0,IF(Paramètres!O28="",NA(),IF(LEFT(TRIM(Paramètres!O28),1)="F",INDEX($F$1787:$F$1839,MATCH(Paramètres!N28,Paramètres!$G$5:$G$57,0)),INDEX($E$1787:$E$1839,MATCH(Paramètres!N28,Paramètres!$G$5:$G$57,0)))+IF(RIGHT(TRIM(Paramètres!O28),3)="Fin",1-$H1810,IF(LEFT(TRIM(Paramètres!O28),1)="F",1,0)))))))</f>
        <v/>
      </c>
      <c r="F1810" s="19">
        <f>IF($A1810="","",E1810+$H1810-1)</f>
        <v/>
      </c>
      <c r="G1810" s="18" t="n"/>
      <c r="H1810" s="18">
        <f>IF($A1810="","",IF(I1810&lt;&gt;"",I1810,Paramètres!B28))</f>
        <v/>
      </c>
      <c r="I1810" s="18" t="n"/>
    </row>
    <row r="1811">
      <c r="A1811" s="18">
        <f>IF(ISNUMBER(Dossiers!$D$37),Dossiers!$A$37&amp;" · "&amp;Dossiers!$B$37,"")</f>
        <v/>
      </c>
      <c r="B1811" s="18">
        <f>IF($A1811="","",Paramètres!G29)</f>
        <v/>
      </c>
      <c r="C1811" s="18">
        <f>IF($A1811="","",IF(Paramètres!H29="","",Paramètres!H29))</f>
        <v/>
      </c>
      <c r="D1811" s="18">
        <f>IF($A1811="","",IF(Paramètres!I29="","",Paramètres!I29))</f>
        <v/>
      </c>
      <c r="E1811" s="19">
        <f>IF($A1811="","",IF(Paramètres!J29&amp;Paramètres!L29&amp;Paramètres!N29="",Dossiers!$D$37,MAX(IF(Paramètres!J29="",0,IF(Paramètres!K29="",NA(),IF(LEFT(TRIM(Paramètres!K29),1)="F",INDEX($F$1787:$F$1839,MATCH(Paramètres!J29,Paramètres!$G$5:$G$57,0)),INDEX($E$1787:$E$1839,MATCH(Paramètres!J29,Paramètres!$G$5:$G$57,0)))+IF(RIGHT(TRIM(Paramètres!K29),3)="Fin",1-$H1811,IF(LEFT(TRIM(Paramètres!K29),1)="F",1,0)))),IF(Paramètres!L29="",0,IF(Paramètres!M29="",NA(),IF(LEFT(TRIM(Paramètres!M29),1)="F",INDEX($F$1787:$F$1839,MATCH(Paramètres!L29,Paramètres!$G$5:$G$57,0)),INDEX($E$1787:$E$1839,MATCH(Paramètres!L29,Paramètres!$G$5:$G$57,0)))+IF(RIGHT(TRIM(Paramètres!M29),3)="Fin",1-$H1811,IF(LEFT(TRIM(Paramètres!M29),1)="F",1,0)))),IF(Paramètres!N29="",0,IF(Paramètres!O29="",NA(),IF(LEFT(TRIM(Paramètres!O29),1)="F",INDEX($F$1787:$F$1839,MATCH(Paramètres!N29,Paramètres!$G$5:$G$57,0)),INDEX($E$1787:$E$1839,MATCH(Paramètres!N29,Paramètres!$G$5:$G$57,0)))+IF(RIGHT(TRIM(Paramètres!O29),3)="Fin",1-$H1811,IF(LEFT(TRIM(Paramètres!O29),1)="F",1,0)))))))</f>
        <v/>
      </c>
      <c r="F1811" s="19">
        <f>IF($A1811="","",E1811+$H1811-1)</f>
        <v/>
      </c>
      <c r="G1811" s="18" t="n"/>
      <c r="H1811" s="18">
        <f>IF($A1811="","",IF(I1811&lt;&gt;"",I1811,Paramètres!B29))</f>
        <v/>
      </c>
      <c r="I1811" s="18" t="n"/>
    </row>
    <row r="1812">
      <c r="A1812" s="18">
        <f>IF(ISNUMBER(Dossiers!$D$37),Dossiers!$A$37&amp;" · "&amp;Dossiers!$B$37,"")</f>
        <v/>
      </c>
      <c r="B1812" s="18">
        <f>IF($A1812="","",Paramètres!G30)</f>
        <v/>
      </c>
      <c r="C1812" s="18">
        <f>IF($A1812="","",IF(Paramètres!H30="","",Paramètres!H30))</f>
        <v/>
      </c>
      <c r="D1812" s="18">
        <f>IF($A1812="","",IF(Paramètres!I30="","",Paramètres!I30))</f>
        <v/>
      </c>
      <c r="E1812" s="19">
        <f>IF($A1812="","",IF(Paramètres!J30&amp;Paramètres!L30&amp;Paramètres!N30="",Dossiers!$D$37,MAX(IF(Paramètres!J30="",0,IF(Paramètres!K30="",NA(),IF(LEFT(TRIM(Paramètres!K30),1)="F",INDEX($F$1787:$F$1839,MATCH(Paramètres!J30,Paramètres!$G$5:$G$57,0)),INDEX($E$1787:$E$1839,MATCH(Paramètres!J30,Paramètres!$G$5:$G$57,0)))+IF(RIGHT(TRIM(Paramètres!K30),3)="Fin",1-$H1812,IF(LEFT(TRIM(Paramètres!K30),1)="F",1,0)))),IF(Paramètres!L30="",0,IF(Paramètres!M30="",NA(),IF(LEFT(TRIM(Paramètres!M30),1)="F",INDEX($F$1787:$F$1839,MATCH(Paramètres!L30,Paramètres!$G$5:$G$57,0)),INDEX($E$1787:$E$1839,MATCH(Paramètres!L30,Paramètres!$G$5:$G$57,0)))+IF(RIGHT(TRIM(Paramètres!M30),3)="Fin",1-$H1812,IF(LEFT(TRIM(Paramètres!M30),1)="F",1,0)))),IF(Paramètres!N30="",0,IF(Paramètres!O30="",NA(),IF(LEFT(TRIM(Paramètres!O30),1)="F",INDEX($F$1787:$F$1839,MATCH(Paramètres!N30,Paramètres!$G$5:$G$57,0)),INDEX($E$1787:$E$1839,MATCH(Paramètres!N30,Paramètres!$G$5:$G$57,0)))+IF(RIGHT(TRIM(Paramètres!O30),3)="Fin",1-$H1812,IF(LEFT(TRIM(Paramètres!O30),1)="F",1,0)))))))</f>
        <v/>
      </c>
      <c r="F1812" s="19">
        <f>IF($A1812="","",E1812+$H1812-1)</f>
        <v/>
      </c>
      <c r="G1812" s="18" t="n"/>
      <c r="H1812" s="18">
        <f>IF($A1812="","",IF(I1812&lt;&gt;"",I1812,Paramètres!B30))</f>
        <v/>
      </c>
      <c r="I1812" s="18" t="n"/>
    </row>
    <row r="1813">
      <c r="A1813" s="18">
        <f>IF(ISNUMBER(Dossiers!$D$37),Dossiers!$A$37&amp;" · "&amp;Dossiers!$B$37,"")</f>
        <v/>
      </c>
      <c r="B1813" s="18">
        <f>IF($A1813="","",Paramètres!G31)</f>
        <v/>
      </c>
      <c r="C1813" s="20">
        <f>IF($A1813="","",IF(Dossiers!$F$37="","",Dossiers!$F$37))</f>
        <v/>
      </c>
      <c r="D1813" s="18">
        <f>IF($A1813="","",IF(Paramètres!I31="","",Paramètres!I31))</f>
        <v/>
      </c>
      <c r="E1813" s="19">
        <f>IF($A1813="","",IF(Paramètres!J31&amp;Paramètres!L31&amp;Paramètres!N31="",Dossiers!$D$37,MAX(IF(Paramètres!J31="",0,IF(Paramètres!K31="",NA(),IF(LEFT(TRIM(Paramètres!K31),1)="F",INDEX($F$1787:$F$1839,MATCH(Paramètres!J31,Paramètres!$G$5:$G$57,0)),INDEX($E$1787:$E$1839,MATCH(Paramètres!J31,Paramètres!$G$5:$G$57,0)))+IF(RIGHT(TRIM(Paramètres!K31),3)="Fin",1-$H1813,IF(LEFT(TRIM(Paramètres!K31),1)="F",1,0)))),IF(Paramètres!L31="",0,IF(Paramètres!M31="",NA(),IF(LEFT(TRIM(Paramètres!M31),1)="F",INDEX($F$1787:$F$1839,MATCH(Paramètres!L31,Paramètres!$G$5:$G$57,0)),INDEX($E$1787:$E$1839,MATCH(Paramètres!L31,Paramètres!$G$5:$G$57,0)))+IF(RIGHT(TRIM(Paramètres!M31),3)="Fin",1-$H1813,IF(LEFT(TRIM(Paramètres!M31),1)="F",1,0)))),IF(Paramètres!N31="",0,IF(Paramètres!O31="",NA(),IF(LEFT(TRIM(Paramètres!O31),1)="F",INDEX($F$1787:$F$1839,MATCH(Paramètres!N31,Paramètres!$G$5:$G$57,0)),INDEX($E$1787:$E$1839,MATCH(Paramètres!N31,Paramètres!$G$5:$G$57,0)))+IF(RIGHT(TRIM(Paramètres!O31),3)="Fin",1-$H1813,IF(LEFT(TRIM(Paramètres!O31),1)="F",1,0)))))))</f>
        <v/>
      </c>
      <c r="F1813" s="19">
        <f>IF($A1813="","",E1813+$H1813-1)</f>
        <v/>
      </c>
      <c r="G1813" s="18" t="n"/>
      <c r="H1813" s="18">
        <f>IF($A1813="","",IF(I1813&lt;&gt;"",I1813,Paramètres!B31))</f>
        <v/>
      </c>
      <c r="I1813" s="18" t="n"/>
    </row>
    <row r="1814">
      <c r="A1814" s="18">
        <f>IF(ISNUMBER(Dossiers!$D$37),Dossiers!$A$37&amp;" · "&amp;Dossiers!$B$37,"")</f>
        <v/>
      </c>
      <c r="B1814" s="18">
        <f>IF($A1814="","",Paramètres!G32)</f>
        <v/>
      </c>
      <c r="C1814" s="18">
        <f>IF($A1814="","",IF(Paramètres!H32="","",Paramètres!H32))</f>
        <v/>
      </c>
      <c r="D1814" s="18">
        <f>IF($A1814="","",IF(Paramètres!I32="","",Paramètres!I32))</f>
        <v/>
      </c>
      <c r="E1814" s="19">
        <f>IF($A1814="","",MIN(E1815:E1818))</f>
        <v/>
      </c>
      <c r="F1814" s="19">
        <f>IF($A1814="","",MAX(F1815:F1818))</f>
        <v/>
      </c>
      <c r="G1814" s="18" t="n"/>
      <c r="H1814" s="18">
        <f>IF($A1814="","",F1814-E1814+1)</f>
        <v/>
      </c>
      <c r="I1814" s="18" t="n"/>
    </row>
    <row r="1815">
      <c r="A1815" s="18">
        <f>IF(ISNUMBER(Dossiers!$D$37),Dossiers!$A$37&amp;" · "&amp;Dossiers!$B$37,"")</f>
        <v/>
      </c>
      <c r="B1815" s="18">
        <f>IF($A1815="","",Paramètres!G33)</f>
        <v/>
      </c>
      <c r="C1815" s="18">
        <f>IF($A1815="","",IF(Paramètres!H33="","",Paramètres!H33))</f>
        <v/>
      </c>
      <c r="D1815" s="18">
        <f>IF($A1815="","",IF(Paramètres!I33="","",Paramètres!I33))</f>
        <v/>
      </c>
      <c r="E1815" s="19">
        <f>IF($A1815="","",IF(Paramètres!J33&amp;Paramètres!L33&amp;Paramètres!N33="",Dossiers!$D$37,MAX(IF(Paramètres!J33="",0,IF(Paramètres!K33="",NA(),IF(LEFT(TRIM(Paramètres!K33),1)="F",INDEX($F$1787:$F$1839,MATCH(Paramètres!J33,Paramètres!$G$5:$G$57,0)),INDEX($E$1787:$E$1839,MATCH(Paramètres!J33,Paramètres!$G$5:$G$57,0)))+IF(RIGHT(TRIM(Paramètres!K33),3)="Fin",1-$H1815,IF(LEFT(TRIM(Paramètres!K33),1)="F",1,0)))),IF(Paramètres!L33="",0,IF(Paramètres!M33="",NA(),IF(LEFT(TRIM(Paramètres!M33),1)="F",INDEX($F$1787:$F$1839,MATCH(Paramètres!L33,Paramètres!$G$5:$G$57,0)),INDEX($E$1787:$E$1839,MATCH(Paramètres!L33,Paramètres!$G$5:$G$57,0)))+IF(RIGHT(TRIM(Paramètres!M33),3)="Fin",1-$H1815,IF(LEFT(TRIM(Paramètres!M33),1)="F",1,0)))),IF(Paramètres!N33="",0,IF(Paramètres!O33="",NA(),IF(LEFT(TRIM(Paramètres!O33),1)="F",INDEX($F$1787:$F$1839,MATCH(Paramètres!N33,Paramètres!$G$5:$G$57,0)),INDEX($E$1787:$E$1839,MATCH(Paramètres!N33,Paramètres!$G$5:$G$57,0)))+IF(RIGHT(TRIM(Paramètres!O33),3)="Fin",1-$H1815,IF(LEFT(TRIM(Paramètres!O33),1)="F",1,0)))))))</f>
        <v/>
      </c>
      <c r="F1815" s="19">
        <f>IF($A1815="","",E1815+$H1815-1)</f>
        <v/>
      </c>
      <c r="G1815" s="18" t="n"/>
      <c r="H1815" s="18">
        <f>IF($A1815="","",IF(I1815&lt;&gt;"",I1815,Paramètres!B33))</f>
        <v/>
      </c>
      <c r="I1815" s="18" t="n"/>
    </row>
    <row r="1816">
      <c r="A1816" s="18">
        <f>IF(ISNUMBER(Dossiers!$D$37),Dossiers!$A$37&amp;" · "&amp;Dossiers!$B$37,"")</f>
        <v/>
      </c>
      <c r="B1816" s="18">
        <f>IF($A1816="","",Paramètres!G34)</f>
        <v/>
      </c>
      <c r="C1816" s="18">
        <f>IF($A1816="","",IF(Paramètres!H34="","",Paramètres!H34))</f>
        <v/>
      </c>
      <c r="D1816" s="18">
        <f>IF($A1816="","",IF(Paramètres!I34="","",Paramètres!I34))</f>
        <v/>
      </c>
      <c r="E1816" s="19">
        <f>IF($A1816="","",IF(Paramètres!J34&amp;Paramètres!L34&amp;Paramètres!N34="",Dossiers!$D$37,MAX(IF(Paramètres!J34="",0,IF(Paramètres!K34="",NA(),IF(LEFT(TRIM(Paramètres!K34),1)="F",INDEX($F$1787:$F$1839,MATCH(Paramètres!J34,Paramètres!$G$5:$G$57,0)),INDEX($E$1787:$E$1839,MATCH(Paramètres!J34,Paramètres!$G$5:$G$57,0)))+IF(RIGHT(TRIM(Paramètres!K34),3)="Fin",1-$H1816,IF(LEFT(TRIM(Paramètres!K34),1)="F",1,0)))),IF(Paramètres!L34="",0,IF(Paramètres!M34="",NA(),IF(LEFT(TRIM(Paramètres!M34),1)="F",INDEX($F$1787:$F$1839,MATCH(Paramètres!L34,Paramètres!$G$5:$G$57,0)),INDEX($E$1787:$E$1839,MATCH(Paramètres!L34,Paramètres!$G$5:$G$57,0)))+IF(RIGHT(TRIM(Paramètres!M34),3)="Fin",1-$H1816,IF(LEFT(TRIM(Paramètres!M34),1)="F",1,0)))),IF(Paramètres!N34="",0,IF(Paramètres!O34="",NA(),IF(LEFT(TRIM(Paramètres!O34),1)="F",INDEX($F$1787:$F$1839,MATCH(Paramètres!N34,Paramètres!$G$5:$G$57,0)),INDEX($E$1787:$E$1839,MATCH(Paramètres!N34,Paramètres!$G$5:$G$57,0)))+IF(RIGHT(TRIM(Paramètres!O34),3)="Fin",1-$H1816,IF(LEFT(TRIM(Paramètres!O34),1)="F",1,0)))))))</f>
        <v/>
      </c>
      <c r="F1816" s="19">
        <f>IF($A1816="","",E1816+$H1816-1)</f>
        <v/>
      </c>
      <c r="G1816" s="18" t="n"/>
      <c r="H1816" s="18">
        <f>IF($A1816="","",IF(I1816&lt;&gt;"",I1816,Paramètres!B34))</f>
        <v/>
      </c>
      <c r="I1816" s="18" t="n"/>
    </row>
    <row r="1817">
      <c r="A1817" s="18">
        <f>IF(ISNUMBER(Dossiers!$D$37),Dossiers!$A$37&amp;" · "&amp;Dossiers!$B$37,"")</f>
        <v/>
      </c>
      <c r="B1817" s="18">
        <f>IF($A1817="","",Paramètres!G35)</f>
        <v/>
      </c>
      <c r="C1817" s="18">
        <f>IF($A1817="","",IF(Paramètres!H35="","",Paramètres!H35))</f>
        <v/>
      </c>
      <c r="D1817" s="18">
        <f>IF($A1817="","",IF(Paramètres!I35="","",Paramètres!I35))</f>
        <v/>
      </c>
      <c r="E1817" s="19">
        <f>IF($A1817="","",IF(Paramètres!J35&amp;Paramètres!L35&amp;Paramètres!N35="",Dossiers!$D$37,MAX(IF(Paramètres!J35="",0,IF(Paramètres!K35="",NA(),IF(LEFT(TRIM(Paramètres!K35),1)="F",INDEX($F$1787:$F$1839,MATCH(Paramètres!J35,Paramètres!$G$5:$G$57,0)),INDEX($E$1787:$E$1839,MATCH(Paramètres!J35,Paramètres!$G$5:$G$57,0)))+IF(RIGHT(TRIM(Paramètres!K35),3)="Fin",1-$H1817,IF(LEFT(TRIM(Paramètres!K35),1)="F",1,0)))),IF(Paramètres!L35="",0,IF(Paramètres!M35="",NA(),IF(LEFT(TRIM(Paramètres!M35),1)="F",INDEX($F$1787:$F$1839,MATCH(Paramètres!L35,Paramètres!$G$5:$G$57,0)),INDEX($E$1787:$E$1839,MATCH(Paramètres!L35,Paramètres!$G$5:$G$57,0)))+IF(RIGHT(TRIM(Paramètres!M35),3)="Fin",1-$H1817,IF(LEFT(TRIM(Paramètres!M35),1)="F",1,0)))),IF(Paramètres!N35="",0,IF(Paramètres!O35="",NA(),IF(LEFT(TRIM(Paramètres!O35),1)="F",INDEX($F$1787:$F$1839,MATCH(Paramètres!N35,Paramètres!$G$5:$G$57,0)),INDEX($E$1787:$E$1839,MATCH(Paramètres!N35,Paramètres!$G$5:$G$57,0)))+IF(RIGHT(TRIM(Paramètres!O35),3)="Fin",1-$H1817,IF(LEFT(TRIM(Paramètres!O35),1)="F",1,0)))))))</f>
        <v/>
      </c>
      <c r="F1817" s="19">
        <f>IF($A1817="","",E1817+$H1817-1)</f>
        <v/>
      </c>
      <c r="G1817" s="18" t="n"/>
      <c r="H1817" s="18">
        <f>IF($A1817="","",IF(I1817&lt;&gt;"",I1817,Paramètres!B35))</f>
        <v/>
      </c>
      <c r="I1817" s="18" t="n"/>
    </row>
    <row r="1818">
      <c r="A1818" s="18">
        <f>IF(ISNUMBER(Dossiers!$D$37),Dossiers!$A$37&amp;" · "&amp;Dossiers!$B$37,"")</f>
        <v/>
      </c>
      <c r="B1818" s="18">
        <f>IF($A1818="","",Paramètres!G36)</f>
        <v/>
      </c>
      <c r="C1818" s="18">
        <f>IF($A1818="","",IF(Paramètres!H36="","",Paramètres!H36))</f>
        <v/>
      </c>
      <c r="D1818" s="18">
        <f>IF($A1818="","",IF(Paramètres!I36="","",Paramètres!I36))</f>
        <v/>
      </c>
      <c r="E1818" s="19">
        <f>IF($A1818="","",IF(Paramètres!J36&amp;Paramètres!L36&amp;Paramètres!N36="",Dossiers!$D$37,MAX(IF(Paramètres!J36="",0,IF(Paramètres!K36="",NA(),IF(LEFT(TRIM(Paramètres!K36),1)="F",INDEX($F$1787:$F$1839,MATCH(Paramètres!J36,Paramètres!$G$5:$G$57,0)),INDEX($E$1787:$E$1839,MATCH(Paramètres!J36,Paramètres!$G$5:$G$57,0)))+IF(RIGHT(TRIM(Paramètres!K36),3)="Fin",1-$H1818,IF(LEFT(TRIM(Paramètres!K36),1)="F",1,0)))),IF(Paramètres!L36="",0,IF(Paramètres!M36="",NA(),IF(LEFT(TRIM(Paramètres!M36),1)="F",INDEX($F$1787:$F$1839,MATCH(Paramètres!L36,Paramètres!$G$5:$G$57,0)),INDEX($E$1787:$E$1839,MATCH(Paramètres!L36,Paramètres!$G$5:$G$57,0)))+IF(RIGHT(TRIM(Paramètres!M36),3)="Fin",1-$H1818,IF(LEFT(TRIM(Paramètres!M36),1)="F",1,0)))),IF(Paramètres!N36="",0,IF(Paramètres!O36="",NA(),IF(LEFT(TRIM(Paramètres!O36),1)="F",INDEX($F$1787:$F$1839,MATCH(Paramètres!N36,Paramètres!$G$5:$G$57,0)),INDEX($E$1787:$E$1839,MATCH(Paramètres!N36,Paramètres!$G$5:$G$57,0)))+IF(RIGHT(TRIM(Paramètres!O36),3)="Fin",1-$H1818,IF(LEFT(TRIM(Paramètres!O36),1)="F",1,0)))))))</f>
        <v/>
      </c>
      <c r="F1818" s="19">
        <f>IF($A1818="","",E1818+$H1818-1)</f>
        <v/>
      </c>
      <c r="G1818" s="18" t="n"/>
      <c r="H1818" s="18">
        <f>IF($A1818="","",IF(I1818&lt;&gt;"",I1818,Paramètres!B36))</f>
        <v/>
      </c>
      <c r="I1818" s="18" t="n"/>
    </row>
    <row r="1819">
      <c r="A1819" s="18">
        <f>IF(ISNUMBER(Dossiers!$D$37),Dossiers!$A$37&amp;" · "&amp;Dossiers!$B$37,"")</f>
        <v/>
      </c>
      <c r="B1819" s="18">
        <f>IF($A1819="","",Paramètres!G37)</f>
        <v/>
      </c>
      <c r="C1819" s="18">
        <f>IF($A1819="","",IF(Paramètres!H37="","",Paramètres!H37))</f>
        <v/>
      </c>
      <c r="D1819" s="18">
        <f>IF($A1819="","",IF(Paramètres!I37="","",Paramètres!I37))</f>
        <v/>
      </c>
      <c r="E1819" s="19">
        <f>IF($A1819="","",MIN(E1820:E1837))</f>
        <v/>
      </c>
      <c r="F1819" s="19">
        <f>IF($A1819="","",MAX(F1820:F1837))</f>
        <v/>
      </c>
      <c r="G1819" s="18" t="n"/>
      <c r="H1819" s="18">
        <f>IF($A1819="","",F1819-E1819+1)</f>
        <v/>
      </c>
      <c r="I1819" s="18" t="n"/>
    </row>
    <row r="1820">
      <c r="A1820" s="18">
        <f>IF(ISNUMBER(Dossiers!$D$37),Dossiers!$A$37&amp;" · "&amp;Dossiers!$B$37,"")</f>
        <v/>
      </c>
      <c r="B1820" s="18">
        <f>IF($A1820="","",Paramètres!G38)</f>
        <v/>
      </c>
      <c r="C1820" s="18">
        <f>IF($A1820="","",IF(Paramètres!H38="","",Paramètres!H38))</f>
        <v/>
      </c>
      <c r="D1820" s="18">
        <f>IF($A1820="","",IF(Paramètres!I38="","",Paramètres!I38))</f>
        <v/>
      </c>
      <c r="E1820" s="19">
        <f>IF($A1820="","",IF(Paramètres!J38&amp;Paramètres!L38&amp;Paramètres!N38="",Dossiers!$D$37,MAX(IF(Paramètres!J38="",0,IF(Paramètres!K38="",NA(),IF(LEFT(TRIM(Paramètres!K38),1)="F",INDEX($F$1787:$F$1839,MATCH(Paramètres!J38,Paramètres!$G$5:$G$57,0)),INDEX($E$1787:$E$1839,MATCH(Paramètres!J38,Paramètres!$G$5:$G$57,0)))+IF(RIGHT(TRIM(Paramètres!K38),3)="Fin",1-$H1820,IF(LEFT(TRIM(Paramètres!K38),1)="F",1,0)))),IF(Paramètres!L38="",0,IF(Paramètres!M38="",NA(),IF(LEFT(TRIM(Paramètres!M38),1)="F",INDEX($F$1787:$F$1839,MATCH(Paramètres!L38,Paramètres!$G$5:$G$57,0)),INDEX($E$1787:$E$1839,MATCH(Paramètres!L38,Paramètres!$G$5:$G$57,0)))+IF(RIGHT(TRIM(Paramètres!M38),3)="Fin",1-$H1820,IF(LEFT(TRIM(Paramètres!M38),1)="F",1,0)))),IF(Paramètres!N38="",0,IF(Paramètres!O38="",NA(),IF(LEFT(TRIM(Paramètres!O38),1)="F",INDEX($F$1787:$F$1839,MATCH(Paramètres!N38,Paramètres!$G$5:$G$57,0)),INDEX($E$1787:$E$1839,MATCH(Paramètres!N38,Paramètres!$G$5:$G$57,0)))+IF(RIGHT(TRIM(Paramètres!O38),3)="Fin",1-$H1820,IF(LEFT(TRIM(Paramètres!O38),1)="F",1,0)))))))</f>
        <v/>
      </c>
      <c r="F1820" s="19">
        <f>IF($A1820="","",E1820+$H1820-1)</f>
        <v/>
      </c>
      <c r="G1820" s="18" t="n"/>
      <c r="H1820" s="18">
        <f>IF($A1820="","",IF(I1820&lt;&gt;"",I1820,Paramètres!B38))</f>
        <v/>
      </c>
      <c r="I1820" s="18" t="n"/>
    </row>
    <row r="1821">
      <c r="A1821" s="18">
        <f>IF(ISNUMBER(Dossiers!$D$37),Dossiers!$A$37&amp;" · "&amp;Dossiers!$B$37,"")</f>
        <v/>
      </c>
      <c r="B1821" s="18">
        <f>IF($A1821="","",Paramètres!G39)</f>
        <v/>
      </c>
      <c r="C1821" s="18">
        <f>IF($A1821="","",IF(Paramètres!H39="","",Paramètres!H39))</f>
        <v/>
      </c>
      <c r="D1821" s="18">
        <f>IF($A1821="","",IF(Paramètres!I39="","",Paramètres!I39))</f>
        <v/>
      </c>
      <c r="E1821" s="19">
        <f>IF($A1821="","",IF(Paramètres!J39&amp;Paramètres!L39&amp;Paramètres!N39="",Dossiers!$D$37,MAX(IF(Paramètres!J39="",0,IF(Paramètres!K39="",NA(),IF(LEFT(TRIM(Paramètres!K39),1)="F",INDEX($F$1787:$F$1839,MATCH(Paramètres!J39,Paramètres!$G$5:$G$57,0)),INDEX($E$1787:$E$1839,MATCH(Paramètres!J39,Paramètres!$G$5:$G$57,0)))+IF(RIGHT(TRIM(Paramètres!K39),3)="Fin",1-$H1821,IF(LEFT(TRIM(Paramètres!K39),1)="F",1,0)))),IF(Paramètres!L39="",0,IF(Paramètres!M39="",NA(),IF(LEFT(TRIM(Paramètres!M39),1)="F",INDEX($F$1787:$F$1839,MATCH(Paramètres!L39,Paramètres!$G$5:$G$57,0)),INDEX($E$1787:$E$1839,MATCH(Paramètres!L39,Paramètres!$G$5:$G$57,0)))+IF(RIGHT(TRIM(Paramètres!M39),3)="Fin",1-$H1821,IF(LEFT(TRIM(Paramètres!M39),1)="F",1,0)))),IF(Paramètres!N39="",0,IF(Paramètres!O39="",NA(),IF(LEFT(TRIM(Paramètres!O39),1)="F",INDEX($F$1787:$F$1839,MATCH(Paramètres!N39,Paramètres!$G$5:$G$57,0)),INDEX($E$1787:$E$1839,MATCH(Paramètres!N39,Paramètres!$G$5:$G$57,0)))+IF(RIGHT(TRIM(Paramètres!O39),3)="Fin",1-$H1821,IF(LEFT(TRIM(Paramètres!O39),1)="F",1,0)))))))</f>
        <v/>
      </c>
      <c r="F1821" s="19">
        <f>IF($A1821="","",E1821+$H1821-1)</f>
        <v/>
      </c>
      <c r="G1821" s="18" t="n"/>
      <c r="H1821" s="18">
        <f>IF($A1821="","",IF(I1821&lt;&gt;"",I1821,Paramètres!B39))</f>
        <v/>
      </c>
      <c r="I1821" s="18" t="n"/>
    </row>
    <row r="1822">
      <c r="A1822" s="18">
        <f>IF(ISNUMBER(Dossiers!$D$37),Dossiers!$A$37&amp;" · "&amp;Dossiers!$B$37,"")</f>
        <v/>
      </c>
      <c r="B1822" s="18">
        <f>IF($A1822="","",Paramètres!G40)</f>
        <v/>
      </c>
      <c r="C1822" s="18">
        <f>IF($A1822="","",IF(Paramètres!H40="","",Paramètres!H40))</f>
        <v/>
      </c>
      <c r="D1822" s="18">
        <f>IF($A1822="","",IF(Paramètres!I40="","",Paramètres!I40))</f>
        <v/>
      </c>
      <c r="E1822" s="19">
        <f>IF($A1822="","",IF(Paramètres!J40&amp;Paramètres!L40&amp;Paramètres!N40="",Dossiers!$D$37,MAX(IF(Paramètres!J40="",0,IF(Paramètres!K40="",NA(),IF(LEFT(TRIM(Paramètres!K40),1)="F",INDEX($F$1787:$F$1839,MATCH(Paramètres!J40,Paramètres!$G$5:$G$57,0)),INDEX($E$1787:$E$1839,MATCH(Paramètres!J40,Paramètres!$G$5:$G$57,0)))+IF(RIGHT(TRIM(Paramètres!K40),3)="Fin",1-$H1822,IF(LEFT(TRIM(Paramètres!K40),1)="F",1,0)))),IF(Paramètres!L40="",0,IF(Paramètres!M40="",NA(),IF(LEFT(TRIM(Paramètres!M40),1)="F",INDEX($F$1787:$F$1839,MATCH(Paramètres!L40,Paramètres!$G$5:$G$57,0)),INDEX($E$1787:$E$1839,MATCH(Paramètres!L40,Paramètres!$G$5:$G$57,0)))+IF(RIGHT(TRIM(Paramètres!M40),3)="Fin",1-$H1822,IF(LEFT(TRIM(Paramètres!M40),1)="F",1,0)))),IF(Paramètres!N40="",0,IF(Paramètres!O40="",NA(),IF(LEFT(TRIM(Paramètres!O40),1)="F",INDEX($F$1787:$F$1839,MATCH(Paramètres!N40,Paramètres!$G$5:$G$57,0)),INDEX($E$1787:$E$1839,MATCH(Paramètres!N40,Paramètres!$G$5:$G$57,0)))+IF(RIGHT(TRIM(Paramètres!O40),3)="Fin",1-$H1822,IF(LEFT(TRIM(Paramètres!O40),1)="F",1,0)))))))</f>
        <v/>
      </c>
      <c r="F1822" s="19">
        <f>IF($A1822="","",E1822+$H1822-1)</f>
        <v/>
      </c>
      <c r="G1822" s="18" t="n"/>
      <c r="H1822" s="18">
        <f>IF($A1822="","",IF(I1822&lt;&gt;"",I1822,Paramètres!B40))</f>
        <v/>
      </c>
      <c r="I1822" s="18" t="n"/>
    </row>
    <row r="1823">
      <c r="A1823" s="18">
        <f>IF(ISNUMBER(Dossiers!$D$37),Dossiers!$A$37&amp;" · "&amp;Dossiers!$B$37,"")</f>
        <v/>
      </c>
      <c r="B1823" s="18">
        <f>IF($A1823="","",Paramètres!G41)</f>
        <v/>
      </c>
      <c r="C1823" s="18">
        <f>IF($A1823="","",IF(Paramètres!H41="","",Paramètres!H41))</f>
        <v/>
      </c>
      <c r="D1823" s="18">
        <f>IF($A1823="","",IF(Paramètres!I41="","",Paramètres!I41))</f>
        <v/>
      </c>
      <c r="E1823" s="19">
        <f>IF($A1823="","",IF(Paramètres!J41&amp;Paramètres!L41&amp;Paramètres!N41="",Dossiers!$D$37,MAX(IF(Paramètres!J41="",0,IF(Paramètres!K41="",NA(),IF(LEFT(TRIM(Paramètres!K41),1)="F",INDEX($F$1787:$F$1839,MATCH(Paramètres!J41,Paramètres!$G$5:$G$57,0)),INDEX($E$1787:$E$1839,MATCH(Paramètres!J41,Paramètres!$G$5:$G$57,0)))+IF(RIGHT(TRIM(Paramètres!K41),3)="Fin",1-$H1823,IF(LEFT(TRIM(Paramètres!K41),1)="F",1,0)))),IF(Paramètres!L41="",0,IF(Paramètres!M41="",NA(),IF(LEFT(TRIM(Paramètres!M41),1)="F",INDEX($F$1787:$F$1839,MATCH(Paramètres!L41,Paramètres!$G$5:$G$57,0)),INDEX($E$1787:$E$1839,MATCH(Paramètres!L41,Paramètres!$G$5:$G$57,0)))+IF(RIGHT(TRIM(Paramètres!M41),3)="Fin",1-$H1823,IF(LEFT(TRIM(Paramètres!M41),1)="F",1,0)))),IF(Paramètres!N41="",0,IF(Paramètres!O41="",NA(),IF(LEFT(TRIM(Paramètres!O41),1)="F",INDEX($F$1787:$F$1839,MATCH(Paramètres!N41,Paramètres!$G$5:$G$57,0)),INDEX($E$1787:$E$1839,MATCH(Paramètres!N41,Paramètres!$G$5:$G$57,0)))+IF(RIGHT(TRIM(Paramètres!O41),3)="Fin",1-$H1823,IF(LEFT(TRIM(Paramètres!O41),1)="F",1,0)))))))</f>
        <v/>
      </c>
      <c r="F1823" s="19">
        <f>IF($A1823="","",E1823+$H1823-1)</f>
        <v/>
      </c>
      <c r="G1823" s="18" t="n"/>
      <c r="H1823" s="18">
        <f>IF($A1823="","",IF(I1823&lt;&gt;"",I1823,Paramètres!B41))</f>
        <v/>
      </c>
      <c r="I1823" s="18" t="n"/>
    </row>
    <row r="1824">
      <c r="A1824" s="18">
        <f>IF(ISNUMBER(Dossiers!$D$37),Dossiers!$A$37&amp;" · "&amp;Dossiers!$B$37,"")</f>
        <v/>
      </c>
      <c r="B1824" s="18">
        <f>IF($A1824="","",Paramètres!G42)</f>
        <v/>
      </c>
      <c r="C1824" s="18">
        <f>IF($A1824="","",IF(Paramètres!H42="","",Paramètres!H42))</f>
        <v/>
      </c>
      <c r="D1824" s="18">
        <f>IF($A1824="","",IF(Paramètres!I42="","",Paramètres!I42))</f>
        <v/>
      </c>
      <c r="E1824" s="19">
        <f>IF($A1824="","",IF(Paramètres!J42&amp;Paramètres!L42&amp;Paramètres!N42="",Dossiers!$D$37,MAX(IF(Paramètres!J42="",0,IF(Paramètres!K42="",NA(),IF(LEFT(TRIM(Paramètres!K42),1)="F",INDEX($F$1787:$F$1839,MATCH(Paramètres!J42,Paramètres!$G$5:$G$57,0)),INDEX($E$1787:$E$1839,MATCH(Paramètres!J42,Paramètres!$G$5:$G$57,0)))+IF(RIGHT(TRIM(Paramètres!K42),3)="Fin",1-$H1824,IF(LEFT(TRIM(Paramètres!K42),1)="F",1,0)))),IF(Paramètres!L42="",0,IF(Paramètres!M42="",NA(),IF(LEFT(TRIM(Paramètres!M42),1)="F",INDEX($F$1787:$F$1839,MATCH(Paramètres!L42,Paramètres!$G$5:$G$57,0)),INDEX($E$1787:$E$1839,MATCH(Paramètres!L42,Paramètres!$G$5:$G$57,0)))+IF(RIGHT(TRIM(Paramètres!M42),3)="Fin",1-$H1824,IF(LEFT(TRIM(Paramètres!M42),1)="F",1,0)))),IF(Paramètres!N42="",0,IF(Paramètres!O42="",NA(),IF(LEFT(TRIM(Paramètres!O42),1)="F",INDEX($F$1787:$F$1839,MATCH(Paramètres!N42,Paramètres!$G$5:$G$57,0)),INDEX($E$1787:$E$1839,MATCH(Paramètres!N42,Paramètres!$G$5:$G$57,0)))+IF(RIGHT(TRIM(Paramètres!O42),3)="Fin",1-$H1824,IF(LEFT(TRIM(Paramètres!O42),1)="F",1,0)))))))</f>
        <v/>
      </c>
      <c r="F1824" s="19">
        <f>IF($A1824="","",E1824+$H1824-1)</f>
        <v/>
      </c>
      <c r="G1824" s="18" t="n"/>
      <c r="H1824" s="18">
        <f>IF($A1824="","",IF(I1824&lt;&gt;"",I1824,Paramètres!B42))</f>
        <v/>
      </c>
      <c r="I1824" s="18" t="n"/>
    </row>
    <row r="1825">
      <c r="A1825" s="18">
        <f>IF(ISNUMBER(Dossiers!$D$37),Dossiers!$A$37&amp;" · "&amp;Dossiers!$B$37,"")</f>
        <v/>
      </c>
      <c r="B1825" s="18">
        <f>IF($A1825="","",Paramètres!G43)</f>
        <v/>
      </c>
      <c r="C1825" s="18">
        <f>IF($A1825="","",IF(Paramètres!H43="","",Paramètres!H43))</f>
        <v/>
      </c>
      <c r="D1825" s="18">
        <f>IF($A1825="","",IF(Paramètres!I43="","",Paramètres!I43))</f>
        <v/>
      </c>
      <c r="E1825" s="19">
        <f>IF($A1825="","",IF(Paramètres!J43&amp;Paramètres!L43&amp;Paramètres!N43="",Dossiers!$D$37,MAX(IF(Paramètres!J43="",0,IF(Paramètres!K43="",NA(),IF(LEFT(TRIM(Paramètres!K43),1)="F",INDEX($F$1787:$F$1839,MATCH(Paramètres!J43,Paramètres!$G$5:$G$57,0)),INDEX($E$1787:$E$1839,MATCH(Paramètres!J43,Paramètres!$G$5:$G$57,0)))+IF(RIGHT(TRIM(Paramètres!K43),3)="Fin",1-$H1825,IF(LEFT(TRIM(Paramètres!K43),1)="F",1,0)))),IF(Paramètres!L43="",0,IF(Paramètres!M43="",NA(),IF(LEFT(TRIM(Paramètres!M43),1)="F",INDEX($F$1787:$F$1839,MATCH(Paramètres!L43,Paramètres!$G$5:$G$57,0)),INDEX($E$1787:$E$1839,MATCH(Paramètres!L43,Paramètres!$G$5:$G$57,0)))+IF(RIGHT(TRIM(Paramètres!M43),3)="Fin",1-$H1825,IF(LEFT(TRIM(Paramètres!M43),1)="F",1,0)))),IF(Paramètres!N43="",0,IF(Paramètres!O43="",NA(),IF(LEFT(TRIM(Paramètres!O43),1)="F",INDEX($F$1787:$F$1839,MATCH(Paramètres!N43,Paramètres!$G$5:$G$57,0)),INDEX($E$1787:$E$1839,MATCH(Paramètres!N43,Paramètres!$G$5:$G$57,0)))+IF(RIGHT(TRIM(Paramètres!O43),3)="Fin",1-$H1825,IF(LEFT(TRIM(Paramètres!O43),1)="F",1,0)))))))</f>
        <v/>
      </c>
      <c r="F1825" s="19">
        <f>IF($A1825="","",E1825+$H1825-1)</f>
        <v/>
      </c>
      <c r="G1825" s="18" t="n"/>
      <c r="H1825" s="18">
        <f>IF($A1825="","",IF(I1825&lt;&gt;"",I1825,Paramètres!B43))</f>
        <v/>
      </c>
      <c r="I1825" s="18" t="n"/>
    </row>
    <row r="1826">
      <c r="A1826" s="18">
        <f>IF(ISNUMBER(Dossiers!$D$37),Dossiers!$A$37&amp;" · "&amp;Dossiers!$B$37,"")</f>
        <v/>
      </c>
      <c r="B1826" s="18">
        <f>IF($A1826="","",Paramètres!G44)</f>
        <v/>
      </c>
      <c r="C1826" s="18">
        <f>IF($A1826="","",IF(Paramètres!H44="","",Paramètres!H44))</f>
        <v/>
      </c>
      <c r="D1826" s="18">
        <f>IF($A1826="","",IF(Paramètres!I44="","",Paramètres!I44))</f>
        <v/>
      </c>
      <c r="E1826" s="19">
        <f>IF($A1826="","",IF(Paramètres!J44&amp;Paramètres!L44&amp;Paramètres!N44="",Dossiers!$D$37,MAX(IF(Paramètres!J44="",0,IF(Paramètres!K44="",NA(),IF(LEFT(TRIM(Paramètres!K44),1)="F",INDEX($F$1787:$F$1839,MATCH(Paramètres!J44,Paramètres!$G$5:$G$57,0)),INDEX($E$1787:$E$1839,MATCH(Paramètres!J44,Paramètres!$G$5:$G$57,0)))+IF(RIGHT(TRIM(Paramètres!K44),3)="Fin",1-$H1826,IF(LEFT(TRIM(Paramètres!K44),1)="F",1,0)))),IF(Paramètres!L44="",0,IF(Paramètres!M44="",NA(),IF(LEFT(TRIM(Paramètres!M44),1)="F",INDEX($F$1787:$F$1839,MATCH(Paramètres!L44,Paramètres!$G$5:$G$57,0)),INDEX($E$1787:$E$1839,MATCH(Paramètres!L44,Paramètres!$G$5:$G$57,0)))+IF(RIGHT(TRIM(Paramètres!M44),3)="Fin",1-$H1826,IF(LEFT(TRIM(Paramètres!M44),1)="F",1,0)))),IF(Paramètres!N44="",0,IF(Paramètres!O44="",NA(),IF(LEFT(TRIM(Paramètres!O44),1)="F",INDEX($F$1787:$F$1839,MATCH(Paramètres!N44,Paramètres!$G$5:$G$57,0)),INDEX($E$1787:$E$1839,MATCH(Paramètres!N44,Paramètres!$G$5:$G$57,0)))+IF(RIGHT(TRIM(Paramètres!O44),3)="Fin",1-$H1826,IF(LEFT(TRIM(Paramètres!O44),1)="F",1,0)))))))</f>
        <v/>
      </c>
      <c r="F1826" s="19">
        <f>IF($A1826="","",E1826+$H1826-1)</f>
        <v/>
      </c>
      <c r="G1826" s="18" t="n"/>
      <c r="H1826" s="18">
        <f>IF($A1826="","",IF(I1826&lt;&gt;"",I1826,Paramètres!B44))</f>
        <v/>
      </c>
      <c r="I1826" s="18" t="n"/>
    </row>
    <row r="1827">
      <c r="A1827" s="18">
        <f>IF(ISNUMBER(Dossiers!$D$37),Dossiers!$A$37&amp;" · "&amp;Dossiers!$B$37,"")</f>
        <v/>
      </c>
      <c r="B1827" s="18">
        <f>IF($A1827="","",Paramètres!G45)</f>
        <v/>
      </c>
      <c r="C1827" s="20">
        <f>IF($A1827="","",IF(Dossiers!$G$37="","",Dossiers!$G$37))</f>
        <v/>
      </c>
      <c r="D1827" s="18">
        <f>IF($A1827="","",IF(Paramètres!I45="","",Paramètres!I45))</f>
        <v/>
      </c>
      <c r="E1827" s="19">
        <f>IF($A1827="","",IF(Paramètres!J45&amp;Paramètres!L45&amp;Paramètres!N45="",Dossiers!$D$37,MAX(IF(Paramètres!J45="",0,IF(Paramètres!K45="",NA(),IF(LEFT(TRIM(Paramètres!K45),1)="F",INDEX($F$1787:$F$1839,MATCH(Paramètres!J45,Paramètres!$G$5:$G$57,0)),INDEX($E$1787:$E$1839,MATCH(Paramètres!J45,Paramètres!$G$5:$G$57,0)))+IF(RIGHT(TRIM(Paramètres!K45),3)="Fin",1-$H1827,IF(LEFT(TRIM(Paramètres!K45),1)="F",1,0)))),IF(Paramètres!L45="",0,IF(Paramètres!M45="",NA(),IF(LEFT(TRIM(Paramètres!M45),1)="F",INDEX($F$1787:$F$1839,MATCH(Paramètres!L45,Paramètres!$G$5:$G$57,0)),INDEX($E$1787:$E$1839,MATCH(Paramètres!L45,Paramètres!$G$5:$G$57,0)))+IF(RIGHT(TRIM(Paramètres!M45),3)="Fin",1-$H1827,IF(LEFT(TRIM(Paramètres!M45),1)="F",1,0)))),IF(Paramètres!N45="",0,IF(Paramètres!O45="",NA(),IF(LEFT(TRIM(Paramètres!O45),1)="F",INDEX($F$1787:$F$1839,MATCH(Paramètres!N45,Paramètres!$G$5:$G$57,0)),INDEX($E$1787:$E$1839,MATCH(Paramètres!N45,Paramètres!$G$5:$G$57,0)))+IF(RIGHT(TRIM(Paramètres!O45),3)="Fin",1-$H1827,IF(LEFT(TRIM(Paramètres!O45),1)="F",1,0)))))))</f>
        <v/>
      </c>
      <c r="F1827" s="19">
        <f>IF($A1827="","",E1827+$H1827-1)</f>
        <v/>
      </c>
      <c r="G1827" s="18" t="n"/>
      <c r="H1827" s="18">
        <f>IF($A1827="","",IF(I1827&lt;&gt;"",I1827,Paramètres!B45))</f>
        <v/>
      </c>
      <c r="I1827" s="18" t="n"/>
    </row>
    <row r="1828">
      <c r="A1828" s="18">
        <f>IF(ISNUMBER(Dossiers!$D$37),Dossiers!$A$37&amp;" · "&amp;Dossiers!$B$37,"")</f>
        <v/>
      </c>
      <c r="B1828" s="18">
        <f>IF($A1828="","",Paramètres!G46)</f>
        <v/>
      </c>
      <c r="C1828" s="18">
        <f>IF($A1828="","",IF(Paramètres!H46="","",Paramètres!H46))</f>
        <v/>
      </c>
      <c r="D1828" s="18">
        <f>IF($A1828="","",IF(Paramètres!I46="","",Paramètres!I46))</f>
        <v/>
      </c>
      <c r="E1828" s="19">
        <f>IF($A1828="","",IF(Paramètres!J46&amp;Paramètres!L46&amp;Paramètres!N46="",Dossiers!$D$37,MAX(IF(Paramètres!J46="",0,IF(Paramètres!K46="",NA(),IF(LEFT(TRIM(Paramètres!K46),1)="F",INDEX($F$1787:$F$1839,MATCH(Paramètres!J46,Paramètres!$G$5:$G$57,0)),INDEX($E$1787:$E$1839,MATCH(Paramètres!J46,Paramètres!$G$5:$G$57,0)))+IF(RIGHT(TRIM(Paramètres!K46),3)="Fin",1-$H1828,IF(LEFT(TRIM(Paramètres!K46),1)="F",1,0)))),IF(Paramètres!L46="",0,IF(Paramètres!M46="",NA(),IF(LEFT(TRIM(Paramètres!M46),1)="F",INDEX($F$1787:$F$1839,MATCH(Paramètres!L46,Paramètres!$G$5:$G$57,0)),INDEX($E$1787:$E$1839,MATCH(Paramètres!L46,Paramètres!$G$5:$G$57,0)))+IF(RIGHT(TRIM(Paramètres!M46),3)="Fin",1-$H1828,IF(LEFT(TRIM(Paramètres!M46),1)="F",1,0)))),IF(Paramètres!N46="",0,IF(Paramètres!O46="",NA(),IF(LEFT(TRIM(Paramètres!O46),1)="F",INDEX($F$1787:$F$1839,MATCH(Paramètres!N46,Paramètres!$G$5:$G$57,0)),INDEX($E$1787:$E$1839,MATCH(Paramètres!N46,Paramètres!$G$5:$G$57,0)))+IF(RIGHT(TRIM(Paramètres!O46),3)="Fin",1-$H1828,IF(LEFT(TRIM(Paramètres!O46),1)="F",1,0)))))))</f>
        <v/>
      </c>
      <c r="F1828" s="19">
        <f>IF($A1828="","",E1828+$H1828-1)</f>
        <v/>
      </c>
      <c r="G1828" s="18" t="n"/>
      <c r="H1828" s="18">
        <f>IF($A1828="","",IF(I1828&lt;&gt;"",I1828,Paramètres!B46))</f>
        <v/>
      </c>
      <c r="I1828" s="18" t="n"/>
    </row>
    <row r="1829">
      <c r="A1829" s="18">
        <f>IF(ISNUMBER(Dossiers!$D$37),Dossiers!$A$37&amp;" · "&amp;Dossiers!$B$37,"")</f>
        <v/>
      </c>
      <c r="B1829" s="18">
        <f>IF($A1829="","",Paramètres!G47)</f>
        <v/>
      </c>
      <c r="C1829" s="18">
        <f>IF($A1829="","",IF(Paramètres!H47="","",Paramètres!H47))</f>
        <v/>
      </c>
      <c r="D1829" s="18">
        <f>IF($A1829="","",IF(Paramètres!I47="","",Paramètres!I47))</f>
        <v/>
      </c>
      <c r="E1829" s="19">
        <f>IF($A1829="","",IF(Paramètres!J47&amp;Paramètres!L47&amp;Paramètres!N47="",Dossiers!$D$37,MAX(IF(Paramètres!J47="",0,IF(Paramètres!K47="",NA(),IF(LEFT(TRIM(Paramètres!K47),1)="F",INDEX($F$1787:$F$1839,MATCH(Paramètres!J47,Paramètres!$G$5:$G$57,0)),INDEX($E$1787:$E$1839,MATCH(Paramètres!J47,Paramètres!$G$5:$G$57,0)))+IF(RIGHT(TRIM(Paramètres!K47),3)="Fin",1-$H1829,IF(LEFT(TRIM(Paramètres!K47),1)="F",1,0)))),IF(Paramètres!L47="",0,IF(Paramètres!M47="",NA(),IF(LEFT(TRIM(Paramètres!M47),1)="F",INDEX($F$1787:$F$1839,MATCH(Paramètres!L47,Paramètres!$G$5:$G$57,0)),INDEX($E$1787:$E$1839,MATCH(Paramètres!L47,Paramètres!$G$5:$G$57,0)))+IF(RIGHT(TRIM(Paramètres!M47),3)="Fin",1-$H1829,IF(LEFT(TRIM(Paramètres!M47),1)="F",1,0)))),IF(Paramètres!N47="",0,IF(Paramètres!O47="",NA(),IF(LEFT(TRIM(Paramètres!O47),1)="F",INDEX($F$1787:$F$1839,MATCH(Paramètres!N47,Paramètres!$G$5:$G$57,0)),INDEX($E$1787:$E$1839,MATCH(Paramètres!N47,Paramètres!$G$5:$G$57,0)))+IF(RIGHT(TRIM(Paramètres!O47),3)="Fin",1-$H1829,IF(LEFT(TRIM(Paramètres!O47),1)="F",1,0)))))))</f>
        <v/>
      </c>
      <c r="F1829" s="19">
        <f>IF($A1829="","",E1829+$H1829-1)</f>
        <v/>
      </c>
      <c r="G1829" s="18" t="n"/>
      <c r="H1829" s="18">
        <f>IF($A1829="","",IF(I1829&lt;&gt;"",I1829,Paramètres!B47))</f>
        <v/>
      </c>
      <c r="I1829" s="18" t="n"/>
    </row>
    <row r="1830">
      <c r="A1830" s="18">
        <f>IF(ISNUMBER(Dossiers!$D$37),Dossiers!$A$37&amp;" · "&amp;Dossiers!$B$37,"")</f>
        <v/>
      </c>
      <c r="B1830" s="18">
        <f>IF($A1830="","",Paramètres!G48)</f>
        <v/>
      </c>
      <c r="C1830" s="18">
        <f>IF($A1830="","",IF(Paramètres!H48="","",Paramètres!H48))</f>
        <v/>
      </c>
      <c r="D1830" s="18">
        <f>IF($A1830="","",IF(Paramètres!I48="","",Paramètres!I48))</f>
        <v/>
      </c>
      <c r="E1830" s="19">
        <f>IF($A1830="","",IF(Paramètres!J48&amp;Paramètres!L48&amp;Paramètres!N48="",Dossiers!$D$37,MAX(IF(Paramètres!J48="",0,IF(Paramètres!K48="",NA(),IF(LEFT(TRIM(Paramètres!K48),1)="F",INDEX($F$1787:$F$1839,MATCH(Paramètres!J48,Paramètres!$G$5:$G$57,0)),INDEX($E$1787:$E$1839,MATCH(Paramètres!J48,Paramètres!$G$5:$G$57,0)))+IF(RIGHT(TRIM(Paramètres!K48),3)="Fin",1-$H1830,IF(LEFT(TRIM(Paramètres!K48),1)="F",1,0)))),IF(Paramètres!L48="",0,IF(Paramètres!M48="",NA(),IF(LEFT(TRIM(Paramètres!M48),1)="F",INDEX($F$1787:$F$1839,MATCH(Paramètres!L48,Paramètres!$G$5:$G$57,0)),INDEX($E$1787:$E$1839,MATCH(Paramètres!L48,Paramètres!$G$5:$G$57,0)))+IF(RIGHT(TRIM(Paramètres!M48),3)="Fin",1-$H1830,IF(LEFT(TRIM(Paramètres!M48),1)="F",1,0)))),IF(Paramètres!N48="",0,IF(Paramètres!O48="",NA(),IF(LEFT(TRIM(Paramètres!O48),1)="F",INDEX($F$1787:$F$1839,MATCH(Paramètres!N48,Paramètres!$G$5:$G$57,0)),INDEX($E$1787:$E$1839,MATCH(Paramètres!N48,Paramètres!$G$5:$G$57,0)))+IF(RIGHT(TRIM(Paramètres!O48),3)="Fin",1-$H1830,IF(LEFT(TRIM(Paramètres!O48),1)="F",1,0)))))))</f>
        <v/>
      </c>
      <c r="F1830" s="19">
        <f>IF($A1830="","",E1830+$H1830-1)</f>
        <v/>
      </c>
      <c r="G1830" s="18" t="n"/>
      <c r="H1830" s="18">
        <f>IF($A1830="","",IF(I1830&lt;&gt;"",I1830,Paramètres!B48))</f>
        <v/>
      </c>
      <c r="I1830" s="18" t="n"/>
    </row>
    <row r="1831">
      <c r="A1831" s="18">
        <f>IF(ISNUMBER(Dossiers!$D$37),Dossiers!$A$37&amp;" · "&amp;Dossiers!$B$37,"")</f>
        <v/>
      </c>
      <c r="B1831" s="18">
        <f>IF($A1831="","",Paramètres!G49)</f>
        <v/>
      </c>
      <c r="C1831" s="18">
        <f>IF($A1831="","",IF(Paramètres!H49="","",Paramètres!H49))</f>
        <v/>
      </c>
      <c r="D1831" s="18">
        <f>IF($A1831="","",IF(Paramètres!I49="","",Paramètres!I49))</f>
        <v/>
      </c>
      <c r="E1831" s="19">
        <f>IF($A1831="","",IF(Paramètres!J49&amp;Paramètres!L49&amp;Paramètres!N49="",Dossiers!$D$37,MAX(IF(Paramètres!J49="",0,IF(Paramètres!K49="",NA(),IF(LEFT(TRIM(Paramètres!K49),1)="F",INDEX($F$1787:$F$1839,MATCH(Paramètres!J49,Paramètres!$G$5:$G$57,0)),INDEX($E$1787:$E$1839,MATCH(Paramètres!J49,Paramètres!$G$5:$G$57,0)))+IF(RIGHT(TRIM(Paramètres!K49),3)="Fin",1-$H1831,IF(LEFT(TRIM(Paramètres!K49),1)="F",1,0)))),IF(Paramètres!L49="",0,IF(Paramètres!M49="",NA(),IF(LEFT(TRIM(Paramètres!M49),1)="F",INDEX($F$1787:$F$1839,MATCH(Paramètres!L49,Paramètres!$G$5:$G$57,0)),INDEX($E$1787:$E$1839,MATCH(Paramètres!L49,Paramètres!$G$5:$G$57,0)))+IF(RIGHT(TRIM(Paramètres!M49),3)="Fin",1-$H1831,IF(LEFT(TRIM(Paramètres!M49),1)="F",1,0)))),IF(Paramètres!N49="",0,IF(Paramètres!O49="",NA(),IF(LEFT(TRIM(Paramètres!O49),1)="F",INDEX($F$1787:$F$1839,MATCH(Paramètres!N49,Paramètres!$G$5:$G$57,0)),INDEX($E$1787:$E$1839,MATCH(Paramètres!N49,Paramètres!$G$5:$G$57,0)))+IF(RIGHT(TRIM(Paramètres!O49),3)="Fin",1-$H1831,IF(LEFT(TRIM(Paramètres!O49),1)="F",1,0)))))))</f>
        <v/>
      </c>
      <c r="F1831" s="19">
        <f>IF($A1831="","",E1831+$H1831-1)</f>
        <v/>
      </c>
      <c r="G1831" s="18" t="n"/>
      <c r="H1831" s="18">
        <f>IF($A1831="","",IF(I1831&lt;&gt;"",I1831,Paramètres!B49))</f>
        <v/>
      </c>
      <c r="I1831" s="18" t="n"/>
    </row>
    <row r="1832">
      <c r="A1832" s="18">
        <f>IF(ISNUMBER(Dossiers!$D$37),Dossiers!$A$37&amp;" · "&amp;Dossiers!$B$37,"")</f>
        <v/>
      </c>
      <c r="B1832" s="18">
        <f>IF($A1832="","",Paramètres!G50)</f>
        <v/>
      </c>
      <c r="C1832" s="18">
        <f>IF($A1832="","",IF(Paramètres!H50="","",Paramètres!H50))</f>
        <v/>
      </c>
      <c r="D1832" s="18">
        <f>IF($A1832="","",IF(Paramètres!I50="","",Paramètres!I50))</f>
        <v/>
      </c>
      <c r="E1832" s="19">
        <f>IF($A1832="","",IF(Paramètres!J50&amp;Paramètres!L50&amp;Paramètres!N50="",Dossiers!$D$37,MAX(IF(Paramètres!J50="",0,IF(Paramètres!K50="",NA(),IF(LEFT(TRIM(Paramètres!K50),1)="F",INDEX($F$1787:$F$1839,MATCH(Paramètres!J50,Paramètres!$G$5:$G$57,0)),INDEX($E$1787:$E$1839,MATCH(Paramètres!J50,Paramètres!$G$5:$G$57,0)))+IF(RIGHT(TRIM(Paramètres!K50),3)="Fin",1-$H1832,IF(LEFT(TRIM(Paramètres!K50),1)="F",1,0)))),IF(Paramètres!L50="",0,IF(Paramètres!M50="",NA(),IF(LEFT(TRIM(Paramètres!M50),1)="F",INDEX($F$1787:$F$1839,MATCH(Paramètres!L50,Paramètres!$G$5:$G$57,0)),INDEX($E$1787:$E$1839,MATCH(Paramètres!L50,Paramètres!$G$5:$G$57,0)))+IF(RIGHT(TRIM(Paramètres!M50),3)="Fin",1-$H1832,IF(LEFT(TRIM(Paramètres!M50),1)="F",1,0)))),IF(Paramètres!N50="",0,IF(Paramètres!O50="",NA(),IF(LEFT(TRIM(Paramètres!O50),1)="F",INDEX($F$1787:$F$1839,MATCH(Paramètres!N50,Paramètres!$G$5:$G$57,0)),INDEX($E$1787:$E$1839,MATCH(Paramètres!N50,Paramètres!$G$5:$G$57,0)))+IF(RIGHT(TRIM(Paramètres!O50),3)="Fin",1-$H1832,IF(LEFT(TRIM(Paramètres!O50),1)="F",1,0)))))))</f>
        <v/>
      </c>
      <c r="F1832" s="19">
        <f>IF($A1832="","",E1832+$H1832-1)</f>
        <v/>
      </c>
      <c r="G1832" s="18" t="n"/>
      <c r="H1832" s="18">
        <f>IF($A1832="","",IF(I1832&lt;&gt;"",I1832,Paramètres!B50))</f>
        <v/>
      </c>
      <c r="I1832" s="18" t="n"/>
    </row>
    <row r="1833">
      <c r="A1833" s="18">
        <f>IF(ISNUMBER(Dossiers!$D$37),Dossiers!$A$37&amp;" · "&amp;Dossiers!$B$37,"")</f>
        <v/>
      </c>
      <c r="B1833" s="18">
        <f>IF($A1833="","",Paramètres!G51)</f>
        <v/>
      </c>
      <c r="C1833" s="18">
        <f>IF($A1833="","",IF(Paramètres!H51="","",Paramètres!H51))</f>
        <v/>
      </c>
      <c r="D1833" s="18">
        <f>IF($A1833="","",IF(Paramètres!I51="","",Paramètres!I51))</f>
        <v/>
      </c>
      <c r="E1833" s="19">
        <f>IF($A1833="","",IF(Paramètres!J51&amp;Paramètres!L51&amp;Paramètres!N51="",Dossiers!$D$37,MAX(IF(Paramètres!J51="",0,IF(Paramètres!K51="",NA(),IF(LEFT(TRIM(Paramètres!K51),1)="F",INDEX($F$1787:$F$1839,MATCH(Paramètres!J51,Paramètres!$G$5:$G$57,0)),INDEX($E$1787:$E$1839,MATCH(Paramètres!J51,Paramètres!$G$5:$G$57,0)))+IF(RIGHT(TRIM(Paramètres!K51),3)="Fin",1-$H1833,IF(LEFT(TRIM(Paramètres!K51),1)="F",1,0)))),IF(Paramètres!L51="",0,IF(Paramètres!M51="",NA(),IF(LEFT(TRIM(Paramètres!M51),1)="F",INDEX($F$1787:$F$1839,MATCH(Paramètres!L51,Paramètres!$G$5:$G$57,0)),INDEX($E$1787:$E$1839,MATCH(Paramètres!L51,Paramètres!$G$5:$G$57,0)))+IF(RIGHT(TRIM(Paramètres!M51),3)="Fin",1-$H1833,IF(LEFT(TRIM(Paramètres!M51),1)="F",1,0)))),IF(Paramètres!N51="",0,IF(Paramètres!O51="",NA(),IF(LEFT(TRIM(Paramètres!O51),1)="F",INDEX($F$1787:$F$1839,MATCH(Paramètres!N51,Paramètres!$G$5:$G$57,0)),INDEX($E$1787:$E$1839,MATCH(Paramètres!N51,Paramètres!$G$5:$G$57,0)))+IF(RIGHT(TRIM(Paramètres!O51),3)="Fin",1-$H1833,IF(LEFT(TRIM(Paramètres!O51),1)="F",1,0)))))))</f>
        <v/>
      </c>
      <c r="F1833" s="19">
        <f>IF($A1833="","",E1833+$H1833-1)</f>
        <v/>
      </c>
      <c r="G1833" s="18" t="n"/>
      <c r="H1833" s="18">
        <f>IF($A1833="","",IF(I1833&lt;&gt;"",I1833,Paramètres!B51))</f>
        <v/>
      </c>
      <c r="I1833" s="18" t="n"/>
    </row>
    <row r="1834">
      <c r="A1834" s="18">
        <f>IF(ISNUMBER(Dossiers!$D$37),Dossiers!$A$37&amp;" · "&amp;Dossiers!$B$37,"")</f>
        <v/>
      </c>
      <c r="B1834" s="18">
        <f>IF($A1834="","",Paramètres!G52)</f>
        <v/>
      </c>
      <c r="C1834" s="18">
        <f>IF($A1834="","",IF(Paramètres!H52="","",Paramètres!H52))</f>
        <v/>
      </c>
      <c r="D1834" s="18">
        <f>IF($A1834="","",IF(Paramètres!I52="","",Paramètres!I52))</f>
        <v/>
      </c>
      <c r="E1834" s="19">
        <f>IF($A1834="","",IF(Paramètres!J52&amp;Paramètres!L52&amp;Paramètres!N52="",Dossiers!$D$37,MAX(IF(Paramètres!J52="",0,IF(Paramètres!K52="",NA(),IF(LEFT(TRIM(Paramètres!K52),1)="F",INDEX($F$1787:$F$1839,MATCH(Paramètres!J52,Paramètres!$G$5:$G$57,0)),INDEX($E$1787:$E$1839,MATCH(Paramètres!J52,Paramètres!$G$5:$G$57,0)))+IF(RIGHT(TRIM(Paramètres!K52),3)="Fin",1-$H1834,IF(LEFT(TRIM(Paramètres!K52),1)="F",1,0)))),IF(Paramètres!L52="",0,IF(Paramètres!M52="",NA(),IF(LEFT(TRIM(Paramètres!M52),1)="F",INDEX($F$1787:$F$1839,MATCH(Paramètres!L52,Paramètres!$G$5:$G$57,0)),INDEX($E$1787:$E$1839,MATCH(Paramètres!L52,Paramètres!$G$5:$G$57,0)))+IF(RIGHT(TRIM(Paramètres!M52),3)="Fin",1-$H1834,IF(LEFT(TRIM(Paramètres!M52),1)="F",1,0)))),IF(Paramètres!N52="",0,IF(Paramètres!O52="",NA(),IF(LEFT(TRIM(Paramètres!O52),1)="F",INDEX($F$1787:$F$1839,MATCH(Paramètres!N52,Paramètres!$G$5:$G$57,0)),INDEX($E$1787:$E$1839,MATCH(Paramètres!N52,Paramètres!$G$5:$G$57,0)))+IF(RIGHT(TRIM(Paramètres!O52),3)="Fin",1-$H1834,IF(LEFT(TRIM(Paramètres!O52),1)="F",1,0)))))))</f>
        <v/>
      </c>
      <c r="F1834" s="19">
        <f>IF($A1834="","",E1834+$H1834-1)</f>
        <v/>
      </c>
      <c r="G1834" s="18" t="n"/>
      <c r="H1834" s="18">
        <f>IF($A1834="","",IF(I1834&lt;&gt;"",I1834,Paramètres!B52))</f>
        <v/>
      </c>
      <c r="I1834" s="18" t="n"/>
    </row>
    <row r="1835">
      <c r="A1835" s="18">
        <f>IF(ISNUMBER(Dossiers!$D$37),Dossiers!$A$37&amp;" · "&amp;Dossiers!$B$37,"")</f>
        <v/>
      </c>
      <c r="B1835" s="18">
        <f>IF($A1835="","",Paramètres!G53)</f>
        <v/>
      </c>
      <c r="C1835" s="18">
        <f>IF($A1835="","",IF(Paramètres!H53="","",Paramètres!H53))</f>
        <v/>
      </c>
      <c r="D1835" s="18">
        <f>IF($A1835="","",IF(Paramètres!I53="","",Paramètres!I53))</f>
        <v/>
      </c>
      <c r="E1835" s="19">
        <f>IF($A1835="","",IF(Paramètres!J53&amp;Paramètres!L53&amp;Paramètres!N53="",Dossiers!$D$37,MAX(IF(Paramètres!J53="",0,IF(Paramètres!K53="",NA(),IF(LEFT(TRIM(Paramètres!K53),1)="F",INDEX($F$1787:$F$1839,MATCH(Paramètres!J53,Paramètres!$G$5:$G$57,0)),INDEX($E$1787:$E$1839,MATCH(Paramètres!J53,Paramètres!$G$5:$G$57,0)))+IF(RIGHT(TRIM(Paramètres!K53),3)="Fin",1-$H1835,IF(LEFT(TRIM(Paramètres!K53),1)="F",1,0)))),IF(Paramètres!L53="",0,IF(Paramètres!M53="",NA(),IF(LEFT(TRIM(Paramètres!M53),1)="F",INDEX($F$1787:$F$1839,MATCH(Paramètres!L53,Paramètres!$G$5:$G$57,0)),INDEX($E$1787:$E$1839,MATCH(Paramètres!L53,Paramètres!$G$5:$G$57,0)))+IF(RIGHT(TRIM(Paramètres!M53),3)="Fin",1-$H1835,IF(LEFT(TRIM(Paramètres!M53),1)="F",1,0)))),IF(Paramètres!N53="",0,IF(Paramètres!O53="",NA(),IF(LEFT(TRIM(Paramètres!O53),1)="F",INDEX($F$1787:$F$1839,MATCH(Paramètres!N53,Paramètres!$G$5:$G$57,0)),INDEX($E$1787:$E$1839,MATCH(Paramètres!N53,Paramètres!$G$5:$G$57,0)))+IF(RIGHT(TRIM(Paramètres!O53),3)="Fin",1-$H1835,IF(LEFT(TRIM(Paramètres!O53),1)="F",1,0)))))))</f>
        <v/>
      </c>
      <c r="F1835" s="19">
        <f>IF($A1835="","",E1835+$H1835-1)</f>
        <v/>
      </c>
      <c r="G1835" s="18" t="n"/>
      <c r="H1835" s="18">
        <f>IF($A1835="","",IF(I1835&lt;&gt;"",I1835,Paramètres!B53))</f>
        <v/>
      </c>
      <c r="I1835" s="18" t="n"/>
    </row>
    <row r="1836">
      <c r="A1836" s="18">
        <f>IF(ISNUMBER(Dossiers!$D$37),Dossiers!$A$37&amp;" · "&amp;Dossiers!$B$37,"")</f>
        <v/>
      </c>
      <c r="B1836" s="18">
        <f>IF($A1836="","",Paramètres!G54)</f>
        <v/>
      </c>
      <c r="C1836" s="18">
        <f>IF($A1836="","",IF(Paramètres!H54="","",Paramètres!H54))</f>
        <v/>
      </c>
      <c r="D1836" s="18">
        <f>IF($A1836="","",IF(Paramètres!I54="","",Paramètres!I54))</f>
        <v/>
      </c>
      <c r="E1836" s="19">
        <f>IF($A1836="","",IF(Paramètres!J54&amp;Paramètres!L54&amp;Paramètres!N54="",Dossiers!$D$37,MAX(IF(Paramètres!J54="",0,IF(Paramètres!K54="",NA(),IF(LEFT(TRIM(Paramètres!K54),1)="F",INDEX($F$1787:$F$1839,MATCH(Paramètres!J54,Paramètres!$G$5:$G$57,0)),INDEX($E$1787:$E$1839,MATCH(Paramètres!J54,Paramètres!$G$5:$G$57,0)))+IF(RIGHT(TRIM(Paramètres!K54),3)="Fin",1-$H1836,IF(LEFT(TRIM(Paramètres!K54),1)="F",1,0)))),IF(Paramètres!L54="",0,IF(Paramètres!M54="",NA(),IF(LEFT(TRIM(Paramètres!M54),1)="F",INDEX($F$1787:$F$1839,MATCH(Paramètres!L54,Paramètres!$G$5:$G$57,0)),INDEX($E$1787:$E$1839,MATCH(Paramètres!L54,Paramètres!$G$5:$G$57,0)))+IF(RIGHT(TRIM(Paramètres!M54),3)="Fin",1-$H1836,IF(LEFT(TRIM(Paramètres!M54),1)="F",1,0)))),IF(Paramètres!N54="",0,IF(Paramètres!O54="",NA(),IF(LEFT(TRIM(Paramètres!O54),1)="F",INDEX($F$1787:$F$1839,MATCH(Paramètres!N54,Paramètres!$G$5:$G$57,0)),INDEX($E$1787:$E$1839,MATCH(Paramètres!N54,Paramètres!$G$5:$G$57,0)))+IF(RIGHT(TRIM(Paramètres!O54),3)="Fin",1-$H1836,IF(LEFT(TRIM(Paramètres!O54),1)="F",1,0)))))))</f>
        <v/>
      </c>
      <c r="F1836" s="19">
        <f>IF($A1836="","",E1836+$H1836-1)</f>
        <v/>
      </c>
      <c r="G1836" s="18" t="n"/>
      <c r="H1836" s="18">
        <f>IF($A1836="","",IF(I1836&lt;&gt;"",I1836,Paramètres!B54))</f>
        <v/>
      </c>
      <c r="I1836" s="18" t="n"/>
    </row>
    <row r="1837">
      <c r="A1837" s="18">
        <f>IF(ISNUMBER(Dossiers!$D$37),Dossiers!$A$37&amp;" · "&amp;Dossiers!$B$37,"")</f>
        <v/>
      </c>
      <c r="B1837" s="18">
        <f>IF($A1837="","",Paramètres!G55)</f>
        <v/>
      </c>
      <c r="C1837" s="18">
        <f>IF($A1837="","",IF(Paramètres!H55="","",Paramètres!H55))</f>
        <v/>
      </c>
      <c r="D1837" s="18">
        <f>IF($A1837="","",IF(Paramètres!I55="","",Paramètres!I55))</f>
        <v/>
      </c>
      <c r="E1837" s="19">
        <f>IF($A1837="","",IF(Paramètres!J55&amp;Paramètres!L55&amp;Paramètres!N55="",Dossiers!$D$37,MAX(IF(Paramètres!J55="",0,IF(Paramètres!K55="",NA(),IF(LEFT(TRIM(Paramètres!K55),1)="F",INDEX($F$1787:$F$1839,MATCH(Paramètres!J55,Paramètres!$G$5:$G$57,0)),INDEX($E$1787:$E$1839,MATCH(Paramètres!J55,Paramètres!$G$5:$G$57,0)))+IF(RIGHT(TRIM(Paramètres!K55),3)="Fin",1-$H1837,IF(LEFT(TRIM(Paramètres!K55),1)="F",1,0)))),IF(Paramètres!L55="",0,IF(Paramètres!M55="",NA(),IF(LEFT(TRIM(Paramètres!M55),1)="F",INDEX($F$1787:$F$1839,MATCH(Paramètres!L55,Paramètres!$G$5:$G$57,0)),INDEX($E$1787:$E$1839,MATCH(Paramètres!L55,Paramètres!$G$5:$G$57,0)))+IF(RIGHT(TRIM(Paramètres!M55),3)="Fin",1-$H1837,IF(LEFT(TRIM(Paramètres!M55),1)="F",1,0)))),IF(Paramètres!N55="",0,IF(Paramètres!O55="",NA(),IF(LEFT(TRIM(Paramètres!O55),1)="F",INDEX($F$1787:$F$1839,MATCH(Paramètres!N55,Paramètres!$G$5:$G$57,0)),INDEX($E$1787:$E$1839,MATCH(Paramètres!N55,Paramètres!$G$5:$G$57,0)))+IF(RIGHT(TRIM(Paramètres!O55),3)="Fin",1-$H1837,IF(LEFT(TRIM(Paramètres!O55),1)="F",1,0)))))))</f>
        <v/>
      </c>
      <c r="F1837" s="19">
        <f>IF($A1837="","",E1837+$H1837-1)</f>
        <v/>
      </c>
      <c r="G1837" s="18" t="n"/>
      <c r="H1837" s="18">
        <f>IF($A1837="","",IF(I1837&lt;&gt;"",I1837,Paramètres!B55))</f>
        <v/>
      </c>
      <c r="I1837" s="18" t="n"/>
    </row>
    <row r="1838">
      <c r="A1838" s="18">
        <f>IF(ISNUMBER(Dossiers!$D$37),Dossiers!$A$37&amp;" · "&amp;Dossiers!$B$37,"")</f>
        <v/>
      </c>
      <c r="B1838" s="18">
        <f>IF($A1838="","",Paramètres!G56)</f>
        <v/>
      </c>
      <c r="C1838" s="18">
        <f>IF($A1838="","",IF(Paramètres!H56="","",Paramètres!H56))</f>
        <v/>
      </c>
      <c r="D1838" s="18">
        <f>IF($A1838="","",IF(Paramètres!I56="","",Paramètres!I56))</f>
        <v/>
      </c>
      <c r="E1838" s="19">
        <f>IF($A1838="","",MIN(E1839:E1839))</f>
        <v/>
      </c>
      <c r="F1838" s="19">
        <f>IF($A1838="","",MAX(F1839:F1839))</f>
        <v/>
      </c>
      <c r="G1838" s="18" t="n"/>
      <c r="H1838" s="18">
        <f>IF($A1838="","",F1838-E1838+1)</f>
        <v/>
      </c>
      <c r="I1838" s="18" t="n"/>
    </row>
    <row r="1839">
      <c r="A1839" s="18">
        <f>IF(ISNUMBER(Dossiers!$D$37),Dossiers!$A$37&amp;" · "&amp;Dossiers!$B$37,"")</f>
        <v/>
      </c>
      <c r="B1839" s="18">
        <f>IF($A1839="","",Paramètres!G57)</f>
        <v/>
      </c>
      <c r="C1839" s="18">
        <f>IF($A1839="","",IF(Paramètres!H57="","",Paramètres!H57))</f>
        <v/>
      </c>
      <c r="D1839" s="18">
        <f>IF($A1839="","",IF(Paramètres!I57="","",Paramètres!I57))</f>
        <v/>
      </c>
      <c r="E1839" s="19">
        <f>IF($A1839="","",IF(Paramètres!J57&amp;Paramètres!L57&amp;Paramètres!N57="",Dossiers!$D$37,MAX(IF(Paramètres!J57="",0,IF(Paramètres!K57="",NA(),IF(LEFT(TRIM(Paramètres!K57),1)="F",INDEX($F$1787:$F$1839,MATCH(Paramètres!J57,Paramètres!$G$5:$G$57,0)),INDEX($E$1787:$E$1839,MATCH(Paramètres!J57,Paramètres!$G$5:$G$57,0)))+IF(RIGHT(TRIM(Paramètres!K57),3)="Fin",1-$H1839,IF(LEFT(TRIM(Paramètres!K57),1)="F",1,0)))),IF(Paramètres!L57="",0,IF(Paramètres!M57="",NA(),IF(LEFT(TRIM(Paramètres!M57),1)="F",INDEX($F$1787:$F$1839,MATCH(Paramètres!L57,Paramètres!$G$5:$G$57,0)),INDEX($E$1787:$E$1839,MATCH(Paramètres!L57,Paramètres!$G$5:$G$57,0)))+IF(RIGHT(TRIM(Paramètres!M57),3)="Fin",1-$H1839,IF(LEFT(TRIM(Paramètres!M57),1)="F",1,0)))),IF(Paramètres!N57="",0,IF(Paramètres!O57="",NA(),IF(LEFT(TRIM(Paramètres!O57),1)="F",INDEX($F$1787:$F$1839,MATCH(Paramètres!N57,Paramètres!$G$5:$G$57,0)),INDEX($E$1787:$E$1839,MATCH(Paramètres!N57,Paramètres!$G$5:$G$57,0)))+IF(RIGHT(TRIM(Paramètres!O57),3)="Fin",1-$H1839,IF(LEFT(TRIM(Paramètres!O57),1)="F",1,0)))))))</f>
        <v/>
      </c>
      <c r="F1839" s="19">
        <f>IF($A1839="","",E1839+$H1839-1)</f>
        <v/>
      </c>
      <c r="G1839" s="18" t="n"/>
      <c r="H1839" s="18">
        <f>IF($A1839="","",IF(I1839&lt;&gt;"",I1839,Paramètres!B57))</f>
        <v/>
      </c>
      <c r="I1839" s="18" t="n"/>
    </row>
    <row r="1840">
      <c r="A1840" s="16">
        <f>IF(ISNUMBER(Dossiers!$D$38),Dossiers!$E$38,"")</f>
        <v/>
      </c>
      <c r="B1840" s="16">
        <f>IF($A1840="","","Identifiant")</f>
        <v/>
      </c>
      <c r="C1840" s="16">
        <f>IF($A1840="","","Macro Etape")</f>
        <v/>
      </c>
      <c r="D1840" s="16">
        <f>IF($A1840="","","Etape")</f>
        <v/>
      </c>
      <c r="E1840" s="17">
        <f>IF($A1840="","","Début le")</f>
        <v/>
      </c>
      <c r="F1840" s="17">
        <f>IF($A1840="","","Fin prévue le")</f>
        <v/>
      </c>
      <c r="G1840" s="16">
        <f>IF($A1840="","","Statut")</f>
        <v/>
      </c>
      <c r="H1840" s="16">
        <f>IF($A1840="","","Durée (jours)")</f>
        <v/>
      </c>
      <c r="I1840" s="16">
        <f>IF($A1840="","","Durée particulière")</f>
        <v/>
      </c>
      <c r="J1840" s="10">
        <f>IF($A1840="","",HYPERLINK("#'Tableau de bord'!A1","↑ Tableau de bord"))</f>
        <v/>
      </c>
    </row>
    <row r="1841">
      <c r="A1841" s="18">
        <f>IF(ISNUMBER(Dossiers!$D$38),Dossiers!$A$38&amp;" · "&amp;Dossiers!$B$38,"")</f>
        <v/>
      </c>
      <c r="B1841" s="18">
        <f>IF($A1841="","",Paramètres!G5)</f>
        <v/>
      </c>
      <c r="C1841" s="18">
        <f>IF($A1841="","",IF(Paramètres!H5="","",Paramètres!H5))</f>
        <v/>
      </c>
      <c r="D1841" s="18">
        <f>IF($A1841="","",IF(Paramètres!I5="","",Paramètres!I5))</f>
        <v/>
      </c>
      <c r="E1841" s="19">
        <f>IF($A1841="","",MIN(E1842:E1845))</f>
        <v/>
      </c>
      <c r="F1841" s="19">
        <f>IF($A1841="","",MAX(F1842:F1845))</f>
        <v/>
      </c>
      <c r="G1841" s="18" t="n"/>
      <c r="H1841" s="18">
        <f>IF($A1841="","",F1841-E1841+1)</f>
        <v/>
      </c>
      <c r="I1841" s="18" t="n"/>
    </row>
    <row r="1842">
      <c r="A1842" s="18">
        <f>IF(ISNUMBER(Dossiers!$D$38),Dossiers!$A$38&amp;" · "&amp;Dossiers!$B$38,"")</f>
        <v/>
      </c>
      <c r="B1842" s="18">
        <f>IF($A1842="","",Paramètres!G6)</f>
        <v/>
      </c>
      <c r="C1842" s="18">
        <f>IF($A1842="","",IF(Paramètres!H6="","",Paramètres!H6))</f>
        <v/>
      </c>
      <c r="D1842" s="18">
        <f>IF($A1842="","",IF(Paramètres!I6="","",Paramètres!I6))</f>
        <v/>
      </c>
      <c r="E1842" s="19">
        <f>IF($A1842="","",IF(Paramètres!J6&amp;Paramètres!L6&amp;Paramètres!N6="",Dossiers!$D$38,MAX(IF(Paramètres!J6="",0,IF(Paramètres!K6="",NA(),IF(LEFT(TRIM(Paramètres!K6),1)="F",INDEX($F$1841:$F$1893,MATCH(Paramètres!J6,Paramètres!$G$5:$G$57,0)),INDEX($E$1841:$E$1893,MATCH(Paramètres!J6,Paramètres!$G$5:$G$57,0)))+IF(RIGHT(TRIM(Paramètres!K6),3)="Fin",1-$H1842,IF(LEFT(TRIM(Paramètres!K6),1)="F",1,0)))),IF(Paramètres!L6="",0,IF(Paramètres!M6="",NA(),IF(LEFT(TRIM(Paramètres!M6),1)="F",INDEX($F$1841:$F$1893,MATCH(Paramètres!L6,Paramètres!$G$5:$G$57,0)),INDEX($E$1841:$E$1893,MATCH(Paramètres!L6,Paramètres!$G$5:$G$57,0)))+IF(RIGHT(TRIM(Paramètres!M6),3)="Fin",1-$H1842,IF(LEFT(TRIM(Paramètres!M6),1)="F",1,0)))),IF(Paramètres!N6="",0,IF(Paramètres!O6="",NA(),IF(LEFT(TRIM(Paramètres!O6),1)="F",INDEX($F$1841:$F$1893,MATCH(Paramètres!N6,Paramètres!$G$5:$G$57,0)),INDEX($E$1841:$E$1893,MATCH(Paramètres!N6,Paramètres!$G$5:$G$57,0)))+IF(RIGHT(TRIM(Paramètres!O6),3)="Fin",1-$H1842,IF(LEFT(TRIM(Paramètres!O6),1)="F",1,0)))))))</f>
        <v/>
      </c>
      <c r="F1842" s="19">
        <f>IF($A1842="","",E1842+$H1842-1)</f>
        <v/>
      </c>
      <c r="G1842" s="18" t="n"/>
      <c r="H1842" s="18">
        <f>IF($A1842="","",IF(I1842&lt;&gt;"",I1842,Paramètres!B6))</f>
        <v/>
      </c>
      <c r="I1842" s="18" t="n"/>
    </row>
    <row r="1843">
      <c r="A1843" s="18">
        <f>IF(ISNUMBER(Dossiers!$D$38),Dossiers!$A$38&amp;" · "&amp;Dossiers!$B$38,"")</f>
        <v/>
      </c>
      <c r="B1843" s="18">
        <f>IF($A1843="","",Paramètres!G7)</f>
        <v/>
      </c>
      <c r="C1843" s="18">
        <f>IF($A1843="","",IF(Paramètres!H7="","",Paramètres!H7))</f>
        <v/>
      </c>
      <c r="D1843" s="18">
        <f>IF($A1843="","",IF(Paramètres!I7="","",Paramètres!I7))</f>
        <v/>
      </c>
      <c r="E1843" s="19">
        <f>IF($A1843="","",IF(Paramètres!J7&amp;Paramètres!L7&amp;Paramètres!N7="",Dossiers!$D$38,MAX(IF(Paramètres!J7="",0,IF(Paramètres!K7="",NA(),IF(LEFT(TRIM(Paramètres!K7),1)="F",INDEX($F$1841:$F$1893,MATCH(Paramètres!J7,Paramètres!$G$5:$G$57,0)),INDEX($E$1841:$E$1893,MATCH(Paramètres!J7,Paramètres!$G$5:$G$57,0)))+IF(RIGHT(TRIM(Paramètres!K7),3)="Fin",1-$H1843,IF(LEFT(TRIM(Paramètres!K7),1)="F",1,0)))),IF(Paramètres!L7="",0,IF(Paramètres!M7="",NA(),IF(LEFT(TRIM(Paramètres!M7),1)="F",INDEX($F$1841:$F$1893,MATCH(Paramètres!L7,Paramètres!$G$5:$G$57,0)),INDEX($E$1841:$E$1893,MATCH(Paramètres!L7,Paramètres!$G$5:$G$57,0)))+IF(RIGHT(TRIM(Paramètres!M7),3)="Fin",1-$H1843,IF(LEFT(TRIM(Paramètres!M7),1)="F",1,0)))),IF(Paramètres!N7="",0,IF(Paramètres!O7="",NA(),IF(LEFT(TRIM(Paramètres!O7),1)="F",INDEX($F$1841:$F$1893,MATCH(Paramètres!N7,Paramètres!$G$5:$G$57,0)),INDEX($E$1841:$E$1893,MATCH(Paramètres!N7,Paramètres!$G$5:$G$57,0)))+IF(RIGHT(TRIM(Paramètres!O7),3)="Fin",1-$H1843,IF(LEFT(TRIM(Paramètres!O7),1)="F",1,0)))))))</f>
        <v/>
      </c>
      <c r="F1843" s="19">
        <f>IF($A1843="","",E1843+$H1843-1)</f>
        <v/>
      </c>
      <c r="G1843" s="18" t="n"/>
      <c r="H1843" s="18">
        <f>IF($A1843="","",IF(I1843&lt;&gt;"",I1843,Paramètres!B7))</f>
        <v/>
      </c>
      <c r="I1843" s="18" t="n"/>
    </row>
    <row r="1844">
      <c r="A1844" s="18">
        <f>IF(ISNUMBER(Dossiers!$D$38),Dossiers!$A$38&amp;" · "&amp;Dossiers!$B$38,"")</f>
        <v/>
      </c>
      <c r="B1844" s="18">
        <f>IF($A1844="","",Paramètres!G8)</f>
        <v/>
      </c>
      <c r="C1844" s="18">
        <f>IF($A1844="","",IF(Paramètres!H8="","",Paramètres!H8))</f>
        <v/>
      </c>
      <c r="D1844" s="18">
        <f>IF($A1844="","",IF(Paramètres!I8="","",Paramètres!I8))</f>
        <v/>
      </c>
      <c r="E1844" s="19">
        <f>IF($A1844="","",IF(Paramètres!J8&amp;Paramètres!L8&amp;Paramètres!N8="",Dossiers!$D$38,MAX(IF(Paramètres!J8="",0,IF(Paramètres!K8="",NA(),IF(LEFT(TRIM(Paramètres!K8),1)="F",INDEX($F$1841:$F$1893,MATCH(Paramètres!J8,Paramètres!$G$5:$G$57,0)),INDEX($E$1841:$E$1893,MATCH(Paramètres!J8,Paramètres!$G$5:$G$57,0)))+IF(RIGHT(TRIM(Paramètres!K8),3)="Fin",1-$H1844,IF(LEFT(TRIM(Paramètres!K8),1)="F",1,0)))),IF(Paramètres!L8="",0,IF(Paramètres!M8="",NA(),IF(LEFT(TRIM(Paramètres!M8),1)="F",INDEX($F$1841:$F$1893,MATCH(Paramètres!L8,Paramètres!$G$5:$G$57,0)),INDEX($E$1841:$E$1893,MATCH(Paramètres!L8,Paramètres!$G$5:$G$57,0)))+IF(RIGHT(TRIM(Paramètres!M8),3)="Fin",1-$H1844,IF(LEFT(TRIM(Paramètres!M8),1)="F",1,0)))),IF(Paramètres!N8="",0,IF(Paramètres!O8="",NA(),IF(LEFT(TRIM(Paramètres!O8),1)="F",INDEX($F$1841:$F$1893,MATCH(Paramètres!N8,Paramètres!$G$5:$G$57,0)),INDEX($E$1841:$E$1893,MATCH(Paramètres!N8,Paramètres!$G$5:$G$57,0)))+IF(RIGHT(TRIM(Paramètres!O8),3)="Fin",1-$H1844,IF(LEFT(TRIM(Paramètres!O8),1)="F",1,0)))))))</f>
        <v/>
      </c>
      <c r="F1844" s="19">
        <f>IF($A1844="","",E1844+$H1844-1)</f>
        <v/>
      </c>
      <c r="G1844" s="18" t="n"/>
      <c r="H1844" s="18">
        <f>IF($A1844="","",IF(I1844&lt;&gt;"",I1844,Paramètres!B8))</f>
        <v/>
      </c>
      <c r="I1844" s="18" t="n"/>
    </row>
    <row r="1845">
      <c r="A1845" s="18">
        <f>IF(ISNUMBER(Dossiers!$D$38),Dossiers!$A$38&amp;" · "&amp;Dossiers!$B$38,"")</f>
        <v/>
      </c>
      <c r="B1845" s="18">
        <f>IF($A1845="","",Paramètres!G9)</f>
        <v/>
      </c>
      <c r="C1845" s="18">
        <f>IF($A1845="","",IF(Paramètres!H9="","",Paramètres!H9))</f>
        <v/>
      </c>
      <c r="D1845" s="18">
        <f>IF($A1845="","",IF(Paramètres!I9="","",Paramètres!I9))</f>
        <v/>
      </c>
      <c r="E1845" s="19">
        <f>IF($A1845="","",IF(Paramètres!J9&amp;Paramètres!L9&amp;Paramètres!N9="",Dossiers!$D$38,MAX(IF(Paramètres!J9="",0,IF(Paramètres!K9="",NA(),IF(LEFT(TRIM(Paramètres!K9),1)="F",INDEX($F$1841:$F$1893,MATCH(Paramètres!J9,Paramètres!$G$5:$G$57,0)),INDEX($E$1841:$E$1893,MATCH(Paramètres!J9,Paramètres!$G$5:$G$57,0)))+IF(RIGHT(TRIM(Paramètres!K9),3)="Fin",1-$H1845,IF(LEFT(TRIM(Paramètres!K9),1)="F",1,0)))),IF(Paramètres!L9="",0,IF(Paramètres!M9="",NA(),IF(LEFT(TRIM(Paramètres!M9),1)="F",INDEX($F$1841:$F$1893,MATCH(Paramètres!L9,Paramètres!$G$5:$G$57,0)),INDEX($E$1841:$E$1893,MATCH(Paramètres!L9,Paramètres!$G$5:$G$57,0)))+IF(RIGHT(TRIM(Paramètres!M9),3)="Fin",1-$H1845,IF(LEFT(TRIM(Paramètres!M9),1)="F",1,0)))),IF(Paramètres!N9="",0,IF(Paramètres!O9="",NA(),IF(LEFT(TRIM(Paramètres!O9),1)="F",INDEX($F$1841:$F$1893,MATCH(Paramètres!N9,Paramètres!$G$5:$G$57,0)),INDEX($E$1841:$E$1893,MATCH(Paramètres!N9,Paramètres!$G$5:$G$57,0)))+IF(RIGHT(TRIM(Paramètres!O9),3)="Fin",1-$H1845,IF(LEFT(TRIM(Paramètres!O9),1)="F",1,0)))))))</f>
        <v/>
      </c>
      <c r="F1845" s="19">
        <f>IF($A1845="","",E1845+$H1845-1)</f>
        <v/>
      </c>
      <c r="G1845" s="18" t="n"/>
      <c r="H1845" s="18">
        <f>IF($A1845="","",IF(I1845&lt;&gt;"",I1845,Paramètres!B9))</f>
        <v/>
      </c>
      <c r="I1845" s="18" t="n"/>
    </row>
    <row r="1846">
      <c r="A1846" s="18">
        <f>IF(ISNUMBER(Dossiers!$D$38),Dossiers!$A$38&amp;" · "&amp;Dossiers!$B$38,"")</f>
        <v/>
      </c>
      <c r="B1846" s="18">
        <f>IF($A1846="","",Paramètres!G10)</f>
        <v/>
      </c>
      <c r="C1846" s="18">
        <f>IF($A1846="","",IF(Paramètres!H10="","",Paramètres!H10))</f>
        <v/>
      </c>
      <c r="D1846" s="18">
        <f>IF($A1846="","",IF(Paramètres!I10="","",Paramètres!I10))</f>
        <v/>
      </c>
      <c r="E1846" s="19">
        <f>IF($A1846="","",MIN(E1847:E1850))</f>
        <v/>
      </c>
      <c r="F1846" s="19">
        <f>IF($A1846="","",MAX(F1847:F1850))</f>
        <v/>
      </c>
      <c r="G1846" s="18" t="n"/>
      <c r="H1846" s="18">
        <f>IF($A1846="","",F1846-E1846+1)</f>
        <v/>
      </c>
      <c r="I1846" s="18" t="n"/>
    </row>
    <row r="1847">
      <c r="A1847" s="18">
        <f>IF(ISNUMBER(Dossiers!$D$38),Dossiers!$A$38&amp;" · "&amp;Dossiers!$B$38,"")</f>
        <v/>
      </c>
      <c r="B1847" s="18">
        <f>IF($A1847="","",Paramètres!G11)</f>
        <v/>
      </c>
      <c r="C1847" s="18">
        <f>IF($A1847="","",IF(Paramètres!H11="","",Paramètres!H11))</f>
        <v/>
      </c>
      <c r="D1847" s="18">
        <f>IF($A1847="","",IF(Paramètres!I11="","",Paramètres!I11))</f>
        <v/>
      </c>
      <c r="E1847" s="19">
        <f>IF($A1847="","",IF(Paramètres!J11&amp;Paramètres!L11&amp;Paramètres!N11="",Dossiers!$D$38,MAX(IF(Paramètres!J11="",0,IF(Paramètres!K11="",NA(),IF(LEFT(TRIM(Paramètres!K11),1)="F",INDEX($F$1841:$F$1893,MATCH(Paramètres!J11,Paramètres!$G$5:$G$57,0)),INDEX($E$1841:$E$1893,MATCH(Paramètres!J11,Paramètres!$G$5:$G$57,0)))+IF(RIGHT(TRIM(Paramètres!K11),3)="Fin",1-$H1847,IF(LEFT(TRIM(Paramètres!K11),1)="F",1,0)))),IF(Paramètres!L11="",0,IF(Paramètres!M11="",NA(),IF(LEFT(TRIM(Paramètres!M11),1)="F",INDEX($F$1841:$F$1893,MATCH(Paramètres!L11,Paramètres!$G$5:$G$57,0)),INDEX($E$1841:$E$1893,MATCH(Paramètres!L11,Paramètres!$G$5:$G$57,0)))+IF(RIGHT(TRIM(Paramètres!M11),3)="Fin",1-$H1847,IF(LEFT(TRIM(Paramètres!M11),1)="F",1,0)))),IF(Paramètres!N11="",0,IF(Paramètres!O11="",NA(),IF(LEFT(TRIM(Paramètres!O11),1)="F",INDEX($F$1841:$F$1893,MATCH(Paramètres!N11,Paramètres!$G$5:$G$57,0)),INDEX($E$1841:$E$1893,MATCH(Paramètres!N11,Paramètres!$G$5:$G$57,0)))+IF(RIGHT(TRIM(Paramètres!O11),3)="Fin",1-$H1847,IF(LEFT(TRIM(Paramètres!O11),1)="F",1,0)))))))</f>
        <v/>
      </c>
      <c r="F1847" s="19">
        <f>IF($A1847="","",E1847+$H1847-1)</f>
        <v/>
      </c>
      <c r="G1847" s="18" t="n"/>
      <c r="H1847" s="18">
        <f>IF($A1847="","",IF(I1847&lt;&gt;"",I1847,Paramètres!B11))</f>
        <v/>
      </c>
      <c r="I1847" s="18" t="n"/>
    </row>
    <row r="1848">
      <c r="A1848" s="18">
        <f>IF(ISNUMBER(Dossiers!$D$38),Dossiers!$A$38&amp;" · "&amp;Dossiers!$B$38,"")</f>
        <v/>
      </c>
      <c r="B1848" s="18">
        <f>IF($A1848="","",Paramètres!G12)</f>
        <v/>
      </c>
      <c r="C1848" s="18">
        <f>IF($A1848="","",IF(Paramètres!H12="","",Paramètres!H12))</f>
        <v/>
      </c>
      <c r="D1848" s="18">
        <f>IF($A1848="","",IF(Paramètres!I12="","",Paramètres!I12))</f>
        <v/>
      </c>
      <c r="E1848" s="19">
        <f>IF($A1848="","",IF(Paramètres!J12&amp;Paramètres!L12&amp;Paramètres!N12="",Dossiers!$D$38,MAX(IF(Paramètres!J12="",0,IF(Paramètres!K12="",NA(),IF(LEFT(TRIM(Paramètres!K12),1)="F",INDEX($F$1841:$F$1893,MATCH(Paramètres!J12,Paramètres!$G$5:$G$57,0)),INDEX($E$1841:$E$1893,MATCH(Paramètres!J12,Paramètres!$G$5:$G$57,0)))+IF(RIGHT(TRIM(Paramètres!K12),3)="Fin",1-$H1848,IF(LEFT(TRIM(Paramètres!K12),1)="F",1,0)))),IF(Paramètres!L12="",0,IF(Paramètres!M12="",NA(),IF(LEFT(TRIM(Paramètres!M12),1)="F",INDEX($F$1841:$F$1893,MATCH(Paramètres!L12,Paramètres!$G$5:$G$57,0)),INDEX($E$1841:$E$1893,MATCH(Paramètres!L12,Paramètres!$G$5:$G$57,0)))+IF(RIGHT(TRIM(Paramètres!M12),3)="Fin",1-$H1848,IF(LEFT(TRIM(Paramètres!M12),1)="F",1,0)))),IF(Paramètres!N12="",0,IF(Paramètres!O12="",NA(),IF(LEFT(TRIM(Paramètres!O12),1)="F",INDEX($F$1841:$F$1893,MATCH(Paramètres!N12,Paramètres!$G$5:$G$57,0)),INDEX($E$1841:$E$1893,MATCH(Paramètres!N12,Paramètres!$G$5:$G$57,0)))+IF(RIGHT(TRIM(Paramètres!O12),3)="Fin",1-$H1848,IF(LEFT(TRIM(Paramètres!O12),1)="F",1,0)))))))</f>
        <v/>
      </c>
      <c r="F1848" s="19">
        <f>IF($A1848="","",E1848+$H1848-1)</f>
        <v/>
      </c>
      <c r="G1848" s="18" t="n"/>
      <c r="H1848" s="18">
        <f>IF($A1848="","",IF(I1848&lt;&gt;"",I1848,Paramètres!B12))</f>
        <v/>
      </c>
      <c r="I1848" s="18" t="n"/>
    </row>
    <row r="1849">
      <c r="A1849" s="18">
        <f>IF(ISNUMBER(Dossiers!$D$38),Dossiers!$A$38&amp;" · "&amp;Dossiers!$B$38,"")</f>
        <v/>
      </c>
      <c r="B1849" s="18">
        <f>IF($A1849="","",Paramètres!G13)</f>
        <v/>
      </c>
      <c r="C1849" s="18">
        <f>IF($A1849="","",IF(Paramètres!H13="","",Paramètres!H13))</f>
        <v/>
      </c>
      <c r="D1849" s="18">
        <f>IF($A1849="","",IF(Paramètres!I13="","",Paramètres!I13))</f>
        <v/>
      </c>
      <c r="E1849" s="19">
        <f>IF($A1849="","",IF(Paramètres!J13&amp;Paramètres!L13&amp;Paramètres!N13="",Dossiers!$D$38,MAX(IF(Paramètres!J13="",0,IF(Paramètres!K13="",NA(),IF(LEFT(TRIM(Paramètres!K13),1)="F",INDEX($F$1841:$F$1893,MATCH(Paramètres!J13,Paramètres!$G$5:$G$57,0)),INDEX($E$1841:$E$1893,MATCH(Paramètres!J13,Paramètres!$G$5:$G$57,0)))+IF(RIGHT(TRIM(Paramètres!K13),3)="Fin",1-$H1849,IF(LEFT(TRIM(Paramètres!K13),1)="F",1,0)))),IF(Paramètres!L13="",0,IF(Paramètres!M13="",NA(),IF(LEFT(TRIM(Paramètres!M13),1)="F",INDEX($F$1841:$F$1893,MATCH(Paramètres!L13,Paramètres!$G$5:$G$57,0)),INDEX($E$1841:$E$1893,MATCH(Paramètres!L13,Paramètres!$G$5:$G$57,0)))+IF(RIGHT(TRIM(Paramètres!M13),3)="Fin",1-$H1849,IF(LEFT(TRIM(Paramètres!M13),1)="F",1,0)))),IF(Paramètres!N13="",0,IF(Paramètres!O13="",NA(),IF(LEFT(TRIM(Paramètres!O13),1)="F",INDEX($F$1841:$F$1893,MATCH(Paramètres!N13,Paramètres!$G$5:$G$57,0)),INDEX($E$1841:$E$1893,MATCH(Paramètres!N13,Paramètres!$G$5:$G$57,0)))+IF(RIGHT(TRIM(Paramètres!O13),3)="Fin",1-$H1849,IF(LEFT(TRIM(Paramètres!O13),1)="F",1,0)))))))</f>
        <v/>
      </c>
      <c r="F1849" s="19">
        <f>IF($A1849="","",E1849+$H1849-1)</f>
        <v/>
      </c>
      <c r="G1849" s="18" t="n"/>
      <c r="H1849" s="18">
        <f>IF($A1849="","",IF(I1849&lt;&gt;"",I1849,Paramètres!B13))</f>
        <v/>
      </c>
      <c r="I1849" s="18" t="n"/>
    </row>
    <row r="1850">
      <c r="A1850" s="18">
        <f>IF(ISNUMBER(Dossiers!$D$38),Dossiers!$A$38&amp;" · "&amp;Dossiers!$B$38,"")</f>
        <v/>
      </c>
      <c r="B1850" s="18">
        <f>IF($A1850="","",Paramètres!G14)</f>
        <v/>
      </c>
      <c r="C1850" s="18">
        <f>IF($A1850="","",IF(Paramètres!H14="","",Paramètres!H14))</f>
        <v/>
      </c>
      <c r="D1850" s="18">
        <f>IF($A1850="","",IF(Paramètres!I14="","",Paramètres!I14))</f>
        <v/>
      </c>
      <c r="E1850" s="19">
        <f>IF($A1850="","",IF(Paramètres!J14&amp;Paramètres!L14&amp;Paramètres!N14="",Dossiers!$D$38,MAX(IF(Paramètres!J14="",0,IF(Paramètres!K14="",NA(),IF(LEFT(TRIM(Paramètres!K14),1)="F",INDEX($F$1841:$F$1893,MATCH(Paramètres!J14,Paramètres!$G$5:$G$57,0)),INDEX($E$1841:$E$1893,MATCH(Paramètres!J14,Paramètres!$G$5:$G$57,0)))+IF(RIGHT(TRIM(Paramètres!K14),3)="Fin",1-$H1850,IF(LEFT(TRIM(Paramètres!K14),1)="F",1,0)))),IF(Paramètres!L14="",0,IF(Paramètres!M14="",NA(),IF(LEFT(TRIM(Paramètres!M14),1)="F",INDEX($F$1841:$F$1893,MATCH(Paramètres!L14,Paramètres!$G$5:$G$57,0)),INDEX($E$1841:$E$1893,MATCH(Paramètres!L14,Paramètres!$G$5:$G$57,0)))+IF(RIGHT(TRIM(Paramètres!M14),3)="Fin",1-$H1850,IF(LEFT(TRIM(Paramètres!M14),1)="F",1,0)))),IF(Paramètres!N14="",0,IF(Paramètres!O14="",NA(),IF(LEFT(TRIM(Paramètres!O14),1)="F",INDEX($F$1841:$F$1893,MATCH(Paramètres!N14,Paramètres!$G$5:$G$57,0)),INDEX($E$1841:$E$1893,MATCH(Paramètres!N14,Paramètres!$G$5:$G$57,0)))+IF(RIGHT(TRIM(Paramètres!O14),3)="Fin",1-$H1850,IF(LEFT(TRIM(Paramètres!O14),1)="F",1,0)))))))</f>
        <v/>
      </c>
      <c r="F1850" s="19">
        <f>IF($A1850="","",E1850+$H1850-1)</f>
        <v/>
      </c>
      <c r="G1850" s="18" t="n"/>
      <c r="H1850" s="18">
        <f>IF($A1850="","",IF(I1850&lt;&gt;"",I1850,Paramètres!B14))</f>
        <v/>
      </c>
      <c r="I1850" s="18" t="n"/>
    </row>
    <row r="1851">
      <c r="A1851" s="18">
        <f>IF(ISNUMBER(Dossiers!$D$38),Dossiers!$A$38&amp;" · "&amp;Dossiers!$B$38,"")</f>
        <v/>
      </c>
      <c r="B1851" s="18">
        <f>IF($A1851="","",Paramètres!G15)</f>
        <v/>
      </c>
      <c r="C1851" s="18">
        <f>IF($A1851="","",IF(Paramètres!H15="","",Paramètres!H15))</f>
        <v/>
      </c>
      <c r="D1851" s="18">
        <f>IF($A1851="","",IF(Paramètres!I15="","",Paramètres!I15))</f>
        <v/>
      </c>
      <c r="E1851" s="19">
        <f>IF($A1851="","",MIN(E1852:E1867))</f>
        <v/>
      </c>
      <c r="F1851" s="19">
        <f>IF($A1851="","",MAX(F1852:F1867))</f>
        <v/>
      </c>
      <c r="G1851" s="18" t="n"/>
      <c r="H1851" s="18">
        <f>IF($A1851="","",F1851-E1851+1)</f>
        <v/>
      </c>
      <c r="I1851" s="18" t="n"/>
    </row>
    <row r="1852">
      <c r="A1852" s="18">
        <f>IF(ISNUMBER(Dossiers!$D$38),Dossiers!$A$38&amp;" · "&amp;Dossiers!$B$38,"")</f>
        <v/>
      </c>
      <c r="B1852" s="18">
        <f>IF($A1852="","",Paramètres!G16)</f>
        <v/>
      </c>
      <c r="C1852" s="18">
        <f>IF($A1852="","",IF(Paramètres!H16="","",Paramètres!H16))</f>
        <v/>
      </c>
      <c r="D1852" s="18">
        <f>IF($A1852="","",IF(Paramètres!I16="","",Paramètres!I16))</f>
        <v/>
      </c>
      <c r="E1852" s="19">
        <f>IF($A1852="","",IF(Paramètres!J16&amp;Paramètres!L16&amp;Paramètres!N16="",Dossiers!$D$38,MAX(IF(Paramètres!J16="",0,IF(Paramètres!K16="",NA(),IF(LEFT(TRIM(Paramètres!K16),1)="F",INDEX($F$1841:$F$1893,MATCH(Paramètres!J16,Paramètres!$G$5:$G$57,0)),INDEX($E$1841:$E$1893,MATCH(Paramètres!J16,Paramètres!$G$5:$G$57,0)))+IF(RIGHT(TRIM(Paramètres!K16),3)="Fin",1-$H1852,IF(LEFT(TRIM(Paramètres!K16),1)="F",1,0)))),IF(Paramètres!L16="",0,IF(Paramètres!M16="",NA(),IF(LEFT(TRIM(Paramètres!M16),1)="F",INDEX($F$1841:$F$1893,MATCH(Paramètres!L16,Paramètres!$G$5:$G$57,0)),INDEX($E$1841:$E$1893,MATCH(Paramètres!L16,Paramètres!$G$5:$G$57,0)))+IF(RIGHT(TRIM(Paramètres!M16),3)="Fin",1-$H1852,IF(LEFT(TRIM(Paramètres!M16),1)="F",1,0)))),IF(Paramètres!N16="",0,IF(Paramètres!O16="",NA(),IF(LEFT(TRIM(Paramètres!O16),1)="F",INDEX($F$1841:$F$1893,MATCH(Paramètres!N16,Paramètres!$G$5:$G$57,0)),INDEX($E$1841:$E$1893,MATCH(Paramètres!N16,Paramètres!$G$5:$G$57,0)))+IF(RIGHT(TRIM(Paramètres!O16),3)="Fin",1-$H1852,IF(LEFT(TRIM(Paramètres!O16),1)="F",1,0)))))))</f>
        <v/>
      </c>
      <c r="F1852" s="19">
        <f>IF($A1852="","",E1852+$H1852-1)</f>
        <v/>
      </c>
      <c r="G1852" s="18" t="n"/>
      <c r="H1852" s="18">
        <f>IF($A1852="","",IF(I1852&lt;&gt;"",I1852,Paramètres!B16))</f>
        <v/>
      </c>
      <c r="I1852" s="18" t="n"/>
    </row>
    <row r="1853">
      <c r="A1853" s="18">
        <f>IF(ISNUMBER(Dossiers!$D$38),Dossiers!$A$38&amp;" · "&amp;Dossiers!$B$38,"")</f>
        <v/>
      </c>
      <c r="B1853" s="18">
        <f>IF($A1853="","",Paramètres!G17)</f>
        <v/>
      </c>
      <c r="C1853" s="18">
        <f>IF($A1853="","",IF(Paramètres!H17="","",Paramètres!H17))</f>
        <v/>
      </c>
      <c r="D1853" s="18">
        <f>IF($A1853="","",IF(Paramètres!I17="","",Paramètres!I17))</f>
        <v/>
      </c>
      <c r="E1853" s="19">
        <f>IF($A1853="","",IF(Paramètres!J17&amp;Paramètres!L17&amp;Paramètres!N17="",Dossiers!$D$38,MAX(IF(Paramètres!J17="",0,IF(Paramètres!K17="",NA(),IF(LEFT(TRIM(Paramètres!K17),1)="F",INDEX($F$1841:$F$1893,MATCH(Paramètres!J17,Paramètres!$G$5:$G$57,0)),INDEX($E$1841:$E$1893,MATCH(Paramètres!J17,Paramètres!$G$5:$G$57,0)))+IF(RIGHT(TRIM(Paramètres!K17),3)="Fin",1-$H1853,IF(LEFT(TRIM(Paramètres!K17),1)="F",1,0)))),IF(Paramètres!L17="",0,IF(Paramètres!M17="",NA(),IF(LEFT(TRIM(Paramètres!M17),1)="F",INDEX($F$1841:$F$1893,MATCH(Paramètres!L17,Paramètres!$G$5:$G$57,0)),INDEX($E$1841:$E$1893,MATCH(Paramètres!L17,Paramètres!$G$5:$G$57,0)))+IF(RIGHT(TRIM(Paramètres!M17),3)="Fin",1-$H1853,IF(LEFT(TRIM(Paramètres!M17),1)="F",1,0)))),IF(Paramètres!N17="",0,IF(Paramètres!O17="",NA(),IF(LEFT(TRIM(Paramètres!O17),1)="F",INDEX($F$1841:$F$1893,MATCH(Paramètres!N17,Paramètres!$G$5:$G$57,0)),INDEX($E$1841:$E$1893,MATCH(Paramètres!N17,Paramètres!$G$5:$G$57,0)))+IF(RIGHT(TRIM(Paramètres!O17),3)="Fin",1-$H1853,IF(LEFT(TRIM(Paramètres!O17),1)="F",1,0)))))))</f>
        <v/>
      </c>
      <c r="F1853" s="19">
        <f>IF($A1853="","",E1853+$H1853-1)</f>
        <v/>
      </c>
      <c r="G1853" s="18" t="n"/>
      <c r="H1853" s="18">
        <f>IF($A1853="","",IF(I1853&lt;&gt;"",I1853,Paramètres!B17))</f>
        <v/>
      </c>
      <c r="I1853" s="18" t="n"/>
    </row>
    <row r="1854">
      <c r="A1854" s="18">
        <f>IF(ISNUMBER(Dossiers!$D$38),Dossiers!$A$38&amp;" · "&amp;Dossiers!$B$38,"")</f>
        <v/>
      </c>
      <c r="B1854" s="18">
        <f>IF($A1854="","",Paramètres!G18)</f>
        <v/>
      </c>
      <c r="C1854" s="18">
        <f>IF($A1854="","",IF(Paramètres!H18="","",Paramètres!H18))</f>
        <v/>
      </c>
      <c r="D1854" s="18">
        <f>IF($A1854="","",IF(Paramètres!I18="","",Paramètres!I18))</f>
        <v/>
      </c>
      <c r="E1854" s="19">
        <f>IF($A1854="","",IF(Paramètres!J18&amp;Paramètres!L18&amp;Paramètres!N18="",Dossiers!$D$38,MAX(IF(Paramètres!J18="",0,IF(Paramètres!K18="",NA(),IF(LEFT(TRIM(Paramètres!K18),1)="F",INDEX($F$1841:$F$1893,MATCH(Paramètres!J18,Paramètres!$G$5:$G$57,0)),INDEX($E$1841:$E$1893,MATCH(Paramètres!J18,Paramètres!$G$5:$G$57,0)))+IF(RIGHT(TRIM(Paramètres!K18),3)="Fin",1-$H1854,IF(LEFT(TRIM(Paramètres!K18),1)="F",1,0)))),IF(Paramètres!L18="",0,IF(Paramètres!M18="",NA(),IF(LEFT(TRIM(Paramètres!M18),1)="F",INDEX($F$1841:$F$1893,MATCH(Paramètres!L18,Paramètres!$G$5:$G$57,0)),INDEX($E$1841:$E$1893,MATCH(Paramètres!L18,Paramètres!$G$5:$G$57,0)))+IF(RIGHT(TRIM(Paramètres!M18),3)="Fin",1-$H1854,IF(LEFT(TRIM(Paramètres!M18),1)="F",1,0)))),IF(Paramètres!N18="",0,IF(Paramètres!O18="",NA(),IF(LEFT(TRIM(Paramètres!O18),1)="F",INDEX($F$1841:$F$1893,MATCH(Paramètres!N18,Paramètres!$G$5:$G$57,0)),INDEX($E$1841:$E$1893,MATCH(Paramètres!N18,Paramètres!$G$5:$G$57,0)))+IF(RIGHT(TRIM(Paramètres!O18),3)="Fin",1-$H1854,IF(LEFT(TRIM(Paramètres!O18),1)="F",1,0)))))))</f>
        <v/>
      </c>
      <c r="F1854" s="19">
        <f>IF($A1854="","",E1854+$H1854-1)</f>
        <v/>
      </c>
      <c r="G1854" s="18" t="n"/>
      <c r="H1854" s="18">
        <f>IF($A1854="","",IF(I1854&lt;&gt;"",I1854,Paramètres!B18))</f>
        <v/>
      </c>
      <c r="I1854" s="18" t="n"/>
    </row>
    <row r="1855">
      <c r="A1855" s="18">
        <f>IF(ISNUMBER(Dossiers!$D$38),Dossiers!$A$38&amp;" · "&amp;Dossiers!$B$38,"")</f>
        <v/>
      </c>
      <c r="B1855" s="18">
        <f>IF($A1855="","",Paramètres!G19)</f>
        <v/>
      </c>
      <c r="C1855" s="18">
        <f>IF($A1855="","",IF(Paramètres!H19="","",Paramètres!H19))</f>
        <v/>
      </c>
      <c r="D1855" s="18">
        <f>IF($A1855="","",IF(Paramètres!I19="","",Paramètres!I19))</f>
        <v/>
      </c>
      <c r="E1855" s="19">
        <f>IF($A1855="","",IF(Paramètres!J19&amp;Paramètres!L19&amp;Paramètres!N19="",Dossiers!$D$38,MAX(IF(Paramètres!J19="",0,IF(Paramètres!K19="",NA(),IF(LEFT(TRIM(Paramètres!K19),1)="F",INDEX($F$1841:$F$1893,MATCH(Paramètres!J19,Paramètres!$G$5:$G$57,0)),INDEX($E$1841:$E$1893,MATCH(Paramètres!J19,Paramètres!$G$5:$G$57,0)))+IF(RIGHT(TRIM(Paramètres!K19),3)="Fin",1-$H1855,IF(LEFT(TRIM(Paramètres!K19),1)="F",1,0)))),IF(Paramètres!L19="",0,IF(Paramètres!M19="",NA(),IF(LEFT(TRIM(Paramètres!M19),1)="F",INDEX($F$1841:$F$1893,MATCH(Paramètres!L19,Paramètres!$G$5:$G$57,0)),INDEX($E$1841:$E$1893,MATCH(Paramètres!L19,Paramètres!$G$5:$G$57,0)))+IF(RIGHT(TRIM(Paramètres!M19),3)="Fin",1-$H1855,IF(LEFT(TRIM(Paramètres!M19),1)="F",1,0)))),IF(Paramètres!N19="",0,IF(Paramètres!O19="",NA(),IF(LEFT(TRIM(Paramètres!O19),1)="F",INDEX($F$1841:$F$1893,MATCH(Paramètres!N19,Paramètres!$G$5:$G$57,0)),INDEX($E$1841:$E$1893,MATCH(Paramètres!N19,Paramètres!$G$5:$G$57,0)))+IF(RIGHT(TRIM(Paramètres!O19),3)="Fin",1-$H1855,IF(LEFT(TRIM(Paramètres!O19),1)="F",1,0)))))))</f>
        <v/>
      </c>
      <c r="F1855" s="19">
        <f>IF($A1855="","",E1855+$H1855-1)</f>
        <v/>
      </c>
      <c r="G1855" s="18" t="n"/>
      <c r="H1855" s="18">
        <f>IF($A1855="","",IF(I1855&lt;&gt;"",I1855,Paramètres!B19))</f>
        <v/>
      </c>
      <c r="I1855" s="18" t="n"/>
    </row>
    <row r="1856">
      <c r="A1856" s="18">
        <f>IF(ISNUMBER(Dossiers!$D$38),Dossiers!$A$38&amp;" · "&amp;Dossiers!$B$38,"")</f>
        <v/>
      </c>
      <c r="B1856" s="18">
        <f>IF($A1856="","",Paramètres!G20)</f>
        <v/>
      </c>
      <c r="C1856" s="18">
        <f>IF($A1856="","",IF(Paramètres!H20="","",Paramètres!H20))</f>
        <v/>
      </c>
      <c r="D1856" s="18">
        <f>IF($A1856="","",IF(Paramètres!I20="","",Paramètres!I20))</f>
        <v/>
      </c>
      <c r="E1856" s="19">
        <f>IF($A1856="","",IF(Paramètres!J20&amp;Paramètres!L20&amp;Paramètres!N20="",Dossiers!$D$38,MAX(IF(Paramètres!J20="",0,IF(Paramètres!K20="",NA(),IF(LEFT(TRIM(Paramètres!K20),1)="F",INDEX($F$1841:$F$1893,MATCH(Paramètres!J20,Paramètres!$G$5:$G$57,0)),INDEX($E$1841:$E$1893,MATCH(Paramètres!J20,Paramètres!$G$5:$G$57,0)))+IF(RIGHT(TRIM(Paramètres!K20),3)="Fin",1-$H1856,IF(LEFT(TRIM(Paramètres!K20),1)="F",1,0)))),IF(Paramètres!L20="",0,IF(Paramètres!M20="",NA(),IF(LEFT(TRIM(Paramètres!M20),1)="F",INDEX($F$1841:$F$1893,MATCH(Paramètres!L20,Paramètres!$G$5:$G$57,0)),INDEX($E$1841:$E$1893,MATCH(Paramètres!L20,Paramètres!$G$5:$G$57,0)))+IF(RIGHT(TRIM(Paramètres!M20),3)="Fin",1-$H1856,IF(LEFT(TRIM(Paramètres!M20),1)="F",1,0)))),IF(Paramètres!N20="",0,IF(Paramètres!O20="",NA(),IF(LEFT(TRIM(Paramètres!O20),1)="F",INDEX($F$1841:$F$1893,MATCH(Paramètres!N20,Paramètres!$G$5:$G$57,0)),INDEX($E$1841:$E$1893,MATCH(Paramètres!N20,Paramètres!$G$5:$G$57,0)))+IF(RIGHT(TRIM(Paramètres!O20),3)="Fin",1-$H1856,IF(LEFT(TRIM(Paramètres!O20),1)="F",1,0)))))))</f>
        <v/>
      </c>
      <c r="F1856" s="19">
        <f>IF($A1856="","",E1856+$H1856-1)</f>
        <v/>
      </c>
      <c r="G1856" s="18" t="n"/>
      <c r="H1856" s="18">
        <f>IF($A1856="","",IF(I1856&lt;&gt;"",I1856,Paramètres!B20))</f>
        <v/>
      </c>
      <c r="I1856" s="18" t="n"/>
    </row>
    <row r="1857">
      <c r="A1857" s="18">
        <f>IF(ISNUMBER(Dossiers!$D$38),Dossiers!$A$38&amp;" · "&amp;Dossiers!$B$38,"")</f>
        <v/>
      </c>
      <c r="B1857" s="18">
        <f>IF($A1857="","",Paramètres!G21)</f>
        <v/>
      </c>
      <c r="C1857" s="18">
        <f>IF($A1857="","",IF(Paramètres!H21="","",Paramètres!H21))</f>
        <v/>
      </c>
      <c r="D1857" s="18">
        <f>IF($A1857="","",IF(Paramètres!I21="","",Paramètres!I21))</f>
        <v/>
      </c>
      <c r="E1857" s="19">
        <f>IF($A1857="","",IF(Paramètres!J21&amp;Paramètres!L21&amp;Paramètres!N21="",Dossiers!$D$38,MAX(IF(Paramètres!J21="",0,IF(Paramètres!K21="",NA(),IF(LEFT(TRIM(Paramètres!K21),1)="F",INDEX($F$1841:$F$1893,MATCH(Paramètres!J21,Paramètres!$G$5:$G$57,0)),INDEX($E$1841:$E$1893,MATCH(Paramètres!J21,Paramètres!$G$5:$G$57,0)))+IF(RIGHT(TRIM(Paramètres!K21),3)="Fin",1-$H1857,IF(LEFT(TRIM(Paramètres!K21),1)="F",1,0)))),IF(Paramètres!L21="",0,IF(Paramètres!M21="",NA(),IF(LEFT(TRIM(Paramètres!M21),1)="F",INDEX($F$1841:$F$1893,MATCH(Paramètres!L21,Paramètres!$G$5:$G$57,0)),INDEX($E$1841:$E$1893,MATCH(Paramètres!L21,Paramètres!$G$5:$G$57,0)))+IF(RIGHT(TRIM(Paramètres!M21),3)="Fin",1-$H1857,IF(LEFT(TRIM(Paramètres!M21),1)="F",1,0)))),IF(Paramètres!N21="",0,IF(Paramètres!O21="",NA(),IF(LEFT(TRIM(Paramètres!O21),1)="F",INDEX($F$1841:$F$1893,MATCH(Paramètres!N21,Paramètres!$G$5:$G$57,0)),INDEX($E$1841:$E$1893,MATCH(Paramètres!N21,Paramètres!$G$5:$G$57,0)))+IF(RIGHT(TRIM(Paramètres!O21),3)="Fin",1-$H1857,IF(LEFT(TRIM(Paramètres!O21),1)="F",1,0)))))))</f>
        <v/>
      </c>
      <c r="F1857" s="19">
        <f>IF($A1857="","",E1857+$H1857-1)</f>
        <v/>
      </c>
      <c r="G1857" s="18" t="n"/>
      <c r="H1857" s="18">
        <f>IF($A1857="","",IF(I1857&lt;&gt;"",I1857,Paramètres!B21))</f>
        <v/>
      </c>
      <c r="I1857" s="18" t="n"/>
    </row>
    <row r="1858">
      <c r="A1858" s="18">
        <f>IF(ISNUMBER(Dossiers!$D$38),Dossiers!$A$38&amp;" · "&amp;Dossiers!$B$38,"")</f>
        <v/>
      </c>
      <c r="B1858" s="18">
        <f>IF($A1858="","",Paramètres!G22)</f>
        <v/>
      </c>
      <c r="C1858" s="18">
        <f>IF($A1858="","",IF(Paramètres!H22="","",Paramètres!H22))</f>
        <v/>
      </c>
      <c r="D1858" s="18">
        <f>IF($A1858="","",IF(Paramètres!I22="","",Paramètres!I22))</f>
        <v/>
      </c>
      <c r="E1858" s="19">
        <f>IF($A1858="","",IF(Paramètres!J22&amp;Paramètres!L22&amp;Paramètres!N22="",Dossiers!$D$38,MAX(IF(Paramètres!J22="",0,IF(Paramètres!K22="",NA(),IF(LEFT(TRIM(Paramètres!K22),1)="F",INDEX($F$1841:$F$1893,MATCH(Paramètres!J22,Paramètres!$G$5:$G$57,0)),INDEX($E$1841:$E$1893,MATCH(Paramètres!J22,Paramètres!$G$5:$G$57,0)))+IF(RIGHT(TRIM(Paramètres!K22),3)="Fin",1-$H1858,IF(LEFT(TRIM(Paramètres!K22),1)="F",1,0)))),IF(Paramètres!L22="",0,IF(Paramètres!M22="",NA(),IF(LEFT(TRIM(Paramètres!M22),1)="F",INDEX($F$1841:$F$1893,MATCH(Paramètres!L22,Paramètres!$G$5:$G$57,0)),INDEX($E$1841:$E$1893,MATCH(Paramètres!L22,Paramètres!$G$5:$G$57,0)))+IF(RIGHT(TRIM(Paramètres!M22),3)="Fin",1-$H1858,IF(LEFT(TRIM(Paramètres!M22),1)="F",1,0)))),IF(Paramètres!N22="",0,IF(Paramètres!O22="",NA(),IF(LEFT(TRIM(Paramètres!O22),1)="F",INDEX($F$1841:$F$1893,MATCH(Paramètres!N22,Paramètres!$G$5:$G$57,0)),INDEX($E$1841:$E$1893,MATCH(Paramètres!N22,Paramètres!$G$5:$G$57,0)))+IF(RIGHT(TRIM(Paramètres!O22),3)="Fin",1-$H1858,IF(LEFT(TRIM(Paramètres!O22),1)="F",1,0)))))))</f>
        <v/>
      </c>
      <c r="F1858" s="19">
        <f>IF($A1858="","",E1858+$H1858-1)</f>
        <v/>
      </c>
      <c r="G1858" s="18" t="n"/>
      <c r="H1858" s="18">
        <f>IF($A1858="","",IF(I1858&lt;&gt;"",I1858,Paramètres!B22))</f>
        <v/>
      </c>
      <c r="I1858" s="18" t="n"/>
    </row>
    <row r="1859">
      <c r="A1859" s="18">
        <f>IF(ISNUMBER(Dossiers!$D$38),Dossiers!$A$38&amp;" · "&amp;Dossiers!$B$38,"")</f>
        <v/>
      </c>
      <c r="B1859" s="18">
        <f>IF($A1859="","",Paramètres!G23)</f>
        <v/>
      </c>
      <c r="C1859" s="18">
        <f>IF($A1859="","",IF(Paramètres!H23="","",Paramètres!H23))</f>
        <v/>
      </c>
      <c r="D1859" s="18">
        <f>IF($A1859="","",IF(Paramètres!I23="","",Paramètres!I23))</f>
        <v/>
      </c>
      <c r="E1859" s="19">
        <f>IF($A1859="","",IF(Paramètres!J23&amp;Paramètres!L23&amp;Paramètres!N23="",Dossiers!$D$38,MAX(IF(Paramètres!J23="",0,IF(Paramètres!K23="",NA(),IF(LEFT(TRIM(Paramètres!K23),1)="F",INDEX($F$1841:$F$1893,MATCH(Paramètres!J23,Paramètres!$G$5:$G$57,0)),INDEX($E$1841:$E$1893,MATCH(Paramètres!J23,Paramètres!$G$5:$G$57,0)))+IF(RIGHT(TRIM(Paramètres!K23),3)="Fin",1-$H1859,IF(LEFT(TRIM(Paramètres!K23),1)="F",1,0)))),IF(Paramètres!L23="",0,IF(Paramètres!M23="",NA(),IF(LEFT(TRIM(Paramètres!M23),1)="F",INDEX($F$1841:$F$1893,MATCH(Paramètres!L23,Paramètres!$G$5:$G$57,0)),INDEX($E$1841:$E$1893,MATCH(Paramètres!L23,Paramètres!$G$5:$G$57,0)))+IF(RIGHT(TRIM(Paramètres!M23),3)="Fin",1-$H1859,IF(LEFT(TRIM(Paramètres!M23),1)="F",1,0)))),IF(Paramètres!N23="",0,IF(Paramètres!O23="",NA(),IF(LEFT(TRIM(Paramètres!O23),1)="F",INDEX($F$1841:$F$1893,MATCH(Paramètres!N23,Paramètres!$G$5:$G$57,0)),INDEX($E$1841:$E$1893,MATCH(Paramètres!N23,Paramètres!$G$5:$G$57,0)))+IF(RIGHT(TRIM(Paramètres!O23),3)="Fin",1-$H1859,IF(LEFT(TRIM(Paramètres!O23),1)="F",1,0)))))))</f>
        <v/>
      </c>
      <c r="F1859" s="19">
        <f>IF($A1859="","",E1859+$H1859-1)</f>
        <v/>
      </c>
      <c r="G1859" s="18" t="n"/>
      <c r="H1859" s="18">
        <f>IF($A1859="","",IF(I1859&lt;&gt;"",I1859,Paramètres!B23))</f>
        <v/>
      </c>
      <c r="I1859" s="18" t="n"/>
    </row>
    <row r="1860">
      <c r="A1860" s="18">
        <f>IF(ISNUMBER(Dossiers!$D$38),Dossiers!$A$38&amp;" · "&amp;Dossiers!$B$38,"")</f>
        <v/>
      </c>
      <c r="B1860" s="18">
        <f>IF($A1860="","",Paramètres!G24)</f>
        <v/>
      </c>
      <c r="C1860" s="18">
        <f>IF($A1860="","",IF(Paramètres!H24="","",Paramètres!H24))</f>
        <v/>
      </c>
      <c r="D1860" s="18">
        <f>IF($A1860="","",IF(Paramètres!I24="","",Paramètres!I24))</f>
        <v/>
      </c>
      <c r="E1860" s="19">
        <f>IF($A1860="","",IF(Paramètres!J24&amp;Paramètres!L24&amp;Paramètres!N24="",Dossiers!$D$38,MAX(IF(Paramètres!J24="",0,IF(Paramètres!K24="",NA(),IF(LEFT(TRIM(Paramètres!K24),1)="F",INDEX($F$1841:$F$1893,MATCH(Paramètres!J24,Paramètres!$G$5:$G$57,0)),INDEX($E$1841:$E$1893,MATCH(Paramètres!J24,Paramètres!$G$5:$G$57,0)))+IF(RIGHT(TRIM(Paramètres!K24),3)="Fin",1-$H1860,IF(LEFT(TRIM(Paramètres!K24),1)="F",1,0)))),IF(Paramètres!L24="",0,IF(Paramètres!M24="",NA(),IF(LEFT(TRIM(Paramètres!M24),1)="F",INDEX($F$1841:$F$1893,MATCH(Paramètres!L24,Paramètres!$G$5:$G$57,0)),INDEX($E$1841:$E$1893,MATCH(Paramètres!L24,Paramètres!$G$5:$G$57,0)))+IF(RIGHT(TRIM(Paramètres!M24),3)="Fin",1-$H1860,IF(LEFT(TRIM(Paramètres!M24),1)="F",1,0)))),IF(Paramètres!N24="",0,IF(Paramètres!O24="",NA(),IF(LEFT(TRIM(Paramètres!O24),1)="F",INDEX($F$1841:$F$1893,MATCH(Paramètres!N24,Paramètres!$G$5:$G$57,0)),INDEX($E$1841:$E$1893,MATCH(Paramètres!N24,Paramètres!$G$5:$G$57,0)))+IF(RIGHT(TRIM(Paramètres!O24),3)="Fin",1-$H1860,IF(LEFT(TRIM(Paramètres!O24),1)="F",1,0)))))))</f>
        <v/>
      </c>
      <c r="F1860" s="19">
        <f>IF($A1860="","",E1860+$H1860-1)</f>
        <v/>
      </c>
      <c r="G1860" s="18" t="n"/>
      <c r="H1860" s="18">
        <f>IF($A1860="","",IF(I1860&lt;&gt;"",I1860,Paramètres!B24))</f>
        <v/>
      </c>
      <c r="I1860" s="18" t="n"/>
    </row>
    <row r="1861">
      <c r="A1861" s="18">
        <f>IF(ISNUMBER(Dossiers!$D$38),Dossiers!$A$38&amp;" · "&amp;Dossiers!$B$38,"")</f>
        <v/>
      </c>
      <c r="B1861" s="18">
        <f>IF($A1861="","",Paramètres!G25)</f>
        <v/>
      </c>
      <c r="C1861" s="18">
        <f>IF($A1861="","",IF(Paramètres!H25="","",Paramètres!H25))</f>
        <v/>
      </c>
      <c r="D1861" s="18">
        <f>IF($A1861="","",IF(Paramètres!I25="","",Paramètres!I25))</f>
        <v/>
      </c>
      <c r="E1861" s="19">
        <f>IF($A1861="","",IF(Paramètres!J25&amp;Paramètres!L25&amp;Paramètres!N25="",Dossiers!$D$38,MAX(IF(Paramètres!J25="",0,IF(Paramètres!K25="",NA(),IF(LEFT(TRIM(Paramètres!K25),1)="F",INDEX($F$1841:$F$1893,MATCH(Paramètres!J25,Paramètres!$G$5:$G$57,0)),INDEX($E$1841:$E$1893,MATCH(Paramètres!J25,Paramètres!$G$5:$G$57,0)))+IF(RIGHT(TRIM(Paramètres!K25),3)="Fin",1-$H1861,IF(LEFT(TRIM(Paramètres!K25),1)="F",1,0)))),IF(Paramètres!L25="",0,IF(Paramètres!M25="",NA(),IF(LEFT(TRIM(Paramètres!M25),1)="F",INDEX($F$1841:$F$1893,MATCH(Paramètres!L25,Paramètres!$G$5:$G$57,0)),INDEX($E$1841:$E$1893,MATCH(Paramètres!L25,Paramètres!$G$5:$G$57,0)))+IF(RIGHT(TRIM(Paramètres!M25),3)="Fin",1-$H1861,IF(LEFT(TRIM(Paramètres!M25),1)="F",1,0)))),IF(Paramètres!N25="",0,IF(Paramètres!O25="",NA(),IF(LEFT(TRIM(Paramètres!O25),1)="F",INDEX($F$1841:$F$1893,MATCH(Paramètres!N25,Paramètres!$G$5:$G$57,0)),INDEX($E$1841:$E$1893,MATCH(Paramètres!N25,Paramètres!$G$5:$G$57,0)))+IF(RIGHT(TRIM(Paramètres!O25),3)="Fin",1-$H1861,IF(LEFT(TRIM(Paramètres!O25),1)="F",1,0)))))))</f>
        <v/>
      </c>
      <c r="F1861" s="19">
        <f>IF($A1861="","",E1861+$H1861-1)</f>
        <v/>
      </c>
      <c r="G1861" s="18" t="n"/>
      <c r="H1861" s="18">
        <f>IF($A1861="","",IF(I1861&lt;&gt;"",I1861,Paramètres!B25))</f>
        <v/>
      </c>
      <c r="I1861" s="18" t="n"/>
    </row>
    <row r="1862">
      <c r="A1862" s="18">
        <f>IF(ISNUMBER(Dossiers!$D$38),Dossiers!$A$38&amp;" · "&amp;Dossiers!$B$38,"")</f>
        <v/>
      </c>
      <c r="B1862" s="18">
        <f>IF($A1862="","",Paramètres!G26)</f>
        <v/>
      </c>
      <c r="C1862" s="18">
        <f>IF($A1862="","",IF(Paramètres!H26="","",Paramètres!H26))</f>
        <v/>
      </c>
      <c r="D1862" s="18">
        <f>IF($A1862="","",IF(Paramètres!I26="","",Paramètres!I26))</f>
        <v/>
      </c>
      <c r="E1862" s="19">
        <f>IF($A1862="","",IF(Paramètres!J26&amp;Paramètres!L26&amp;Paramètres!N26="",Dossiers!$D$38,MAX(IF(Paramètres!J26="",0,IF(Paramètres!K26="",NA(),IF(LEFT(TRIM(Paramètres!K26),1)="F",INDEX($F$1841:$F$1893,MATCH(Paramètres!J26,Paramètres!$G$5:$G$57,0)),INDEX($E$1841:$E$1893,MATCH(Paramètres!J26,Paramètres!$G$5:$G$57,0)))+IF(RIGHT(TRIM(Paramètres!K26),3)="Fin",1-$H1862,IF(LEFT(TRIM(Paramètres!K26),1)="F",1,0)))),IF(Paramètres!L26="",0,IF(Paramètres!M26="",NA(),IF(LEFT(TRIM(Paramètres!M26),1)="F",INDEX($F$1841:$F$1893,MATCH(Paramètres!L26,Paramètres!$G$5:$G$57,0)),INDEX($E$1841:$E$1893,MATCH(Paramètres!L26,Paramètres!$G$5:$G$57,0)))+IF(RIGHT(TRIM(Paramètres!M26),3)="Fin",1-$H1862,IF(LEFT(TRIM(Paramètres!M26),1)="F",1,0)))),IF(Paramètres!N26="",0,IF(Paramètres!O26="",NA(),IF(LEFT(TRIM(Paramètres!O26),1)="F",INDEX($F$1841:$F$1893,MATCH(Paramètres!N26,Paramètres!$G$5:$G$57,0)),INDEX($E$1841:$E$1893,MATCH(Paramètres!N26,Paramètres!$G$5:$G$57,0)))+IF(RIGHT(TRIM(Paramètres!O26),3)="Fin",1-$H1862,IF(LEFT(TRIM(Paramètres!O26),1)="F",1,0)))))))</f>
        <v/>
      </c>
      <c r="F1862" s="19">
        <f>IF($A1862="","",E1862+$H1862-1)</f>
        <v/>
      </c>
      <c r="G1862" s="18" t="n"/>
      <c r="H1862" s="18">
        <f>IF($A1862="","",IF(I1862&lt;&gt;"",I1862,Paramètres!B26))</f>
        <v/>
      </c>
      <c r="I1862" s="18" t="n"/>
    </row>
    <row r="1863">
      <c r="A1863" s="18">
        <f>IF(ISNUMBER(Dossiers!$D$38),Dossiers!$A$38&amp;" · "&amp;Dossiers!$B$38,"")</f>
        <v/>
      </c>
      <c r="B1863" s="18">
        <f>IF($A1863="","",Paramètres!G27)</f>
        <v/>
      </c>
      <c r="C1863" s="18">
        <f>IF($A1863="","",IF(Paramètres!H27="","",Paramètres!H27))</f>
        <v/>
      </c>
      <c r="D1863" s="18">
        <f>IF($A1863="","",IF(Paramètres!I27="","",Paramètres!I27))</f>
        <v/>
      </c>
      <c r="E1863" s="19">
        <f>IF($A1863="","",IF(Paramètres!J27&amp;Paramètres!L27&amp;Paramètres!N27="",Dossiers!$D$38,MAX(IF(Paramètres!J27="",0,IF(Paramètres!K27="",NA(),IF(LEFT(TRIM(Paramètres!K27),1)="F",INDEX($F$1841:$F$1893,MATCH(Paramètres!J27,Paramètres!$G$5:$G$57,0)),INDEX($E$1841:$E$1893,MATCH(Paramètres!J27,Paramètres!$G$5:$G$57,0)))+IF(RIGHT(TRIM(Paramètres!K27),3)="Fin",1-$H1863,IF(LEFT(TRIM(Paramètres!K27),1)="F",1,0)))),IF(Paramètres!L27="",0,IF(Paramètres!M27="",NA(),IF(LEFT(TRIM(Paramètres!M27),1)="F",INDEX($F$1841:$F$1893,MATCH(Paramètres!L27,Paramètres!$G$5:$G$57,0)),INDEX($E$1841:$E$1893,MATCH(Paramètres!L27,Paramètres!$G$5:$G$57,0)))+IF(RIGHT(TRIM(Paramètres!M27),3)="Fin",1-$H1863,IF(LEFT(TRIM(Paramètres!M27),1)="F",1,0)))),IF(Paramètres!N27="",0,IF(Paramètres!O27="",NA(),IF(LEFT(TRIM(Paramètres!O27),1)="F",INDEX($F$1841:$F$1893,MATCH(Paramètres!N27,Paramètres!$G$5:$G$57,0)),INDEX($E$1841:$E$1893,MATCH(Paramètres!N27,Paramètres!$G$5:$G$57,0)))+IF(RIGHT(TRIM(Paramètres!O27),3)="Fin",1-$H1863,IF(LEFT(TRIM(Paramètres!O27),1)="F",1,0)))))))</f>
        <v/>
      </c>
      <c r="F1863" s="19">
        <f>IF($A1863="","",E1863+$H1863-1)</f>
        <v/>
      </c>
      <c r="G1863" s="18" t="n"/>
      <c r="H1863" s="18">
        <f>IF($A1863="","",IF(I1863&lt;&gt;"",I1863,Paramètres!B27))</f>
        <v/>
      </c>
      <c r="I1863" s="18" t="n"/>
    </row>
    <row r="1864">
      <c r="A1864" s="18">
        <f>IF(ISNUMBER(Dossiers!$D$38),Dossiers!$A$38&amp;" · "&amp;Dossiers!$B$38,"")</f>
        <v/>
      </c>
      <c r="B1864" s="18">
        <f>IF($A1864="","",Paramètres!G28)</f>
        <v/>
      </c>
      <c r="C1864" s="18">
        <f>IF($A1864="","",IF(Paramètres!H28="","",Paramètres!H28))</f>
        <v/>
      </c>
      <c r="D1864" s="18">
        <f>IF($A1864="","",IF(Paramètres!I28="","",Paramètres!I28))</f>
        <v/>
      </c>
      <c r="E1864" s="19">
        <f>IF($A1864="","",IF(Paramètres!J28&amp;Paramètres!L28&amp;Paramètres!N28="",Dossiers!$D$38,MAX(IF(Paramètres!J28="",0,IF(Paramètres!K28="",NA(),IF(LEFT(TRIM(Paramètres!K28),1)="F",INDEX($F$1841:$F$1893,MATCH(Paramètres!J28,Paramètres!$G$5:$G$57,0)),INDEX($E$1841:$E$1893,MATCH(Paramètres!J28,Paramètres!$G$5:$G$57,0)))+IF(RIGHT(TRIM(Paramètres!K28),3)="Fin",1-$H1864,IF(LEFT(TRIM(Paramètres!K28),1)="F",1,0)))),IF(Paramètres!L28="",0,IF(Paramètres!M28="",NA(),IF(LEFT(TRIM(Paramètres!M28),1)="F",INDEX($F$1841:$F$1893,MATCH(Paramètres!L28,Paramètres!$G$5:$G$57,0)),INDEX($E$1841:$E$1893,MATCH(Paramètres!L28,Paramètres!$G$5:$G$57,0)))+IF(RIGHT(TRIM(Paramètres!M28),3)="Fin",1-$H1864,IF(LEFT(TRIM(Paramètres!M28),1)="F",1,0)))),IF(Paramètres!N28="",0,IF(Paramètres!O28="",NA(),IF(LEFT(TRIM(Paramètres!O28),1)="F",INDEX($F$1841:$F$1893,MATCH(Paramètres!N28,Paramètres!$G$5:$G$57,0)),INDEX($E$1841:$E$1893,MATCH(Paramètres!N28,Paramètres!$G$5:$G$57,0)))+IF(RIGHT(TRIM(Paramètres!O28),3)="Fin",1-$H1864,IF(LEFT(TRIM(Paramètres!O28),1)="F",1,0)))))))</f>
        <v/>
      </c>
      <c r="F1864" s="19">
        <f>IF($A1864="","",E1864+$H1864-1)</f>
        <v/>
      </c>
      <c r="G1864" s="18" t="n"/>
      <c r="H1864" s="18">
        <f>IF($A1864="","",IF(I1864&lt;&gt;"",I1864,Paramètres!B28))</f>
        <v/>
      </c>
      <c r="I1864" s="18" t="n"/>
    </row>
    <row r="1865">
      <c r="A1865" s="18">
        <f>IF(ISNUMBER(Dossiers!$D$38),Dossiers!$A$38&amp;" · "&amp;Dossiers!$B$38,"")</f>
        <v/>
      </c>
      <c r="B1865" s="18">
        <f>IF($A1865="","",Paramètres!G29)</f>
        <v/>
      </c>
      <c r="C1865" s="18">
        <f>IF($A1865="","",IF(Paramètres!H29="","",Paramètres!H29))</f>
        <v/>
      </c>
      <c r="D1865" s="18">
        <f>IF($A1865="","",IF(Paramètres!I29="","",Paramètres!I29))</f>
        <v/>
      </c>
      <c r="E1865" s="19">
        <f>IF($A1865="","",IF(Paramètres!J29&amp;Paramètres!L29&amp;Paramètres!N29="",Dossiers!$D$38,MAX(IF(Paramètres!J29="",0,IF(Paramètres!K29="",NA(),IF(LEFT(TRIM(Paramètres!K29),1)="F",INDEX($F$1841:$F$1893,MATCH(Paramètres!J29,Paramètres!$G$5:$G$57,0)),INDEX($E$1841:$E$1893,MATCH(Paramètres!J29,Paramètres!$G$5:$G$57,0)))+IF(RIGHT(TRIM(Paramètres!K29),3)="Fin",1-$H1865,IF(LEFT(TRIM(Paramètres!K29),1)="F",1,0)))),IF(Paramètres!L29="",0,IF(Paramètres!M29="",NA(),IF(LEFT(TRIM(Paramètres!M29),1)="F",INDEX($F$1841:$F$1893,MATCH(Paramètres!L29,Paramètres!$G$5:$G$57,0)),INDEX($E$1841:$E$1893,MATCH(Paramètres!L29,Paramètres!$G$5:$G$57,0)))+IF(RIGHT(TRIM(Paramètres!M29),3)="Fin",1-$H1865,IF(LEFT(TRIM(Paramètres!M29),1)="F",1,0)))),IF(Paramètres!N29="",0,IF(Paramètres!O29="",NA(),IF(LEFT(TRIM(Paramètres!O29),1)="F",INDEX($F$1841:$F$1893,MATCH(Paramètres!N29,Paramètres!$G$5:$G$57,0)),INDEX($E$1841:$E$1893,MATCH(Paramètres!N29,Paramètres!$G$5:$G$57,0)))+IF(RIGHT(TRIM(Paramètres!O29),3)="Fin",1-$H1865,IF(LEFT(TRIM(Paramètres!O29),1)="F",1,0)))))))</f>
        <v/>
      </c>
      <c r="F1865" s="19">
        <f>IF($A1865="","",E1865+$H1865-1)</f>
        <v/>
      </c>
      <c r="G1865" s="18" t="n"/>
      <c r="H1865" s="18">
        <f>IF($A1865="","",IF(I1865&lt;&gt;"",I1865,Paramètres!B29))</f>
        <v/>
      </c>
      <c r="I1865" s="18" t="n"/>
    </row>
    <row r="1866">
      <c r="A1866" s="18">
        <f>IF(ISNUMBER(Dossiers!$D$38),Dossiers!$A$38&amp;" · "&amp;Dossiers!$B$38,"")</f>
        <v/>
      </c>
      <c r="B1866" s="18">
        <f>IF($A1866="","",Paramètres!G30)</f>
        <v/>
      </c>
      <c r="C1866" s="18">
        <f>IF($A1866="","",IF(Paramètres!H30="","",Paramètres!H30))</f>
        <v/>
      </c>
      <c r="D1866" s="18">
        <f>IF($A1866="","",IF(Paramètres!I30="","",Paramètres!I30))</f>
        <v/>
      </c>
      <c r="E1866" s="19">
        <f>IF($A1866="","",IF(Paramètres!J30&amp;Paramètres!L30&amp;Paramètres!N30="",Dossiers!$D$38,MAX(IF(Paramètres!J30="",0,IF(Paramètres!K30="",NA(),IF(LEFT(TRIM(Paramètres!K30),1)="F",INDEX($F$1841:$F$1893,MATCH(Paramètres!J30,Paramètres!$G$5:$G$57,0)),INDEX($E$1841:$E$1893,MATCH(Paramètres!J30,Paramètres!$G$5:$G$57,0)))+IF(RIGHT(TRIM(Paramètres!K30),3)="Fin",1-$H1866,IF(LEFT(TRIM(Paramètres!K30),1)="F",1,0)))),IF(Paramètres!L30="",0,IF(Paramètres!M30="",NA(),IF(LEFT(TRIM(Paramètres!M30),1)="F",INDEX($F$1841:$F$1893,MATCH(Paramètres!L30,Paramètres!$G$5:$G$57,0)),INDEX($E$1841:$E$1893,MATCH(Paramètres!L30,Paramètres!$G$5:$G$57,0)))+IF(RIGHT(TRIM(Paramètres!M30),3)="Fin",1-$H1866,IF(LEFT(TRIM(Paramètres!M30),1)="F",1,0)))),IF(Paramètres!N30="",0,IF(Paramètres!O30="",NA(),IF(LEFT(TRIM(Paramètres!O30),1)="F",INDEX($F$1841:$F$1893,MATCH(Paramètres!N30,Paramètres!$G$5:$G$57,0)),INDEX($E$1841:$E$1893,MATCH(Paramètres!N30,Paramètres!$G$5:$G$57,0)))+IF(RIGHT(TRIM(Paramètres!O30),3)="Fin",1-$H1866,IF(LEFT(TRIM(Paramètres!O30),1)="F",1,0)))))))</f>
        <v/>
      </c>
      <c r="F1866" s="19">
        <f>IF($A1866="","",E1866+$H1866-1)</f>
        <v/>
      </c>
      <c r="G1866" s="18" t="n"/>
      <c r="H1866" s="18">
        <f>IF($A1866="","",IF(I1866&lt;&gt;"",I1866,Paramètres!B30))</f>
        <v/>
      </c>
      <c r="I1866" s="18" t="n"/>
    </row>
    <row r="1867">
      <c r="A1867" s="18">
        <f>IF(ISNUMBER(Dossiers!$D$38),Dossiers!$A$38&amp;" · "&amp;Dossiers!$B$38,"")</f>
        <v/>
      </c>
      <c r="B1867" s="18">
        <f>IF($A1867="","",Paramètres!G31)</f>
        <v/>
      </c>
      <c r="C1867" s="20">
        <f>IF($A1867="","",IF(Dossiers!$F$38="","",Dossiers!$F$38))</f>
        <v/>
      </c>
      <c r="D1867" s="18">
        <f>IF($A1867="","",IF(Paramètres!I31="","",Paramètres!I31))</f>
        <v/>
      </c>
      <c r="E1867" s="19">
        <f>IF($A1867="","",IF(Paramètres!J31&amp;Paramètres!L31&amp;Paramètres!N31="",Dossiers!$D$38,MAX(IF(Paramètres!J31="",0,IF(Paramètres!K31="",NA(),IF(LEFT(TRIM(Paramètres!K31),1)="F",INDEX($F$1841:$F$1893,MATCH(Paramètres!J31,Paramètres!$G$5:$G$57,0)),INDEX($E$1841:$E$1893,MATCH(Paramètres!J31,Paramètres!$G$5:$G$57,0)))+IF(RIGHT(TRIM(Paramètres!K31),3)="Fin",1-$H1867,IF(LEFT(TRIM(Paramètres!K31),1)="F",1,0)))),IF(Paramètres!L31="",0,IF(Paramètres!M31="",NA(),IF(LEFT(TRIM(Paramètres!M31),1)="F",INDEX($F$1841:$F$1893,MATCH(Paramètres!L31,Paramètres!$G$5:$G$57,0)),INDEX($E$1841:$E$1893,MATCH(Paramètres!L31,Paramètres!$G$5:$G$57,0)))+IF(RIGHT(TRIM(Paramètres!M31),3)="Fin",1-$H1867,IF(LEFT(TRIM(Paramètres!M31),1)="F",1,0)))),IF(Paramètres!N31="",0,IF(Paramètres!O31="",NA(),IF(LEFT(TRIM(Paramètres!O31),1)="F",INDEX($F$1841:$F$1893,MATCH(Paramètres!N31,Paramètres!$G$5:$G$57,0)),INDEX($E$1841:$E$1893,MATCH(Paramètres!N31,Paramètres!$G$5:$G$57,0)))+IF(RIGHT(TRIM(Paramètres!O31),3)="Fin",1-$H1867,IF(LEFT(TRIM(Paramètres!O31),1)="F",1,0)))))))</f>
        <v/>
      </c>
      <c r="F1867" s="19">
        <f>IF($A1867="","",E1867+$H1867-1)</f>
        <v/>
      </c>
      <c r="G1867" s="18" t="n"/>
      <c r="H1867" s="18">
        <f>IF($A1867="","",IF(I1867&lt;&gt;"",I1867,Paramètres!B31))</f>
        <v/>
      </c>
      <c r="I1867" s="18" t="n"/>
    </row>
    <row r="1868">
      <c r="A1868" s="18">
        <f>IF(ISNUMBER(Dossiers!$D$38),Dossiers!$A$38&amp;" · "&amp;Dossiers!$B$38,"")</f>
        <v/>
      </c>
      <c r="B1868" s="18">
        <f>IF($A1868="","",Paramètres!G32)</f>
        <v/>
      </c>
      <c r="C1868" s="18">
        <f>IF($A1868="","",IF(Paramètres!H32="","",Paramètres!H32))</f>
        <v/>
      </c>
      <c r="D1868" s="18">
        <f>IF($A1868="","",IF(Paramètres!I32="","",Paramètres!I32))</f>
        <v/>
      </c>
      <c r="E1868" s="19">
        <f>IF($A1868="","",MIN(E1869:E1872))</f>
        <v/>
      </c>
      <c r="F1868" s="19">
        <f>IF($A1868="","",MAX(F1869:F1872))</f>
        <v/>
      </c>
      <c r="G1868" s="18" t="n"/>
      <c r="H1868" s="18">
        <f>IF($A1868="","",F1868-E1868+1)</f>
        <v/>
      </c>
      <c r="I1868" s="18" t="n"/>
    </row>
    <row r="1869">
      <c r="A1869" s="18">
        <f>IF(ISNUMBER(Dossiers!$D$38),Dossiers!$A$38&amp;" · "&amp;Dossiers!$B$38,"")</f>
        <v/>
      </c>
      <c r="B1869" s="18">
        <f>IF($A1869="","",Paramètres!G33)</f>
        <v/>
      </c>
      <c r="C1869" s="18">
        <f>IF($A1869="","",IF(Paramètres!H33="","",Paramètres!H33))</f>
        <v/>
      </c>
      <c r="D1869" s="18">
        <f>IF($A1869="","",IF(Paramètres!I33="","",Paramètres!I33))</f>
        <v/>
      </c>
      <c r="E1869" s="19">
        <f>IF($A1869="","",IF(Paramètres!J33&amp;Paramètres!L33&amp;Paramètres!N33="",Dossiers!$D$38,MAX(IF(Paramètres!J33="",0,IF(Paramètres!K33="",NA(),IF(LEFT(TRIM(Paramètres!K33),1)="F",INDEX($F$1841:$F$1893,MATCH(Paramètres!J33,Paramètres!$G$5:$G$57,0)),INDEX($E$1841:$E$1893,MATCH(Paramètres!J33,Paramètres!$G$5:$G$57,0)))+IF(RIGHT(TRIM(Paramètres!K33),3)="Fin",1-$H1869,IF(LEFT(TRIM(Paramètres!K33),1)="F",1,0)))),IF(Paramètres!L33="",0,IF(Paramètres!M33="",NA(),IF(LEFT(TRIM(Paramètres!M33),1)="F",INDEX($F$1841:$F$1893,MATCH(Paramètres!L33,Paramètres!$G$5:$G$57,0)),INDEX($E$1841:$E$1893,MATCH(Paramètres!L33,Paramètres!$G$5:$G$57,0)))+IF(RIGHT(TRIM(Paramètres!M33),3)="Fin",1-$H1869,IF(LEFT(TRIM(Paramètres!M33),1)="F",1,0)))),IF(Paramètres!N33="",0,IF(Paramètres!O33="",NA(),IF(LEFT(TRIM(Paramètres!O33),1)="F",INDEX($F$1841:$F$1893,MATCH(Paramètres!N33,Paramètres!$G$5:$G$57,0)),INDEX($E$1841:$E$1893,MATCH(Paramètres!N33,Paramètres!$G$5:$G$57,0)))+IF(RIGHT(TRIM(Paramètres!O33),3)="Fin",1-$H1869,IF(LEFT(TRIM(Paramètres!O33),1)="F",1,0)))))))</f>
        <v/>
      </c>
      <c r="F1869" s="19">
        <f>IF($A1869="","",E1869+$H1869-1)</f>
        <v/>
      </c>
      <c r="G1869" s="18" t="n"/>
      <c r="H1869" s="18">
        <f>IF($A1869="","",IF(I1869&lt;&gt;"",I1869,Paramètres!B33))</f>
        <v/>
      </c>
      <c r="I1869" s="18" t="n"/>
    </row>
    <row r="1870">
      <c r="A1870" s="18">
        <f>IF(ISNUMBER(Dossiers!$D$38),Dossiers!$A$38&amp;" · "&amp;Dossiers!$B$38,"")</f>
        <v/>
      </c>
      <c r="B1870" s="18">
        <f>IF($A1870="","",Paramètres!G34)</f>
        <v/>
      </c>
      <c r="C1870" s="18">
        <f>IF($A1870="","",IF(Paramètres!H34="","",Paramètres!H34))</f>
        <v/>
      </c>
      <c r="D1870" s="18">
        <f>IF($A1870="","",IF(Paramètres!I34="","",Paramètres!I34))</f>
        <v/>
      </c>
      <c r="E1870" s="19">
        <f>IF($A1870="","",IF(Paramètres!J34&amp;Paramètres!L34&amp;Paramètres!N34="",Dossiers!$D$38,MAX(IF(Paramètres!J34="",0,IF(Paramètres!K34="",NA(),IF(LEFT(TRIM(Paramètres!K34),1)="F",INDEX($F$1841:$F$1893,MATCH(Paramètres!J34,Paramètres!$G$5:$G$57,0)),INDEX($E$1841:$E$1893,MATCH(Paramètres!J34,Paramètres!$G$5:$G$57,0)))+IF(RIGHT(TRIM(Paramètres!K34),3)="Fin",1-$H1870,IF(LEFT(TRIM(Paramètres!K34),1)="F",1,0)))),IF(Paramètres!L34="",0,IF(Paramètres!M34="",NA(),IF(LEFT(TRIM(Paramètres!M34),1)="F",INDEX($F$1841:$F$1893,MATCH(Paramètres!L34,Paramètres!$G$5:$G$57,0)),INDEX($E$1841:$E$1893,MATCH(Paramètres!L34,Paramètres!$G$5:$G$57,0)))+IF(RIGHT(TRIM(Paramètres!M34),3)="Fin",1-$H1870,IF(LEFT(TRIM(Paramètres!M34),1)="F",1,0)))),IF(Paramètres!N34="",0,IF(Paramètres!O34="",NA(),IF(LEFT(TRIM(Paramètres!O34),1)="F",INDEX($F$1841:$F$1893,MATCH(Paramètres!N34,Paramètres!$G$5:$G$57,0)),INDEX($E$1841:$E$1893,MATCH(Paramètres!N34,Paramètres!$G$5:$G$57,0)))+IF(RIGHT(TRIM(Paramètres!O34),3)="Fin",1-$H1870,IF(LEFT(TRIM(Paramètres!O34),1)="F",1,0)))))))</f>
        <v/>
      </c>
      <c r="F1870" s="19">
        <f>IF($A1870="","",E1870+$H1870-1)</f>
        <v/>
      </c>
      <c r="G1870" s="18" t="n"/>
      <c r="H1870" s="18">
        <f>IF($A1870="","",IF(I1870&lt;&gt;"",I1870,Paramètres!B34))</f>
        <v/>
      </c>
      <c r="I1870" s="18" t="n"/>
    </row>
    <row r="1871">
      <c r="A1871" s="18">
        <f>IF(ISNUMBER(Dossiers!$D$38),Dossiers!$A$38&amp;" · "&amp;Dossiers!$B$38,"")</f>
        <v/>
      </c>
      <c r="B1871" s="18">
        <f>IF($A1871="","",Paramètres!G35)</f>
        <v/>
      </c>
      <c r="C1871" s="18">
        <f>IF($A1871="","",IF(Paramètres!H35="","",Paramètres!H35))</f>
        <v/>
      </c>
      <c r="D1871" s="18">
        <f>IF($A1871="","",IF(Paramètres!I35="","",Paramètres!I35))</f>
        <v/>
      </c>
      <c r="E1871" s="19">
        <f>IF($A1871="","",IF(Paramètres!J35&amp;Paramètres!L35&amp;Paramètres!N35="",Dossiers!$D$38,MAX(IF(Paramètres!J35="",0,IF(Paramètres!K35="",NA(),IF(LEFT(TRIM(Paramètres!K35),1)="F",INDEX($F$1841:$F$1893,MATCH(Paramètres!J35,Paramètres!$G$5:$G$57,0)),INDEX($E$1841:$E$1893,MATCH(Paramètres!J35,Paramètres!$G$5:$G$57,0)))+IF(RIGHT(TRIM(Paramètres!K35),3)="Fin",1-$H1871,IF(LEFT(TRIM(Paramètres!K35),1)="F",1,0)))),IF(Paramètres!L35="",0,IF(Paramètres!M35="",NA(),IF(LEFT(TRIM(Paramètres!M35),1)="F",INDEX($F$1841:$F$1893,MATCH(Paramètres!L35,Paramètres!$G$5:$G$57,0)),INDEX($E$1841:$E$1893,MATCH(Paramètres!L35,Paramètres!$G$5:$G$57,0)))+IF(RIGHT(TRIM(Paramètres!M35),3)="Fin",1-$H1871,IF(LEFT(TRIM(Paramètres!M35),1)="F",1,0)))),IF(Paramètres!N35="",0,IF(Paramètres!O35="",NA(),IF(LEFT(TRIM(Paramètres!O35),1)="F",INDEX($F$1841:$F$1893,MATCH(Paramètres!N35,Paramètres!$G$5:$G$57,0)),INDEX($E$1841:$E$1893,MATCH(Paramètres!N35,Paramètres!$G$5:$G$57,0)))+IF(RIGHT(TRIM(Paramètres!O35),3)="Fin",1-$H1871,IF(LEFT(TRIM(Paramètres!O35),1)="F",1,0)))))))</f>
        <v/>
      </c>
      <c r="F1871" s="19">
        <f>IF($A1871="","",E1871+$H1871-1)</f>
        <v/>
      </c>
      <c r="G1871" s="18" t="n"/>
      <c r="H1871" s="18">
        <f>IF($A1871="","",IF(I1871&lt;&gt;"",I1871,Paramètres!B35))</f>
        <v/>
      </c>
      <c r="I1871" s="18" t="n"/>
    </row>
    <row r="1872">
      <c r="A1872" s="18">
        <f>IF(ISNUMBER(Dossiers!$D$38),Dossiers!$A$38&amp;" · "&amp;Dossiers!$B$38,"")</f>
        <v/>
      </c>
      <c r="B1872" s="18">
        <f>IF($A1872="","",Paramètres!G36)</f>
        <v/>
      </c>
      <c r="C1872" s="18">
        <f>IF($A1872="","",IF(Paramètres!H36="","",Paramètres!H36))</f>
        <v/>
      </c>
      <c r="D1872" s="18">
        <f>IF($A1872="","",IF(Paramètres!I36="","",Paramètres!I36))</f>
        <v/>
      </c>
      <c r="E1872" s="19">
        <f>IF($A1872="","",IF(Paramètres!J36&amp;Paramètres!L36&amp;Paramètres!N36="",Dossiers!$D$38,MAX(IF(Paramètres!J36="",0,IF(Paramètres!K36="",NA(),IF(LEFT(TRIM(Paramètres!K36),1)="F",INDEX($F$1841:$F$1893,MATCH(Paramètres!J36,Paramètres!$G$5:$G$57,0)),INDEX($E$1841:$E$1893,MATCH(Paramètres!J36,Paramètres!$G$5:$G$57,0)))+IF(RIGHT(TRIM(Paramètres!K36),3)="Fin",1-$H1872,IF(LEFT(TRIM(Paramètres!K36),1)="F",1,0)))),IF(Paramètres!L36="",0,IF(Paramètres!M36="",NA(),IF(LEFT(TRIM(Paramètres!M36),1)="F",INDEX($F$1841:$F$1893,MATCH(Paramètres!L36,Paramètres!$G$5:$G$57,0)),INDEX($E$1841:$E$1893,MATCH(Paramètres!L36,Paramètres!$G$5:$G$57,0)))+IF(RIGHT(TRIM(Paramètres!M36),3)="Fin",1-$H1872,IF(LEFT(TRIM(Paramètres!M36),1)="F",1,0)))),IF(Paramètres!N36="",0,IF(Paramètres!O36="",NA(),IF(LEFT(TRIM(Paramètres!O36),1)="F",INDEX($F$1841:$F$1893,MATCH(Paramètres!N36,Paramètres!$G$5:$G$57,0)),INDEX($E$1841:$E$1893,MATCH(Paramètres!N36,Paramètres!$G$5:$G$57,0)))+IF(RIGHT(TRIM(Paramètres!O36),3)="Fin",1-$H1872,IF(LEFT(TRIM(Paramètres!O36),1)="F",1,0)))))))</f>
        <v/>
      </c>
      <c r="F1872" s="19">
        <f>IF($A1872="","",E1872+$H1872-1)</f>
        <v/>
      </c>
      <c r="G1872" s="18" t="n"/>
      <c r="H1872" s="18">
        <f>IF($A1872="","",IF(I1872&lt;&gt;"",I1872,Paramètres!B36))</f>
        <v/>
      </c>
      <c r="I1872" s="18" t="n"/>
    </row>
    <row r="1873">
      <c r="A1873" s="18">
        <f>IF(ISNUMBER(Dossiers!$D$38),Dossiers!$A$38&amp;" · "&amp;Dossiers!$B$38,"")</f>
        <v/>
      </c>
      <c r="B1873" s="18">
        <f>IF($A1873="","",Paramètres!G37)</f>
        <v/>
      </c>
      <c r="C1873" s="18">
        <f>IF($A1873="","",IF(Paramètres!H37="","",Paramètres!H37))</f>
        <v/>
      </c>
      <c r="D1873" s="18">
        <f>IF($A1873="","",IF(Paramètres!I37="","",Paramètres!I37))</f>
        <v/>
      </c>
      <c r="E1873" s="19">
        <f>IF($A1873="","",MIN(E1874:E1891))</f>
        <v/>
      </c>
      <c r="F1873" s="19">
        <f>IF($A1873="","",MAX(F1874:F1891))</f>
        <v/>
      </c>
      <c r="G1873" s="18" t="n"/>
      <c r="H1873" s="18">
        <f>IF($A1873="","",F1873-E1873+1)</f>
        <v/>
      </c>
      <c r="I1873" s="18" t="n"/>
    </row>
    <row r="1874">
      <c r="A1874" s="18">
        <f>IF(ISNUMBER(Dossiers!$D$38),Dossiers!$A$38&amp;" · "&amp;Dossiers!$B$38,"")</f>
        <v/>
      </c>
      <c r="B1874" s="18">
        <f>IF($A1874="","",Paramètres!G38)</f>
        <v/>
      </c>
      <c r="C1874" s="18">
        <f>IF($A1874="","",IF(Paramètres!H38="","",Paramètres!H38))</f>
        <v/>
      </c>
      <c r="D1874" s="18">
        <f>IF($A1874="","",IF(Paramètres!I38="","",Paramètres!I38))</f>
        <v/>
      </c>
      <c r="E1874" s="19">
        <f>IF($A1874="","",IF(Paramètres!J38&amp;Paramètres!L38&amp;Paramètres!N38="",Dossiers!$D$38,MAX(IF(Paramètres!J38="",0,IF(Paramètres!K38="",NA(),IF(LEFT(TRIM(Paramètres!K38),1)="F",INDEX($F$1841:$F$1893,MATCH(Paramètres!J38,Paramètres!$G$5:$G$57,0)),INDEX($E$1841:$E$1893,MATCH(Paramètres!J38,Paramètres!$G$5:$G$57,0)))+IF(RIGHT(TRIM(Paramètres!K38),3)="Fin",1-$H1874,IF(LEFT(TRIM(Paramètres!K38),1)="F",1,0)))),IF(Paramètres!L38="",0,IF(Paramètres!M38="",NA(),IF(LEFT(TRIM(Paramètres!M38),1)="F",INDEX($F$1841:$F$1893,MATCH(Paramètres!L38,Paramètres!$G$5:$G$57,0)),INDEX($E$1841:$E$1893,MATCH(Paramètres!L38,Paramètres!$G$5:$G$57,0)))+IF(RIGHT(TRIM(Paramètres!M38),3)="Fin",1-$H1874,IF(LEFT(TRIM(Paramètres!M38),1)="F",1,0)))),IF(Paramètres!N38="",0,IF(Paramètres!O38="",NA(),IF(LEFT(TRIM(Paramètres!O38),1)="F",INDEX($F$1841:$F$1893,MATCH(Paramètres!N38,Paramètres!$G$5:$G$57,0)),INDEX($E$1841:$E$1893,MATCH(Paramètres!N38,Paramètres!$G$5:$G$57,0)))+IF(RIGHT(TRIM(Paramètres!O38),3)="Fin",1-$H1874,IF(LEFT(TRIM(Paramètres!O38),1)="F",1,0)))))))</f>
        <v/>
      </c>
      <c r="F1874" s="19">
        <f>IF($A1874="","",E1874+$H1874-1)</f>
        <v/>
      </c>
      <c r="G1874" s="18" t="n"/>
      <c r="H1874" s="18">
        <f>IF($A1874="","",IF(I1874&lt;&gt;"",I1874,Paramètres!B38))</f>
        <v/>
      </c>
      <c r="I1874" s="18" t="n"/>
    </row>
    <row r="1875">
      <c r="A1875" s="18">
        <f>IF(ISNUMBER(Dossiers!$D$38),Dossiers!$A$38&amp;" · "&amp;Dossiers!$B$38,"")</f>
        <v/>
      </c>
      <c r="B1875" s="18">
        <f>IF($A1875="","",Paramètres!G39)</f>
        <v/>
      </c>
      <c r="C1875" s="18">
        <f>IF($A1875="","",IF(Paramètres!H39="","",Paramètres!H39))</f>
        <v/>
      </c>
      <c r="D1875" s="18">
        <f>IF($A1875="","",IF(Paramètres!I39="","",Paramètres!I39))</f>
        <v/>
      </c>
      <c r="E1875" s="19">
        <f>IF($A1875="","",IF(Paramètres!J39&amp;Paramètres!L39&amp;Paramètres!N39="",Dossiers!$D$38,MAX(IF(Paramètres!J39="",0,IF(Paramètres!K39="",NA(),IF(LEFT(TRIM(Paramètres!K39),1)="F",INDEX($F$1841:$F$1893,MATCH(Paramètres!J39,Paramètres!$G$5:$G$57,0)),INDEX($E$1841:$E$1893,MATCH(Paramètres!J39,Paramètres!$G$5:$G$57,0)))+IF(RIGHT(TRIM(Paramètres!K39),3)="Fin",1-$H1875,IF(LEFT(TRIM(Paramètres!K39),1)="F",1,0)))),IF(Paramètres!L39="",0,IF(Paramètres!M39="",NA(),IF(LEFT(TRIM(Paramètres!M39),1)="F",INDEX($F$1841:$F$1893,MATCH(Paramètres!L39,Paramètres!$G$5:$G$57,0)),INDEX($E$1841:$E$1893,MATCH(Paramètres!L39,Paramètres!$G$5:$G$57,0)))+IF(RIGHT(TRIM(Paramètres!M39),3)="Fin",1-$H1875,IF(LEFT(TRIM(Paramètres!M39),1)="F",1,0)))),IF(Paramètres!N39="",0,IF(Paramètres!O39="",NA(),IF(LEFT(TRIM(Paramètres!O39),1)="F",INDEX($F$1841:$F$1893,MATCH(Paramètres!N39,Paramètres!$G$5:$G$57,0)),INDEX($E$1841:$E$1893,MATCH(Paramètres!N39,Paramètres!$G$5:$G$57,0)))+IF(RIGHT(TRIM(Paramètres!O39),3)="Fin",1-$H1875,IF(LEFT(TRIM(Paramètres!O39),1)="F",1,0)))))))</f>
        <v/>
      </c>
      <c r="F1875" s="19">
        <f>IF($A1875="","",E1875+$H1875-1)</f>
        <v/>
      </c>
      <c r="G1875" s="18" t="n"/>
      <c r="H1875" s="18">
        <f>IF($A1875="","",IF(I1875&lt;&gt;"",I1875,Paramètres!B39))</f>
        <v/>
      </c>
      <c r="I1875" s="18" t="n"/>
    </row>
    <row r="1876">
      <c r="A1876" s="18">
        <f>IF(ISNUMBER(Dossiers!$D$38),Dossiers!$A$38&amp;" · "&amp;Dossiers!$B$38,"")</f>
        <v/>
      </c>
      <c r="B1876" s="18">
        <f>IF($A1876="","",Paramètres!G40)</f>
        <v/>
      </c>
      <c r="C1876" s="18">
        <f>IF($A1876="","",IF(Paramètres!H40="","",Paramètres!H40))</f>
        <v/>
      </c>
      <c r="D1876" s="18">
        <f>IF($A1876="","",IF(Paramètres!I40="","",Paramètres!I40))</f>
        <v/>
      </c>
      <c r="E1876" s="19">
        <f>IF($A1876="","",IF(Paramètres!J40&amp;Paramètres!L40&amp;Paramètres!N40="",Dossiers!$D$38,MAX(IF(Paramètres!J40="",0,IF(Paramètres!K40="",NA(),IF(LEFT(TRIM(Paramètres!K40),1)="F",INDEX($F$1841:$F$1893,MATCH(Paramètres!J40,Paramètres!$G$5:$G$57,0)),INDEX($E$1841:$E$1893,MATCH(Paramètres!J40,Paramètres!$G$5:$G$57,0)))+IF(RIGHT(TRIM(Paramètres!K40),3)="Fin",1-$H1876,IF(LEFT(TRIM(Paramètres!K40),1)="F",1,0)))),IF(Paramètres!L40="",0,IF(Paramètres!M40="",NA(),IF(LEFT(TRIM(Paramètres!M40),1)="F",INDEX($F$1841:$F$1893,MATCH(Paramètres!L40,Paramètres!$G$5:$G$57,0)),INDEX($E$1841:$E$1893,MATCH(Paramètres!L40,Paramètres!$G$5:$G$57,0)))+IF(RIGHT(TRIM(Paramètres!M40),3)="Fin",1-$H1876,IF(LEFT(TRIM(Paramètres!M40),1)="F",1,0)))),IF(Paramètres!N40="",0,IF(Paramètres!O40="",NA(),IF(LEFT(TRIM(Paramètres!O40),1)="F",INDEX($F$1841:$F$1893,MATCH(Paramètres!N40,Paramètres!$G$5:$G$57,0)),INDEX($E$1841:$E$1893,MATCH(Paramètres!N40,Paramètres!$G$5:$G$57,0)))+IF(RIGHT(TRIM(Paramètres!O40),3)="Fin",1-$H1876,IF(LEFT(TRIM(Paramètres!O40),1)="F",1,0)))))))</f>
        <v/>
      </c>
      <c r="F1876" s="19">
        <f>IF($A1876="","",E1876+$H1876-1)</f>
        <v/>
      </c>
      <c r="G1876" s="18" t="n"/>
      <c r="H1876" s="18">
        <f>IF($A1876="","",IF(I1876&lt;&gt;"",I1876,Paramètres!B40))</f>
        <v/>
      </c>
      <c r="I1876" s="18" t="n"/>
    </row>
    <row r="1877">
      <c r="A1877" s="18">
        <f>IF(ISNUMBER(Dossiers!$D$38),Dossiers!$A$38&amp;" · "&amp;Dossiers!$B$38,"")</f>
        <v/>
      </c>
      <c r="B1877" s="18">
        <f>IF($A1877="","",Paramètres!G41)</f>
        <v/>
      </c>
      <c r="C1877" s="18">
        <f>IF($A1877="","",IF(Paramètres!H41="","",Paramètres!H41))</f>
        <v/>
      </c>
      <c r="D1877" s="18">
        <f>IF($A1877="","",IF(Paramètres!I41="","",Paramètres!I41))</f>
        <v/>
      </c>
      <c r="E1877" s="19">
        <f>IF($A1877="","",IF(Paramètres!J41&amp;Paramètres!L41&amp;Paramètres!N41="",Dossiers!$D$38,MAX(IF(Paramètres!J41="",0,IF(Paramètres!K41="",NA(),IF(LEFT(TRIM(Paramètres!K41),1)="F",INDEX($F$1841:$F$1893,MATCH(Paramètres!J41,Paramètres!$G$5:$G$57,0)),INDEX($E$1841:$E$1893,MATCH(Paramètres!J41,Paramètres!$G$5:$G$57,0)))+IF(RIGHT(TRIM(Paramètres!K41),3)="Fin",1-$H1877,IF(LEFT(TRIM(Paramètres!K41),1)="F",1,0)))),IF(Paramètres!L41="",0,IF(Paramètres!M41="",NA(),IF(LEFT(TRIM(Paramètres!M41),1)="F",INDEX($F$1841:$F$1893,MATCH(Paramètres!L41,Paramètres!$G$5:$G$57,0)),INDEX($E$1841:$E$1893,MATCH(Paramètres!L41,Paramètres!$G$5:$G$57,0)))+IF(RIGHT(TRIM(Paramètres!M41),3)="Fin",1-$H1877,IF(LEFT(TRIM(Paramètres!M41),1)="F",1,0)))),IF(Paramètres!N41="",0,IF(Paramètres!O41="",NA(),IF(LEFT(TRIM(Paramètres!O41),1)="F",INDEX($F$1841:$F$1893,MATCH(Paramètres!N41,Paramètres!$G$5:$G$57,0)),INDEX($E$1841:$E$1893,MATCH(Paramètres!N41,Paramètres!$G$5:$G$57,0)))+IF(RIGHT(TRIM(Paramètres!O41),3)="Fin",1-$H1877,IF(LEFT(TRIM(Paramètres!O41),1)="F",1,0)))))))</f>
        <v/>
      </c>
      <c r="F1877" s="19">
        <f>IF($A1877="","",E1877+$H1877-1)</f>
        <v/>
      </c>
      <c r="G1877" s="18" t="n"/>
      <c r="H1877" s="18">
        <f>IF($A1877="","",IF(I1877&lt;&gt;"",I1877,Paramètres!B41))</f>
        <v/>
      </c>
      <c r="I1877" s="18" t="n"/>
    </row>
    <row r="1878">
      <c r="A1878" s="18">
        <f>IF(ISNUMBER(Dossiers!$D$38),Dossiers!$A$38&amp;" · "&amp;Dossiers!$B$38,"")</f>
        <v/>
      </c>
      <c r="B1878" s="18">
        <f>IF($A1878="","",Paramètres!G42)</f>
        <v/>
      </c>
      <c r="C1878" s="18">
        <f>IF($A1878="","",IF(Paramètres!H42="","",Paramètres!H42))</f>
        <v/>
      </c>
      <c r="D1878" s="18">
        <f>IF($A1878="","",IF(Paramètres!I42="","",Paramètres!I42))</f>
        <v/>
      </c>
      <c r="E1878" s="19">
        <f>IF($A1878="","",IF(Paramètres!J42&amp;Paramètres!L42&amp;Paramètres!N42="",Dossiers!$D$38,MAX(IF(Paramètres!J42="",0,IF(Paramètres!K42="",NA(),IF(LEFT(TRIM(Paramètres!K42),1)="F",INDEX($F$1841:$F$1893,MATCH(Paramètres!J42,Paramètres!$G$5:$G$57,0)),INDEX($E$1841:$E$1893,MATCH(Paramètres!J42,Paramètres!$G$5:$G$57,0)))+IF(RIGHT(TRIM(Paramètres!K42),3)="Fin",1-$H1878,IF(LEFT(TRIM(Paramètres!K42),1)="F",1,0)))),IF(Paramètres!L42="",0,IF(Paramètres!M42="",NA(),IF(LEFT(TRIM(Paramètres!M42),1)="F",INDEX($F$1841:$F$1893,MATCH(Paramètres!L42,Paramètres!$G$5:$G$57,0)),INDEX($E$1841:$E$1893,MATCH(Paramètres!L42,Paramètres!$G$5:$G$57,0)))+IF(RIGHT(TRIM(Paramètres!M42),3)="Fin",1-$H1878,IF(LEFT(TRIM(Paramètres!M42),1)="F",1,0)))),IF(Paramètres!N42="",0,IF(Paramètres!O42="",NA(),IF(LEFT(TRIM(Paramètres!O42),1)="F",INDEX($F$1841:$F$1893,MATCH(Paramètres!N42,Paramètres!$G$5:$G$57,0)),INDEX($E$1841:$E$1893,MATCH(Paramètres!N42,Paramètres!$G$5:$G$57,0)))+IF(RIGHT(TRIM(Paramètres!O42),3)="Fin",1-$H1878,IF(LEFT(TRIM(Paramètres!O42),1)="F",1,0)))))))</f>
        <v/>
      </c>
      <c r="F1878" s="19">
        <f>IF($A1878="","",E1878+$H1878-1)</f>
        <v/>
      </c>
      <c r="G1878" s="18" t="n"/>
      <c r="H1878" s="18">
        <f>IF($A1878="","",IF(I1878&lt;&gt;"",I1878,Paramètres!B42))</f>
        <v/>
      </c>
      <c r="I1878" s="18" t="n"/>
    </row>
    <row r="1879">
      <c r="A1879" s="18">
        <f>IF(ISNUMBER(Dossiers!$D$38),Dossiers!$A$38&amp;" · "&amp;Dossiers!$B$38,"")</f>
        <v/>
      </c>
      <c r="B1879" s="18">
        <f>IF($A1879="","",Paramètres!G43)</f>
        <v/>
      </c>
      <c r="C1879" s="18">
        <f>IF($A1879="","",IF(Paramètres!H43="","",Paramètres!H43))</f>
        <v/>
      </c>
      <c r="D1879" s="18">
        <f>IF($A1879="","",IF(Paramètres!I43="","",Paramètres!I43))</f>
        <v/>
      </c>
      <c r="E1879" s="19">
        <f>IF($A1879="","",IF(Paramètres!J43&amp;Paramètres!L43&amp;Paramètres!N43="",Dossiers!$D$38,MAX(IF(Paramètres!J43="",0,IF(Paramètres!K43="",NA(),IF(LEFT(TRIM(Paramètres!K43),1)="F",INDEX($F$1841:$F$1893,MATCH(Paramètres!J43,Paramètres!$G$5:$G$57,0)),INDEX($E$1841:$E$1893,MATCH(Paramètres!J43,Paramètres!$G$5:$G$57,0)))+IF(RIGHT(TRIM(Paramètres!K43),3)="Fin",1-$H1879,IF(LEFT(TRIM(Paramètres!K43),1)="F",1,0)))),IF(Paramètres!L43="",0,IF(Paramètres!M43="",NA(),IF(LEFT(TRIM(Paramètres!M43),1)="F",INDEX($F$1841:$F$1893,MATCH(Paramètres!L43,Paramètres!$G$5:$G$57,0)),INDEX($E$1841:$E$1893,MATCH(Paramètres!L43,Paramètres!$G$5:$G$57,0)))+IF(RIGHT(TRIM(Paramètres!M43),3)="Fin",1-$H1879,IF(LEFT(TRIM(Paramètres!M43),1)="F",1,0)))),IF(Paramètres!N43="",0,IF(Paramètres!O43="",NA(),IF(LEFT(TRIM(Paramètres!O43),1)="F",INDEX($F$1841:$F$1893,MATCH(Paramètres!N43,Paramètres!$G$5:$G$57,0)),INDEX($E$1841:$E$1893,MATCH(Paramètres!N43,Paramètres!$G$5:$G$57,0)))+IF(RIGHT(TRIM(Paramètres!O43),3)="Fin",1-$H1879,IF(LEFT(TRIM(Paramètres!O43),1)="F",1,0)))))))</f>
        <v/>
      </c>
      <c r="F1879" s="19">
        <f>IF($A1879="","",E1879+$H1879-1)</f>
        <v/>
      </c>
      <c r="G1879" s="18" t="n"/>
      <c r="H1879" s="18">
        <f>IF($A1879="","",IF(I1879&lt;&gt;"",I1879,Paramètres!B43))</f>
        <v/>
      </c>
      <c r="I1879" s="18" t="n"/>
    </row>
    <row r="1880">
      <c r="A1880" s="18">
        <f>IF(ISNUMBER(Dossiers!$D$38),Dossiers!$A$38&amp;" · "&amp;Dossiers!$B$38,"")</f>
        <v/>
      </c>
      <c r="B1880" s="18">
        <f>IF($A1880="","",Paramètres!G44)</f>
        <v/>
      </c>
      <c r="C1880" s="18">
        <f>IF($A1880="","",IF(Paramètres!H44="","",Paramètres!H44))</f>
        <v/>
      </c>
      <c r="D1880" s="18">
        <f>IF($A1880="","",IF(Paramètres!I44="","",Paramètres!I44))</f>
        <v/>
      </c>
      <c r="E1880" s="19">
        <f>IF($A1880="","",IF(Paramètres!J44&amp;Paramètres!L44&amp;Paramètres!N44="",Dossiers!$D$38,MAX(IF(Paramètres!J44="",0,IF(Paramètres!K44="",NA(),IF(LEFT(TRIM(Paramètres!K44),1)="F",INDEX($F$1841:$F$1893,MATCH(Paramètres!J44,Paramètres!$G$5:$G$57,0)),INDEX($E$1841:$E$1893,MATCH(Paramètres!J44,Paramètres!$G$5:$G$57,0)))+IF(RIGHT(TRIM(Paramètres!K44),3)="Fin",1-$H1880,IF(LEFT(TRIM(Paramètres!K44),1)="F",1,0)))),IF(Paramètres!L44="",0,IF(Paramètres!M44="",NA(),IF(LEFT(TRIM(Paramètres!M44),1)="F",INDEX($F$1841:$F$1893,MATCH(Paramètres!L44,Paramètres!$G$5:$G$57,0)),INDEX($E$1841:$E$1893,MATCH(Paramètres!L44,Paramètres!$G$5:$G$57,0)))+IF(RIGHT(TRIM(Paramètres!M44),3)="Fin",1-$H1880,IF(LEFT(TRIM(Paramètres!M44),1)="F",1,0)))),IF(Paramètres!N44="",0,IF(Paramètres!O44="",NA(),IF(LEFT(TRIM(Paramètres!O44),1)="F",INDEX($F$1841:$F$1893,MATCH(Paramètres!N44,Paramètres!$G$5:$G$57,0)),INDEX($E$1841:$E$1893,MATCH(Paramètres!N44,Paramètres!$G$5:$G$57,0)))+IF(RIGHT(TRIM(Paramètres!O44),3)="Fin",1-$H1880,IF(LEFT(TRIM(Paramètres!O44),1)="F",1,0)))))))</f>
        <v/>
      </c>
      <c r="F1880" s="19">
        <f>IF($A1880="","",E1880+$H1880-1)</f>
        <v/>
      </c>
      <c r="G1880" s="18" t="n"/>
      <c r="H1880" s="18">
        <f>IF($A1880="","",IF(I1880&lt;&gt;"",I1880,Paramètres!B44))</f>
        <v/>
      </c>
      <c r="I1880" s="18" t="n"/>
    </row>
    <row r="1881">
      <c r="A1881" s="18">
        <f>IF(ISNUMBER(Dossiers!$D$38),Dossiers!$A$38&amp;" · "&amp;Dossiers!$B$38,"")</f>
        <v/>
      </c>
      <c r="B1881" s="18">
        <f>IF($A1881="","",Paramètres!G45)</f>
        <v/>
      </c>
      <c r="C1881" s="20">
        <f>IF($A1881="","",IF(Dossiers!$G$38="","",Dossiers!$G$38))</f>
        <v/>
      </c>
      <c r="D1881" s="18">
        <f>IF($A1881="","",IF(Paramètres!I45="","",Paramètres!I45))</f>
        <v/>
      </c>
      <c r="E1881" s="19">
        <f>IF($A1881="","",IF(Paramètres!J45&amp;Paramètres!L45&amp;Paramètres!N45="",Dossiers!$D$38,MAX(IF(Paramètres!J45="",0,IF(Paramètres!K45="",NA(),IF(LEFT(TRIM(Paramètres!K45),1)="F",INDEX($F$1841:$F$1893,MATCH(Paramètres!J45,Paramètres!$G$5:$G$57,0)),INDEX($E$1841:$E$1893,MATCH(Paramètres!J45,Paramètres!$G$5:$G$57,0)))+IF(RIGHT(TRIM(Paramètres!K45),3)="Fin",1-$H1881,IF(LEFT(TRIM(Paramètres!K45),1)="F",1,0)))),IF(Paramètres!L45="",0,IF(Paramètres!M45="",NA(),IF(LEFT(TRIM(Paramètres!M45),1)="F",INDEX($F$1841:$F$1893,MATCH(Paramètres!L45,Paramètres!$G$5:$G$57,0)),INDEX($E$1841:$E$1893,MATCH(Paramètres!L45,Paramètres!$G$5:$G$57,0)))+IF(RIGHT(TRIM(Paramètres!M45),3)="Fin",1-$H1881,IF(LEFT(TRIM(Paramètres!M45),1)="F",1,0)))),IF(Paramètres!N45="",0,IF(Paramètres!O45="",NA(),IF(LEFT(TRIM(Paramètres!O45),1)="F",INDEX($F$1841:$F$1893,MATCH(Paramètres!N45,Paramètres!$G$5:$G$57,0)),INDEX($E$1841:$E$1893,MATCH(Paramètres!N45,Paramètres!$G$5:$G$57,0)))+IF(RIGHT(TRIM(Paramètres!O45),3)="Fin",1-$H1881,IF(LEFT(TRIM(Paramètres!O45),1)="F",1,0)))))))</f>
        <v/>
      </c>
      <c r="F1881" s="19">
        <f>IF($A1881="","",E1881+$H1881-1)</f>
        <v/>
      </c>
      <c r="G1881" s="18" t="n"/>
      <c r="H1881" s="18">
        <f>IF($A1881="","",IF(I1881&lt;&gt;"",I1881,Paramètres!B45))</f>
        <v/>
      </c>
      <c r="I1881" s="18" t="n"/>
    </row>
    <row r="1882">
      <c r="A1882" s="18">
        <f>IF(ISNUMBER(Dossiers!$D$38),Dossiers!$A$38&amp;" · "&amp;Dossiers!$B$38,"")</f>
        <v/>
      </c>
      <c r="B1882" s="18">
        <f>IF($A1882="","",Paramètres!G46)</f>
        <v/>
      </c>
      <c r="C1882" s="18">
        <f>IF($A1882="","",IF(Paramètres!H46="","",Paramètres!H46))</f>
        <v/>
      </c>
      <c r="D1882" s="18">
        <f>IF($A1882="","",IF(Paramètres!I46="","",Paramètres!I46))</f>
        <v/>
      </c>
      <c r="E1882" s="19">
        <f>IF($A1882="","",IF(Paramètres!J46&amp;Paramètres!L46&amp;Paramètres!N46="",Dossiers!$D$38,MAX(IF(Paramètres!J46="",0,IF(Paramètres!K46="",NA(),IF(LEFT(TRIM(Paramètres!K46),1)="F",INDEX($F$1841:$F$1893,MATCH(Paramètres!J46,Paramètres!$G$5:$G$57,0)),INDEX($E$1841:$E$1893,MATCH(Paramètres!J46,Paramètres!$G$5:$G$57,0)))+IF(RIGHT(TRIM(Paramètres!K46),3)="Fin",1-$H1882,IF(LEFT(TRIM(Paramètres!K46),1)="F",1,0)))),IF(Paramètres!L46="",0,IF(Paramètres!M46="",NA(),IF(LEFT(TRIM(Paramètres!M46),1)="F",INDEX($F$1841:$F$1893,MATCH(Paramètres!L46,Paramètres!$G$5:$G$57,0)),INDEX($E$1841:$E$1893,MATCH(Paramètres!L46,Paramètres!$G$5:$G$57,0)))+IF(RIGHT(TRIM(Paramètres!M46),3)="Fin",1-$H1882,IF(LEFT(TRIM(Paramètres!M46),1)="F",1,0)))),IF(Paramètres!N46="",0,IF(Paramètres!O46="",NA(),IF(LEFT(TRIM(Paramètres!O46),1)="F",INDEX($F$1841:$F$1893,MATCH(Paramètres!N46,Paramètres!$G$5:$G$57,0)),INDEX($E$1841:$E$1893,MATCH(Paramètres!N46,Paramètres!$G$5:$G$57,0)))+IF(RIGHT(TRIM(Paramètres!O46),3)="Fin",1-$H1882,IF(LEFT(TRIM(Paramètres!O46),1)="F",1,0)))))))</f>
        <v/>
      </c>
      <c r="F1882" s="19">
        <f>IF($A1882="","",E1882+$H1882-1)</f>
        <v/>
      </c>
      <c r="G1882" s="18" t="n"/>
      <c r="H1882" s="18">
        <f>IF($A1882="","",IF(I1882&lt;&gt;"",I1882,Paramètres!B46))</f>
        <v/>
      </c>
      <c r="I1882" s="18" t="n"/>
    </row>
    <row r="1883">
      <c r="A1883" s="18">
        <f>IF(ISNUMBER(Dossiers!$D$38),Dossiers!$A$38&amp;" · "&amp;Dossiers!$B$38,"")</f>
        <v/>
      </c>
      <c r="B1883" s="18">
        <f>IF($A1883="","",Paramètres!G47)</f>
        <v/>
      </c>
      <c r="C1883" s="18">
        <f>IF($A1883="","",IF(Paramètres!H47="","",Paramètres!H47))</f>
        <v/>
      </c>
      <c r="D1883" s="18">
        <f>IF($A1883="","",IF(Paramètres!I47="","",Paramètres!I47))</f>
        <v/>
      </c>
      <c r="E1883" s="19">
        <f>IF($A1883="","",IF(Paramètres!J47&amp;Paramètres!L47&amp;Paramètres!N47="",Dossiers!$D$38,MAX(IF(Paramètres!J47="",0,IF(Paramètres!K47="",NA(),IF(LEFT(TRIM(Paramètres!K47),1)="F",INDEX($F$1841:$F$1893,MATCH(Paramètres!J47,Paramètres!$G$5:$G$57,0)),INDEX($E$1841:$E$1893,MATCH(Paramètres!J47,Paramètres!$G$5:$G$57,0)))+IF(RIGHT(TRIM(Paramètres!K47),3)="Fin",1-$H1883,IF(LEFT(TRIM(Paramètres!K47),1)="F",1,0)))),IF(Paramètres!L47="",0,IF(Paramètres!M47="",NA(),IF(LEFT(TRIM(Paramètres!M47),1)="F",INDEX($F$1841:$F$1893,MATCH(Paramètres!L47,Paramètres!$G$5:$G$57,0)),INDEX($E$1841:$E$1893,MATCH(Paramètres!L47,Paramètres!$G$5:$G$57,0)))+IF(RIGHT(TRIM(Paramètres!M47),3)="Fin",1-$H1883,IF(LEFT(TRIM(Paramètres!M47),1)="F",1,0)))),IF(Paramètres!N47="",0,IF(Paramètres!O47="",NA(),IF(LEFT(TRIM(Paramètres!O47),1)="F",INDEX($F$1841:$F$1893,MATCH(Paramètres!N47,Paramètres!$G$5:$G$57,0)),INDEX($E$1841:$E$1893,MATCH(Paramètres!N47,Paramètres!$G$5:$G$57,0)))+IF(RIGHT(TRIM(Paramètres!O47),3)="Fin",1-$H1883,IF(LEFT(TRIM(Paramètres!O47),1)="F",1,0)))))))</f>
        <v/>
      </c>
      <c r="F1883" s="19">
        <f>IF($A1883="","",E1883+$H1883-1)</f>
        <v/>
      </c>
      <c r="G1883" s="18" t="n"/>
      <c r="H1883" s="18">
        <f>IF($A1883="","",IF(I1883&lt;&gt;"",I1883,Paramètres!B47))</f>
        <v/>
      </c>
      <c r="I1883" s="18" t="n"/>
    </row>
    <row r="1884">
      <c r="A1884" s="18">
        <f>IF(ISNUMBER(Dossiers!$D$38),Dossiers!$A$38&amp;" · "&amp;Dossiers!$B$38,"")</f>
        <v/>
      </c>
      <c r="B1884" s="18">
        <f>IF($A1884="","",Paramètres!G48)</f>
        <v/>
      </c>
      <c r="C1884" s="18">
        <f>IF($A1884="","",IF(Paramètres!H48="","",Paramètres!H48))</f>
        <v/>
      </c>
      <c r="D1884" s="18">
        <f>IF($A1884="","",IF(Paramètres!I48="","",Paramètres!I48))</f>
        <v/>
      </c>
      <c r="E1884" s="19">
        <f>IF($A1884="","",IF(Paramètres!J48&amp;Paramètres!L48&amp;Paramètres!N48="",Dossiers!$D$38,MAX(IF(Paramètres!J48="",0,IF(Paramètres!K48="",NA(),IF(LEFT(TRIM(Paramètres!K48),1)="F",INDEX($F$1841:$F$1893,MATCH(Paramètres!J48,Paramètres!$G$5:$G$57,0)),INDEX($E$1841:$E$1893,MATCH(Paramètres!J48,Paramètres!$G$5:$G$57,0)))+IF(RIGHT(TRIM(Paramètres!K48),3)="Fin",1-$H1884,IF(LEFT(TRIM(Paramètres!K48),1)="F",1,0)))),IF(Paramètres!L48="",0,IF(Paramètres!M48="",NA(),IF(LEFT(TRIM(Paramètres!M48),1)="F",INDEX($F$1841:$F$1893,MATCH(Paramètres!L48,Paramètres!$G$5:$G$57,0)),INDEX($E$1841:$E$1893,MATCH(Paramètres!L48,Paramètres!$G$5:$G$57,0)))+IF(RIGHT(TRIM(Paramètres!M48),3)="Fin",1-$H1884,IF(LEFT(TRIM(Paramètres!M48),1)="F",1,0)))),IF(Paramètres!N48="",0,IF(Paramètres!O48="",NA(),IF(LEFT(TRIM(Paramètres!O48),1)="F",INDEX($F$1841:$F$1893,MATCH(Paramètres!N48,Paramètres!$G$5:$G$57,0)),INDEX($E$1841:$E$1893,MATCH(Paramètres!N48,Paramètres!$G$5:$G$57,0)))+IF(RIGHT(TRIM(Paramètres!O48),3)="Fin",1-$H1884,IF(LEFT(TRIM(Paramètres!O48),1)="F",1,0)))))))</f>
        <v/>
      </c>
      <c r="F1884" s="19">
        <f>IF($A1884="","",E1884+$H1884-1)</f>
        <v/>
      </c>
      <c r="G1884" s="18" t="n"/>
      <c r="H1884" s="18">
        <f>IF($A1884="","",IF(I1884&lt;&gt;"",I1884,Paramètres!B48))</f>
        <v/>
      </c>
      <c r="I1884" s="18" t="n"/>
    </row>
    <row r="1885">
      <c r="A1885" s="18">
        <f>IF(ISNUMBER(Dossiers!$D$38),Dossiers!$A$38&amp;" · "&amp;Dossiers!$B$38,"")</f>
        <v/>
      </c>
      <c r="B1885" s="18">
        <f>IF($A1885="","",Paramètres!G49)</f>
        <v/>
      </c>
      <c r="C1885" s="18">
        <f>IF($A1885="","",IF(Paramètres!H49="","",Paramètres!H49))</f>
        <v/>
      </c>
      <c r="D1885" s="18">
        <f>IF($A1885="","",IF(Paramètres!I49="","",Paramètres!I49))</f>
        <v/>
      </c>
      <c r="E1885" s="19">
        <f>IF($A1885="","",IF(Paramètres!J49&amp;Paramètres!L49&amp;Paramètres!N49="",Dossiers!$D$38,MAX(IF(Paramètres!J49="",0,IF(Paramètres!K49="",NA(),IF(LEFT(TRIM(Paramètres!K49),1)="F",INDEX($F$1841:$F$1893,MATCH(Paramètres!J49,Paramètres!$G$5:$G$57,0)),INDEX($E$1841:$E$1893,MATCH(Paramètres!J49,Paramètres!$G$5:$G$57,0)))+IF(RIGHT(TRIM(Paramètres!K49),3)="Fin",1-$H1885,IF(LEFT(TRIM(Paramètres!K49),1)="F",1,0)))),IF(Paramètres!L49="",0,IF(Paramètres!M49="",NA(),IF(LEFT(TRIM(Paramètres!M49),1)="F",INDEX($F$1841:$F$1893,MATCH(Paramètres!L49,Paramètres!$G$5:$G$57,0)),INDEX($E$1841:$E$1893,MATCH(Paramètres!L49,Paramètres!$G$5:$G$57,0)))+IF(RIGHT(TRIM(Paramètres!M49),3)="Fin",1-$H1885,IF(LEFT(TRIM(Paramètres!M49),1)="F",1,0)))),IF(Paramètres!N49="",0,IF(Paramètres!O49="",NA(),IF(LEFT(TRIM(Paramètres!O49),1)="F",INDEX($F$1841:$F$1893,MATCH(Paramètres!N49,Paramètres!$G$5:$G$57,0)),INDEX($E$1841:$E$1893,MATCH(Paramètres!N49,Paramètres!$G$5:$G$57,0)))+IF(RIGHT(TRIM(Paramètres!O49),3)="Fin",1-$H1885,IF(LEFT(TRIM(Paramètres!O49),1)="F",1,0)))))))</f>
        <v/>
      </c>
      <c r="F1885" s="19">
        <f>IF($A1885="","",E1885+$H1885-1)</f>
        <v/>
      </c>
      <c r="G1885" s="18" t="n"/>
      <c r="H1885" s="18">
        <f>IF($A1885="","",IF(I1885&lt;&gt;"",I1885,Paramètres!B49))</f>
        <v/>
      </c>
      <c r="I1885" s="18" t="n"/>
    </row>
    <row r="1886">
      <c r="A1886" s="18">
        <f>IF(ISNUMBER(Dossiers!$D$38),Dossiers!$A$38&amp;" · "&amp;Dossiers!$B$38,"")</f>
        <v/>
      </c>
      <c r="B1886" s="18">
        <f>IF($A1886="","",Paramètres!G50)</f>
        <v/>
      </c>
      <c r="C1886" s="18">
        <f>IF($A1886="","",IF(Paramètres!H50="","",Paramètres!H50))</f>
        <v/>
      </c>
      <c r="D1886" s="18">
        <f>IF($A1886="","",IF(Paramètres!I50="","",Paramètres!I50))</f>
        <v/>
      </c>
      <c r="E1886" s="19">
        <f>IF($A1886="","",IF(Paramètres!J50&amp;Paramètres!L50&amp;Paramètres!N50="",Dossiers!$D$38,MAX(IF(Paramètres!J50="",0,IF(Paramètres!K50="",NA(),IF(LEFT(TRIM(Paramètres!K50),1)="F",INDEX($F$1841:$F$1893,MATCH(Paramètres!J50,Paramètres!$G$5:$G$57,0)),INDEX($E$1841:$E$1893,MATCH(Paramètres!J50,Paramètres!$G$5:$G$57,0)))+IF(RIGHT(TRIM(Paramètres!K50),3)="Fin",1-$H1886,IF(LEFT(TRIM(Paramètres!K50),1)="F",1,0)))),IF(Paramètres!L50="",0,IF(Paramètres!M50="",NA(),IF(LEFT(TRIM(Paramètres!M50),1)="F",INDEX($F$1841:$F$1893,MATCH(Paramètres!L50,Paramètres!$G$5:$G$57,0)),INDEX($E$1841:$E$1893,MATCH(Paramètres!L50,Paramètres!$G$5:$G$57,0)))+IF(RIGHT(TRIM(Paramètres!M50),3)="Fin",1-$H1886,IF(LEFT(TRIM(Paramètres!M50),1)="F",1,0)))),IF(Paramètres!N50="",0,IF(Paramètres!O50="",NA(),IF(LEFT(TRIM(Paramètres!O50),1)="F",INDEX($F$1841:$F$1893,MATCH(Paramètres!N50,Paramètres!$G$5:$G$57,0)),INDEX($E$1841:$E$1893,MATCH(Paramètres!N50,Paramètres!$G$5:$G$57,0)))+IF(RIGHT(TRIM(Paramètres!O50),3)="Fin",1-$H1886,IF(LEFT(TRIM(Paramètres!O50),1)="F",1,0)))))))</f>
        <v/>
      </c>
      <c r="F1886" s="19">
        <f>IF($A1886="","",E1886+$H1886-1)</f>
        <v/>
      </c>
      <c r="G1886" s="18" t="n"/>
      <c r="H1886" s="18">
        <f>IF($A1886="","",IF(I1886&lt;&gt;"",I1886,Paramètres!B50))</f>
        <v/>
      </c>
      <c r="I1886" s="18" t="n"/>
    </row>
    <row r="1887">
      <c r="A1887" s="18">
        <f>IF(ISNUMBER(Dossiers!$D$38),Dossiers!$A$38&amp;" · "&amp;Dossiers!$B$38,"")</f>
        <v/>
      </c>
      <c r="B1887" s="18">
        <f>IF($A1887="","",Paramètres!G51)</f>
        <v/>
      </c>
      <c r="C1887" s="18">
        <f>IF($A1887="","",IF(Paramètres!H51="","",Paramètres!H51))</f>
        <v/>
      </c>
      <c r="D1887" s="18">
        <f>IF($A1887="","",IF(Paramètres!I51="","",Paramètres!I51))</f>
        <v/>
      </c>
      <c r="E1887" s="19">
        <f>IF($A1887="","",IF(Paramètres!J51&amp;Paramètres!L51&amp;Paramètres!N51="",Dossiers!$D$38,MAX(IF(Paramètres!J51="",0,IF(Paramètres!K51="",NA(),IF(LEFT(TRIM(Paramètres!K51),1)="F",INDEX($F$1841:$F$1893,MATCH(Paramètres!J51,Paramètres!$G$5:$G$57,0)),INDEX($E$1841:$E$1893,MATCH(Paramètres!J51,Paramètres!$G$5:$G$57,0)))+IF(RIGHT(TRIM(Paramètres!K51),3)="Fin",1-$H1887,IF(LEFT(TRIM(Paramètres!K51),1)="F",1,0)))),IF(Paramètres!L51="",0,IF(Paramètres!M51="",NA(),IF(LEFT(TRIM(Paramètres!M51),1)="F",INDEX($F$1841:$F$1893,MATCH(Paramètres!L51,Paramètres!$G$5:$G$57,0)),INDEX($E$1841:$E$1893,MATCH(Paramètres!L51,Paramètres!$G$5:$G$57,0)))+IF(RIGHT(TRIM(Paramètres!M51),3)="Fin",1-$H1887,IF(LEFT(TRIM(Paramètres!M51),1)="F",1,0)))),IF(Paramètres!N51="",0,IF(Paramètres!O51="",NA(),IF(LEFT(TRIM(Paramètres!O51),1)="F",INDEX($F$1841:$F$1893,MATCH(Paramètres!N51,Paramètres!$G$5:$G$57,0)),INDEX($E$1841:$E$1893,MATCH(Paramètres!N51,Paramètres!$G$5:$G$57,0)))+IF(RIGHT(TRIM(Paramètres!O51),3)="Fin",1-$H1887,IF(LEFT(TRIM(Paramètres!O51),1)="F",1,0)))))))</f>
        <v/>
      </c>
      <c r="F1887" s="19">
        <f>IF($A1887="","",E1887+$H1887-1)</f>
        <v/>
      </c>
      <c r="G1887" s="18" t="n"/>
      <c r="H1887" s="18">
        <f>IF($A1887="","",IF(I1887&lt;&gt;"",I1887,Paramètres!B51))</f>
        <v/>
      </c>
      <c r="I1887" s="18" t="n"/>
    </row>
    <row r="1888">
      <c r="A1888" s="18">
        <f>IF(ISNUMBER(Dossiers!$D$38),Dossiers!$A$38&amp;" · "&amp;Dossiers!$B$38,"")</f>
        <v/>
      </c>
      <c r="B1888" s="18">
        <f>IF($A1888="","",Paramètres!G52)</f>
        <v/>
      </c>
      <c r="C1888" s="18">
        <f>IF($A1888="","",IF(Paramètres!H52="","",Paramètres!H52))</f>
        <v/>
      </c>
      <c r="D1888" s="18">
        <f>IF($A1888="","",IF(Paramètres!I52="","",Paramètres!I52))</f>
        <v/>
      </c>
      <c r="E1888" s="19">
        <f>IF($A1888="","",IF(Paramètres!J52&amp;Paramètres!L52&amp;Paramètres!N52="",Dossiers!$D$38,MAX(IF(Paramètres!J52="",0,IF(Paramètres!K52="",NA(),IF(LEFT(TRIM(Paramètres!K52),1)="F",INDEX($F$1841:$F$1893,MATCH(Paramètres!J52,Paramètres!$G$5:$G$57,0)),INDEX($E$1841:$E$1893,MATCH(Paramètres!J52,Paramètres!$G$5:$G$57,0)))+IF(RIGHT(TRIM(Paramètres!K52),3)="Fin",1-$H1888,IF(LEFT(TRIM(Paramètres!K52),1)="F",1,0)))),IF(Paramètres!L52="",0,IF(Paramètres!M52="",NA(),IF(LEFT(TRIM(Paramètres!M52),1)="F",INDEX($F$1841:$F$1893,MATCH(Paramètres!L52,Paramètres!$G$5:$G$57,0)),INDEX($E$1841:$E$1893,MATCH(Paramètres!L52,Paramètres!$G$5:$G$57,0)))+IF(RIGHT(TRIM(Paramètres!M52),3)="Fin",1-$H1888,IF(LEFT(TRIM(Paramètres!M52),1)="F",1,0)))),IF(Paramètres!N52="",0,IF(Paramètres!O52="",NA(),IF(LEFT(TRIM(Paramètres!O52),1)="F",INDEX($F$1841:$F$1893,MATCH(Paramètres!N52,Paramètres!$G$5:$G$57,0)),INDEX($E$1841:$E$1893,MATCH(Paramètres!N52,Paramètres!$G$5:$G$57,0)))+IF(RIGHT(TRIM(Paramètres!O52),3)="Fin",1-$H1888,IF(LEFT(TRIM(Paramètres!O52),1)="F",1,0)))))))</f>
        <v/>
      </c>
      <c r="F1888" s="19">
        <f>IF($A1888="","",E1888+$H1888-1)</f>
        <v/>
      </c>
      <c r="G1888" s="18" t="n"/>
      <c r="H1888" s="18">
        <f>IF($A1888="","",IF(I1888&lt;&gt;"",I1888,Paramètres!B52))</f>
        <v/>
      </c>
      <c r="I1888" s="18" t="n"/>
    </row>
    <row r="1889">
      <c r="A1889" s="18">
        <f>IF(ISNUMBER(Dossiers!$D$38),Dossiers!$A$38&amp;" · "&amp;Dossiers!$B$38,"")</f>
        <v/>
      </c>
      <c r="B1889" s="18">
        <f>IF($A1889="","",Paramètres!G53)</f>
        <v/>
      </c>
      <c r="C1889" s="18">
        <f>IF($A1889="","",IF(Paramètres!H53="","",Paramètres!H53))</f>
        <v/>
      </c>
      <c r="D1889" s="18">
        <f>IF($A1889="","",IF(Paramètres!I53="","",Paramètres!I53))</f>
        <v/>
      </c>
      <c r="E1889" s="19">
        <f>IF($A1889="","",IF(Paramètres!J53&amp;Paramètres!L53&amp;Paramètres!N53="",Dossiers!$D$38,MAX(IF(Paramètres!J53="",0,IF(Paramètres!K53="",NA(),IF(LEFT(TRIM(Paramètres!K53),1)="F",INDEX($F$1841:$F$1893,MATCH(Paramètres!J53,Paramètres!$G$5:$G$57,0)),INDEX($E$1841:$E$1893,MATCH(Paramètres!J53,Paramètres!$G$5:$G$57,0)))+IF(RIGHT(TRIM(Paramètres!K53),3)="Fin",1-$H1889,IF(LEFT(TRIM(Paramètres!K53),1)="F",1,0)))),IF(Paramètres!L53="",0,IF(Paramètres!M53="",NA(),IF(LEFT(TRIM(Paramètres!M53),1)="F",INDEX($F$1841:$F$1893,MATCH(Paramètres!L53,Paramètres!$G$5:$G$57,0)),INDEX($E$1841:$E$1893,MATCH(Paramètres!L53,Paramètres!$G$5:$G$57,0)))+IF(RIGHT(TRIM(Paramètres!M53),3)="Fin",1-$H1889,IF(LEFT(TRIM(Paramètres!M53),1)="F",1,0)))),IF(Paramètres!N53="",0,IF(Paramètres!O53="",NA(),IF(LEFT(TRIM(Paramètres!O53),1)="F",INDEX($F$1841:$F$1893,MATCH(Paramètres!N53,Paramètres!$G$5:$G$57,0)),INDEX($E$1841:$E$1893,MATCH(Paramètres!N53,Paramètres!$G$5:$G$57,0)))+IF(RIGHT(TRIM(Paramètres!O53),3)="Fin",1-$H1889,IF(LEFT(TRIM(Paramètres!O53),1)="F",1,0)))))))</f>
        <v/>
      </c>
      <c r="F1889" s="19">
        <f>IF($A1889="","",E1889+$H1889-1)</f>
        <v/>
      </c>
      <c r="G1889" s="18" t="n"/>
      <c r="H1889" s="18">
        <f>IF($A1889="","",IF(I1889&lt;&gt;"",I1889,Paramètres!B53))</f>
        <v/>
      </c>
      <c r="I1889" s="18" t="n"/>
    </row>
    <row r="1890">
      <c r="A1890" s="18">
        <f>IF(ISNUMBER(Dossiers!$D$38),Dossiers!$A$38&amp;" · "&amp;Dossiers!$B$38,"")</f>
        <v/>
      </c>
      <c r="B1890" s="18">
        <f>IF($A1890="","",Paramètres!G54)</f>
        <v/>
      </c>
      <c r="C1890" s="18">
        <f>IF($A1890="","",IF(Paramètres!H54="","",Paramètres!H54))</f>
        <v/>
      </c>
      <c r="D1890" s="18">
        <f>IF($A1890="","",IF(Paramètres!I54="","",Paramètres!I54))</f>
        <v/>
      </c>
      <c r="E1890" s="19">
        <f>IF($A1890="","",IF(Paramètres!J54&amp;Paramètres!L54&amp;Paramètres!N54="",Dossiers!$D$38,MAX(IF(Paramètres!J54="",0,IF(Paramètres!K54="",NA(),IF(LEFT(TRIM(Paramètres!K54),1)="F",INDEX($F$1841:$F$1893,MATCH(Paramètres!J54,Paramètres!$G$5:$G$57,0)),INDEX($E$1841:$E$1893,MATCH(Paramètres!J54,Paramètres!$G$5:$G$57,0)))+IF(RIGHT(TRIM(Paramètres!K54),3)="Fin",1-$H1890,IF(LEFT(TRIM(Paramètres!K54),1)="F",1,0)))),IF(Paramètres!L54="",0,IF(Paramètres!M54="",NA(),IF(LEFT(TRIM(Paramètres!M54),1)="F",INDEX($F$1841:$F$1893,MATCH(Paramètres!L54,Paramètres!$G$5:$G$57,0)),INDEX($E$1841:$E$1893,MATCH(Paramètres!L54,Paramètres!$G$5:$G$57,0)))+IF(RIGHT(TRIM(Paramètres!M54),3)="Fin",1-$H1890,IF(LEFT(TRIM(Paramètres!M54),1)="F",1,0)))),IF(Paramètres!N54="",0,IF(Paramètres!O54="",NA(),IF(LEFT(TRIM(Paramètres!O54),1)="F",INDEX($F$1841:$F$1893,MATCH(Paramètres!N54,Paramètres!$G$5:$G$57,0)),INDEX($E$1841:$E$1893,MATCH(Paramètres!N54,Paramètres!$G$5:$G$57,0)))+IF(RIGHT(TRIM(Paramètres!O54),3)="Fin",1-$H1890,IF(LEFT(TRIM(Paramètres!O54),1)="F",1,0)))))))</f>
        <v/>
      </c>
      <c r="F1890" s="19">
        <f>IF($A1890="","",E1890+$H1890-1)</f>
        <v/>
      </c>
      <c r="G1890" s="18" t="n"/>
      <c r="H1890" s="18">
        <f>IF($A1890="","",IF(I1890&lt;&gt;"",I1890,Paramètres!B54))</f>
        <v/>
      </c>
      <c r="I1890" s="18" t="n"/>
    </row>
    <row r="1891">
      <c r="A1891" s="18">
        <f>IF(ISNUMBER(Dossiers!$D$38),Dossiers!$A$38&amp;" · "&amp;Dossiers!$B$38,"")</f>
        <v/>
      </c>
      <c r="B1891" s="18">
        <f>IF($A1891="","",Paramètres!G55)</f>
        <v/>
      </c>
      <c r="C1891" s="18">
        <f>IF($A1891="","",IF(Paramètres!H55="","",Paramètres!H55))</f>
        <v/>
      </c>
      <c r="D1891" s="18">
        <f>IF($A1891="","",IF(Paramètres!I55="","",Paramètres!I55))</f>
        <v/>
      </c>
      <c r="E1891" s="19">
        <f>IF($A1891="","",IF(Paramètres!J55&amp;Paramètres!L55&amp;Paramètres!N55="",Dossiers!$D$38,MAX(IF(Paramètres!J55="",0,IF(Paramètres!K55="",NA(),IF(LEFT(TRIM(Paramètres!K55),1)="F",INDEX($F$1841:$F$1893,MATCH(Paramètres!J55,Paramètres!$G$5:$G$57,0)),INDEX($E$1841:$E$1893,MATCH(Paramètres!J55,Paramètres!$G$5:$G$57,0)))+IF(RIGHT(TRIM(Paramètres!K55),3)="Fin",1-$H1891,IF(LEFT(TRIM(Paramètres!K55),1)="F",1,0)))),IF(Paramètres!L55="",0,IF(Paramètres!M55="",NA(),IF(LEFT(TRIM(Paramètres!M55),1)="F",INDEX($F$1841:$F$1893,MATCH(Paramètres!L55,Paramètres!$G$5:$G$57,0)),INDEX($E$1841:$E$1893,MATCH(Paramètres!L55,Paramètres!$G$5:$G$57,0)))+IF(RIGHT(TRIM(Paramètres!M55),3)="Fin",1-$H1891,IF(LEFT(TRIM(Paramètres!M55),1)="F",1,0)))),IF(Paramètres!N55="",0,IF(Paramètres!O55="",NA(),IF(LEFT(TRIM(Paramètres!O55),1)="F",INDEX($F$1841:$F$1893,MATCH(Paramètres!N55,Paramètres!$G$5:$G$57,0)),INDEX($E$1841:$E$1893,MATCH(Paramètres!N55,Paramètres!$G$5:$G$57,0)))+IF(RIGHT(TRIM(Paramètres!O55),3)="Fin",1-$H1891,IF(LEFT(TRIM(Paramètres!O55),1)="F",1,0)))))))</f>
        <v/>
      </c>
      <c r="F1891" s="19">
        <f>IF($A1891="","",E1891+$H1891-1)</f>
        <v/>
      </c>
      <c r="G1891" s="18" t="n"/>
      <c r="H1891" s="18">
        <f>IF($A1891="","",IF(I1891&lt;&gt;"",I1891,Paramètres!B55))</f>
        <v/>
      </c>
      <c r="I1891" s="18" t="n"/>
    </row>
    <row r="1892">
      <c r="A1892" s="18">
        <f>IF(ISNUMBER(Dossiers!$D$38),Dossiers!$A$38&amp;" · "&amp;Dossiers!$B$38,"")</f>
        <v/>
      </c>
      <c r="B1892" s="18">
        <f>IF($A1892="","",Paramètres!G56)</f>
        <v/>
      </c>
      <c r="C1892" s="18">
        <f>IF($A1892="","",IF(Paramètres!H56="","",Paramètres!H56))</f>
        <v/>
      </c>
      <c r="D1892" s="18">
        <f>IF($A1892="","",IF(Paramètres!I56="","",Paramètres!I56))</f>
        <v/>
      </c>
      <c r="E1892" s="19">
        <f>IF($A1892="","",MIN(E1893:E1893))</f>
        <v/>
      </c>
      <c r="F1892" s="19">
        <f>IF($A1892="","",MAX(F1893:F1893))</f>
        <v/>
      </c>
      <c r="G1892" s="18" t="n"/>
      <c r="H1892" s="18">
        <f>IF($A1892="","",F1892-E1892+1)</f>
        <v/>
      </c>
      <c r="I1892" s="18" t="n"/>
    </row>
    <row r="1893">
      <c r="A1893" s="18">
        <f>IF(ISNUMBER(Dossiers!$D$38),Dossiers!$A$38&amp;" · "&amp;Dossiers!$B$38,"")</f>
        <v/>
      </c>
      <c r="B1893" s="18">
        <f>IF($A1893="","",Paramètres!G57)</f>
        <v/>
      </c>
      <c r="C1893" s="18">
        <f>IF($A1893="","",IF(Paramètres!H57="","",Paramètres!H57))</f>
        <v/>
      </c>
      <c r="D1893" s="18">
        <f>IF($A1893="","",IF(Paramètres!I57="","",Paramètres!I57))</f>
        <v/>
      </c>
      <c r="E1893" s="19">
        <f>IF($A1893="","",IF(Paramètres!J57&amp;Paramètres!L57&amp;Paramètres!N57="",Dossiers!$D$38,MAX(IF(Paramètres!J57="",0,IF(Paramètres!K57="",NA(),IF(LEFT(TRIM(Paramètres!K57),1)="F",INDEX($F$1841:$F$1893,MATCH(Paramètres!J57,Paramètres!$G$5:$G$57,0)),INDEX($E$1841:$E$1893,MATCH(Paramètres!J57,Paramètres!$G$5:$G$57,0)))+IF(RIGHT(TRIM(Paramètres!K57),3)="Fin",1-$H1893,IF(LEFT(TRIM(Paramètres!K57),1)="F",1,0)))),IF(Paramètres!L57="",0,IF(Paramètres!M57="",NA(),IF(LEFT(TRIM(Paramètres!M57),1)="F",INDEX($F$1841:$F$1893,MATCH(Paramètres!L57,Paramètres!$G$5:$G$57,0)),INDEX($E$1841:$E$1893,MATCH(Paramètres!L57,Paramètres!$G$5:$G$57,0)))+IF(RIGHT(TRIM(Paramètres!M57),3)="Fin",1-$H1893,IF(LEFT(TRIM(Paramètres!M57),1)="F",1,0)))),IF(Paramètres!N57="",0,IF(Paramètres!O57="",NA(),IF(LEFT(TRIM(Paramètres!O57),1)="F",INDEX($F$1841:$F$1893,MATCH(Paramètres!N57,Paramètres!$G$5:$G$57,0)),INDEX($E$1841:$E$1893,MATCH(Paramètres!N57,Paramètres!$G$5:$G$57,0)))+IF(RIGHT(TRIM(Paramètres!O57),3)="Fin",1-$H1893,IF(LEFT(TRIM(Paramètres!O57),1)="F",1,0)))))))</f>
        <v/>
      </c>
      <c r="F1893" s="19">
        <f>IF($A1893="","",E1893+$H1893-1)</f>
        <v/>
      </c>
      <c r="G1893" s="18" t="n"/>
      <c r="H1893" s="18">
        <f>IF($A1893="","",IF(I1893&lt;&gt;"",I1893,Paramètres!B57))</f>
        <v/>
      </c>
      <c r="I1893" s="18" t="n"/>
    </row>
    <row r="1894">
      <c r="A1894" s="16">
        <f>IF(ISNUMBER(Dossiers!$D$39),Dossiers!$E$39,"")</f>
        <v/>
      </c>
      <c r="B1894" s="16">
        <f>IF($A1894="","","Identifiant")</f>
        <v/>
      </c>
      <c r="C1894" s="16">
        <f>IF($A1894="","","Macro Etape")</f>
        <v/>
      </c>
      <c r="D1894" s="16">
        <f>IF($A1894="","","Etape")</f>
        <v/>
      </c>
      <c r="E1894" s="17">
        <f>IF($A1894="","","Début le")</f>
        <v/>
      </c>
      <c r="F1894" s="17">
        <f>IF($A1894="","","Fin prévue le")</f>
        <v/>
      </c>
      <c r="G1894" s="16">
        <f>IF($A1894="","","Statut")</f>
        <v/>
      </c>
      <c r="H1894" s="16">
        <f>IF($A1894="","","Durée (jours)")</f>
        <v/>
      </c>
      <c r="I1894" s="16">
        <f>IF($A1894="","","Durée particulière")</f>
        <v/>
      </c>
      <c r="J1894" s="10">
        <f>IF($A1894="","",HYPERLINK("#'Tableau de bord'!A1","↑ Tableau de bord"))</f>
        <v/>
      </c>
    </row>
    <row r="1895">
      <c r="A1895" s="18">
        <f>IF(ISNUMBER(Dossiers!$D$39),Dossiers!$A$39&amp;" · "&amp;Dossiers!$B$39,"")</f>
        <v/>
      </c>
      <c r="B1895" s="18">
        <f>IF($A1895="","",Paramètres!G5)</f>
        <v/>
      </c>
      <c r="C1895" s="18">
        <f>IF($A1895="","",IF(Paramètres!H5="","",Paramètres!H5))</f>
        <v/>
      </c>
      <c r="D1895" s="18">
        <f>IF($A1895="","",IF(Paramètres!I5="","",Paramètres!I5))</f>
        <v/>
      </c>
      <c r="E1895" s="19">
        <f>IF($A1895="","",MIN(E1896:E1899))</f>
        <v/>
      </c>
      <c r="F1895" s="19">
        <f>IF($A1895="","",MAX(F1896:F1899))</f>
        <v/>
      </c>
      <c r="G1895" s="18" t="n"/>
      <c r="H1895" s="18">
        <f>IF($A1895="","",F1895-E1895+1)</f>
        <v/>
      </c>
      <c r="I1895" s="18" t="n"/>
    </row>
    <row r="1896">
      <c r="A1896" s="18">
        <f>IF(ISNUMBER(Dossiers!$D$39),Dossiers!$A$39&amp;" · "&amp;Dossiers!$B$39,"")</f>
        <v/>
      </c>
      <c r="B1896" s="18">
        <f>IF($A1896="","",Paramètres!G6)</f>
        <v/>
      </c>
      <c r="C1896" s="18">
        <f>IF($A1896="","",IF(Paramètres!H6="","",Paramètres!H6))</f>
        <v/>
      </c>
      <c r="D1896" s="18">
        <f>IF($A1896="","",IF(Paramètres!I6="","",Paramètres!I6))</f>
        <v/>
      </c>
      <c r="E1896" s="19">
        <f>IF($A1896="","",IF(Paramètres!J6&amp;Paramètres!L6&amp;Paramètres!N6="",Dossiers!$D$39,MAX(IF(Paramètres!J6="",0,IF(Paramètres!K6="",NA(),IF(LEFT(TRIM(Paramètres!K6),1)="F",INDEX($F$1895:$F$1947,MATCH(Paramètres!J6,Paramètres!$G$5:$G$57,0)),INDEX($E$1895:$E$1947,MATCH(Paramètres!J6,Paramètres!$G$5:$G$57,0)))+IF(RIGHT(TRIM(Paramètres!K6),3)="Fin",1-$H1896,IF(LEFT(TRIM(Paramètres!K6),1)="F",1,0)))),IF(Paramètres!L6="",0,IF(Paramètres!M6="",NA(),IF(LEFT(TRIM(Paramètres!M6),1)="F",INDEX($F$1895:$F$1947,MATCH(Paramètres!L6,Paramètres!$G$5:$G$57,0)),INDEX($E$1895:$E$1947,MATCH(Paramètres!L6,Paramètres!$G$5:$G$57,0)))+IF(RIGHT(TRIM(Paramètres!M6),3)="Fin",1-$H1896,IF(LEFT(TRIM(Paramètres!M6),1)="F",1,0)))),IF(Paramètres!N6="",0,IF(Paramètres!O6="",NA(),IF(LEFT(TRIM(Paramètres!O6),1)="F",INDEX($F$1895:$F$1947,MATCH(Paramètres!N6,Paramètres!$G$5:$G$57,0)),INDEX($E$1895:$E$1947,MATCH(Paramètres!N6,Paramètres!$G$5:$G$57,0)))+IF(RIGHT(TRIM(Paramètres!O6),3)="Fin",1-$H1896,IF(LEFT(TRIM(Paramètres!O6),1)="F",1,0)))))))</f>
        <v/>
      </c>
      <c r="F1896" s="19">
        <f>IF($A1896="","",E1896+$H1896-1)</f>
        <v/>
      </c>
      <c r="G1896" s="18" t="n"/>
      <c r="H1896" s="18">
        <f>IF($A1896="","",IF(I1896&lt;&gt;"",I1896,Paramètres!B6))</f>
        <v/>
      </c>
      <c r="I1896" s="18" t="n"/>
    </row>
    <row r="1897">
      <c r="A1897" s="18">
        <f>IF(ISNUMBER(Dossiers!$D$39),Dossiers!$A$39&amp;" · "&amp;Dossiers!$B$39,"")</f>
        <v/>
      </c>
      <c r="B1897" s="18">
        <f>IF($A1897="","",Paramètres!G7)</f>
        <v/>
      </c>
      <c r="C1897" s="18">
        <f>IF($A1897="","",IF(Paramètres!H7="","",Paramètres!H7))</f>
        <v/>
      </c>
      <c r="D1897" s="18">
        <f>IF($A1897="","",IF(Paramètres!I7="","",Paramètres!I7))</f>
        <v/>
      </c>
      <c r="E1897" s="19">
        <f>IF($A1897="","",IF(Paramètres!J7&amp;Paramètres!L7&amp;Paramètres!N7="",Dossiers!$D$39,MAX(IF(Paramètres!J7="",0,IF(Paramètres!K7="",NA(),IF(LEFT(TRIM(Paramètres!K7),1)="F",INDEX($F$1895:$F$1947,MATCH(Paramètres!J7,Paramètres!$G$5:$G$57,0)),INDEX($E$1895:$E$1947,MATCH(Paramètres!J7,Paramètres!$G$5:$G$57,0)))+IF(RIGHT(TRIM(Paramètres!K7),3)="Fin",1-$H1897,IF(LEFT(TRIM(Paramètres!K7),1)="F",1,0)))),IF(Paramètres!L7="",0,IF(Paramètres!M7="",NA(),IF(LEFT(TRIM(Paramètres!M7),1)="F",INDEX($F$1895:$F$1947,MATCH(Paramètres!L7,Paramètres!$G$5:$G$57,0)),INDEX($E$1895:$E$1947,MATCH(Paramètres!L7,Paramètres!$G$5:$G$57,0)))+IF(RIGHT(TRIM(Paramètres!M7),3)="Fin",1-$H1897,IF(LEFT(TRIM(Paramètres!M7),1)="F",1,0)))),IF(Paramètres!N7="",0,IF(Paramètres!O7="",NA(),IF(LEFT(TRIM(Paramètres!O7),1)="F",INDEX($F$1895:$F$1947,MATCH(Paramètres!N7,Paramètres!$G$5:$G$57,0)),INDEX($E$1895:$E$1947,MATCH(Paramètres!N7,Paramètres!$G$5:$G$57,0)))+IF(RIGHT(TRIM(Paramètres!O7),3)="Fin",1-$H1897,IF(LEFT(TRIM(Paramètres!O7),1)="F",1,0)))))))</f>
        <v/>
      </c>
      <c r="F1897" s="19">
        <f>IF($A1897="","",E1897+$H1897-1)</f>
        <v/>
      </c>
      <c r="G1897" s="18" t="n"/>
      <c r="H1897" s="18">
        <f>IF($A1897="","",IF(I1897&lt;&gt;"",I1897,Paramètres!B7))</f>
        <v/>
      </c>
      <c r="I1897" s="18" t="n"/>
    </row>
    <row r="1898">
      <c r="A1898" s="18">
        <f>IF(ISNUMBER(Dossiers!$D$39),Dossiers!$A$39&amp;" · "&amp;Dossiers!$B$39,"")</f>
        <v/>
      </c>
      <c r="B1898" s="18">
        <f>IF($A1898="","",Paramètres!G8)</f>
        <v/>
      </c>
      <c r="C1898" s="18">
        <f>IF($A1898="","",IF(Paramètres!H8="","",Paramètres!H8))</f>
        <v/>
      </c>
      <c r="D1898" s="18">
        <f>IF($A1898="","",IF(Paramètres!I8="","",Paramètres!I8))</f>
        <v/>
      </c>
      <c r="E1898" s="19">
        <f>IF($A1898="","",IF(Paramètres!J8&amp;Paramètres!L8&amp;Paramètres!N8="",Dossiers!$D$39,MAX(IF(Paramètres!J8="",0,IF(Paramètres!K8="",NA(),IF(LEFT(TRIM(Paramètres!K8),1)="F",INDEX($F$1895:$F$1947,MATCH(Paramètres!J8,Paramètres!$G$5:$G$57,0)),INDEX($E$1895:$E$1947,MATCH(Paramètres!J8,Paramètres!$G$5:$G$57,0)))+IF(RIGHT(TRIM(Paramètres!K8),3)="Fin",1-$H1898,IF(LEFT(TRIM(Paramètres!K8),1)="F",1,0)))),IF(Paramètres!L8="",0,IF(Paramètres!M8="",NA(),IF(LEFT(TRIM(Paramètres!M8),1)="F",INDEX($F$1895:$F$1947,MATCH(Paramètres!L8,Paramètres!$G$5:$G$57,0)),INDEX($E$1895:$E$1947,MATCH(Paramètres!L8,Paramètres!$G$5:$G$57,0)))+IF(RIGHT(TRIM(Paramètres!M8),3)="Fin",1-$H1898,IF(LEFT(TRIM(Paramètres!M8),1)="F",1,0)))),IF(Paramètres!N8="",0,IF(Paramètres!O8="",NA(),IF(LEFT(TRIM(Paramètres!O8),1)="F",INDEX($F$1895:$F$1947,MATCH(Paramètres!N8,Paramètres!$G$5:$G$57,0)),INDEX($E$1895:$E$1947,MATCH(Paramètres!N8,Paramètres!$G$5:$G$57,0)))+IF(RIGHT(TRIM(Paramètres!O8),3)="Fin",1-$H1898,IF(LEFT(TRIM(Paramètres!O8),1)="F",1,0)))))))</f>
        <v/>
      </c>
      <c r="F1898" s="19">
        <f>IF($A1898="","",E1898+$H1898-1)</f>
        <v/>
      </c>
      <c r="G1898" s="18" t="n"/>
      <c r="H1898" s="18">
        <f>IF($A1898="","",IF(I1898&lt;&gt;"",I1898,Paramètres!B8))</f>
        <v/>
      </c>
      <c r="I1898" s="18" t="n"/>
    </row>
    <row r="1899">
      <c r="A1899" s="18">
        <f>IF(ISNUMBER(Dossiers!$D$39),Dossiers!$A$39&amp;" · "&amp;Dossiers!$B$39,"")</f>
        <v/>
      </c>
      <c r="B1899" s="18">
        <f>IF($A1899="","",Paramètres!G9)</f>
        <v/>
      </c>
      <c r="C1899" s="18">
        <f>IF($A1899="","",IF(Paramètres!H9="","",Paramètres!H9))</f>
        <v/>
      </c>
      <c r="D1899" s="18">
        <f>IF($A1899="","",IF(Paramètres!I9="","",Paramètres!I9))</f>
        <v/>
      </c>
      <c r="E1899" s="19">
        <f>IF($A1899="","",IF(Paramètres!J9&amp;Paramètres!L9&amp;Paramètres!N9="",Dossiers!$D$39,MAX(IF(Paramètres!J9="",0,IF(Paramètres!K9="",NA(),IF(LEFT(TRIM(Paramètres!K9),1)="F",INDEX($F$1895:$F$1947,MATCH(Paramètres!J9,Paramètres!$G$5:$G$57,0)),INDEX($E$1895:$E$1947,MATCH(Paramètres!J9,Paramètres!$G$5:$G$57,0)))+IF(RIGHT(TRIM(Paramètres!K9),3)="Fin",1-$H1899,IF(LEFT(TRIM(Paramètres!K9),1)="F",1,0)))),IF(Paramètres!L9="",0,IF(Paramètres!M9="",NA(),IF(LEFT(TRIM(Paramètres!M9),1)="F",INDEX($F$1895:$F$1947,MATCH(Paramètres!L9,Paramètres!$G$5:$G$57,0)),INDEX($E$1895:$E$1947,MATCH(Paramètres!L9,Paramètres!$G$5:$G$57,0)))+IF(RIGHT(TRIM(Paramètres!M9),3)="Fin",1-$H1899,IF(LEFT(TRIM(Paramètres!M9),1)="F",1,0)))),IF(Paramètres!N9="",0,IF(Paramètres!O9="",NA(),IF(LEFT(TRIM(Paramètres!O9),1)="F",INDEX($F$1895:$F$1947,MATCH(Paramètres!N9,Paramètres!$G$5:$G$57,0)),INDEX($E$1895:$E$1947,MATCH(Paramètres!N9,Paramètres!$G$5:$G$57,0)))+IF(RIGHT(TRIM(Paramètres!O9),3)="Fin",1-$H1899,IF(LEFT(TRIM(Paramètres!O9),1)="F",1,0)))))))</f>
        <v/>
      </c>
      <c r="F1899" s="19">
        <f>IF($A1899="","",E1899+$H1899-1)</f>
        <v/>
      </c>
      <c r="G1899" s="18" t="n"/>
      <c r="H1899" s="18">
        <f>IF($A1899="","",IF(I1899&lt;&gt;"",I1899,Paramètres!B9))</f>
        <v/>
      </c>
      <c r="I1899" s="18" t="n"/>
    </row>
    <row r="1900">
      <c r="A1900" s="18">
        <f>IF(ISNUMBER(Dossiers!$D$39),Dossiers!$A$39&amp;" · "&amp;Dossiers!$B$39,"")</f>
        <v/>
      </c>
      <c r="B1900" s="18">
        <f>IF($A1900="","",Paramètres!G10)</f>
        <v/>
      </c>
      <c r="C1900" s="18">
        <f>IF($A1900="","",IF(Paramètres!H10="","",Paramètres!H10))</f>
        <v/>
      </c>
      <c r="D1900" s="18">
        <f>IF($A1900="","",IF(Paramètres!I10="","",Paramètres!I10))</f>
        <v/>
      </c>
      <c r="E1900" s="19">
        <f>IF($A1900="","",MIN(E1901:E1904))</f>
        <v/>
      </c>
      <c r="F1900" s="19">
        <f>IF($A1900="","",MAX(F1901:F1904))</f>
        <v/>
      </c>
      <c r="G1900" s="18" t="n"/>
      <c r="H1900" s="18">
        <f>IF($A1900="","",F1900-E1900+1)</f>
        <v/>
      </c>
      <c r="I1900" s="18" t="n"/>
    </row>
    <row r="1901">
      <c r="A1901" s="18">
        <f>IF(ISNUMBER(Dossiers!$D$39),Dossiers!$A$39&amp;" · "&amp;Dossiers!$B$39,"")</f>
        <v/>
      </c>
      <c r="B1901" s="18">
        <f>IF($A1901="","",Paramètres!G11)</f>
        <v/>
      </c>
      <c r="C1901" s="18">
        <f>IF($A1901="","",IF(Paramètres!H11="","",Paramètres!H11))</f>
        <v/>
      </c>
      <c r="D1901" s="18">
        <f>IF($A1901="","",IF(Paramètres!I11="","",Paramètres!I11))</f>
        <v/>
      </c>
      <c r="E1901" s="19">
        <f>IF($A1901="","",IF(Paramètres!J11&amp;Paramètres!L11&amp;Paramètres!N11="",Dossiers!$D$39,MAX(IF(Paramètres!J11="",0,IF(Paramètres!K11="",NA(),IF(LEFT(TRIM(Paramètres!K11),1)="F",INDEX($F$1895:$F$1947,MATCH(Paramètres!J11,Paramètres!$G$5:$G$57,0)),INDEX($E$1895:$E$1947,MATCH(Paramètres!J11,Paramètres!$G$5:$G$57,0)))+IF(RIGHT(TRIM(Paramètres!K11),3)="Fin",1-$H1901,IF(LEFT(TRIM(Paramètres!K11),1)="F",1,0)))),IF(Paramètres!L11="",0,IF(Paramètres!M11="",NA(),IF(LEFT(TRIM(Paramètres!M11),1)="F",INDEX($F$1895:$F$1947,MATCH(Paramètres!L11,Paramètres!$G$5:$G$57,0)),INDEX($E$1895:$E$1947,MATCH(Paramètres!L11,Paramètres!$G$5:$G$57,0)))+IF(RIGHT(TRIM(Paramètres!M11),3)="Fin",1-$H1901,IF(LEFT(TRIM(Paramètres!M11),1)="F",1,0)))),IF(Paramètres!N11="",0,IF(Paramètres!O11="",NA(),IF(LEFT(TRIM(Paramètres!O11),1)="F",INDEX($F$1895:$F$1947,MATCH(Paramètres!N11,Paramètres!$G$5:$G$57,0)),INDEX($E$1895:$E$1947,MATCH(Paramètres!N11,Paramètres!$G$5:$G$57,0)))+IF(RIGHT(TRIM(Paramètres!O11),3)="Fin",1-$H1901,IF(LEFT(TRIM(Paramètres!O11),1)="F",1,0)))))))</f>
        <v/>
      </c>
      <c r="F1901" s="19">
        <f>IF($A1901="","",E1901+$H1901-1)</f>
        <v/>
      </c>
      <c r="G1901" s="18" t="n"/>
      <c r="H1901" s="18">
        <f>IF($A1901="","",IF(I1901&lt;&gt;"",I1901,Paramètres!B11))</f>
        <v/>
      </c>
      <c r="I1901" s="18" t="n"/>
    </row>
    <row r="1902">
      <c r="A1902" s="18">
        <f>IF(ISNUMBER(Dossiers!$D$39),Dossiers!$A$39&amp;" · "&amp;Dossiers!$B$39,"")</f>
        <v/>
      </c>
      <c r="B1902" s="18">
        <f>IF($A1902="","",Paramètres!G12)</f>
        <v/>
      </c>
      <c r="C1902" s="18">
        <f>IF($A1902="","",IF(Paramètres!H12="","",Paramètres!H12))</f>
        <v/>
      </c>
      <c r="D1902" s="18">
        <f>IF($A1902="","",IF(Paramètres!I12="","",Paramètres!I12))</f>
        <v/>
      </c>
      <c r="E1902" s="19">
        <f>IF($A1902="","",IF(Paramètres!J12&amp;Paramètres!L12&amp;Paramètres!N12="",Dossiers!$D$39,MAX(IF(Paramètres!J12="",0,IF(Paramètres!K12="",NA(),IF(LEFT(TRIM(Paramètres!K12),1)="F",INDEX($F$1895:$F$1947,MATCH(Paramètres!J12,Paramètres!$G$5:$G$57,0)),INDEX($E$1895:$E$1947,MATCH(Paramètres!J12,Paramètres!$G$5:$G$57,0)))+IF(RIGHT(TRIM(Paramètres!K12),3)="Fin",1-$H1902,IF(LEFT(TRIM(Paramètres!K12),1)="F",1,0)))),IF(Paramètres!L12="",0,IF(Paramètres!M12="",NA(),IF(LEFT(TRIM(Paramètres!M12),1)="F",INDEX($F$1895:$F$1947,MATCH(Paramètres!L12,Paramètres!$G$5:$G$57,0)),INDEX($E$1895:$E$1947,MATCH(Paramètres!L12,Paramètres!$G$5:$G$57,0)))+IF(RIGHT(TRIM(Paramètres!M12),3)="Fin",1-$H1902,IF(LEFT(TRIM(Paramètres!M12),1)="F",1,0)))),IF(Paramètres!N12="",0,IF(Paramètres!O12="",NA(),IF(LEFT(TRIM(Paramètres!O12),1)="F",INDEX($F$1895:$F$1947,MATCH(Paramètres!N12,Paramètres!$G$5:$G$57,0)),INDEX($E$1895:$E$1947,MATCH(Paramètres!N12,Paramètres!$G$5:$G$57,0)))+IF(RIGHT(TRIM(Paramètres!O12),3)="Fin",1-$H1902,IF(LEFT(TRIM(Paramètres!O12),1)="F",1,0)))))))</f>
        <v/>
      </c>
      <c r="F1902" s="19">
        <f>IF($A1902="","",E1902+$H1902-1)</f>
        <v/>
      </c>
      <c r="G1902" s="18" t="n"/>
      <c r="H1902" s="18">
        <f>IF($A1902="","",IF(I1902&lt;&gt;"",I1902,Paramètres!B12))</f>
        <v/>
      </c>
      <c r="I1902" s="18" t="n"/>
    </row>
    <row r="1903">
      <c r="A1903" s="18">
        <f>IF(ISNUMBER(Dossiers!$D$39),Dossiers!$A$39&amp;" · "&amp;Dossiers!$B$39,"")</f>
        <v/>
      </c>
      <c r="B1903" s="18">
        <f>IF($A1903="","",Paramètres!G13)</f>
        <v/>
      </c>
      <c r="C1903" s="18">
        <f>IF($A1903="","",IF(Paramètres!H13="","",Paramètres!H13))</f>
        <v/>
      </c>
      <c r="D1903" s="18">
        <f>IF($A1903="","",IF(Paramètres!I13="","",Paramètres!I13))</f>
        <v/>
      </c>
      <c r="E1903" s="19">
        <f>IF($A1903="","",IF(Paramètres!J13&amp;Paramètres!L13&amp;Paramètres!N13="",Dossiers!$D$39,MAX(IF(Paramètres!J13="",0,IF(Paramètres!K13="",NA(),IF(LEFT(TRIM(Paramètres!K13),1)="F",INDEX($F$1895:$F$1947,MATCH(Paramètres!J13,Paramètres!$G$5:$G$57,0)),INDEX($E$1895:$E$1947,MATCH(Paramètres!J13,Paramètres!$G$5:$G$57,0)))+IF(RIGHT(TRIM(Paramètres!K13),3)="Fin",1-$H1903,IF(LEFT(TRIM(Paramètres!K13),1)="F",1,0)))),IF(Paramètres!L13="",0,IF(Paramètres!M13="",NA(),IF(LEFT(TRIM(Paramètres!M13),1)="F",INDEX($F$1895:$F$1947,MATCH(Paramètres!L13,Paramètres!$G$5:$G$57,0)),INDEX($E$1895:$E$1947,MATCH(Paramètres!L13,Paramètres!$G$5:$G$57,0)))+IF(RIGHT(TRIM(Paramètres!M13),3)="Fin",1-$H1903,IF(LEFT(TRIM(Paramètres!M13),1)="F",1,0)))),IF(Paramètres!N13="",0,IF(Paramètres!O13="",NA(),IF(LEFT(TRIM(Paramètres!O13),1)="F",INDEX($F$1895:$F$1947,MATCH(Paramètres!N13,Paramètres!$G$5:$G$57,0)),INDEX($E$1895:$E$1947,MATCH(Paramètres!N13,Paramètres!$G$5:$G$57,0)))+IF(RIGHT(TRIM(Paramètres!O13),3)="Fin",1-$H1903,IF(LEFT(TRIM(Paramètres!O13),1)="F",1,0)))))))</f>
        <v/>
      </c>
      <c r="F1903" s="19">
        <f>IF($A1903="","",E1903+$H1903-1)</f>
        <v/>
      </c>
      <c r="G1903" s="18" t="n"/>
      <c r="H1903" s="18">
        <f>IF($A1903="","",IF(I1903&lt;&gt;"",I1903,Paramètres!B13))</f>
        <v/>
      </c>
      <c r="I1903" s="18" t="n"/>
    </row>
    <row r="1904">
      <c r="A1904" s="18">
        <f>IF(ISNUMBER(Dossiers!$D$39),Dossiers!$A$39&amp;" · "&amp;Dossiers!$B$39,"")</f>
        <v/>
      </c>
      <c r="B1904" s="18">
        <f>IF($A1904="","",Paramètres!G14)</f>
        <v/>
      </c>
      <c r="C1904" s="18">
        <f>IF($A1904="","",IF(Paramètres!H14="","",Paramètres!H14))</f>
        <v/>
      </c>
      <c r="D1904" s="18">
        <f>IF($A1904="","",IF(Paramètres!I14="","",Paramètres!I14))</f>
        <v/>
      </c>
      <c r="E1904" s="19">
        <f>IF($A1904="","",IF(Paramètres!J14&amp;Paramètres!L14&amp;Paramètres!N14="",Dossiers!$D$39,MAX(IF(Paramètres!J14="",0,IF(Paramètres!K14="",NA(),IF(LEFT(TRIM(Paramètres!K14),1)="F",INDEX($F$1895:$F$1947,MATCH(Paramètres!J14,Paramètres!$G$5:$G$57,0)),INDEX($E$1895:$E$1947,MATCH(Paramètres!J14,Paramètres!$G$5:$G$57,0)))+IF(RIGHT(TRIM(Paramètres!K14),3)="Fin",1-$H1904,IF(LEFT(TRIM(Paramètres!K14),1)="F",1,0)))),IF(Paramètres!L14="",0,IF(Paramètres!M14="",NA(),IF(LEFT(TRIM(Paramètres!M14),1)="F",INDEX($F$1895:$F$1947,MATCH(Paramètres!L14,Paramètres!$G$5:$G$57,0)),INDEX($E$1895:$E$1947,MATCH(Paramètres!L14,Paramètres!$G$5:$G$57,0)))+IF(RIGHT(TRIM(Paramètres!M14),3)="Fin",1-$H1904,IF(LEFT(TRIM(Paramètres!M14),1)="F",1,0)))),IF(Paramètres!N14="",0,IF(Paramètres!O14="",NA(),IF(LEFT(TRIM(Paramètres!O14),1)="F",INDEX($F$1895:$F$1947,MATCH(Paramètres!N14,Paramètres!$G$5:$G$57,0)),INDEX($E$1895:$E$1947,MATCH(Paramètres!N14,Paramètres!$G$5:$G$57,0)))+IF(RIGHT(TRIM(Paramètres!O14),3)="Fin",1-$H1904,IF(LEFT(TRIM(Paramètres!O14),1)="F",1,0)))))))</f>
        <v/>
      </c>
      <c r="F1904" s="19">
        <f>IF($A1904="","",E1904+$H1904-1)</f>
        <v/>
      </c>
      <c r="G1904" s="18" t="n"/>
      <c r="H1904" s="18">
        <f>IF($A1904="","",IF(I1904&lt;&gt;"",I1904,Paramètres!B14))</f>
        <v/>
      </c>
      <c r="I1904" s="18" t="n"/>
    </row>
    <row r="1905">
      <c r="A1905" s="18">
        <f>IF(ISNUMBER(Dossiers!$D$39),Dossiers!$A$39&amp;" · "&amp;Dossiers!$B$39,"")</f>
        <v/>
      </c>
      <c r="B1905" s="18">
        <f>IF($A1905="","",Paramètres!G15)</f>
        <v/>
      </c>
      <c r="C1905" s="18">
        <f>IF($A1905="","",IF(Paramètres!H15="","",Paramètres!H15))</f>
        <v/>
      </c>
      <c r="D1905" s="18">
        <f>IF($A1905="","",IF(Paramètres!I15="","",Paramètres!I15))</f>
        <v/>
      </c>
      <c r="E1905" s="19">
        <f>IF($A1905="","",MIN(E1906:E1921))</f>
        <v/>
      </c>
      <c r="F1905" s="19">
        <f>IF($A1905="","",MAX(F1906:F1921))</f>
        <v/>
      </c>
      <c r="G1905" s="18" t="n"/>
      <c r="H1905" s="18">
        <f>IF($A1905="","",F1905-E1905+1)</f>
        <v/>
      </c>
      <c r="I1905" s="18" t="n"/>
    </row>
    <row r="1906">
      <c r="A1906" s="18">
        <f>IF(ISNUMBER(Dossiers!$D$39),Dossiers!$A$39&amp;" · "&amp;Dossiers!$B$39,"")</f>
        <v/>
      </c>
      <c r="B1906" s="18">
        <f>IF($A1906="","",Paramètres!G16)</f>
        <v/>
      </c>
      <c r="C1906" s="18">
        <f>IF($A1906="","",IF(Paramètres!H16="","",Paramètres!H16))</f>
        <v/>
      </c>
      <c r="D1906" s="18">
        <f>IF($A1906="","",IF(Paramètres!I16="","",Paramètres!I16))</f>
        <v/>
      </c>
      <c r="E1906" s="19">
        <f>IF($A1906="","",IF(Paramètres!J16&amp;Paramètres!L16&amp;Paramètres!N16="",Dossiers!$D$39,MAX(IF(Paramètres!J16="",0,IF(Paramètres!K16="",NA(),IF(LEFT(TRIM(Paramètres!K16),1)="F",INDEX($F$1895:$F$1947,MATCH(Paramètres!J16,Paramètres!$G$5:$G$57,0)),INDEX($E$1895:$E$1947,MATCH(Paramètres!J16,Paramètres!$G$5:$G$57,0)))+IF(RIGHT(TRIM(Paramètres!K16),3)="Fin",1-$H1906,IF(LEFT(TRIM(Paramètres!K16),1)="F",1,0)))),IF(Paramètres!L16="",0,IF(Paramètres!M16="",NA(),IF(LEFT(TRIM(Paramètres!M16),1)="F",INDEX($F$1895:$F$1947,MATCH(Paramètres!L16,Paramètres!$G$5:$G$57,0)),INDEX($E$1895:$E$1947,MATCH(Paramètres!L16,Paramètres!$G$5:$G$57,0)))+IF(RIGHT(TRIM(Paramètres!M16),3)="Fin",1-$H1906,IF(LEFT(TRIM(Paramètres!M16),1)="F",1,0)))),IF(Paramètres!N16="",0,IF(Paramètres!O16="",NA(),IF(LEFT(TRIM(Paramètres!O16),1)="F",INDEX($F$1895:$F$1947,MATCH(Paramètres!N16,Paramètres!$G$5:$G$57,0)),INDEX($E$1895:$E$1947,MATCH(Paramètres!N16,Paramètres!$G$5:$G$57,0)))+IF(RIGHT(TRIM(Paramètres!O16),3)="Fin",1-$H1906,IF(LEFT(TRIM(Paramètres!O16),1)="F",1,0)))))))</f>
        <v/>
      </c>
      <c r="F1906" s="19">
        <f>IF($A1906="","",E1906+$H1906-1)</f>
        <v/>
      </c>
      <c r="G1906" s="18" t="n"/>
      <c r="H1906" s="18">
        <f>IF($A1906="","",IF(I1906&lt;&gt;"",I1906,Paramètres!B16))</f>
        <v/>
      </c>
      <c r="I1906" s="18" t="n"/>
    </row>
    <row r="1907">
      <c r="A1907" s="18">
        <f>IF(ISNUMBER(Dossiers!$D$39),Dossiers!$A$39&amp;" · "&amp;Dossiers!$B$39,"")</f>
        <v/>
      </c>
      <c r="B1907" s="18">
        <f>IF($A1907="","",Paramètres!G17)</f>
        <v/>
      </c>
      <c r="C1907" s="18">
        <f>IF($A1907="","",IF(Paramètres!H17="","",Paramètres!H17))</f>
        <v/>
      </c>
      <c r="D1907" s="18">
        <f>IF($A1907="","",IF(Paramètres!I17="","",Paramètres!I17))</f>
        <v/>
      </c>
      <c r="E1907" s="19">
        <f>IF($A1907="","",IF(Paramètres!J17&amp;Paramètres!L17&amp;Paramètres!N17="",Dossiers!$D$39,MAX(IF(Paramètres!J17="",0,IF(Paramètres!K17="",NA(),IF(LEFT(TRIM(Paramètres!K17),1)="F",INDEX($F$1895:$F$1947,MATCH(Paramètres!J17,Paramètres!$G$5:$G$57,0)),INDEX($E$1895:$E$1947,MATCH(Paramètres!J17,Paramètres!$G$5:$G$57,0)))+IF(RIGHT(TRIM(Paramètres!K17),3)="Fin",1-$H1907,IF(LEFT(TRIM(Paramètres!K17),1)="F",1,0)))),IF(Paramètres!L17="",0,IF(Paramètres!M17="",NA(),IF(LEFT(TRIM(Paramètres!M17),1)="F",INDEX($F$1895:$F$1947,MATCH(Paramètres!L17,Paramètres!$G$5:$G$57,0)),INDEX($E$1895:$E$1947,MATCH(Paramètres!L17,Paramètres!$G$5:$G$57,0)))+IF(RIGHT(TRIM(Paramètres!M17),3)="Fin",1-$H1907,IF(LEFT(TRIM(Paramètres!M17),1)="F",1,0)))),IF(Paramètres!N17="",0,IF(Paramètres!O17="",NA(),IF(LEFT(TRIM(Paramètres!O17),1)="F",INDEX($F$1895:$F$1947,MATCH(Paramètres!N17,Paramètres!$G$5:$G$57,0)),INDEX($E$1895:$E$1947,MATCH(Paramètres!N17,Paramètres!$G$5:$G$57,0)))+IF(RIGHT(TRIM(Paramètres!O17),3)="Fin",1-$H1907,IF(LEFT(TRIM(Paramètres!O17),1)="F",1,0)))))))</f>
        <v/>
      </c>
      <c r="F1907" s="19">
        <f>IF($A1907="","",E1907+$H1907-1)</f>
        <v/>
      </c>
      <c r="G1907" s="18" t="n"/>
      <c r="H1907" s="18">
        <f>IF($A1907="","",IF(I1907&lt;&gt;"",I1907,Paramètres!B17))</f>
        <v/>
      </c>
      <c r="I1907" s="18" t="n"/>
    </row>
    <row r="1908">
      <c r="A1908" s="18">
        <f>IF(ISNUMBER(Dossiers!$D$39),Dossiers!$A$39&amp;" · "&amp;Dossiers!$B$39,"")</f>
        <v/>
      </c>
      <c r="B1908" s="18">
        <f>IF($A1908="","",Paramètres!G18)</f>
        <v/>
      </c>
      <c r="C1908" s="18">
        <f>IF($A1908="","",IF(Paramètres!H18="","",Paramètres!H18))</f>
        <v/>
      </c>
      <c r="D1908" s="18">
        <f>IF($A1908="","",IF(Paramètres!I18="","",Paramètres!I18))</f>
        <v/>
      </c>
      <c r="E1908" s="19">
        <f>IF($A1908="","",IF(Paramètres!J18&amp;Paramètres!L18&amp;Paramètres!N18="",Dossiers!$D$39,MAX(IF(Paramètres!J18="",0,IF(Paramètres!K18="",NA(),IF(LEFT(TRIM(Paramètres!K18),1)="F",INDEX($F$1895:$F$1947,MATCH(Paramètres!J18,Paramètres!$G$5:$G$57,0)),INDEX($E$1895:$E$1947,MATCH(Paramètres!J18,Paramètres!$G$5:$G$57,0)))+IF(RIGHT(TRIM(Paramètres!K18),3)="Fin",1-$H1908,IF(LEFT(TRIM(Paramètres!K18),1)="F",1,0)))),IF(Paramètres!L18="",0,IF(Paramètres!M18="",NA(),IF(LEFT(TRIM(Paramètres!M18),1)="F",INDEX($F$1895:$F$1947,MATCH(Paramètres!L18,Paramètres!$G$5:$G$57,0)),INDEX($E$1895:$E$1947,MATCH(Paramètres!L18,Paramètres!$G$5:$G$57,0)))+IF(RIGHT(TRIM(Paramètres!M18),3)="Fin",1-$H1908,IF(LEFT(TRIM(Paramètres!M18),1)="F",1,0)))),IF(Paramètres!N18="",0,IF(Paramètres!O18="",NA(),IF(LEFT(TRIM(Paramètres!O18),1)="F",INDEX($F$1895:$F$1947,MATCH(Paramètres!N18,Paramètres!$G$5:$G$57,0)),INDEX($E$1895:$E$1947,MATCH(Paramètres!N18,Paramètres!$G$5:$G$57,0)))+IF(RIGHT(TRIM(Paramètres!O18),3)="Fin",1-$H1908,IF(LEFT(TRIM(Paramètres!O18),1)="F",1,0)))))))</f>
        <v/>
      </c>
      <c r="F1908" s="19">
        <f>IF($A1908="","",E1908+$H1908-1)</f>
        <v/>
      </c>
      <c r="G1908" s="18" t="n"/>
      <c r="H1908" s="18">
        <f>IF($A1908="","",IF(I1908&lt;&gt;"",I1908,Paramètres!B18))</f>
        <v/>
      </c>
      <c r="I1908" s="18" t="n"/>
    </row>
    <row r="1909">
      <c r="A1909" s="18">
        <f>IF(ISNUMBER(Dossiers!$D$39),Dossiers!$A$39&amp;" · "&amp;Dossiers!$B$39,"")</f>
        <v/>
      </c>
      <c r="B1909" s="18">
        <f>IF($A1909="","",Paramètres!G19)</f>
        <v/>
      </c>
      <c r="C1909" s="18">
        <f>IF($A1909="","",IF(Paramètres!H19="","",Paramètres!H19))</f>
        <v/>
      </c>
      <c r="D1909" s="18">
        <f>IF($A1909="","",IF(Paramètres!I19="","",Paramètres!I19))</f>
        <v/>
      </c>
      <c r="E1909" s="19">
        <f>IF($A1909="","",IF(Paramètres!J19&amp;Paramètres!L19&amp;Paramètres!N19="",Dossiers!$D$39,MAX(IF(Paramètres!J19="",0,IF(Paramètres!K19="",NA(),IF(LEFT(TRIM(Paramètres!K19),1)="F",INDEX($F$1895:$F$1947,MATCH(Paramètres!J19,Paramètres!$G$5:$G$57,0)),INDEX($E$1895:$E$1947,MATCH(Paramètres!J19,Paramètres!$G$5:$G$57,0)))+IF(RIGHT(TRIM(Paramètres!K19),3)="Fin",1-$H1909,IF(LEFT(TRIM(Paramètres!K19),1)="F",1,0)))),IF(Paramètres!L19="",0,IF(Paramètres!M19="",NA(),IF(LEFT(TRIM(Paramètres!M19),1)="F",INDEX($F$1895:$F$1947,MATCH(Paramètres!L19,Paramètres!$G$5:$G$57,0)),INDEX($E$1895:$E$1947,MATCH(Paramètres!L19,Paramètres!$G$5:$G$57,0)))+IF(RIGHT(TRIM(Paramètres!M19),3)="Fin",1-$H1909,IF(LEFT(TRIM(Paramètres!M19),1)="F",1,0)))),IF(Paramètres!N19="",0,IF(Paramètres!O19="",NA(),IF(LEFT(TRIM(Paramètres!O19),1)="F",INDEX($F$1895:$F$1947,MATCH(Paramètres!N19,Paramètres!$G$5:$G$57,0)),INDEX($E$1895:$E$1947,MATCH(Paramètres!N19,Paramètres!$G$5:$G$57,0)))+IF(RIGHT(TRIM(Paramètres!O19),3)="Fin",1-$H1909,IF(LEFT(TRIM(Paramètres!O19),1)="F",1,0)))))))</f>
        <v/>
      </c>
      <c r="F1909" s="19">
        <f>IF($A1909="","",E1909+$H1909-1)</f>
        <v/>
      </c>
      <c r="G1909" s="18" t="n"/>
      <c r="H1909" s="18">
        <f>IF($A1909="","",IF(I1909&lt;&gt;"",I1909,Paramètres!B19))</f>
        <v/>
      </c>
      <c r="I1909" s="18" t="n"/>
    </row>
    <row r="1910">
      <c r="A1910" s="18">
        <f>IF(ISNUMBER(Dossiers!$D$39),Dossiers!$A$39&amp;" · "&amp;Dossiers!$B$39,"")</f>
        <v/>
      </c>
      <c r="B1910" s="18">
        <f>IF($A1910="","",Paramètres!G20)</f>
        <v/>
      </c>
      <c r="C1910" s="18">
        <f>IF($A1910="","",IF(Paramètres!H20="","",Paramètres!H20))</f>
        <v/>
      </c>
      <c r="D1910" s="18">
        <f>IF($A1910="","",IF(Paramètres!I20="","",Paramètres!I20))</f>
        <v/>
      </c>
      <c r="E1910" s="19">
        <f>IF($A1910="","",IF(Paramètres!J20&amp;Paramètres!L20&amp;Paramètres!N20="",Dossiers!$D$39,MAX(IF(Paramètres!J20="",0,IF(Paramètres!K20="",NA(),IF(LEFT(TRIM(Paramètres!K20),1)="F",INDEX($F$1895:$F$1947,MATCH(Paramètres!J20,Paramètres!$G$5:$G$57,0)),INDEX($E$1895:$E$1947,MATCH(Paramètres!J20,Paramètres!$G$5:$G$57,0)))+IF(RIGHT(TRIM(Paramètres!K20),3)="Fin",1-$H1910,IF(LEFT(TRIM(Paramètres!K20),1)="F",1,0)))),IF(Paramètres!L20="",0,IF(Paramètres!M20="",NA(),IF(LEFT(TRIM(Paramètres!M20),1)="F",INDEX($F$1895:$F$1947,MATCH(Paramètres!L20,Paramètres!$G$5:$G$57,0)),INDEX($E$1895:$E$1947,MATCH(Paramètres!L20,Paramètres!$G$5:$G$57,0)))+IF(RIGHT(TRIM(Paramètres!M20),3)="Fin",1-$H1910,IF(LEFT(TRIM(Paramètres!M20),1)="F",1,0)))),IF(Paramètres!N20="",0,IF(Paramètres!O20="",NA(),IF(LEFT(TRIM(Paramètres!O20),1)="F",INDEX($F$1895:$F$1947,MATCH(Paramètres!N20,Paramètres!$G$5:$G$57,0)),INDEX($E$1895:$E$1947,MATCH(Paramètres!N20,Paramètres!$G$5:$G$57,0)))+IF(RIGHT(TRIM(Paramètres!O20),3)="Fin",1-$H1910,IF(LEFT(TRIM(Paramètres!O20),1)="F",1,0)))))))</f>
        <v/>
      </c>
      <c r="F1910" s="19">
        <f>IF($A1910="","",E1910+$H1910-1)</f>
        <v/>
      </c>
      <c r="G1910" s="18" t="n"/>
      <c r="H1910" s="18">
        <f>IF($A1910="","",IF(I1910&lt;&gt;"",I1910,Paramètres!B20))</f>
        <v/>
      </c>
      <c r="I1910" s="18" t="n"/>
    </row>
    <row r="1911">
      <c r="A1911" s="18">
        <f>IF(ISNUMBER(Dossiers!$D$39),Dossiers!$A$39&amp;" · "&amp;Dossiers!$B$39,"")</f>
        <v/>
      </c>
      <c r="B1911" s="18">
        <f>IF($A1911="","",Paramètres!G21)</f>
        <v/>
      </c>
      <c r="C1911" s="18">
        <f>IF($A1911="","",IF(Paramètres!H21="","",Paramètres!H21))</f>
        <v/>
      </c>
      <c r="D1911" s="18">
        <f>IF($A1911="","",IF(Paramètres!I21="","",Paramètres!I21))</f>
        <v/>
      </c>
      <c r="E1911" s="19">
        <f>IF($A1911="","",IF(Paramètres!J21&amp;Paramètres!L21&amp;Paramètres!N21="",Dossiers!$D$39,MAX(IF(Paramètres!J21="",0,IF(Paramètres!K21="",NA(),IF(LEFT(TRIM(Paramètres!K21),1)="F",INDEX($F$1895:$F$1947,MATCH(Paramètres!J21,Paramètres!$G$5:$G$57,0)),INDEX($E$1895:$E$1947,MATCH(Paramètres!J21,Paramètres!$G$5:$G$57,0)))+IF(RIGHT(TRIM(Paramètres!K21),3)="Fin",1-$H1911,IF(LEFT(TRIM(Paramètres!K21),1)="F",1,0)))),IF(Paramètres!L21="",0,IF(Paramètres!M21="",NA(),IF(LEFT(TRIM(Paramètres!M21),1)="F",INDEX($F$1895:$F$1947,MATCH(Paramètres!L21,Paramètres!$G$5:$G$57,0)),INDEX($E$1895:$E$1947,MATCH(Paramètres!L21,Paramètres!$G$5:$G$57,0)))+IF(RIGHT(TRIM(Paramètres!M21),3)="Fin",1-$H1911,IF(LEFT(TRIM(Paramètres!M21),1)="F",1,0)))),IF(Paramètres!N21="",0,IF(Paramètres!O21="",NA(),IF(LEFT(TRIM(Paramètres!O21),1)="F",INDEX($F$1895:$F$1947,MATCH(Paramètres!N21,Paramètres!$G$5:$G$57,0)),INDEX($E$1895:$E$1947,MATCH(Paramètres!N21,Paramètres!$G$5:$G$57,0)))+IF(RIGHT(TRIM(Paramètres!O21),3)="Fin",1-$H1911,IF(LEFT(TRIM(Paramètres!O21),1)="F",1,0)))))))</f>
        <v/>
      </c>
      <c r="F1911" s="19">
        <f>IF($A1911="","",E1911+$H1911-1)</f>
        <v/>
      </c>
      <c r="G1911" s="18" t="n"/>
      <c r="H1911" s="18">
        <f>IF($A1911="","",IF(I1911&lt;&gt;"",I1911,Paramètres!B21))</f>
        <v/>
      </c>
      <c r="I1911" s="18" t="n"/>
    </row>
    <row r="1912">
      <c r="A1912" s="18">
        <f>IF(ISNUMBER(Dossiers!$D$39),Dossiers!$A$39&amp;" · "&amp;Dossiers!$B$39,"")</f>
        <v/>
      </c>
      <c r="B1912" s="18">
        <f>IF($A1912="","",Paramètres!G22)</f>
        <v/>
      </c>
      <c r="C1912" s="18">
        <f>IF($A1912="","",IF(Paramètres!H22="","",Paramètres!H22))</f>
        <v/>
      </c>
      <c r="D1912" s="18">
        <f>IF($A1912="","",IF(Paramètres!I22="","",Paramètres!I22))</f>
        <v/>
      </c>
      <c r="E1912" s="19">
        <f>IF($A1912="","",IF(Paramètres!J22&amp;Paramètres!L22&amp;Paramètres!N22="",Dossiers!$D$39,MAX(IF(Paramètres!J22="",0,IF(Paramètres!K22="",NA(),IF(LEFT(TRIM(Paramètres!K22),1)="F",INDEX($F$1895:$F$1947,MATCH(Paramètres!J22,Paramètres!$G$5:$G$57,0)),INDEX($E$1895:$E$1947,MATCH(Paramètres!J22,Paramètres!$G$5:$G$57,0)))+IF(RIGHT(TRIM(Paramètres!K22),3)="Fin",1-$H1912,IF(LEFT(TRIM(Paramètres!K22),1)="F",1,0)))),IF(Paramètres!L22="",0,IF(Paramètres!M22="",NA(),IF(LEFT(TRIM(Paramètres!M22),1)="F",INDEX($F$1895:$F$1947,MATCH(Paramètres!L22,Paramètres!$G$5:$G$57,0)),INDEX($E$1895:$E$1947,MATCH(Paramètres!L22,Paramètres!$G$5:$G$57,0)))+IF(RIGHT(TRIM(Paramètres!M22),3)="Fin",1-$H1912,IF(LEFT(TRIM(Paramètres!M22),1)="F",1,0)))),IF(Paramètres!N22="",0,IF(Paramètres!O22="",NA(),IF(LEFT(TRIM(Paramètres!O22),1)="F",INDEX($F$1895:$F$1947,MATCH(Paramètres!N22,Paramètres!$G$5:$G$57,0)),INDEX($E$1895:$E$1947,MATCH(Paramètres!N22,Paramètres!$G$5:$G$57,0)))+IF(RIGHT(TRIM(Paramètres!O22),3)="Fin",1-$H1912,IF(LEFT(TRIM(Paramètres!O22),1)="F",1,0)))))))</f>
        <v/>
      </c>
      <c r="F1912" s="19">
        <f>IF($A1912="","",E1912+$H1912-1)</f>
        <v/>
      </c>
      <c r="G1912" s="18" t="n"/>
      <c r="H1912" s="18">
        <f>IF($A1912="","",IF(I1912&lt;&gt;"",I1912,Paramètres!B22))</f>
        <v/>
      </c>
      <c r="I1912" s="18" t="n"/>
    </row>
    <row r="1913">
      <c r="A1913" s="18">
        <f>IF(ISNUMBER(Dossiers!$D$39),Dossiers!$A$39&amp;" · "&amp;Dossiers!$B$39,"")</f>
        <v/>
      </c>
      <c r="B1913" s="18">
        <f>IF($A1913="","",Paramètres!G23)</f>
        <v/>
      </c>
      <c r="C1913" s="18">
        <f>IF($A1913="","",IF(Paramètres!H23="","",Paramètres!H23))</f>
        <v/>
      </c>
      <c r="D1913" s="18">
        <f>IF($A1913="","",IF(Paramètres!I23="","",Paramètres!I23))</f>
        <v/>
      </c>
      <c r="E1913" s="19">
        <f>IF($A1913="","",IF(Paramètres!J23&amp;Paramètres!L23&amp;Paramètres!N23="",Dossiers!$D$39,MAX(IF(Paramètres!J23="",0,IF(Paramètres!K23="",NA(),IF(LEFT(TRIM(Paramètres!K23),1)="F",INDEX($F$1895:$F$1947,MATCH(Paramètres!J23,Paramètres!$G$5:$G$57,0)),INDEX($E$1895:$E$1947,MATCH(Paramètres!J23,Paramètres!$G$5:$G$57,0)))+IF(RIGHT(TRIM(Paramètres!K23),3)="Fin",1-$H1913,IF(LEFT(TRIM(Paramètres!K23),1)="F",1,0)))),IF(Paramètres!L23="",0,IF(Paramètres!M23="",NA(),IF(LEFT(TRIM(Paramètres!M23),1)="F",INDEX($F$1895:$F$1947,MATCH(Paramètres!L23,Paramètres!$G$5:$G$57,0)),INDEX($E$1895:$E$1947,MATCH(Paramètres!L23,Paramètres!$G$5:$G$57,0)))+IF(RIGHT(TRIM(Paramètres!M23),3)="Fin",1-$H1913,IF(LEFT(TRIM(Paramètres!M23),1)="F",1,0)))),IF(Paramètres!N23="",0,IF(Paramètres!O23="",NA(),IF(LEFT(TRIM(Paramètres!O23),1)="F",INDEX($F$1895:$F$1947,MATCH(Paramètres!N23,Paramètres!$G$5:$G$57,0)),INDEX($E$1895:$E$1947,MATCH(Paramètres!N23,Paramètres!$G$5:$G$57,0)))+IF(RIGHT(TRIM(Paramètres!O23),3)="Fin",1-$H1913,IF(LEFT(TRIM(Paramètres!O23),1)="F",1,0)))))))</f>
        <v/>
      </c>
      <c r="F1913" s="19">
        <f>IF($A1913="","",E1913+$H1913-1)</f>
        <v/>
      </c>
      <c r="G1913" s="18" t="n"/>
      <c r="H1913" s="18">
        <f>IF($A1913="","",IF(I1913&lt;&gt;"",I1913,Paramètres!B23))</f>
        <v/>
      </c>
      <c r="I1913" s="18" t="n"/>
    </row>
    <row r="1914">
      <c r="A1914" s="18">
        <f>IF(ISNUMBER(Dossiers!$D$39),Dossiers!$A$39&amp;" · "&amp;Dossiers!$B$39,"")</f>
        <v/>
      </c>
      <c r="B1914" s="18">
        <f>IF($A1914="","",Paramètres!G24)</f>
        <v/>
      </c>
      <c r="C1914" s="18">
        <f>IF($A1914="","",IF(Paramètres!H24="","",Paramètres!H24))</f>
        <v/>
      </c>
      <c r="D1914" s="18">
        <f>IF($A1914="","",IF(Paramètres!I24="","",Paramètres!I24))</f>
        <v/>
      </c>
      <c r="E1914" s="19">
        <f>IF($A1914="","",IF(Paramètres!J24&amp;Paramètres!L24&amp;Paramètres!N24="",Dossiers!$D$39,MAX(IF(Paramètres!J24="",0,IF(Paramètres!K24="",NA(),IF(LEFT(TRIM(Paramètres!K24),1)="F",INDEX($F$1895:$F$1947,MATCH(Paramètres!J24,Paramètres!$G$5:$G$57,0)),INDEX($E$1895:$E$1947,MATCH(Paramètres!J24,Paramètres!$G$5:$G$57,0)))+IF(RIGHT(TRIM(Paramètres!K24),3)="Fin",1-$H1914,IF(LEFT(TRIM(Paramètres!K24),1)="F",1,0)))),IF(Paramètres!L24="",0,IF(Paramètres!M24="",NA(),IF(LEFT(TRIM(Paramètres!M24),1)="F",INDEX($F$1895:$F$1947,MATCH(Paramètres!L24,Paramètres!$G$5:$G$57,0)),INDEX($E$1895:$E$1947,MATCH(Paramètres!L24,Paramètres!$G$5:$G$57,0)))+IF(RIGHT(TRIM(Paramètres!M24),3)="Fin",1-$H1914,IF(LEFT(TRIM(Paramètres!M24),1)="F",1,0)))),IF(Paramètres!N24="",0,IF(Paramètres!O24="",NA(),IF(LEFT(TRIM(Paramètres!O24),1)="F",INDEX($F$1895:$F$1947,MATCH(Paramètres!N24,Paramètres!$G$5:$G$57,0)),INDEX($E$1895:$E$1947,MATCH(Paramètres!N24,Paramètres!$G$5:$G$57,0)))+IF(RIGHT(TRIM(Paramètres!O24),3)="Fin",1-$H1914,IF(LEFT(TRIM(Paramètres!O24),1)="F",1,0)))))))</f>
        <v/>
      </c>
      <c r="F1914" s="19">
        <f>IF($A1914="","",E1914+$H1914-1)</f>
        <v/>
      </c>
      <c r="G1914" s="18" t="n"/>
      <c r="H1914" s="18">
        <f>IF($A1914="","",IF(I1914&lt;&gt;"",I1914,Paramètres!B24))</f>
        <v/>
      </c>
      <c r="I1914" s="18" t="n"/>
    </row>
    <row r="1915">
      <c r="A1915" s="18">
        <f>IF(ISNUMBER(Dossiers!$D$39),Dossiers!$A$39&amp;" · "&amp;Dossiers!$B$39,"")</f>
        <v/>
      </c>
      <c r="B1915" s="18">
        <f>IF($A1915="","",Paramètres!G25)</f>
        <v/>
      </c>
      <c r="C1915" s="18">
        <f>IF($A1915="","",IF(Paramètres!H25="","",Paramètres!H25))</f>
        <v/>
      </c>
      <c r="D1915" s="18">
        <f>IF($A1915="","",IF(Paramètres!I25="","",Paramètres!I25))</f>
        <v/>
      </c>
      <c r="E1915" s="19">
        <f>IF($A1915="","",IF(Paramètres!J25&amp;Paramètres!L25&amp;Paramètres!N25="",Dossiers!$D$39,MAX(IF(Paramètres!J25="",0,IF(Paramètres!K25="",NA(),IF(LEFT(TRIM(Paramètres!K25),1)="F",INDEX($F$1895:$F$1947,MATCH(Paramètres!J25,Paramètres!$G$5:$G$57,0)),INDEX($E$1895:$E$1947,MATCH(Paramètres!J25,Paramètres!$G$5:$G$57,0)))+IF(RIGHT(TRIM(Paramètres!K25),3)="Fin",1-$H1915,IF(LEFT(TRIM(Paramètres!K25),1)="F",1,0)))),IF(Paramètres!L25="",0,IF(Paramètres!M25="",NA(),IF(LEFT(TRIM(Paramètres!M25),1)="F",INDEX($F$1895:$F$1947,MATCH(Paramètres!L25,Paramètres!$G$5:$G$57,0)),INDEX($E$1895:$E$1947,MATCH(Paramètres!L25,Paramètres!$G$5:$G$57,0)))+IF(RIGHT(TRIM(Paramètres!M25),3)="Fin",1-$H1915,IF(LEFT(TRIM(Paramètres!M25),1)="F",1,0)))),IF(Paramètres!N25="",0,IF(Paramètres!O25="",NA(),IF(LEFT(TRIM(Paramètres!O25),1)="F",INDEX($F$1895:$F$1947,MATCH(Paramètres!N25,Paramètres!$G$5:$G$57,0)),INDEX($E$1895:$E$1947,MATCH(Paramètres!N25,Paramètres!$G$5:$G$57,0)))+IF(RIGHT(TRIM(Paramètres!O25),3)="Fin",1-$H1915,IF(LEFT(TRIM(Paramètres!O25),1)="F",1,0)))))))</f>
        <v/>
      </c>
      <c r="F1915" s="19">
        <f>IF($A1915="","",E1915+$H1915-1)</f>
        <v/>
      </c>
      <c r="G1915" s="18" t="n"/>
      <c r="H1915" s="18">
        <f>IF($A1915="","",IF(I1915&lt;&gt;"",I1915,Paramètres!B25))</f>
        <v/>
      </c>
      <c r="I1915" s="18" t="n"/>
    </row>
    <row r="1916">
      <c r="A1916" s="18">
        <f>IF(ISNUMBER(Dossiers!$D$39),Dossiers!$A$39&amp;" · "&amp;Dossiers!$B$39,"")</f>
        <v/>
      </c>
      <c r="B1916" s="18">
        <f>IF($A1916="","",Paramètres!G26)</f>
        <v/>
      </c>
      <c r="C1916" s="18">
        <f>IF($A1916="","",IF(Paramètres!H26="","",Paramètres!H26))</f>
        <v/>
      </c>
      <c r="D1916" s="18">
        <f>IF($A1916="","",IF(Paramètres!I26="","",Paramètres!I26))</f>
        <v/>
      </c>
      <c r="E1916" s="19">
        <f>IF($A1916="","",IF(Paramètres!J26&amp;Paramètres!L26&amp;Paramètres!N26="",Dossiers!$D$39,MAX(IF(Paramètres!J26="",0,IF(Paramètres!K26="",NA(),IF(LEFT(TRIM(Paramètres!K26),1)="F",INDEX($F$1895:$F$1947,MATCH(Paramètres!J26,Paramètres!$G$5:$G$57,0)),INDEX($E$1895:$E$1947,MATCH(Paramètres!J26,Paramètres!$G$5:$G$57,0)))+IF(RIGHT(TRIM(Paramètres!K26),3)="Fin",1-$H1916,IF(LEFT(TRIM(Paramètres!K26),1)="F",1,0)))),IF(Paramètres!L26="",0,IF(Paramètres!M26="",NA(),IF(LEFT(TRIM(Paramètres!M26),1)="F",INDEX($F$1895:$F$1947,MATCH(Paramètres!L26,Paramètres!$G$5:$G$57,0)),INDEX($E$1895:$E$1947,MATCH(Paramètres!L26,Paramètres!$G$5:$G$57,0)))+IF(RIGHT(TRIM(Paramètres!M26),3)="Fin",1-$H1916,IF(LEFT(TRIM(Paramètres!M26),1)="F",1,0)))),IF(Paramètres!N26="",0,IF(Paramètres!O26="",NA(),IF(LEFT(TRIM(Paramètres!O26),1)="F",INDEX($F$1895:$F$1947,MATCH(Paramètres!N26,Paramètres!$G$5:$G$57,0)),INDEX($E$1895:$E$1947,MATCH(Paramètres!N26,Paramètres!$G$5:$G$57,0)))+IF(RIGHT(TRIM(Paramètres!O26),3)="Fin",1-$H1916,IF(LEFT(TRIM(Paramètres!O26),1)="F",1,0)))))))</f>
        <v/>
      </c>
      <c r="F1916" s="19">
        <f>IF($A1916="","",E1916+$H1916-1)</f>
        <v/>
      </c>
      <c r="G1916" s="18" t="n"/>
      <c r="H1916" s="18">
        <f>IF($A1916="","",IF(I1916&lt;&gt;"",I1916,Paramètres!B26))</f>
        <v/>
      </c>
      <c r="I1916" s="18" t="n"/>
    </row>
    <row r="1917">
      <c r="A1917" s="18">
        <f>IF(ISNUMBER(Dossiers!$D$39),Dossiers!$A$39&amp;" · "&amp;Dossiers!$B$39,"")</f>
        <v/>
      </c>
      <c r="B1917" s="18">
        <f>IF($A1917="","",Paramètres!G27)</f>
        <v/>
      </c>
      <c r="C1917" s="18">
        <f>IF($A1917="","",IF(Paramètres!H27="","",Paramètres!H27))</f>
        <v/>
      </c>
      <c r="D1917" s="18">
        <f>IF($A1917="","",IF(Paramètres!I27="","",Paramètres!I27))</f>
        <v/>
      </c>
      <c r="E1917" s="19">
        <f>IF($A1917="","",IF(Paramètres!J27&amp;Paramètres!L27&amp;Paramètres!N27="",Dossiers!$D$39,MAX(IF(Paramètres!J27="",0,IF(Paramètres!K27="",NA(),IF(LEFT(TRIM(Paramètres!K27),1)="F",INDEX($F$1895:$F$1947,MATCH(Paramètres!J27,Paramètres!$G$5:$G$57,0)),INDEX($E$1895:$E$1947,MATCH(Paramètres!J27,Paramètres!$G$5:$G$57,0)))+IF(RIGHT(TRIM(Paramètres!K27),3)="Fin",1-$H1917,IF(LEFT(TRIM(Paramètres!K27),1)="F",1,0)))),IF(Paramètres!L27="",0,IF(Paramètres!M27="",NA(),IF(LEFT(TRIM(Paramètres!M27),1)="F",INDEX($F$1895:$F$1947,MATCH(Paramètres!L27,Paramètres!$G$5:$G$57,0)),INDEX($E$1895:$E$1947,MATCH(Paramètres!L27,Paramètres!$G$5:$G$57,0)))+IF(RIGHT(TRIM(Paramètres!M27),3)="Fin",1-$H1917,IF(LEFT(TRIM(Paramètres!M27),1)="F",1,0)))),IF(Paramètres!N27="",0,IF(Paramètres!O27="",NA(),IF(LEFT(TRIM(Paramètres!O27),1)="F",INDEX($F$1895:$F$1947,MATCH(Paramètres!N27,Paramètres!$G$5:$G$57,0)),INDEX($E$1895:$E$1947,MATCH(Paramètres!N27,Paramètres!$G$5:$G$57,0)))+IF(RIGHT(TRIM(Paramètres!O27),3)="Fin",1-$H1917,IF(LEFT(TRIM(Paramètres!O27),1)="F",1,0)))))))</f>
        <v/>
      </c>
      <c r="F1917" s="19">
        <f>IF($A1917="","",E1917+$H1917-1)</f>
        <v/>
      </c>
      <c r="G1917" s="18" t="n"/>
      <c r="H1917" s="18">
        <f>IF($A1917="","",IF(I1917&lt;&gt;"",I1917,Paramètres!B27))</f>
        <v/>
      </c>
      <c r="I1917" s="18" t="n"/>
    </row>
    <row r="1918">
      <c r="A1918" s="18">
        <f>IF(ISNUMBER(Dossiers!$D$39),Dossiers!$A$39&amp;" · "&amp;Dossiers!$B$39,"")</f>
        <v/>
      </c>
      <c r="B1918" s="18">
        <f>IF($A1918="","",Paramètres!G28)</f>
        <v/>
      </c>
      <c r="C1918" s="18">
        <f>IF($A1918="","",IF(Paramètres!H28="","",Paramètres!H28))</f>
        <v/>
      </c>
      <c r="D1918" s="18">
        <f>IF($A1918="","",IF(Paramètres!I28="","",Paramètres!I28))</f>
        <v/>
      </c>
      <c r="E1918" s="19">
        <f>IF($A1918="","",IF(Paramètres!J28&amp;Paramètres!L28&amp;Paramètres!N28="",Dossiers!$D$39,MAX(IF(Paramètres!J28="",0,IF(Paramètres!K28="",NA(),IF(LEFT(TRIM(Paramètres!K28),1)="F",INDEX($F$1895:$F$1947,MATCH(Paramètres!J28,Paramètres!$G$5:$G$57,0)),INDEX($E$1895:$E$1947,MATCH(Paramètres!J28,Paramètres!$G$5:$G$57,0)))+IF(RIGHT(TRIM(Paramètres!K28),3)="Fin",1-$H1918,IF(LEFT(TRIM(Paramètres!K28),1)="F",1,0)))),IF(Paramètres!L28="",0,IF(Paramètres!M28="",NA(),IF(LEFT(TRIM(Paramètres!M28),1)="F",INDEX($F$1895:$F$1947,MATCH(Paramètres!L28,Paramètres!$G$5:$G$57,0)),INDEX($E$1895:$E$1947,MATCH(Paramètres!L28,Paramètres!$G$5:$G$57,0)))+IF(RIGHT(TRIM(Paramètres!M28),3)="Fin",1-$H1918,IF(LEFT(TRIM(Paramètres!M28),1)="F",1,0)))),IF(Paramètres!N28="",0,IF(Paramètres!O28="",NA(),IF(LEFT(TRIM(Paramètres!O28),1)="F",INDEX($F$1895:$F$1947,MATCH(Paramètres!N28,Paramètres!$G$5:$G$57,0)),INDEX($E$1895:$E$1947,MATCH(Paramètres!N28,Paramètres!$G$5:$G$57,0)))+IF(RIGHT(TRIM(Paramètres!O28),3)="Fin",1-$H1918,IF(LEFT(TRIM(Paramètres!O28),1)="F",1,0)))))))</f>
        <v/>
      </c>
      <c r="F1918" s="19">
        <f>IF($A1918="","",E1918+$H1918-1)</f>
        <v/>
      </c>
      <c r="G1918" s="18" t="n"/>
      <c r="H1918" s="18">
        <f>IF($A1918="","",IF(I1918&lt;&gt;"",I1918,Paramètres!B28))</f>
        <v/>
      </c>
      <c r="I1918" s="18" t="n"/>
    </row>
    <row r="1919">
      <c r="A1919" s="18">
        <f>IF(ISNUMBER(Dossiers!$D$39),Dossiers!$A$39&amp;" · "&amp;Dossiers!$B$39,"")</f>
        <v/>
      </c>
      <c r="B1919" s="18">
        <f>IF($A1919="","",Paramètres!G29)</f>
        <v/>
      </c>
      <c r="C1919" s="18">
        <f>IF($A1919="","",IF(Paramètres!H29="","",Paramètres!H29))</f>
        <v/>
      </c>
      <c r="D1919" s="18">
        <f>IF($A1919="","",IF(Paramètres!I29="","",Paramètres!I29))</f>
        <v/>
      </c>
      <c r="E1919" s="19">
        <f>IF($A1919="","",IF(Paramètres!J29&amp;Paramètres!L29&amp;Paramètres!N29="",Dossiers!$D$39,MAX(IF(Paramètres!J29="",0,IF(Paramètres!K29="",NA(),IF(LEFT(TRIM(Paramètres!K29),1)="F",INDEX($F$1895:$F$1947,MATCH(Paramètres!J29,Paramètres!$G$5:$G$57,0)),INDEX($E$1895:$E$1947,MATCH(Paramètres!J29,Paramètres!$G$5:$G$57,0)))+IF(RIGHT(TRIM(Paramètres!K29),3)="Fin",1-$H1919,IF(LEFT(TRIM(Paramètres!K29),1)="F",1,0)))),IF(Paramètres!L29="",0,IF(Paramètres!M29="",NA(),IF(LEFT(TRIM(Paramètres!M29),1)="F",INDEX($F$1895:$F$1947,MATCH(Paramètres!L29,Paramètres!$G$5:$G$57,0)),INDEX($E$1895:$E$1947,MATCH(Paramètres!L29,Paramètres!$G$5:$G$57,0)))+IF(RIGHT(TRIM(Paramètres!M29),3)="Fin",1-$H1919,IF(LEFT(TRIM(Paramètres!M29),1)="F",1,0)))),IF(Paramètres!N29="",0,IF(Paramètres!O29="",NA(),IF(LEFT(TRIM(Paramètres!O29),1)="F",INDEX($F$1895:$F$1947,MATCH(Paramètres!N29,Paramètres!$G$5:$G$57,0)),INDEX($E$1895:$E$1947,MATCH(Paramètres!N29,Paramètres!$G$5:$G$57,0)))+IF(RIGHT(TRIM(Paramètres!O29),3)="Fin",1-$H1919,IF(LEFT(TRIM(Paramètres!O29),1)="F",1,0)))))))</f>
        <v/>
      </c>
      <c r="F1919" s="19">
        <f>IF($A1919="","",E1919+$H1919-1)</f>
        <v/>
      </c>
      <c r="G1919" s="18" t="n"/>
      <c r="H1919" s="18">
        <f>IF($A1919="","",IF(I1919&lt;&gt;"",I1919,Paramètres!B29))</f>
        <v/>
      </c>
      <c r="I1919" s="18" t="n"/>
    </row>
    <row r="1920">
      <c r="A1920" s="18">
        <f>IF(ISNUMBER(Dossiers!$D$39),Dossiers!$A$39&amp;" · "&amp;Dossiers!$B$39,"")</f>
        <v/>
      </c>
      <c r="B1920" s="18">
        <f>IF($A1920="","",Paramètres!G30)</f>
        <v/>
      </c>
      <c r="C1920" s="18">
        <f>IF($A1920="","",IF(Paramètres!H30="","",Paramètres!H30))</f>
        <v/>
      </c>
      <c r="D1920" s="18">
        <f>IF($A1920="","",IF(Paramètres!I30="","",Paramètres!I30))</f>
        <v/>
      </c>
      <c r="E1920" s="19">
        <f>IF($A1920="","",IF(Paramètres!J30&amp;Paramètres!L30&amp;Paramètres!N30="",Dossiers!$D$39,MAX(IF(Paramètres!J30="",0,IF(Paramètres!K30="",NA(),IF(LEFT(TRIM(Paramètres!K30),1)="F",INDEX($F$1895:$F$1947,MATCH(Paramètres!J30,Paramètres!$G$5:$G$57,0)),INDEX($E$1895:$E$1947,MATCH(Paramètres!J30,Paramètres!$G$5:$G$57,0)))+IF(RIGHT(TRIM(Paramètres!K30),3)="Fin",1-$H1920,IF(LEFT(TRIM(Paramètres!K30),1)="F",1,0)))),IF(Paramètres!L30="",0,IF(Paramètres!M30="",NA(),IF(LEFT(TRIM(Paramètres!M30),1)="F",INDEX($F$1895:$F$1947,MATCH(Paramètres!L30,Paramètres!$G$5:$G$57,0)),INDEX($E$1895:$E$1947,MATCH(Paramètres!L30,Paramètres!$G$5:$G$57,0)))+IF(RIGHT(TRIM(Paramètres!M30),3)="Fin",1-$H1920,IF(LEFT(TRIM(Paramètres!M30),1)="F",1,0)))),IF(Paramètres!N30="",0,IF(Paramètres!O30="",NA(),IF(LEFT(TRIM(Paramètres!O30),1)="F",INDEX($F$1895:$F$1947,MATCH(Paramètres!N30,Paramètres!$G$5:$G$57,0)),INDEX($E$1895:$E$1947,MATCH(Paramètres!N30,Paramètres!$G$5:$G$57,0)))+IF(RIGHT(TRIM(Paramètres!O30),3)="Fin",1-$H1920,IF(LEFT(TRIM(Paramètres!O30),1)="F",1,0)))))))</f>
        <v/>
      </c>
      <c r="F1920" s="19">
        <f>IF($A1920="","",E1920+$H1920-1)</f>
        <v/>
      </c>
      <c r="G1920" s="18" t="n"/>
      <c r="H1920" s="18">
        <f>IF($A1920="","",IF(I1920&lt;&gt;"",I1920,Paramètres!B30))</f>
        <v/>
      </c>
      <c r="I1920" s="18" t="n"/>
    </row>
    <row r="1921">
      <c r="A1921" s="18">
        <f>IF(ISNUMBER(Dossiers!$D$39),Dossiers!$A$39&amp;" · "&amp;Dossiers!$B$39,"")</f>
        <v/>
      </c>
      <c r="B1921" s="18">
        <f>IF($A1921="","",Paramètres!G31)</f>
        <v/>
      </c>
      <c r="C1921" s="20">
        <f>IF($A1921="","",IF(Dossiers!$F$39="","",Dossiers!$F$39))</f>
        <v/>
      </c>
      <c r="D1921" s="18">
        <f>IF($A1921="","",IF(Paramètres!I31="","",Paramètres!I31))</f>
        <v/>
      </c>
      <c r="E1921" s="19">
        <f>IF($A1921="","",IF(Paramètres!J31&amp;Paramètres!L31&amp;Paramètres!N31="",Dossiers!$D$39,MAX(IF(Paramètres!J31="",0,IF(Paramètres!K31="",NA(),IF(LEFT(TRIM(Paramètres!K31),1)="F",INDEX($F$1895:$F$1947,MATCH(Paramètres!J31,Paramètres!$G$5:$G$57,0)),INDEX($E$1895:$E$1947,MATCH(Paramètres!J31,Paramètres!$G$5:$G$57,0)))+IF(RIGHT(TRIM(Paramètres!K31),3)="Fin",1-$H1921,IF(LEFT(TRIM(Paramètres!K31),1)="F",1,0)))),IF(Paramètres!L31="",0,IF(Paramètres!M31="",NA(),IF(LEFT(TRIM(Paramètres!M31),1)="F",INDEX($F$1895:$F$1947,MATCH(Paramètres!L31,Paramètres!$G$5:$G$57,0)),INDEX($E$1895:$E$1947,MATCH(Paramètres!L31,Paramètres!$G$5:$G$57,0)))+IF(RIGHT(TRIM(Paramètres!M31),3)="Fin",1-$H1921,IF(LEFT(TRIM(Paramètres!M31),1)="F",1,0)))),IF(Paramètres!N31="",0,IF(Paramètres!O31="",NA(),IF(LEFT(TRIM(Paramètres!O31),1)="F",INDEX($F$1895:$F$1947,MATCH(Paramètres!N31,Paramètres!$G$5:$G$57,0)),INDEX($E$1895:$E$1947,MATCH(Paramètres!N31,Paramètres!$G$5:$G$57,0)))+IF(RIGHT(TRIM(Paramètres!O31),3)="Fin",1-$H1921,IF(LEFT(TRIM(Paramètres!O31),1)="F",1,0)))))))</f>
        <v/>
      </c>
      <c r="F1921" s="19">
        <f>IF($A1921="","",E1921+$H1921-1)</f>
        <v/>
      </c>
      <c r="G1921" s="18" t="n"/>
      <c r="H1921" s="18">
        <f>IF($A1921="","",IF(I1921&lt;&gt;"",I1921,Paramètres!B31))</f>
        <v/>
      </c>
      <c r="I1921" s="18" t="n"/>
    </row>
    <row r="1922">
      <c r="A1922" s="18">
        <f>IF(ISNUMBER(Dossiers!$D$39),Dossiers!$A$39&amp;" · "&amp;Dossiers!$B$39,"")</f>
        <v/>
      </c>
      <c r="B1922" s="18">
        <f>IF($A1922="","",Paramètres!G32)</f>
        <v/>
      </c>
      <c r="C1922" s="18">
        <f>IF($A1922="","",IF(Paramètres!H32="","",Paramètres!H32))</f>
        <v/>
      </c>
      <c r="D1922" s="18">
        <f>IF($A1922="","",IF(Paramètres!I32="","",Paramètres!I32))</f>
        <v/>
      </c>
      <c r="E1922" s="19">
        <f>IF($A1922="","",MIN(E1923:E1926))</f>
        <v/>
      </c>
      <c r="F1922" s="19">
        <f>IF($A1922="","",MAX(F1923:F1926))</f>
        <v/>
      </c>
      <c r="G1922" s="18" t="n"/>
      <c r="H1922" s="18">
        <f>IF($A1922="","",F1922-E1922+1)</f>
        <v/>
      </c>
      <c r="I1922" s="18" t="n"/>
    </row>
    <row r="1923">
      <c r="A1923" s="18">
        <f>IF(ISNUMBER(Dossiers!$D$39),Dossiers!$A$39&amp;" · "&amp;Dossiers!$B$39,"")</f>
        <v/>
      </c>
      <c r="B1923" s="18">
        <f>IF($A1923="","",Paramètres!G33)</f>
        <v/>
      </c>
      <c r="C1923" s="18">
        <f>IF($A1923="","",IF(Paramètres!H33="","",Paramètres!H33))</f>
        <v/>
      </c>
      <c r="D1923" s="18">
        <f>IF($A1923="","",IF(Paramètres!I33="","",Paramètres!I33))</f>
        <v/>
      </c>
      <c r="E1923" s="19">
        <f>IF($A1923="","",IF(Paramètres!J33&amp;Paramètres!L33&amp;Paramètres!N33="",Dossiers!$D$39,MAX(IF(Paramètres!J33="",0,IF(Paramètres!K33="",NA(),IF(LEFT(TRIM(Paramètres!K33),1)="F",INDEX($F$1895:$F$1947,MATCH(Paramètres!J33,Paramètres!$G$5:$G$57,0)),INDEX($E$1895:$E$1947,MATCH(Paramètres!J33,Paramètres!$G$5:$G$57,0)))+IF(RIGHT(TRIM(Paramètres!K33),3)="Fin",1-$H1923,IF(LEFT(TRIM(Paramètres!K33),1)="F",1,0)))),IF(Paramètres!L33="",0,IF(Paramètres!M33="",NA(),IF(LEFT(TRIM(Paramètres!M33),1)="F",INDEX($F$1895:$F$1947,MATCH(Paramètres!L33,Paramètres!$G$5:$G$57,0)),INDEX($E$1895:$E$1947,MATCH(Paramètres!L33,Paramètres!$G$5:$G$57,0)))+IF(RIGHT(TRIM(Paramètres!M33),3)="Fin",1-$H1923,IF(LEFT(TRIM(Paramètres!M33),1)="F",1,0)))),IF(Paramètres!N33="",0,IF(Paramètres!O33="",NA(),IF(LEFT(TRIM(Paramètres!O33),1)="F",INDEX($F$1895:$F$1947,MATCH(Paramètres!N33,Paramètres!$G$5:$G$57,0)),INDEX($E$1895:$E$1947,MATCH(Paramètres!N33,Paramètres!$G$5:$G$57,0)))+IF(RIGHT(TRIM(Paramètres!O33),3)="Fin",1-$H1923,IF(LEFT(TRIM(Paramètres!O33),1)="F",1,0)))))))</f>
        <v/>
      </c>
      <c r="F1923" s="19">
        <f>IF($A1923="","",E1923+$H1923-1)</f>
        <v/>
      </c>
      <c r="G1923" s="18" t="n"/>
      <c r="H1923" s="18">
        <f>IF($A1923="","",IF(I1923&lt;&gt;"",I1923,Paramètres!B33))</f>
        <v/>
      </c>
      <c r="I1923" s="18" t="n"/>
    </row>
    <row r="1924">
      <c r="A1924" s="18">
        <f>IF(ISNUMBER(Dossiers!$D$39),Dossiers!$A$39&amp;" · "&amp;Dossiers!$B$39,"")</f>
        <v/>
      </c>
      <c r="B1924" s="18">
        <f>IF($A1924="","",Paramètres!G34)</f>
        <v/>
      </c>
      <c r="C1924" s="18">
        <f>IF($A1924="","",IF(Paramètres!H34="","",Paramètres!H34))</f>
        <v/>
      </c>
      <c r="D1924" s="18">
        <f>IF($A1924="","",IF(Paramètres!I34="","",Paramètres!I34))</f>
        <v/>
      </c>
      <c r="E1924" s="19">
        <f>IF($A1924="","",IF(Paramètres!J34&amp;Paramètres!L34&amp;Paramètres!N34="",Dossiers!$D$39,MAX(IF(Paramètres!J34="",0,IF(Paramètres!K34="",NA(),IF(LEFT(TRIM(Paramètres!K34),1)="F",INDEX($F$1895:$F$1947,MATCH(Paramètres!J34,Paramètres!$G$5:$G$57,0)),INDEX($E$1895:$E$1947,MATCH(Paramètres!J34,Paramètres!$G$5:$G$57,0)))+IF(RIGHT(TRIM(Paramètres!K34),3)="Fin",1-$H1924,IF(LEFT(TRIM(Paramètres!K34),1)="F",1,0)))),IF(Paramètres!L34="",0,IF(Paramètres!M34="",NA(),IF(LEFT(TRIM(Paramètres!M34),1)="F",INDEX($F$1895:$F$1947,MATCH(Paramètres!L34,Paramètres!$G$5:$G$57,0)),INDEX($E$1895:$E$1947,MATCH(Paramètres!L34,Paramètres!$G$5:$G$57,0)))+IF(RIGHT(TRIM(Paramètres!M34),3)="Fin",1-$H1924,IF(LEFT(TRIM(Paramètres!M34),1)="F",1,0)))),IF(Paramètres!N34="",0,IF(Paramètres!O34="",NA(),IF(LEFT(TRIM(Paramètres!O34),1)="F",INDEX($F$1895:$F$1947,MATCH(Paramètres!N34,Paramètres!$G$5:$G$57,0)),INDEX($E$1895:$E$1947,MATCH(Paramètres!N34,Paramètres!$G$5:$G$57,0)))+IF(RIGHT(TRIM(Paramètres!O34),3)="Fin",1-$H1924,IF(LEFT(TRIM(Paramètres!O34),1)="F",1,0)))))))</f>
        <v/>
      </c>
      <c r="F1924" s="19">
        <f>IF($A1924="","",E1924+$H1924-1)</f>
        <v/>
      </c>
      <c r="G1924" s="18" t="n"/>
      <c r="H1924" s="18">
        <f>IF($A1924="","",IF(I1924&lt;&gt;"",I1924,Paramètres!B34))</f>
        <v/>
      </c>
      <c r="I1924" s="18" t="n"/>
    </row>
    <row r="1925">
      <c r="A1925" s="18">
        <f>IF(ISNUMBER(Dossiers!$D$39),Dossiers!$A$39&amp;" · "&amp;Dossiers!$B$39,"")</f>
        <v/>
      </c>
      <c r="B1925" s="18">
        <f>IF($A1925="","",Paramètres!G35)</f>
        <v/>
      </c>
      <c r="C1925" s="18">
        <f>IF($A1925="","",IF(Paramètres!H35="","",Paramètres!H35))</f>
        <v/>
      </c>
      <c r="D1925" s="18">
        <f>IF($A1925="","",IF(Paramètres!I35="","",Paramètres!I35))</f>
        <v/>
      </c>
      <c r="E1925" s="19">
        <f>IF($A1925="","",IF(Paramètres!J35&amp;Paramètres!L35&amp;Paramètres!N35="",Dossiers!$D$39,MAX(IF(Paramètres!J35="",0,IF(Paramètres!K35="",NA(),IF(LEFT(TRIM(Paramètres!K35),1)="F",INDEX($F$1895:$F$1947,MATCH(Paramètres!J35,Paramètres!$G$5:$G$57,0)),INDEX($E$1895:$E$1947,MATCH(Paramètres!J35,Paramètres!$G$5:$G$57,0)))+IF(RIGHT(TRIM(Paramètres!K35),3)="Fin",1-$H1925,IF(LEFT(TRIM(Paramètres!K35),1)="F",1,0)))),IF(Paramètres!L35="",0,IF(Paramètres!M35="",NA(),IF(LEFT(TRIM(Paramètres!M35),1)="F",INDEX($F$1895:$F$1947,MATCH(Paramètres!L35,Paramètres!$G$5:$G$57,0)),INDEX($E$1895:$E$1947,MATCH(Paramètres!L35,Paramètres!$G$5:$G$57,0)))+IF(RIGHT(TRIM(Paramètres!M35),3)="Fin",1-$H1925,IF(LEFT(TRIM(Paramètres!M35),1)="F",1,0)))),IF(Paramètres!N35="",0,IF(Paramètres!O35="",NA(),IF(LEFT(TRIM(Paramètres!O35),1)="F",INDEX($F$1895:$F$1947,MATCH(Paramètres!N35,Paramètres!$G$5:$G$57,0)),INDEX($E$1895:$E$1947,MATCH(Paramètres!N35,Paramètres!$G$5:$G$57,0)))+IF(RIGHT(TRIM(Paramètres!O35),3)="Fin",1-$H1925,IF(LEFT(TRIM(Paramètres!O35),1)="F",1,0)))))))</f>
        <v/>
      </c>
      <c r="F1925" s="19">
        <f>IF($A1925="","",E1925+$H1925-1)</f>
        <v/>
      </c>
      <c r="G1925" s="18" t="n"/>
      <c r="H1925" s="18">
        <f>IF($A1925="","",IF(I1925&lt;&gt;"",I1925,Paramètres!B35))</f>
        <v/>
      </c>
      <c r="I1925" s="18" t="n"/>
    </row>
    <row r="1926">
      <c r="A1926" s="18">
        <f>IF(ISNUMBER(Dossiers!$D$39),Dossiers!$A$39&amp;" · "&amp;Dossiers!$B$39,"")</f>
        <v/>
      </c>
      <c r="B1926" s="18">
        <f>IF($A1926="","",Paramètres!G36)</f>
        <v/>
      </c>
      <c r="C1926" s="18">
        <f>IF($A1926="","",IF(Paramètres!H36="","",Paramètres!H36))</f>
        <v/>
      </c>
      <c r="D1926" s="18">
        <f>IF($A1926="","",IF(Paramètres!I36="","",Paramètres!I36))</f>
        <v/>
      </c>
      <c r="E1926" s="19">
        <f>IF($A1926="","",IF(Paramètres!J36&amp;Paramètres!L36&amp;Paramètres!N36="",Dossiers!$D$39,MAX(IF(Paramètres!J36="",0,IF(Paramètres!K36="",NA(),IF(LEFT(TRIM(Paramètres!K36),1)="F",INDEX($F$1895:$F$1947,MATCH(Paramètres!J36,Paramètres!$G$5:$G$57,0)),INDEX($E$1895:$E$1947,MATCH(Paramètres!J36,Paramètres!$G$5:$G$57,0)))+IF(RIGHT(TRIM(Paramètres!K36),3)="Fin",1-$H1926,IF(LEFT(TRIM(Paramètres!K36),1)="F",1,0)))),IF(Paramètres!L36="",0,IF(Paramètres!M36="",NA(),IF(LEFT(TRIM(Paramètres!M36),1)="F",INDEX($F$1895:$F$1947,MATCH(Paramètres!L36,Paramètres!$G$5:$G$57,0)),INDEX($E$1895:$E$1947,MATCH(Paramètres!L36,Paramètres!$G$5:$G$57,0)))+IF(RIGHT(TRIM(Paramètres!M36),3)="Fin",1-$H1926,IF(LEFT(TRIM(Paramètres!M36),1)="F",1,0)))),IF(Paramètres!N36="",0,IF(Paramètres!O36="",NA(),IF(LEFT(TRIM(Paramètres!O36),1)="F",INDEX($F$1895:$F$1947,MATCH(Paramètres!N36,Paramètres!$G$5:$G$57,0)),INDEX($E$1895:$E$1947,MATCH(Paramètres!N36,Paramètres!$G$5:$G$57,0)))+IF(RIGHT(TRIM(Paramètres!O36),3)="Fin",1-$H1926,IF(LEFT(TRIM(Paramètres!O36),1)="F",1,0)))))))</f>
        <v/>
      </c>
      <c r="F1926" s="19">
        <f>IF($A1926="","",E1926+$H1926-1)</f>
        <v/>
      </c>
      <c r="G1926" s="18" t="n"/>
      <c r="H1926" s="18">
        <f>IF($A1926="","",IF(I1926&lt;&gt;"",I1926,Paramètres!B36))</f>
        <v/>
      </c>
      <c r="I1926" s="18" t="n"/>
    </row>
    <row r="1927">
      <c r="A1927" s="18">
        <f>IF(ISNUMBER(Dossiers!$D$39),Dossiers!$A$39&amp;" · "&amp;Dossiers!$B$39,"")</f>
        <v/>
      </c>
      <c r="B1927" s="18">
        <f>IF($A1927="","",Paramètres!G37)</f>
        <v/>
      </c>
      <c r="C1927" s="18">
        <f>IF($A1927="","",IF(Paramètres!H37="","",Paramètres!H37))</f>
        <v/>
      </c>
      <c r="D1927" s="18">
        <f>IF($A1927="","",IF(Paramètres!I37="","",Paramètres!I37))</f>
        <v/>
      </c>
      <c r="E1927" s="19">
        <f>IF($A1927="","",MIN(E1928:E1945))</f>
        <v/>
      </c>
      <c r="F1927" s="19">
        <f>IF($A1927="","",MAX(F1928:F1945))</f>
        <v/>
      </c>
      <c r="G1927" s="18" t="n"/>
      <c r="H1927" s="18">
        <f>IF($A1927="","",F1927-E1927+1)</f>
        <v/>
      </c>
      <c r="I1927" s="18" t="n"/>
    </row>
    <row r="1928">
      <c r="A1928" s="18">
        <f>IF(ISNUMBER(Dossiers!$D$39),Dossiers!$A$39&amp;" · "&amp;Dossiers!$B$39,"")</f>
        <v/>
      </c>
      <c r="B1928" s="18">
        <f>IF($A1928="","",Paramètres!G38)</f>
        <v/>
      </c>
      <c r="C1928" s="18">
        <f>IF($A1928="","",IF(Paramètres!H38="","",Paramètres!H38))</f>
        <v/>
      </c>
      <c r="D1928" s="18">
        <f>IF($A1928="","",IF(Paramètres!I38="","",Paramètres!I38))</f>
        <v/>
      </c>
      <c r="E1928" s="19">
        <f>IF($A1928="","",IF(Paramètres!J38&amp;Paramètres!L38&amp;Paramètres!N38="",Dossiers!$D$39,MAX(IF(Paramètres!J38="",0,IF(Paramètres!K38="",NA(),IF(LEFT(TRIM(Paramètres!K38),1)="F",INDEX($F$1895:$F$1947,MATCH(Paramètres!J38,Paramètres!$G$5:$G$57,0)),INDEX($E$1895:$E$1947,MATCH(Paramètres!J38,Paramètres!$G$5:$G$57,0)))+IF(RIGHT(TRIM(Paramètres!K38),3)="Fin",1-$H1928,IF(LEFT(TRIM(Paramètres!K38),1)="F",1,0)))),IF(Paramètres!L38="",0,IF(Paramètres!M38="",NA(),IF(LEFT(TRIM(Paramètres!M38),1)="F",INDEX($F$1895:$F$1947,MATCH(Paramètres!L38,Paramètres!$G$5:$G$57,0)),INDEX($E$1895:$E$1947,MATCH(Paramètres!L38,Paramètres!$G$5:$G$57,0)))+IF(RIGHT(TRIM(Paramètres!M38),3)="Fin",1-$H1928,IF(LEFT(TRIM(Paramètres!M38),1)="F",1,0)))),IF(Paramètres!N38="",0,IF(Paramètres!O38="",NA(),IF(LEFT(TRIM(Paramètres!O38),1)="F",INDEX($F$1895:$F$1947,MATCH(Paramètres!N38,Paramètres!$G$5:$G$57,0)),INDEX($E$1895:$E$1947,MATCH(Paramètres!N38,Paramètres!$G$5:$G$57,0)))+IF(RIGHT(TRIM(Paramètres!O38),3)="Fin",1-$H1928,IF(LEFT(TRIM(Paramètres!O38),1)="F",1,0)))))))</f>
        <v/>
      </c>
      <c r="F1928" s="19">
        <f>IF($A1928="","",E1928+$H1928-1)</f>
        <v/>
      </c>
      <c r="G1928" s="18" t="n"/>
      <c r="H1928" s="18">
        <f>IF($A1928="","",IF(I1928&lt;&gt;"",I1928,Paramètres!B38))</f>
        <v/>
      </c>
      <c r="I1928" s="18" t="n"/>
    </row>
    <row r="1929">
      <c r="A1929" s="18">
        <f>IF(ISNUMBER(Dossiers!$D$39),Dossiers!$A$39&amp;" · "&amp;Dossiers!$B$39,"")</f>
        <v/>
      </c>
      <c r="B1929" s="18">
        <f>IF($A1929="","",Paramètres!G39)</f>
        <v/>
      </c>
      <c r="C1929" s="18">
        <f>IF($A1929="","",IF(Paramètres!H39="","",Paramètres!H39))</f>
        <v/>
      </c>
      <c r="D1929" s="18">
        <f>IF($A1929="","",IF(Paramètres!I39="","",Paramètres!I39))</f>
        <v/>
      </c>
      <c r="E1929" s="19">
        <f>IF($A1929="","",IF(Paramètres!J39&amp;Paramètres!L39&amp;Paramètres!N39="",Dossiers!$D$39,MAX(IF(Paramètres!J39="",0,IF(Paramètres!K39="",NA(),IF(LEFT(TRIM(Paramètres!K39),1)="F",INDEX($F$1895:$F$1947,MATCH(Paramètres!J39,Paramètres!$G$5:$G$57,0)),INDEX($E$1895:$E$1947,MATCH(Paramètres!J39,Paramètres!$G$5:$G$57,0)))+IF(RIGHT(TRIM(Paramètres!K39),3)="Fin",1-$H1929,IF(LEFT(TRIM(Paramètres!K39),1)="F",1,0)))),IF(Paramètres!L39="",0,IF(Paramètres!M39="",NA(),IF(LEFT(TRIM(Paramètres!M39),1)="F",INDEX($F$1895:$F$1947,MATCH(Paramètres!L39,Paramètres!$G$5:$G$57,0)),INDEX($E$1895:$E$1947,MATCH(Paramètres!L39,Paramètres!$G$5:$G$57,0)))+IF(RIGHT(TRIM(Paramètres!M39),3)="Fin",1-$H1929,IF(LEFT(TRIM(Paramètres!M39),1)="F",1,0)))),IF(Paramètres!N39="",0,IF(Paramètres!O39="",NA(),IF(LEFT(TRIM(Paramètres!O39),1)="F",INDEX($F$1895:$F$1947,MATCH(Paramètres!N39,Paramètres!$G$5:$G$57,0)),INDEX($E$1895:$E$1947,MATCH(Paramètres!N39,Paramètres!$G$5:$G$57,0)))+IF(RIGHT(TRIM(Paramètres!O39),3)="Fin",1-$H1929,IF(LEFT(TRIM(Paramètres!O39),1)="F",1,0)))))))</f>
        <v/>
      </c>
      <c r="F1929" s="19">
        <f>IF($A1929="","",E1929+$H1929-1)</f>
        <v/>
      </c>
      <c r="G1929" s="18" t="n"/>
      <c r="H1929" s="18">
        <f>IF($A1929="","",IF(I1929&lt;&gt;"",I1929,Paramètres!B39))</f>
        <v/>
      </c>
      <c r="I1929" s="18" t="n"/>
    </row>
    <row r="1930">
      <c r="A1930" s="18">
        <f>IF(ISNUMBER(Dossiers!$D$39),Dossiers!$A$39&amp;" · "&amp;Dossiers!$B$39,"")</f>
        <v/>
      </c>
      <c r="B1930" s="18">
        <f>IF($A1930="","",Paramètres!G40)</f>
        <v/>
      </c>
      <c r="C1930" s="18">
        <f>IF($A1930="","",IF(Paramètres!H40="","",Paramètres!H40))</f>
        <v/>
      </c>
      <c r="D1930" s="18">
        <f>IF($A1930="","",IF(Paramètres!I40="","",Paramètres!I40))</f>
        <v/>
      </c>
      <c r="E1930" s="19">
        <f>IF($A1930="","",IF(Paramètres!J40&amp;Paramètres!L40&amp;Paramètres!N40="",Dossiers!$D$39,MAX(IF(Paramètres!J40="",0,IF(Paramètres!K40="",NA(),IF(LEFT(TRIM(Paramètres!K40),1)="F",INDEX($F$1895:$F$1947,MATCH(Paramètres!J40,Paramètres!$G$5:$G$57,0)),INDEX($E$1895:$E$1947,MATCH(Paramètres!J40,Paramètres!$G$5:$G$57,0)))+IF(RIGHT(TRIM(Paramètres!K40),3)="Fin",1-$H1930,IF(LEFT(TRIM(Paramètres!K40),1)="F",1,0)))),IF(Paramètres!L40="",0,IF(Paramètres!M40="",NA(),IF(LEFT(TRIM(Paramètres!M40),1)="F",INDEX($F$1895:$F$1947,MATCH(Paramètres!L40,Paramètres!$G$5:$G$57,0)),INDEX($E$1895:$E$1947,MATCH(Paramètres!L40,Paramètres!$G$5:$G$57,0)))+IF(RIGHT(TRIM(Paramètres!M40),3)="Fin",1-$H1930,IF(LEFT(TRIM(Paramètres!M40),1)="F",1,0)))),IF(Paramètres!N40="",0,IF(Paramètres!O40="",NA(),IF(LEFT(TRIM(Paramètres!O40),1)="F",INDEX($F$1895:$F$1947,MATCH(Paramètres!N40,Paramètres!$G$5:$G$57,0)),INDEX($E$1895:$E$1947,MATCH(Paramètres!N40,Paramètres!$G$5:$G$57,0)))+IF(RIGHT(TRIM(Paramètres!O40),3)="Fin",1-$H1930,IF(LEFT(TRIM(Paramètres!O40),1)="F",1,0)))))))</f>
        <v/>
      </c>
      <c r="F1930" s="19">
        <f>IF($A1930="","",E1930+$H1930-1)</f>
        <v/>
      </c>
      <c r="G1930" s="18" t="n"/>
      <c r="H1930" s="18">
        <f>IF($A1930="","",IF(I1930&lt;&gt;"",I1930,Paramètres!B40))</f>
        <v/>
      </c>
      <c r="I1930" s="18" t="n"/>
    </row>
    <row r="1931">
      <c r="A1931" s="18">
        <f>IF(ISNUMBER(Dossiers!$D$39),Dossiers!$A$39&amp;" · "&amp;Dossiers!$B$39,"")</f>
        <v/>
      </c>
      <c r="B1931" s="18">
        <f>IF($A1931="","",Paramètres!G41)</f>
        <v/>
      </c>
      <c r="C1931" s="18">
        <f>IF($A1931="","",IF(Paramètres!H41="","",Paramètres!H41))</f>
        <v/>
      </c>
      <c r="D1931" s="18">
        <f>IF($A1931="","",IF(Paramètres!I41="","",Paramètres!I41))</f>
        <v/>
      </c>
      <c r="E1931" s="19">
        <f>IF($A1931="","",IF(Paramètres!J41&amp;Paramètres!L41&amp;Paramètres!N41="",Dossiers!$D$39,MAX(IF(Paramètres!J41="",0,IF(Paramètres!K41="",NA(),IF(LEFT(TRIM(Paramètres!K41),1)="F",INDEX($F$1895:$F$1947,MATCH(Paramètres!J41,Paramètres!$G$5:$G$57,0)),INDEX($E$1895:$E$1947,MATCH(Paramètres!J41,Paramètres!$G$5:$G$57,0)))+IF(RIGHT(TRIM(Paramètres!K41),3)="Fin",1-$H1931,IF(LEFT(TRIM(Paramètres!K41),1)="F",1,0)))),IF(Paramètres!L41="",0,IF(Paramètres!M41="",NA(),IF(LEFT(TRIM(Paramètres!M41),1)="F",INDEX($F$1895:$F$1947,MATCH(Paramètres!L41,Paramètres!$G$5:$G$57,0)),INDEX($E$1895:$E$1947,MATCH(Paramètres!L41,Paramètres!$G$5:$G$57,0)))+IF(RIGHT(TRIM(Paramètres!M41),3)="Fin",1-$H1931,IF(LEFT(TRIM(Paramètres!M41),1)="F",1,0)))),IF(Paramètres!N41="",0,IF(Paramètres!O41="",NA(),IF(LEFT(TRIM(Paramètres!O41),1)="F",INDEX($F$1895:$F$1947,MATCH(Paramètres!N41,Paramètres!$G$5:$G$57,0)),INDEX($E$1895:$E$1947,MATCH(Paramètres!N41,Paramètres!$G$5:$G$57,0)))+IF(RIGHT(TRIM(Paramètres!O41),3)="Fin",1-$H1931,IF(LEFT(TRIM(Paramètres!O41),1)="F",1,0)))))))</f>
        <v/>
      </c>
      <c r="F1931" s="19">
        <f>IF($A1931="","",E1931+$H1931-1)</f>
        <v/>
      </c>
      <c r="G1931" s="18" t="n"/>
      <c r="H1931" s="18">
        <f>IF($A1931="","",IF(I1931&lt;&gt;"",I1931,Paramètres!B41))</f>
        <v/>
      </c>
      <c r="I1931" s="18" t="n"/>
    </row>
    <row r="1932">
      <c r="A1932" s="18">
        <f>IF(ISNUMBER(Dossiers!$D$39),Dossiers!$A$39&amp;" · "&amp;Dossiers!$B$39,"")</f>
        <v/>
      </c>
      <c r="B1932" s="18">
        <f>IF($A1932="","",Paramètres!G42)</f>
        <v/>
      </c>
      <c r="C1932" s="18">
        <f>IF($A1932="","",IF(Paramètres!H42="","",Paramètres!H42))</f>
        <v/>
      </c>
      <c r="D1932" s="18">
        <f>IF($A1932="","",IF(Paramètres!I42="","",Paramètres!I42))</f>
        <v/>
      </c>
      <c r="E1932" s="19">
        <f>IF($A1932="","",IF(Paramètres!J42&amp;Paramètres!L42&amp;Paramètres!N42="",Dossiers!$D$39,MAX(IF(Paramètres!J42="",0,IF(Paramètres!K42="",NA(),IF(LEFT(TRIM(Paramètres!K42),1)="F",INDEX($F$1895:$F$1947,MATCH(Paramètres!J42,Paramètres!$G$5:$G$57,0)),INDEX($E$1895:$E$1947,MATCH(Paramètres!J42,Paramètres!$G$5:$G$57,0)))+IF(RIGHT(TRIM(Paramètres!K42),3)="Fin",1-$H1932,IF(LEFT(TRIM(Paramètres!K42),1)="F",1,0)))),IF(Paramètres!L42="",0,IF(Paramètres!M42="",NA(),IF(LEFT(TRIM(Paramètres!M42),1)="F",INDEX($F$1895:$F$1947,MATCH(Paramètres!L42,Paramètres!$G$5:$G$57,0)),INDEX($E$1895:$E$1947,MATCH(Paramètres!L42,Paramètres!$G$5:$G$57,0)))+IF(RIGHT(TRIM(Paramètres!M42),3)="Fin",1-$H1932,IF(LEFT(TRIM(Paramètres!M42),1)="F",1,0)))),IF(Paramètres!N42="",0,IF(Paramètres!O42="",NA(),IF(LEFT(TRIM(Paramètres!O42),1)="F",INDEX($F$1895:$F$1947,MATCH(Paramètres!N42,Paramètres!$G$5:$G$57,0)),INDEX($E$1895:$E$1947,MATCH(Paramètres!N42,Paramètres!$G$5:$G$57,0)))+IF(RIGHT(TRIM(Paramètres!O42),3)="Fin",1-$H1932,IF(LEFT(TRIM(Paramètres!O42),1)="F",1,0)))))))</f>
        <v/>
      </c>
      <c r="F1932" s="19">
        <f>IF($A1932="","",E1932+$H1932-1)</f>
        <v/>
      </c>
      <c r="G1932" s="18" t="n"/>
      <c r="H1932" s="18">
        <f>IF($A1932="","",IF(I1932&lt;&gt;"",I1932,Paramètres!B42))</f>
        <v/>
      </c>
      <c r="I1932" s="18" t="n"/>
    </row>
    <row r="1933">
      <c r="A1933" s="18">
        <f>IF(ISNUMBER(Dossiers!$D$39),Dossiers!$A$39&amp;" · "&amp;Dossiers!$B$39,"")</f>
        <v/>
      </c>
      <c r="B1933" s="18">
        <f>IF($A1933="","",Paramètres!G43)</f>
        <v/>
      </c>
      <c r="C1933" s="18">
        <f>IF($A1933="","",IF(Paramètres!H43="","",Paramètres!H43))</f>
        <v/>
      </c>
      <c r="D1933" s="18">
        <f>IF($A1933="","",IF(Paramètres!I43="","",Paramètres!I43))</f>
        <v/>
      </c>
      <c r="E1933" s="19">
        <f>IF($A1933="","",IF(Paramètres!J43&amp;Paramètres!L43&amp;Paramètres!N43="",Dossiers!$D$39,MAX(IF(Paramètres!J43="",0,IF(Paramètres!K43="",NA(),IF(LEFT(TRIM(Paramètres!K43),1)="F",INDEX($F$1895:$F$1947,MATCH(Paramètres!J43,Paramètres!$G$5:$G$57,0)),INDEX($E$1895:$E$1947,MATCH(Paramètres!J43,Paramètres!$G$5:$G$57,0)))+IF(RIGHT(TRIM(Paramètres!K43),3)="Fin",1-$H1933,IF(LEFT(TRIM(Paramètres!K43),1)="F",1,0)))),IF(Paramètres!L43="",0,IF(Paramètres!M43="",NA(),IF(LEFT(TRIM(Paramètres!M43),1)="F",INDEX($F$1895:$F$1947,MATCH(Paramètres!L43,Paramètres!$G$5:$G$57,0)),INDEX($E$1895:$E$1947,MATCH(Paramètres!L43,Paramètres!$G$5:$G$57,0)))+IF(RIGHT(TRIM(Paramètres!M43),3)="Fin",1-$H1933,IF(LEFT(TRIM(Paramètres!M43),1)="F",1,0)))),IF(Paramètres!N43="",0,IF(Paramètres!O43="",NA(),IF(LEFT(TRIM(Paramètres!O43),1)="F",INDEX($F$1895:$F$1947,MATCH(Paramètres!N43,Paramètres!$G$5:$G$57,0)),INDEX($E$1895:$E$1947,MATCH(Paramètres!N43,Paramètres!$G$5:$G$57,0)))+IF(RIGHT(TRIM(Paramètres!O43),3)="Fin",1-$H1933,IF(LEFT(TRIM(Paramètres!O43),1)="F",1,0)))))))</f>
        <v/>
      </c>
      <c r="F1933" s="19">
        <f>IF($A1933="","",E1933+$H1933-1)</f>
        <v/>
      </c>
      <c r="G1933" s="18" t="n"/>
      <c r="H1933" s="18">
        <f>IF($A1933="","",IF(I1933&lt;&gt;"",I1933,Paramètres!B43))</f>
        <v/>
      </c>
      <c r="I1933" s="18" t="n"/>
    </row>
    <row r="1934">
      <c r="A1934" s="18">
        <f>IF(ISNUMBER(Dossiers!$D$39),Dossiers!$A$39&amp;" · "&amp;Dossiers!$B$39,"")</f>
        <v/>
      </c>
      <c r="B1934" s="18">
        <f>IF($A1934="","",Paramètres!G44)</f>
        <v/>
      </c>
      <c r="C1934" s="18">
        <f>IF($A1934="","",IF(Paramètres!H44="","",Paramètres!H44))</f>
        <v/>
      </c>
      <c r="D1934" s="18">
        <f>IF($A1934="","",IF(Paramètres!I44="","",Paramètres!I44))</f>
        <v/>
      </c>
      <c r="E1934" s="19">
        <f>IF($A1934="","",IF(Paramètres!J44&amp;Paramètres!L44&amp;Paramètres!N44="",Dossiers!$D$39,MAX(IF(Paramètres!J44="",0,IF(Paramètres!K44="",NA(),IF(LEFT(TRIM(Paramètres!K44),1)="F",INDEX($F$1895:$F$1947,MATCH(Paramètres!J44,Paramètres!$G$5:$G$57,0)),INDEX($E$1895:$E$1947,MATCH(Paramètres!J44,Paramètres!$G$5:$G$57,0)))+IF(RIGHT(TRIM(Paramètres!K44),3)="Fin",1-$H1934,IF(LEFT(TRIM(Paramètres!K44),1)="F",1,0)))),IF(Paramètres!L44="",0,IF(Paramètres!M44="",NA(),IF(LEFT(TRIM(Paramètres!M44),1)="F",INDEX($F$1895:$F$1947,MATCH(Paramètres!L44,Paramètres!$G$5:$G$57,0)),INDEX($E$1895:$E$1947,MATCH(Paramètres!L44,Paramètres!$G$5:$G$57,0)))+IF(RIGHT(TRIM(Paramètres!M44),3)="Fin",1-$H1934,IF(LEFT(TRIM(Paramètres!M44),1)="F",1,0)))),IF(Paramètres!N44="",0,IF(Paramètres!O44="",NA(),IF(LEFT(TRIM(Paramètres!O44),1)="F",INDEX($F$1895:$F$1947,MATCH(Paramètres!N44,Paramètres!$G$5:$G$57,0)),INDEX($E$1895:$E$1947,MATCH(Paramètres!N44,Paramètres!$G$5:$G$57,0)))+IF(RIGHT(TRIM(Paramètres!O44),3)="Fin",1-$H1934,IF(LEFT(TRIM(Paramètres!O44),1)="F",1,0)))))))</f>
        <v/>
      </c>
      <c r="F1934" s="19">
        <f>IF($A1934="","",E1934+$H1934-1)</f>
        <v/>
      </c>
      <c r="G1934" s="18" t="n"/>
      <c r="H1934" s="18">
        <f>IF($A1934="","",IF(I1934&lt;&gt;"",I1934,Paramètres!B44))</f>
        <v/>
      </c>
      <c r="I1934" s="18" t="n"/>
    </row>
    <row r="1935">
      <c r="A1935" s="18">
        <f>IF(ISNUMBER(Dossiers!$D$39),Dossiers!$A$39&amp;" · "&amp;Dossiers!$B$39,"")</f>
        <v/>
      </c>
      <c r="B1935" s="18">
        <f>IF($A1935="","",Paramètres!G45)</f>
        <v/>
      </c>
      <c r="C1935" s="20">
        <f>IF($A1935="","",IF(Dossiers!$G$39="","",Dossiers!$G$39))</f>
        <v/>
      </c>
      <c r="D1935" s="18">
        <f>IF($A1935="","",IF(Paramètres!I45="","",Paramètres!I45))</f>
        <v/>
      </c>
      <c r="E1935" s="19">
        <f>IF($A1935="","",IF(Paramètres!J45&amp;Paramètres!L45&amp;Paramètres!N45="",Dossiers!$D$39,MAX(IF(Paramètres!J45="",0,IF(Paramètres!K45="",NA(),IF(LEFT(TRIM(Paramètres!K45),1)="F",INDEX($F$1895:$F$1947,MATCH(Paramètres!J45,Paramètres!$G$5:$G$57,0)),INDEX($E$1895:$E$1947,MATCH(Paramètres!J45,Paramètres!$G$5:$G$57,0)))+IF(RIGHT(TRIM(Paramètres!K45),3)="Fin",1-$H1935,IF(LEFT(TRIM(Paramètres!K45),1)="F",1,0)))),IF(Paramètres!L45="",0,IF(Paramètres!M45="",NA(),IF(LEFT(TRIM(Paramètres!M45),1)="F",INDEX($F$1895:$F$1947,MATCH(Paramètres!L45,Paramètres!$G$5:$G$57,0)),INDEX($E$1895:$E$1947,MATCH(Paramètres!L45,Paramètres!$G$5:$G$57,0)))+IF(RIGHT(TRIM(Paramètres!M45),3)="Fin",1-$H1935,IF(LEFT(TRIM(Paramètres!M45),1)="F",1,0)))),IF(Paramètres!N45="",0,IF(Paramètres!O45="",NA(),IF(LEFT(TRIM(Paramètres!O45),1)="F",INDEX($F$1895:$F$1947,MATCH(Paramètres!N45,Paramètres!$G$5:$G$57,0)),INDEX($E$1895:$E$1947,MATCH(Paramètres!N45,Paramètres!$G$5:$G$57,0)))+IF(RIGHT(TRIM(Paramètres!O45),3)="Fin",1-$H1935,IF(LEFT(TRIM(Paramètres!O45),1)="F",1,0)))))))</f>
        <v/>
      </c>
      <c r="F1935" s="19">
        <f>IF($A1935="","",E1935+$H1935-1)</f>
        <v/>
      </c>
      <c r="G1935" s="18" t="n"/>
      <c r="H1935" s="18">
        <f>IF($A1935="","",IF(I1935&lt;&gt;"",I1935,Paramètres!B45))</f>
        <v/>
      </c>
      <c r="I1935" s="18" t="n"/>
    </row>
    <row r="1936">
      <c r="A1936" s="18">
        <f>IF(ISNUMBER(Dossiers!$D$39),Dossiers!$A$39&amp;" · "&amp;Dossiers!$B$39,"")</f>
        <v/>
      </c>
      <c r="B1936" s="18">
        <f>IF($A1936="","",Paramètres!G46)</f>
        <v/>
      </c>
      <c r="C1936" s="18">
        <f>IF($A1936="","",IF(Paramètres!H46="","",Paramètres!H46))</f>
        <v/>
      </c>
      <c r="D1936" s="18">
        <f>IF($A1936="","",IF(Paramètres!I46="","",Paramètres!I46))</f>
        <v/>
      </c>
      <c r="E1936" s="19">
        <f>IF($A1936="","",IF(Paramètres!J46&amp;Paramètres!L46&amp;Paramètres!N46="",Dossiers!$D$39,MAX(IF(Paramètres!J46="",0,IF(Paramètres!K46="",NA(),IF(LEFT(TRIM(Paramètres!K46),1)="F",INDEX($F$1895:$F$1947,MATCH(Paramètres!J46,Paramètres!$G$5:$G$57,0)),INDEX($E$1895:$E$1947,MATCH(Paramètres!J46,Paramètres!$G$5:$G$57,0)))+IF(RIGHT(TRIM(Paramètres!K46),3)="Fin",1-$H1936,IF(LEFT(TRIM(Paramètres!K46),1)="F",1,0)))),IF(Paramètres!L46="",0,IF(Paramètres!M46="",NA(),IF(LEFT(TRIM(Paramètres!M46),1)="F",INDEX($F$1895:$F$1947,MATCH(Paramètres!L46,Paramètres!$G$5:$G$57,0)),INDEX($E$1895:$E$1947,MATCH(Paramètres!L46,Paramètres!$G$5:$G$57,0)))+IF(RIGHT(TRIM(Paramètres!M46),3)="Fin",1-$H1936,IF(LEFT(TRIM(Paramètres!M46),1)="F",1,0)))),IF(Paramètres!N46="",0,IF(Paramètres!O46="",NA(),IF(LEFT(TRIM(Paramètres!O46),1)="F",INDEX($F$1895:$F$1947,MATCH(Paramètres!N46,Paramètres!$G$5:$G$57,0)),INDEX($E$1895:$E$1947,MATCH(Paramètres!N46,Paramètres!$G$5:$G$57,0)))+IF(RIGHT(TRIM(Paramètres!O46),3)="Fin",1-$H1936,IF(LEFT(TRIM(Paramètres!O46),1)="F",1,0)))))))</f>
        <v/>
      </c>
      <c r="F1936" s="19">
        <f>IF($A1936="","",E1936+$H1936-1)</f>
        <v/>
      </c>
      <c r="G1936" s="18" t="n"/>
      <c r="H1936" s="18">
        <f>IF($A1936="","",IF(I1936&lt;&gt;"",I1936,Paramètres!B46))</f>
        <v/>
      </c>
      <c r="I1936" s="18" t="n"/>
    </row>
    <row r="1937">
      <c r="A1937" s="18">
        <f>IF(ISNUMBER(Dossiers!$D$39),Dossiers!$A$39&amp;" · "&amp;Dossiers!$B$39,"")</f>
        <v/>
      </c>
      <c r="B1937" s="18">
        <f>IF($A1937="","",Paramètres!G47)</f>
        <v/>
      </c>
      <c r="C1937" s="18">
        <f>IF($A1937="","",IF(Paramètres!H47="","",Paramètres!H47))</f>
        <v/>
      </c>
      <c r="D1937" s="18">
        <f>IF($A1937="","",IF(Paramètres!I47="","",Paramètres!I47))</f>
        <v/>
      </c>
      <c r="E1937" s="19">
        <f>IF($A1937="","",IF(Paramètres!J47&amp;Paramètres!L47&amp;Paramètres!N47="",Dossiers!$D$39,MAX(IF(Paramètres!J47="",0,IF(Paramètres!K47="",NA(),IF(LEFT(TRIM(Paramètres!K47),1)="F",INDEX($F$1895:$F$1947,MATCH(Paramètres!J47,Paramètres!$G$5:$G$57,0)),INDEX($E$1895:$E$1947,MATCH(Paramètres!J47,Paramètres!$G$5:$G$57,0)))+IF(RIGHT(TRIM(Paramètres!K47),3)="Fin",1-$H1937,IF(LEFT(TRIM(Paramètres!K47),1)="F",1,0)))),IF(Paramètres!L47="",0,IF(Paramètres!M47="",NA(),IF(LEFT(TRIM(Paramètres!M47),1)="F",INDEX($F$1895:$F$1947,MATCH(Paramètres!L47,Paramètres!$G$5:$G$57,0)),INDEX($E$1895:$E$1947,MATCH(Paramètres!L47,Paramètres!$G$5:$G$57,0)))+IF(RIGHT(TRIM(Paramètres!M47),3)="Fin",1-$H1937,IF(LEFT(TRIM(Paramètres!M47),1)="F",1,0)))),IF(Paramètres!N47="",0,IF(Paramètres!O47="",NA(),IF(LEFT(TRIM(Paramètres!O47),1)="F",INDEX($F$1895:$F$1947,MATCH(Paramètres!N47,Paramètres!$G$5:$G$57,0)),INDEX($E$1895:$E$1947,MATCH(Paramètres!N47,Paramètres!$G$5:$G$57,0)))+IF(RIGHT(TRIM(Paramètres!O47),3)="Fin",1-$H1937,IF(LEFT(TRIM(Paramètres!O47),1)="F",1,0)))))))</f>
        <v/>
      </c>
      <c r="F1937" s="19">
        <f>IF($A1937="","",E1937+$H1937-1)</f>
        <v/>
      </c>
      <c r="G1937" s="18" t="n"/>
      <c r="H1937" s="18">
        <f>IF($A1937="","",IF(I1937&lt;&gt;"",I1937,Paramètres!B47))</f>
        <v/>
      </c>
      <c r="I1937" s="18" t="n"/>
    </row>
    <row r="1938">
      <c r="A1938" s="18">
        <f>IF(ISNUMBER(Dossiers!$D$39),Dossiers!$A$39&amp;" · "&amp;Dossiers!$B$39,"")</f>
        <v/>
      </c>
      <c r="B1938" s="18">
        <f>IF($A1938="","",Paramètres!G48)</f>
        <v/>
      </c>
      <c r="C1938" s="18">
        <f>IF($A1938="","",IF(Paramètres!H48="","",Paramètres!H48))</f>
        <v/>
      </c>
      <c r="D1938" s="18">
        <f>IF($A1938="","",IF(Paramètres!I48="","",Paramètres!I48))</f>
        <v/>
      </c>
      <c r="E1938" s="19">
        <f>IF($A1938="","",IF(Paramètres!J48&amp;Paramètres!L48&amp;Paramètres!N48="",Dossiers!$D$39,MAX(IF(Paramètres!J48="",0,IF(Paramètres!K48="",NA(),IF(LEFT(TRIM(Paramètres!K48),1)="F",INDEX($F$1895:$F$1947,MATCH(Paramètres!J48,Paramètres!$G$5:$G$57,0)),INDEX($E$1895:$E$1947,MATCH(Paramètres!J48,Paramètres!$G$5:$G$57,0)))+IF(RIGHT(TRIM(Paramètres!K48),3)="Fin",1-$H1938,IF(LEFT(TRIM(Paramètres!K48),1)="F",1,0)))),IF(Paramètres!L48="",0,IF(Paramètres!M48="",NA(),IF(LEFT(TRIM(Paramètres!M48),1)="F",INDEX($F$1895:$F$1947,MATCH(Paramètres!L48,Paramètres!$G$5:$G$57,0)),INDEX($E$1895:$E$1947,MATCH(Paramètres!L48,Paramètres!$G$5:$G$57,0)))+IF(RIGHT(TRIM(Paramètres!M48),3)="Fin",1-$H1938,IF(LEFT(TRIM(Paramètres!M48),1)="F",1,0)))),IF(Paramètres!N48="",0,IF(Paramètres!O48="",NA(),IF(LEFT(TRIM(Paramètres!O48),1)="F",INDEX($F$1895:$F$1947,MATCH(Paramètres!N48,Paramètres!$G$5:$G$57,0)),INDEX($E$1895:$E$1947,MATCH(Paramètres!N48,Paramètres!$G$5:$G$57,0)))+IF(RIGHT(TRIM(Paramètres!O48),3)="Fin",1-$H1938,IF(LEFT(TRIM(Paramètres!O48),1)="F",1,0)))))))</f>
        <v/>
      </c>
      <c r="F1938" s="19">
        <f>IF($A1938="","",E1938+$H1938-1)</f>
        <v/>
      </c>
      <c r="G1938" s="18" t="n"/>
      <c r="H1938" s="18">
        <f>IF($A1938="","",IF(I1938&lt;&gt;"",I1938,Paramètres!B48))</f>
        <v/>
      </c>
      <c r="I1938" s="18" t="n"/>
    </row>
    <row r="1939">
      <c r="A1939" s="18">
        <f>IF(ISNUMBER(Dossiers!$D$39),Dossiers!$A$39&amp;" · "&amp;Dossiers!$B$39,"")</f>
        <v/>
      </c>
      <c r="B1939" s="18">
        <f>IF($A1939="","",Paramètres!G49)</f>
        <v/>
      </c>
      <c r="C1939" s="18">
        <f>IF($A1939="","",IF(Paramètres!H49="","",Paramètres!H49))</f>
        <v/>
      </c>
      <c r="D1939" s="18">
        <f>IF($A1939="","",IF(Paramètres!I49="","",Paramètres!I49))</f>
        <v/>
      </c>
      <c r="E1939" s="19">
        <f>IF($A1939="","",IF(Paramètres!J49&amp;Paramètres!L49&amp;Paramètres!N49="",Dossiers!$D$39,MAX(IF(Paramètres!J49="",0,IF(Paramètres!K49="",NA(),IF(LEFT(TRIM(Paramètres!K49),1)="F",INDEX($F$1895:$F$1947,MATCH(Paramètres!J49,Paramètres!$G$5:$G$57,0)),INDEX($E$1895:$E$1947,MATCH(Paramètres!J49,Paramètres!$G$5:$G$57,0)))+IF(RIGHT(TRIM(Paramètres!K49),3)="Fin",1-$H1939,IF(LEFT(TRIM(Paramètres!K49),1)="F",1,0)))),IF(Paramètres!L49="",0,IF(Paramètres!M49="",NA(),IF(LEFT(TRIM(Paramètres!M49),1)="F",INDEX($F$1895:$F$1947,MATCH(Paramètres!L49,Paramètres!$G$5:$G$57,0)),INDEX($E$1895:$E$1947,MATCH(Paramètres!L49,Paramètres!$G$5:$G$57,0)))+IF(RIGHT(TRIM(Paramètres!M49),3)="Fin",1-$H1939,IF(LEFT(TRIM(Paramètres!M49),1)="F",1,0)))),IF(Paramètres!N49="",0,IF(Paramètres!O49="",NA(),IF(LEFT(TRIM(Paramètres!O49),1)="F",INDEX($F$1895:$F$1947,MATCH(Paramètres!N49,Paramètres!$G$5:$G$57,0)),INDEX($E$1895:$E$1947,MATCH(Paramètres!N49,Paramètres!$G$5:$G$57,0)))+IF(RIGHT(TRIM(Paramètres!O49),3)="Fin",1-$H1939,IF(LEFT(TRIM(Paramètres!O49),1)="F",1,0)))))))</f>
        <v/>
      </c>
      <c r="F1939" s="19">
        <f>IF($A1939="","",E1939+$H1939-1)</f>
        <v/>
      </c>
      <c r="G1939" s="18" t="n"/>
      <c r="H1939" s="18">
        <f>IF($A1939="","",IF(I1939&lt;&gt;"",I1939,Paramètres!B49))</f>
        <v/>
      </c>
      <c r="I1939" s="18" t="n"/>
    </row>
    <row r="1940">
      <c r="A1940" s="18">
        <f>IF(ISNUMBER(Dossiers!$D$39),Dossiers!$A$39&amp;" · "&amp;Dossiers!$B$39,"")</f>
        <v/>
      </c>
      <c r="B1940" s="18">
        <f>IF($A1940="","",Paramètres!G50)</f>
        <v/>
      </c>
      <c r="C1940" s="18">
        <f>IF($A1940="","",IF(Paramètres!H50="","",Paramètres!H50))</f>
        <v/>
      </c>
      <c r="D1940" s="18">
        <f>IF($A1940="","",IF(Paramètres!I50="","",Paramètres!I50))</f>
        <v/>
      </c>
      <c r="E1940" s="19">
        <f>IF($A1940="","",IF(Paramètres!J50&amp;Paramètres!L50&amp;Paramètres!N50="",Dossiers!$D$39,MAX(IF(Paramètres!J50="",0,IF(Paramètres!K50="",NA(),IF(LEFT(TRIM(Paramètres!K50),1)="F",INDEX($F$1895:$F$1947,MATCH(Paramètres!J50,Paramètres!$G$5:$G$57,0)),INDEX($E$1895:$E$1947,MATCH(Paramètres!J50,Paramètres!$G$5:$G$57,0)))+IF(RIGHT(TRIM(Paramètres!K50),3)="Fin",1-$H1940,IF(LEFT(TRIM(Paramètres!K50),1)="F",1,0)))),IF(Paramètres!L50="",0,IF(Paramètres!M50="",NA(),IF(LEFT(TRIM(Paramètres!M50),1)="F",INDEX($F$1895:$F$1947,MATCH(Paramètres!L50,Paramètres!$G$5:$G$57,0)),INDEX($E$1895:$E$1947,MATCH(Paramètres!L50,Paramètres!$G$5:$G$57,0)))+IF(RIGHT(TRIM(Paramètres!M50),3)="Fin",1-$H1940,IF(LEFT(TRIM(Paramètres!M50),1)="F",1,0)))),IF(Paramètres!N50="",0,IF(Paramètres!O50="",NA(),IF(LEFT(TRIM(Paramètres!O50),1)="F",INDEX($F$1895:$F$1947,MATCH(Paramètres!N50,Paramètres!$G$5:$G$57,0)),INDEX($E$1895:$E$1947,MATCH(Paramètres!N50,Paramètres!$G$5:$G$57,0)))+IF(RIGHT(TRIM(Paramètres!O50),3)="Fin",1-$H1940,IF(LEFT(TRIM(Paramètres!O50),1)="F",1,0)))))))</f>
        <v/>
      </c>
      <c r="F1940" s="19">
        <f>IF($A1940="","",E1940+$H1940-1)</f>
        <v/>
      </c>
      <c r="G1940" s="18" t="n"/>
      <c r="H1940" s="18">
        <f>IF($A1940="","",IF(I1940&lt;&gt;"",I1940,Paramètres!B50))</f>
        <v/>
      </c>
      <c r="I1940" s="18" t="n"/>
    </row>
    <row r="1941">
      <c r="A1941" s="18">
        <f>IF(ISNUMBER(Dossiers!$D$39),Dossiers!$A$39&amp;" · "&amp;Dossiers!$B$39,"")</f>
        <v/>
      </c>
      <c r="B1941" s="18">
        <f>IF($A1941="","",Paramètres!G51)</f>
        <v/>
      </c>
      <c r="C1941" s="18">
        <f>IF($A1941="","",IF(Paramètres!H51="","",Paramètres!H51))</f>
        <v/>
      </c>
      <c r="D1941" s="18">
        <f>IF($A1941="","",IF(Paramètres!I51="","",Paramètres!I51))</f>
        <v/>
      </c>
      <c r="E1941" s="19">
        <f>IF($A1941="","",IF(Paramètres!J51&amp;Paramètres!L51&amp;Paramètres!N51="",Dossiers!$D$39,MAX(IF(Paramètres!J51="",0,IF(Paramètres!K51="",NA(),IF(LEFT(TRIM(Paramètres!K51),1)="F",INDEX($F$1895:$F$1947,MATCH(Paramètres!J51,Paramètres!$G$5:$G$57,0)),INDEX($E$1895:$E$1947,MATCH(Paramètres!J51,Paramètres!$G$5:$G$57,0)))+IF(RIGHT(TRIM(Paramètres!K51),3)="Fin",1-$H1941,IF(LEFT(TRIM(Paramètres!K51),1)="F",1,0)))),IF(Paramètres!L51="",0,IF(Paramètres!M51="",NA(),IF(LEFT(TRIM(Paramètres!M51),1)="F",INDEX($F$1895:$F$1947,MATCH(Paramètres!L51,Paramètres!$G$5:$G$57,0)),INDEX($E$1895:$E$1947,MATCH(Paramètres!L51,Paramètres!$G$5:$G$57,0)))+IF(RIGHT(TRIM(Paramètres!M51),3)="Fin",1-$H1941,IF(LEFT(TRIM(Paramètres!M51),1)="F",1,0)))),IF(Paramètres!N51="",0,IF(Paramètres!O51="",NA(),IF(LEFT(TRIM(Paramètres!O51),1)="F",INDEX($F$1895:$F$1947,MATCH(Paramètres!N51,Paramètres!$G$5:$G$57,0)),INDEX($E$1895:$E$1947,MATCH(Paramètres!N51,Paramètres!$G$5:$G$57,0)))+IF(RIGHT(TRIM(Paramètres!O51),3)="Fin",1-$H1941,IF(LEFT(TRIM(Paramètres!O51),1)="F",1,0)))))))</f>
        <v/>
      </c>
      <c r="F1941" s="19">
        <f>IF($A1941="","",E1941+$H1941-1)</f>
        <v/>
      </c>
      <c r="G1941" s="18" t="n"/>
      <c r="H1941" s="18">
        <f>IF($A1941="","",IF(I1941&lt;&gt;"",I1941,Paramètres!B51))</f>
        <v/>
      </c>
      <c r="I1941" s="18" t="n"/>
    </row>
    <row r="1942">
      <c r="A1942" s="18">
        <f>IF(ISNUMBER(Dossiers!$D$39),Dossiers!$A$39&amp;" · "&amp;Dossiers!$B$39,"")</f>
        <v/>
      </c>
      <c r="B1942" s="18">
        <f>IF($A1942="","",Paramètres!G52)</f>
        <v/>
      </c>
      <c r="C1942" s="18">
        <f>IF($A1942="","",IF(Paramètres!H52="","",Paramètres!H52))</f>
        <v/>
      </c>
      <c r="D1942" s="18">
        <f>IF($A1942="","",IF(Paramètres!I52="","",Paramètres!I52))</f>
        <v/>
      </c>
      <c r="E1942" s="19">
        <f>IF($A1942="","",IF(Paramètres!J52&amp;Paramètres!L52&amp;Paramètres!N52="",Dossiers!$D$39,MAX(IF(Paramètres!J52="",0,IF(Paramètres!K52="",NA(),IF(LEFT(TRIM(Paramètres!K52),1)="F",INDEX($F$1895:$F$1947,MATCH(Paramètres!J52,Paramètres!$G$5:$G$57,0)),INDEX($E$1895:$E$1947,MATCH(Paramètres!J52,Paramètres!$G$5:$G$57,0)))+IF(RIGHT(TRIM(Paramètres!K52),3)="Fin",1-$H1942,IF(LEFT(TRIM(Paramètres!K52),1)="F",1,0)))),IF(Paramètres!L52="",0,IF(Paramètres!M52="",NA(),IF(LEFT(TRIM(Paramètres!M52),1)="F",INDEX($F$1895:$F$1947,MATCH(Paramètres!L52,Paramètres!$G$5:$G$57,0)),INDEX($E$1895:$E$1947,MATCH(Paramètres!L52,Paramètres!$G$5:$G$57,0)))+IF(RIGHT(TRIM(Paramètres!M52),3)="Fin",1-$H1942,IF(LEFT(TRIM(Paramètres!M52),1)="F",1,0)))),IF(Paramètres!N52="",0,IF(Paramètres!O52="",NA(),IF(LEFT(TRIM(Paramètres!O52),1)="F",INDEX($F$1895:$F$1947,MATCH(Paramètres!N52,Paramètres!$G$5:$G$57,0)),INDEX($E$1895:$E$1947,MATCH(Paramètres!N52,Paramètres!$G$5:$G$57,0)))+IF(RIGHT(TRIM(Paramètres!O52),3)="Fin",1-$H1942,IF(LEFT(TRIM(Paramètres!O52),1)="F",1,0)))))))</f>
        <v/>
      </c>
      <c r="F1942" s="19">
        <f>IF($A1942="","",E1942+$H1942-1)</f>
        <v/>
      </c>
      <c r="G1942" s="18" t="n"/>
      <c r="H1942" s="18">
        <f>IF($A1942="","",IF(I1942&lt;&gt;"",I1942,Paramètres!B52))</f>
        <v/>
      </c>
      <c r="I1942" s="18" t="n"/>
    </row>
    <row r="1943">
      <c r="A1943" s="18">
        <f>IF(ISNUMBER(Dossiers!$D$39),Dossiers!$A$39&amp;" · "&amp;Dossiers!$B$39,"")</f>
        <v/>
      </c>
      <c r="B1943" s="18">
        <f>IF($A1943="","",Paramètres!G53)</f>
        <v/>
      </c>
      <c r="C1943" s="18">
        <f>IF($A1943="","",IF(Paramètres!H53="","",Paramètres!H53))</f>
        <v/>
      </c>
      <c r="D1943" s="18">
        <f>IF($A1943="","",IF(Paramètres!I53="","",Paramètres!I53))</f>
        <v/>
      </c>
      <c r="E1943" s="19">
        <f>IF($A1943="","",IF(Paramètres!J53&amp;Paramètres!L53&amp;Paramètres!N53="",Dossiers!$D$39,MAX(IF(Paramètres!J53="",0,IF(Paramètres!K53="",NA(),IF(LEFT(TRIM(Paramètres!K53),1)="F",INDEX($F$1895:$F$1947,MATCH(Paramètres!J53,Paramètres!$G$5:$G$57,0)),INDEX($E$1895:$E$1947,MATCH(Paramètres!J53,Paramètres!$G$5:$G$57,0)))+IF(RIGHT(TRIM(Paramètres!K53),3)="Fin",1-$H1943,IF(LEFT(TRIM(Paramètres!K53),1)="F",1,0)))),IF(Paramètres!L53="",0,IF(Paramètres!M53="",NA(),IF(LEFT(TRIM(Paramètres!M53),1)="F",INDEX($F$1895:$F$1947,MATCH(Paramètres!L53,Paramètres!$G$5:$G$57,0)),INDEX($E$1895:$E$1947,MATCH(Paramètres!L53,Paramètres!$G$5:$G$57,0)))+IF(RIGHT(TRIM(Paramètres!M53),3)="Fin",1-$H1943,IF(LEFT(TRIM(Paramètres!M53),1)="F",1,0)))),IF(Paramètres!N53="",0,IF(Paramètres!O53="",NA(),IF(LEFT(TRIM(Paramètres!O53),1)="F",INDEX($F$1895:$F$1947,MATCH(Paramètres!N53,Paramètres!$G$5:$G$57,0)),INDEX($E$1895:$E$1947,MATCH(Paramètres!N53,Paramètres!$G$5:$G$57,0)))+IF(RIGHT(TRIM(Paramètres!O53),3)="Fin",1-$H1943,IF(LEFT(TRIM(Paramètres!O53),1)="F",1,0)))))))</f>
        <v/>
      </c>
      <c r="F1943" s="19">
        <f>IF($A1943="","",E1943+$H1943-1)</f>
        <v/>
      </c>
      <c r="G1943" s="18" t="n"/>
      <c r="H1943" s="18">
        <f>IF($A1943="","",IF(I1943&lt;&gt;"",I1943,Paramètres!B53))</f>
        <v/>
      </c>
      <c r="I1943" s="18" t="n"/>
    </row>
    <row r="1944">
      <c r="A1944" s="18">
        <f>IF(ISNUMBER(Dossiers!$D$39),Dossiers!$A$39&amp;" · "&amp;Dossiers!$B$39,"")</f>
        <v/>
      </c>
      <c r="B1944" s="18">
        <f>IF($A1944="","",Paramètres!G54)</f>
        <v/>
      </c>
      <c r="C1944" s="18">
        <f>IF($A1944="","",IF(Paramètres!H54="","",Paramètres!H54))</f>
        <v/>
      </c>
      <c r="D1944" s="18">
        <f>IF($A1944="","",IF(Paramètres!I54="","",Paramètres!I54))</f>
        <v/>
      </c>
      <c r="E1944" s="19">
        <f>IF($A1944="","",IF(Paramètres!J54&amp;Paramètres!L54&amp;Paramètres!N54="",Dossiers!$D$39,MAX(IF(Paramètres!J54="",0,IF(Paramètres!K54="",NA(),IF(LEFT(TRIM(Paramètres!K54),1)="F",INDEX($F$1895:$F$1947,MATCH(Paramètres!J54,Paramètres!$G$5:$G$57,0)),INDEX($E$1895:$E$1947,MATCH(Paramètres!J54,Paramètres!$G$5:$G$57,0)))+IF(RIGHT(TRIM(Paramètres!K54),3)="Fin",1-$H1944,IF(LEFT(TRIM(Paramètres!K54),1)="F",1,0)))),IF(Paramètres!L54="",0,IF(Paramètres!M54="",NA(),IF(LEFT(TRIM(Paramètres!M54),1)="F",INDEX($F$1895:$F$1947,MATCH(Paramètres!L54,Paramètres!$G$5:$G$57,0)),INDEX($E$1895:$E$1947,MATCH(Paramètres!L54,Paramètres!$G$5:$G$57,0)))+IF(RIGHT(TRIM(Paramètres!M54),3)="Fin",1-$H1944,IF(LEFT(TRIM(Paramètres!M54),1)="F",1,0)))),IF(Paramètres!N54="",0,IF(Paramètres!O54="",NA(),IF(LEFT(TRIM(Paramètres!O54),1)="F",INDEX($F$1895:$F$1947,MATCH(Paramètres!N54,Paramètres!$G$5:$G$57,0)),INDEX($E$1895:$E$1947,MATCH(Paramètres!N54,Paramètres!$G$5:$G$57,0)))+IF(RIGHT(TRIM(Paramètres!O54),3)="Fin",1-$H1944,IF(LEFT(TRIM(Paramètres!O54),1)="F",1,0)))))))</f>
        <v/>
      </c>
      <c r="F1944" s="19">
        <f>IF($A1944="","",E1944+$H1944-1)</f>
        <v/>
      </c>
      <c r="G1944" s="18" t="n"/>
      <c r="H1944" s="18">
        <f>IF($A1944="","",IF(I1944&lt;&gt;"",I1944,Paramètres!B54))</f>
        <v/>
      </c>
      <c r="I1944" s="18" t="n"/>
    </row>
    <row r="1945">
      <c r="A1945" s="18">
        <f>IF(ISNUMBER(Dossiers!$D$39),Dossiers!$A$39&amp;" · "&amp;Dossiers!$B$39,"")</f>
        <v/>
      </c>
      <c r="B1945" s="18">
        <f>IF($A1945="","",Paramètres!G55)</f>
        <v/>
      </c>
      <c r="C1945" s="18">
        <f>IF($A1945="","",IF(Paramètres!H55="","",Paramètres!H55))</f>
        <v/>
      </c>
      <c r="D1945" s="18">
        <f>IF($A1945="","",IF(Paramètres!I55="","",Paramètres!I55))</f>
        <v/>
      </c>
      <c r="E1945" s="19">
        <f>IF($A1945="","",IF(Paramètres!J55&amp;Paramètres!L55&amp;Paramètres!N55="",Dossiers!$D$39,MAX(IF(Paramètres!J55="",0,IF(Paramètres!K55="",NA(),IF(LEFT(TRIM(Paramètres!K55),1)="F",INDEX($F$1895:$F$1947,MATCH(Paramètres!J55,Paramètres!$G$5:$G$57,0)),INDEX($E$1895:$E$1947,MATCH(Paramètres!J55,Paramètres!$G$5:$G$57,0)))+IF(RIGHT(TRIM(Paramètres!K55),3)="Fin",1-$H1945,IF(LEFT(TRIM(Paramètres!K55),1)="F",1,0)))),IF(Paramètres!L55="",0,IF(Paramètres!M55="",NA(),IF(LEFT(TRIM(Paramètres!M55),1)="F",INDEX($F$1895:$F$1947,MATCH(Paramètres!L55,Paramètres!$G$5:$G$57,0)),INDEX($E$1895:$E$1947,MATCH(Paramètres!L55,Paramètres!$G$5:$G$57,0)))+IF(RIGHT(TRIM(Paramètres!M55),3)="Fin",1-$H1945,IF(LEFT(TRIM(Paramètres!M55),1)="F",1,0)))),IF(Paramètres!N55="",0,IF(Paramètres!O55="",NA(),IF(LEFT(TRIM(Paramètres!O55),1)="F",INDEX($F$1895:$F$1947,MATCH(Paramètres!N55,Paramètres!$G$5:$G$57,0)),INDEX($E$1895:$E$1947,MATCH(Paramètres!N55,Paramètres!$G$5:$G$57,0)))+IF(RIGHT(TRIM(Paramètres!O55),3)="Fin",1-$H1945,IF(LEFT(TRIM(Paramètres!O55),1)="F",1,0)))))))</f>
        <v/>
      </c>
      <c r="F1945" s="19">
        <f>IF($A1945="","",E1945+$H1945-1)</f>
        <v/>
      </c>
      <c r="G1945" s="18" t="n"/>
      <c r="H1945" s="18">
        <f>IF($A1945="","",IF(I1945&lt;&gt;"",I1945,Paramètres!B55))</f>
        <v/>
      </c>
      <c r="I1945" s="18" t="n"/>
    </row>
    <row r="1946">
      <c r="A1946" s="18">
        <f>IF(ISNUMBER(Dossiers!$D$39),Dossiers!$A$39&amp;" · "&amp;Dossiers!$B$39,"")</f>
        <v/>
      </c>
      <c r="B1946" s="18">
        <f>IF($A1946="","",Paramètres!G56)</f>
        <v/>
      </c>
      <c r="C1946" s="18">
        <f>IF($A1946="","",IF(Paramètres!H56="","",Paramètres!H56))</f>
        <v/>
      </c>
      <c r="D1946" s="18">
        <f>IF($A1946="","",IF(Paramètres!I56="","",Paramètres!I56))</f>
        <v/>
      </c>
      <c r="E1946" s="19">
        <f>IF($A1946="","",MIN(E1947:E1947))</f>
        <v/>
      </c>
      <c r="F1946" s="19">
        <f>IF($A1946="","",MAX(F1947:F1947))</f>
        <v/>
      </c>
      <c r="G1946" s="18" t="n"/>
      <c r="H1946" s="18">
        <f>IF($A1946="","",F1946-E1946+1)</f>
        <v/>
      </c>
      <c r="I1946" s="18" t="n"/>
    </row>
    <row r="1947">
      <c r="A1947" s="18">
        <f>IF(ISNUMBER(Dossiers!$D$39),Dossiers!$A$39&amp;" · "&amp;Dossiers!$B$39,"")</f>
        <v/>
      </c>
      <c r="B1947" s="18">
        <f>IF($A1947="","",Paramètres!G57)</f>
        <v/>
      </c>
      <c r="C1947" s="18">
        <f>IF($A1947="","",IF(Paramètres!H57="","",Paramètres!H57))</f>
        <v/>
      </c>
      <c r="D1947" s="18">
        <f>IF($A1947="","",IF(Paramètres!I57="","",Paramètres!I57))</f>
        <v/>
      </c>
      <c r="E1947" s="19">
        <f>IF($A1947="","",IF(Paramètres!J57&amp;Paramètres!L57&amp;Paramètres!N57="",Dossiers!$D$39,MAX(IF(Paramètres!J57="",0,IF(Paramètres!K57="",NA(),IF(LEFT(TRIM(Paramètres!K57),1)="F",INDEX($F$1895:$F$1947,MATCH(Paramètres!J57,Paramètres!$G$5:$G$57,0)),INDEX($E$1895:$E$1947,MATCH(Paramètres!J57,Paramètres!$G$5:$G$57,0)))+IF(RIGHT(TRIM(Paramètres!K57),3)="Fin",1-$H1947,IF(LEFT(TRIM(Paramètres!K57),1)="F",1,0)))),IF(Paramètres!L57="",0,IF(Paramètres!M57="",NA(),IF(LEFT(TRIM(Paramètres!M57),1)="F",INDEX($F$1895:$F$1947,MATCH(Paramètres!L57,Paramètres!$G$5:$G$57,0)),INDEX($E$1895:$E$1947,MATCH(Paramètres!L57,Paramètres!$G$5:$G$57,0)))+IF(RIGHT(TRIM(Paramètres!M57),3)="Fin",1-$H1947,IF(LEFT(TRIM(Paramètres!M57),1)="F",1,0)))),IF(Paramètres!N57="",0,IF(Paramètres!O57="",NA(),IF(LEFT(TRIM(Paramètres!O57),1)="F",INDEX($F$1895:$F$1947,MATCH(Paramètres!N57,Paramètres!$G$5:$G$57,0)),INDEX($E$1895:$E$1947,MATCH(Paramètres!N57,Paramètres!$G$5:$G$57,0)))+IF(RIGHT(TRIM(Paramètres!O57),3)="Fin",1-$H1947,IF(LEFT(TRIM(Paramètres!O57),1)="F",1,0)))))))</f>
        <v/>
      </c>
      <c r="F1947" s="19">
        <f>IF($A1947="","",E1947+$H1947-1)</f>
        <v/>
      </c>
      <c r="G1947" s="18" t="n"/>
      <c r="H1947" s="18">
        <f>IF($A1947="","",IF(I1947&lt;&gt;"",I1947,Paramètres!B57))</f>
        <v/>
      </c>
      <c r="I1947" s="18" t="n"/>
    </row>
    <row r="1948">
      <c r="A1948" s="16">
        <f>IF(ISNUMBER(Dossiers!$D$40),Dossiers!$E$40,"")</f>
        <v/>
      </c>
      <c r="B1948" s="16">
        <f>IF($A1948="","","Identifiant")</f>
        <v/>
      </c>
      <c r="C1948" s="16">
        <f>IF($A1948="","","Macro Etape")</f>
        <v/>
      </c>
      <c r="D1948" s="16">
        <f>IF($A1948="","","Etape")</f>
        <v/>
      </c>
      <c r="E1948" s="17">
        <f>IF($A1948="","","Début le")</f>
        <v/>
      </c>
      <c r="F1948" s="17">
        <f>IF($A1948="","","Fin prévue le")</f>
        <v/>
      </c>
      <c r="G1948" s="16">
        <f>IF($A1948="","","Statut")</f>
        <v/>
      </c>
      <c r="H1948" s="16">
        <f>IF($A1948="","","Durée (jours)")</f>
        <v/>
      </c>
      <c r="I1948" s="16">
        <f>IF($A1948="","","Durée particulière")</f>
        <v/>
      </c>
      <c r="J1948" s="10">
        <f>IF($A1948="","",HYPERLINK("#'Tableau de bord'!A1","↑ Tableau de bord"))</f>
        <v/>
      </c>
    </row>
    <row r="1949">
      <c r="A1949" s="18">
        <f>IF(ISNUMBER(Dossiers!$D$40),Dossiers!$A$40&amp;" · "&amp;Dossiers!$B$40,"")</f>
        <v/>
      </c>
      <c r="B1949" s="18">
        <f>IF($A1949="","",Paramètres!G5)</f>
        <v/>
      </c>
      <c r="C1949" s="18">
        <f>IF($A1949="","",IF(Paramètres!H5="","",Paramètres!H5))</f>
        <v/>
      </c>
      <c r="D1949" s="18">
        <f>IF($A1949="","",IF(Paramètres!I5="","",Paramètres!I5))</f>
        <v/>
      </c>
      <c r="E1949" s="19">
        <f>IF($A1949="","",MIN(E1950:E1953))</f>
        <v/>
      </c>
      <c r="F1949" s="19">
        <f>IF($A1949="","",MAX(F1950:F1953))</f>
        <v/>
      </c>
      <c r="G1949" s="18" t="n"/>
      <c r="H1949" s="18">
        <f>IF($A1949="","",F1949-E1949+1)</f>
        <v/>
      </c>
      <c r="I1949" s="18" t="n"/>
    </row>
    <row r="1950">
      <c r="A1950" s="18">
        <f>IF(ISNUMBER(Dossiers!$D$40),Dossiers!$A$40&amp;" · "&amp;Dossiers!$B$40,"")</f>
        <v/>
      </c>
      <c r="B1950" s="18">
        <f>IF($A1950="","",Paramètres!G6)</f>
        <v/>
      </c>
      <c r="C1950" s="18">
        <f>IF($A1950="","",IF(Paramètres!H6="","",Paramètres!H6))</f>
        <v/>
      </c>
      <c r="D1950" s="18">
        <f>IF($A1950="","",IF(Paramètres!I6="","",Paramètres!I6))</f>
        <v/>
      </c>
      <c r="E1950" s="19">
        <f>IF($A1950="","",IF(Paramètres!J6&amp;Paramètres!L6&amp;Paramètres!N6="",Dossiers!$D$40,MAX(IF(Paramètres!J6="",0,IF(Paramètres!K6="",NA(),IF(LEFT(TRIM(Paramètres!K6),1)="F",INDEX($F$1949:$F$2001,MATCH(Paramètres!J6,Paramètres!$G$5:$G$57,0)),INDEX($E$1949:$E$2001,MATCH(Paramètres!J6,Paramètres!$G$5:$G$57,0)))+IF(RIGHT(TRIM(Paramètres!K6),3)="Fin",1-$H1950,IF(LEFT(TRIM(Paramètres!K6),1)="F",1,0)))),IF(Paramètres!L6="",0,IF(Paramètres!M6="",NA(),IF(LEFT(TRIM(Paramètres!M6),1)="F",INDEX($F$1949:$F$2001,MATCH(Paramètres!L6,Paramètres!$G$5:$G$57,0)),INDEX($E$1949:$E$2001,MATCH(Paramètres!L6,Paramètres!$G$5:$G$57,0)))+IF(RIGHT(TRIM(Paramètres!M6),3)="Fin",1-$H1950,IF(LEFT(TRIM(Paramètres!M6),1)="F",1,0)))),IF(Paramètres!N6="",0,IF(Paramètres!O6="",NA(),IF(LEFT(TRIM(Paramètres!O6),1)="F",INDEX($F$1949:$F$2001,MATCH(Paramètres!N6,Paramètres!$G$5:$G$57,0)),INDEX($E$1949:$E$2001,MATCH(Paramètres!N6,Paramètres!$G$5:$G$57,0)))+IF(RIGHT(TRIM(Paramètres!O6),3)="Fin",1-$H1950,IF(LEFT(TRIM(Paramètres!O6),1)="F",1,0)))))))</f>
        <v/>
      </c>
      <c r="F1950" s="19">
        <f>IF($A1950="","",E1950+$H1950-1)</f>
        <v/>
      </c>
      <c r="G1950" s="18" t="n"/>
      <c r="H1950" s="18">
        <f>IF($A1950="","",IF(I1950&lt;&gt;"",I1950,Paramètres!B6))</f>
        <v/>
      </c>
      <c r="I1950" s="18" t="n"/>
    </row>
    <row r="1951">
      <c r="A1951" s="18">
        <f>IF(ISNUMBER(Dossiers!$D$40),Dossiers!$A$40&amp;" · "&amp;Dossiers!$B$40,"")</f>
        <v/>
      </c>
      <c r="B1951" s="18">
        <f>IF($A1951="","",Paramètres!G7)</f>
        <v/>
      </c>
      <c r="C1951" s="18">
        <f>IF($A1951="","",IF(Paramètres!H7="","",Paramètres!H7))</f>
        <v/>
      </c>
      <c r="D1951" s="18">
        <f>IF($A1951="","",IF(Paramètres!I7="","",Paramètres!I7))</f>
        <v/>
      </c>
      <c r="E1951" s="19">
        <f>IF($A1951="","",IF(Paramètres!J7&amp;Paramètres!L7&amp;Paramètres!N7="",Dossiers!$D$40,MAX(IF(Paramètres!J7="",0,IF(Paramètres!K7="",NA(),IF(LEFT(TRIM(Paramètres!K7),1)="F",INDEX($F$1949:$F$2001,MATCH(Paramètres!J7,Paramètres!$G$5:$G$57,0)),INDEX($E$1949:$E$2001,MATCH(Paramètres!J7,Paramètres!$G$5:$G$57,0)))+IF(RIGHT(TRIM(Paramètres!K7),3)="Fin",1-$H1951,IF(LEFT(TRIM(Paramètres!K7),1)="F",1,0)))),IF(Paramètres!L7="",0,IF(Paramètres!M7="",NA(),IF(LEFT(TRIM(Paramètres!M7),1)="F",INDEX($F$1949:$F$2001,MATCH(Paramètres!L7,Paramètres!$G$5:$G$57,0)),INDEX($E$1949:$E$2001,MATCH(Paramètres!L7,Paramètres!$G$5:$G$57,0)))+IF(RIGHT(TRIM(Paramètres!M7),3)="Fin",1-$H1951,IF(LEFT(TRIM(Paramètres!M7),1)="F",1,0)))),IF(Paramètres!N7="",0,IF(Paramètres!O7="",NA(),IF(LEFT(TRIM(Paramètres!O7),1)="F",INDEX($F$1949:$F$2001,MATCH(Paramètres!N7,Paramètres!$G$5:$G$57,0)),INDEX($E$1949:$E$2001,MATCH(Paramètres!N7,Paramètres!$G$5:$G$57,0)))+IF(RIGHT(TRIM(Paramètres!O7),3)="Fin",1-$H1951,IF(LEFT(TRIM(Paramètres!O7),1)="F",1,0)))))))</f>
        <v/>
      </c>
      <c r="F1951" s="19">
        <f>IF($A1951="","",E1951+$H1951-1)</f>
        <v/>
      </c>
      <c r="G1951" s="18" t="n"/>
      <c r="H1951" s="18">
        <f>IF($A1951="","",IF(I1951&lt;&gt;"",I1951,Paramètres!B7))</f>
        <v/>
      </c>
      <c r="I1951" s="18" t="n"/>
    </row>
    <row r="1952">
      <c r="A1952" s="18">
        <f>IF(ISNUMBER(Dossiers!$D$40),Dossiers!$A$40&amp;" · "&amp;Dossiers!$B$40,"")</f>
        <v/>
      </c>
      <c r="B1952" s="18">
        <f>IF($A1952="","",Paramètres!G8)</f>
        <v/>
      </c>
      <c r="C1952" s="18">
        <f>IF($A1952="","",IF(Paramètres!H8="","",Paramètres!H8))</f>
        <v/>
      </c>
      <c r="D1952" s="18">
        <f>IF($A1952="","",IF(Paramètres!I8="","",Paramètres!I8))</f>
        <v/>
      </c>
      <c r="E1952" s="19">
        <f>IF($A1952="","",IF(Paramètres!J8&amp;Paramètres!L8&amp;Paramètres!N8="",Dossiers!$D$40,MAX(IF(Paramètres!J8="",0,IF(Paramètres!K8="",NA(),IF(LEFT(TRIM(Paramètres!K8),1)="F",INDEX($F$1949:$F$2001,MATCH(Paramètres!J8,Paramètres!$G$5:$G$57,0)),INDEX($E$1949:$E$2001,MATCH(Paramètres!J8,Paramètres!$G$5:$G$57,0)))+IF(RIGHT(TRIM(Paramètres!K8),3)="Fin",1-$H1952,IF(LEFT(TRIM(Paramètres!K8),1)="F",1,0)))),IF(Paramètres!L8="",0,IF(Paramètres!M8="",NA(),IF(LEFT(TRIM(Paramètres!M8),1)="F",INDEX($F$1949:$F$2001,MATCH(Paramètres!L8,Paramètres!$G$5:$G$57,0)),INDEX($E$1949:$E$2001,MATCH(Paramètres!L8,Paramètres!$G$5:$G$57,0)))+IF(RIGHT(TRIM(Paramètres!M8),3)="Fin",1-$H1952,IF(LEFT(TRIM(Paramètres!M8),1)="F",1,0)))),IF(Paramètres!N8="",0,IF(Paramètres!O8="",NA(),IF(LEFT(TRIM(Paramètres!O8),1)="F",INDEX($F$1949:$F$2001,MATCH(Paramètres!N8,Paramètres!$G$5:$G$57,0)),INDEX($E$1949:$E$2001,MATCH(Paramètres!N8,Paramètres!$G$5:$G$57,0)))+IF(RIGHT(TRIM(Paramètres!O8),3)="Fin",1-$H1952,IF(LEFT(TRIM(Paramètres!O8),1)="F",1,0)))))))</f>
        <v/>
      </c>
      <c r="F1952" s="19">
        <f>IF($A1952="","",E1952+$H1952-1)</f>
        <v/>
      </c>
      <c r="G1952" s="18" t="n"/>
      <c r="H1952" s="18">
        <f>IF($A1952="","",IF(I1952&lt;&gt;"",I1952,Paramètres!B8))</f>
        <v/>
      </c>
      <c r="I1952" s="18" t="n"/>
    </row>
    <row r="1953">
      <c r="A1953" s="18">
        <f>IF(ISNUMBER(Dossiers!$D$40),Dossiers!$A$40&amp;" · "&amp;Dossiers!$B$40,"")</f>
        <v/>
      </c>
      <c r="B1953" s="18">
        <f>IF($A1953="","",Paramètres!G9)</f>
        <v/>
      </c>
      <c r="C1953" s="18">
        <f>IF($A1953="","",IF(Paramètres!H9="","",Paramètres!H9))</f>
        <v/>
      </c>
      <c r="D1953" s="18">
        <f>IF($A1953="","",IF(Paramètres!I9="","",Paramètres!I9))</f>
        <v/>
      </c>
      <c r="E1953" s="19">
        <f>IF($A1953="","",IF(Paramètres!J9&amp;Paramètres!L9&amp;Paramètres!N9="",Dossiers!$D$40,MAX(IF(Paramètres!J9="",0,IF(Paramètres!K9="",NA(),IF(LEFT(TRIM(Paramètres!K9),1)="F",INDEX($F$1949:$F$2001,MATCH(Paramètres!J9,Paramètres!$G$5:$G$57,0)),INDEX($E$1949:$E$2001,MATCH(Paramètres!J9,Paramètres!$G$5:$G$57,0)))+IF(RIGHT(TRIM(Paramètres!K9),3)="Fin",1-$H1953,IF(LEFT(TRIM(Paramètres!K9),1)="F",1,0)))),IF(Paramètres!L9="",0,IF(Paramètres!M9="",NA(),IF(LEFT(TRIM(Paramètres!M9),1)="F",INDEX($F$1949:$F$2001,MATCH(Paramètres!L9,Paramètres!$G$5:$G$57,0)),INDEX($E$1949:$E$2001,MATCH(Paramètres!L9,Paramètres!$G$5:$G$57,0)))+IF(RIGHT(TRIM(Paramètres!M9),3)="Fin",1-$H1953,IF(LEFT(TRIM(Paramètres!M9),1)="F",1,0)))),IF(Paramètres!N9="",0,IF(Paramètres!O9="",NA(),IF(LEFT(TRIM(Paramètres!O9),1)="F",INDEX($F$1949:$F$2001,MATCH(Paramètres!N9,Paramètres!$G$5:$G$57,0)),INDEX($E$1949:$E$2001,MATCH(Paramètres!N9,Paramètres!$G$5:$G$57,0)))+IF(RIGHT(TRIM(Paramètres!O9),3)="Fin",1-$H1953,IF(LEFT(TRIM(Paramètres!O9),1)="F",1,0)))))))</f>
        <v/>
      </c>
      <c r="F1953" s="19">
        <f>IF($A1953="","",E1953+$H1953-1)</f>
        <v/>
      </c>
      <c r="G1953" s="18" t="n"/>
      <c r="H1953" s="18">
        <f>IF($A1953="","",IF(I1953&lt;&gt;"",I1953,Paramètres!B9))</f>
        <v/>
      </c>
      <c r="I1953" s="18" t="n"/>
    </row>
    <row r="1954">
      <c r="A1954" s="18">
        <f>IF(ISNUMBER(Dossiers!$D$40),Dossiers!$A$40&amp;" · "&amp;Dossiers!$B$40,"")</f>
        <v/>
      </c>
      <c r="B1954" s="18">
        <f>IF($A1954="","",Paramètres!G10)</f>
        <v/>
      </c>
      <c r="C1954" s="18">
        <f>IF($A1954="","",IF(Paramètres!H10="","",Paramètres!H10))</f>
        <v/>
      </c>
      <c r="D1954" s="18">
        <f>IF($A1954="","",IF(Paramètres!I10="","",Paramètres!I10))</f>
        <v/>
      </c>
      <c r="E1954" s="19">
        <f>IF($A1954="","",MIN(E1955:E1958))</f>
        <v/>
      </c>
      <c r="F1954" s="19">
        <f>IF($A1954="","",MAX(F1955:F1958))</f>
        <v/>
      </c>
      <c r="G1954" s="18" t="n"/>
      <c r="H1954" s="18">
        <f>IF($A1954="","",F1954-E1954+1)</f>
        <v/>
      </c>
      <c r="I1954" s="18" t="n"/>
    </row>
    <row r="1955">
      <c r="A1955" s="18">
        <f>IF(ISNUMBER(Dossiers!$D$40),Dossiers!$A$40&amp;" · "&amp;Dossiers!$B$40,"")</f>
        <v/>
      </c>
      <c r="B1955" s="18">
        <f>IF($A1955="","",Paramètres!G11)</f>
        <v/>
      </c>
      <c r="C1955" s="18">
        <f>IF($A1955="","",IF(Paramètres!H11="","",Paramètres!H11))</f>
        <v/>
      </c>
      <c r="D1955" s="18">
        <f>IF($A1955="","",IF(Paramètres!I11="","",Paramètres!I11))</f>
        <v/>
      </c>
      <c r="E1955" s="19">
        <f>IF($A1955="","",IF(Paramètres!J11&amp;Paramètres!L11&amp;Paramètres!N11="",Dossiers!$D$40,MAX(IF(Paramètres!J11="",0,IF(Paramètres!K11="",NA(),IF(LEFT(TRIM(Paramètres!K11),1)="F",INDEX($F$1949:$F$2001,MATCH(Paramètres!J11,Paramètres!$G$5:$G$57,0)),INDEX($E$1949:$E$2001,MATCH(Paramètres!J11,Paramètres!$G$5:$G$57,0)))+IF(RIGHT(TRIM(Paramètres!K11),3)="Fin",1-$H1955,IF(LEFT(TRIM(Paramètres!K11),1)="F",1,0)))),IF(Paramètres!L11="",0,IF(Paramètres!M11="",NA(),IF(LEFT(TRIM(Paramètres!M11),1)="F",INDEX($F$1949:$F$2001,MATCH(Paramètres!L11,Paramètres!$G$5:$G$57,0)),INDEX($E$1949:$E$2001,MATCH(Paramètres!L11,Paramètres!$G$5:$G$57,0)))+IF(RIGHT(TRIM(Paramètres!M11),3)="Fin",1-$H1955,IF(LEFT(TRIM(Paramètres!M11),1)="F",1,0)))),IF(Paramètres!N11="",0,IF(Paramètres!O11="",NA(),IF(LEFT(TRIM(Paramètres!O11),1)="F",INDEX($F$1949:$F$2001,MATCH(Paramètres!N11,Paramètres!$G$5:$G$57,0)),INDEX($E$1949:$E$2001,MATCH(Paramètres!N11,Paramètres!$G$5:$G$57,0)))+IF(RIGHT(TRIM(Paramètres!O11),3)="Fin",1-$H1955,IF(LEFT(TRIM(Paramètres!O11),1)="F",1,0)))))))</f>
        <v/>
      </c>
      <c r="F1955" s="19">
        <f>IF($A1955="","",E1955+$H1955-1)</f>
        <v/>
      </c>
      <c r="G1955" s="18" t="n"/>
      <c r="H1955" s="18">
        <f>IF($A1955="","",IF(I1955&lt;&gt;"",I1955,Paramètres!B11))</f>
        <v/>
      </c>
      <c r="I1955" s="18" t="n"/>
    </row>
    <row r="1956">
      <c r="A1956" s="18">
        <f>IF(ISNUMBER(Dossiers!$D$40),Dossiers!$A$40&amp;" · "&amp;Dossiers!$B$40,"")</f>
        <v/>
      </c>
      <c r="B1956" s="18">
        <f>IF($A1956="","",Paramètres!G12)</f>
        <v/>
      </c>
      <c r="C1956" s="18">
        <f>IF($A1956="","",IF(Paramètres!H12="","",Paramètres!H12))</f>
        <v/>
      </c>
      <c r="D1956" s="18">
        <f>IF($A1956="","",IF(Paramètres!I12="","",Paramètres!I12))</f>
        <v/>
      </c>
      <c r="E1956" s="19">
        <f>IF($A1956="","",IF(Paramètres!J12&amp;Paramètres!L12&amp;Paramètres!N12="",Dossiers!$D$40,MAX(IF(Paramètres!J12="",0,IF(Paramètres!K12="",NA(),IF(LEFT(TRIM(Paramètres!K12),1)="F",INDEX($F$1949:$F$2001,MATCH(Paramètres!J12,Paramètres!$G$5:$G$57,0)),INDEX($E$1949:$E$2001,MATCH(Paramètres!J12,Paramètres!$G$5:$G$57,0)))+IF(RIGHT(TRIM(Paramètres!K12),3)="Fin",1-$H1956,IF(LEFT(TRIM(Paramètres!K12),1)="F",1,0)))),IF(Paramètres!L12="",0,IF(Paramètres!M12="",NA(),IF(LEFT(TRIM(Paramètres!M12),1)="F",INDEX($F$1949:$F$2001,MATCH(Paramètres!L12,Paramètres!$G$5:$G$57,0)),INDEX($E$1949:$E$2001,MATCH(Paramètres!L12,Paramètres!$G$5:$G$57,0)))+IF(RIGHT(TRIM(Paramètres!M12),3)="Fin",1-$H1956,IF(LEFT(TRIM(Paramètres!M12),1)="F",1,0)))),IF(Paramètres!N12="",0,IF(Paramètres!O12="",NA(),IF(LEFT(TRIM(Paramètres!O12),1)="F",INDEX($F$1949:$F$2001,MATCH(Paramètres!N12,Paramètres!$G$5:$G$57,0)),INDEX($E$1949:$E$2001,MATCH(Paramètres!N12,Paramètres!$G$5:$G$57,0)))+IF(RIGHT(TRIM(Paramètres!O12),3)="Fin",1-$H1956,IF(LEFT(TRIM(Paramètres!O12),1)="F",1,0)))))))</f>
        <v/>
      </c>
      <c r="F1956" s="19">
        <f>IF($A1956="","",E1956+$H1956-1)</f>
        <v/>
      </c>
      <c r="G1956" s="18" t="n"/>
      <c r="H1956" s="18">
        <f>IF($A1956="","",IF(I1956&lt;&gt;"",I1956,Paramètres!B12))</f>
        <v/>
      </c>
      <c r="I1956" s="18" t="n"/>
    </row>
    <row r="1957">
      <c r="A1957" s="18">
        <f>IF(ISNUMBER(Dossiers!$D$40),Dossiers!$A$40&amp;" · "&amp;Dossiers!$B$40,"")</f>
        <v/>
      </c>
      <c r="B1957" s="18">
        <f>IF($A1957="","",Paramètres!G13)</f>
        <v/>
      </c>
      <c r="C1957" s="18">
        <f>IF($A1957="","",IF(Paramètres!H13="","",Paramètres!H13))</f>
        <v/>
      </c>
      <c r="D1957" s="18">
        <f>IF($A1957="","",IF(Paramètres!I13="","",Paramètres!I13))</f>
        <v/>
      </c>
      <c r="E1957" s="19">
        <f>IF($A1957="","",IF(Paramètres!J13&amp;Paramètres!L13&amp;Paramètres!N13="",Dossiers!$D$40,MAX(IF(Paramètres!J13="",0,IF(Paramètres!K13="",NA(),IF(LEFT(TRIM(Paramètres!K13),1)="F",INDEX($F$1949:$F$2001,MATCH(Paramètres!J13,Paramètres!$G$5:$G$57,0)),INDEX($E$1949:$E$2001,MATCH(Paramètres!J13,Paramètres!$G$5:$G$57,0)))+IF(RIGHT(TRIM(Paramètres!K13),3)="Fin",1-$H1957,IF(LEFT(TRIM(Paramètres!K13),1)="F",1,0)))),IF(Paramètres!L13="",0,IF(Paramètres!M13="",NA(),IF(LEFT(TRIM(Paramètres!M13),1)="F",INDEX($F$1949:$F$2001,MATCH(Paramètres!L13,Paramètres!$G$5:$G$57,0)),INDEX($E$1949:$E$2001,MATCH(Paramètres!L13,Paramètres!$G$5:$G$57,0)))+IF(RIGHT(TRIM(Paramètres!M13),3)="Fin",1-$H1957,IF(LEFT(TRIM(Paramètres!M13),1)="F",1,0)))),IF(Paramètres!N13="",0,IF(Paramètres!O13="",NA(),IF(LEFT(TRIM(Paramètres!O13),1)="F",INDEX($F$1949:$F$2001,MATCH(Paramètres!N13,Paramètres!$G$5:$G$57,0)),INDEX($E$1949:$E$2001,MATCH(Paramètres!N13,Paramètres!$G$5:$G$57,0)))+IF(RIGHT(TRIM(Paramètres!O13),3)="Fin",1-$H1957,IF(LEFT(TRIM(Paramètres!O13),1)="F",1,0)))))))</f>
        <v/>
      </c>
      <c r="F1957" s="19">
        <f>IF($A1957="","",E1957+$H1957-1)</f>
        <v/>
      </c>
      <c r="G1957" s="18" t="n"/>
      <c r="H1957" s="18">
        <f>IF($A1957="","",IF(I1957&lt;&gt;"",I1957,Paramètres!B13))</f>
        <v/>
      </c>
      <c r="I1957" s="18" t="n"/>
    </row>
    <row r="1958">
      <c r="A1958" s="18">
        <f>IF(ISNUMBER(Dossiers!$D$40),Dossiers!$A$40&amp;" · "&amp;Dossiers!$B$40,"")</f>
        <v/>
      </c>
      <c r="B1958" s="18">
        <f>IF($A1958="","",Paramètres!G14)</f>
        <v/>
      </c>
      <c r="C1958" s="18">
        <f>IF($A1958="","",IF(Paramètres!H14="","",Paramètres!H14))</f>
        <v/>
      </c>
      <c r="D1958" s="18">
        <f>IF($A1958="","",IF(Paramètres!I14="","",Paramètres!I14))</f>
        <v/>
      </c>
      <c r="E1958" s="19">
        <f>IF($A1958="","",IF(Paramètres!J14&amp;Paramètres!L14&amp;Paramètres!N14="",Dossiers!$D$40,MAX(IF(Paramètres!J14="",0,IF(Paramètres!K14="",NA(),IF(LEFT(TRIM(Paramètres!K14),1)="F",INDEX($F$1949:$F$2001,MATCH(Paramètres!J14,Paramètres!$G$5:$G$57,0)),INDEX($E$1949:$E$2001,MATCH(Paramètres!J14,Paramètres!$G$5:$G$57,0)))+IF(RIGHT(TRIM(Paramètres!K14),3)="Fin",1-$H1958,IF(LEFT(TRIM(Paramètres!K14),1)="F",1,0)))),IF(Paramètres!L14="",0,IF(Paramètres!M14="",NA(),IF(LEFT(TRIM(Paramètres!M14),1)="F",INDEX($F$1949:$F$2001,MATCH(Paramètres!L14,Paramètres!$G$5:$G$57,0)),INDEX($E$1949:$E$2001,MATCH(Paramètres!L14,Paramètres!$G$5:$G$57,0)))+IF(RIGHT(TRIM(Paramètres!M14),3)="Fin",1-$H1958,IF(LEFT(TRIM(Paramètres!M14),1)="F",1,0)))),IF(Paramètres!N14="",0,IF(Paramètres!O14="",NA(),IF(LEFT(TRIM(Paramètres!O14),1)="F",INDEX($F$1949:$F$2001,MATCH(Paramètres!N14,Paramètres!$G$5:$G$57,0)),INDEX($E$1949:$E$2001,MATCH(Paramètres!N14,Paramètres!$G$5:$G$57,0)))+IF(RIGHT(TRIM(Paramètres!O14),3)="Fin",1-$H1958,IF(LEFT(TRIM(Paramètres!O14),1)="F",1,0)))))))</f>
        <v/>
      </c>
      <c r="F1958" s="19">
        <f>IF($A1958="","",E1958+$H1958-1)</f>
        <v/>
      </c>
      <c r="G1958" s="18" t="n"/>
      <c r="H1958" s="18">
        <f>IF($A1958="","",IF(I1958&lt;&gt;"",I1958,Paramètres!B14))</f>
        <v/>
      </c>
      <c r="I1958" s="18" t="n"/>
    </row>
    <row r="1959">
      <c r="A1959" s="18">
        <f>IF(ISNUMBER(Dossiers!$D$40),Dossiers!$A$40&amp;" · "&amp;Dossiers!$B$40,"")</f>
        <v/>
      </c>
      <c r="B1959" s="18">
        <f>IF($A1959="","",Paramètres!G15)</f>
        <v/>
      </c>
      <c r="C1959" s="18">
        <f>IF($A1959="","",IF(Paramètres!H15="","",Paramètres!H15))</f>
        <v/>
      </c>
      <c r="D1959" s="18">
        <f>IF($A1959="","",IF(Paramètres!I15="","",Paramètres!I15))</f>
        <v/>
      </c>
      <c r="E1959" s="19">
        <f>IF($A1959="","",MIN(E1960:E1975))</f>
        <v/>
      </c>
      <c r="F1959" s="19">
        <f>IF($A1959="","",MAX(F1960:F1975))</f>
        <v/>
      </c>
      <c r="G1959" s="18" t="n"/>
      <c r="H1959" s="18">
        <f>IF($A1959="","",F1959-E1959+1)</f>
        <v/>
      </c>
      <c r="I1959" s="18" t="n"/>
    </row>
    <row r="1960">
      <c r="A1960" s="18">
        <f>IF(ISNUMBER(Dossiers!$D$40),Dossiers!$A$40&amp;" · "&amp;Dossiers!$B$40,"")</f>
        <v/>
      </c>
      <c r="B1960" s="18">
        <f>IF($A1960="","",Paramètres!G16)</f>
        <v/>
      </c>
      <c r="C1960" s="18">
        <f>IF($A1960="","",IF(Paramètres!H16="","",Paramètres!H16))</f>
        <v/>
      </c>
      <c r="D1960" s="18">
        <f>IF($A1960="","",IF(Paramètres!I16="","",Paramètres!I16))</f>
        <v/>
      </c>
      <c r="E1960" s="19">
        <f>IF($A1960="","",IF(Paramètres!J16&amp;Paramètres!L16&amp;Paramètres!N16="",Dossiers!$D$40,MAX(IF(Paramètres!J16="",0,IF(Paramètres!K16="",NA(),IF(LEFT(TRIM(Paramètres!K16),1)="F",INDEX($F$1949:$F$2001,MATCH(Paramètres!J16,Paramètres!$G$5:$G$57,0)),INDEX($E$1949:$E$2001,MATCH(Paramètres!J16,Paramètres!$G$5:$G$57,0)))+IF(RIGHT(TRIM(Paramètres!K16),3)="Fin",1-$H1960,IF(LEFT(TRIM(Paramètres!K16),1)="F",1,0)))),IF(Paramètres!L16="",0,IF(Paramètres!M16="",NA(),IF(LEFT(TRIM(Paramètres!M16),1)="F",INDEX($F$1949:$F$2001,MATCH(Paramètres!L16,Paramètres!$G$5:$G$57,0)),INDEX($E$1949:$E$2001,MATCH(Paramètres!L16,Paramètres!$G$5:$G$57,0)))+IF(RIGHT(TRIM(Paramètres!M16),3)="Fin",1-$H1960,IF(LEFT(TRIM(Paramètres!M16),1)="F",1,0)))),IF(Paramètres!N16="",0,IF(Paramètres!O16="",NA(),IF(LEFT(TRIM(Paramètres!O16),1)="F",INDEX($F$1949:$F$2001,MATCH(Paramètres!N16,Paramètres!$G$5:$G$57,0)),INDEX($E$1949:$E$2001,MATCH(Paramètres!N16,Paramètres!$G$5:$G$57,0)))+IF(RIGHT(TRIM(Paramètres!O16),3)="Fin",1-$H1960,IF(LEFT(TRIM(Paramètres!O16),1)="F",1,0)))))))</f>
        <v/>
      </c>
      <c r="F1960" s="19">
        <f>IF($A1960="","",E1960+$H1960-1)</f>
        <v/>
      </c>
      <c r="G1960" s="18" t="n"/>
      <c r="H1960" s="18">
        <f>IF($A1960="","",IF(I1960&lt;&gt;"",I1960,Paramètres!B16))</f>
        <v/>
      </c>
      <c r="I1960" s="18" t="n"/>
    </row>
    <row r="1961">
      <c r="A1961" s="18">
        <f>IF(ISNUMBER(Dossiers!$D$40),Dossiers!$A$40&amp;" · "&amp;Dossiers!$B$40,"")</f>
        <v/>
      </c>
      <c r="B1961" s="18">
        <f>IF($A1961="","",Paramètres!G17)</f>
        <v/>
      </c>
      <c r="C1961" s="18">
        <f>IF($A1961="","",IF(Paramètres!H17="","",Paramètres!H17))</f>
        <v/>
      </c>
      <c r="D1961" s="18">
        <f>IF($A1961="","",IF(Paramètres!I17="","",Paramètres!I17))</f>
        <v/>
      </c>
      <c r="E1961" s="19">
        <f>IF($A1961="","",IF(Paramètres!J17&amp;Paramètres!L17&amp;Paramètres!N17="",Dossiers!$D$40,MAX(IF(Paramètres!J17="",0,IF(Paramètres!K17="",NA(),IF(LEFT(TRIM(Paramètres!K17),1)="F",INDEX($F$1949:$F$2001,MATCH(Paramètres!J17,Paramètres!$G$5:$G$57,0)),INDEX($E$1949:$E$2001,MATCH(Paramètres!J17,Paramètres!$G$5:$G$57,0)))+IF(RIGHT(TRIM(Paramètres!K17),3)="Fin",1-$H1961,IF(LEFT(TRIM(Paramètres!K17),1)="F",1,0)))),IF(Paramètres!L17="",0,IF(Paramètres!M17="",NA(),IF(LEFT(TRIM(Paramètres!M17),1)="F",INDEX($F$1949:$F$2001,MATCH(Paramètres!L17,Paramètres!$G$5:$G$57,0)),INDEX($E$1949:$E$2001,MATCH(Paramètres!L17,Paramètres!$G$5:$G$57,0)))+IF(RIGHT(TRIM(Paramètres!M17),3)="Fin",1-$H1961,IF(LEFT(TRIM(Paramètres!M17),1)="F",1,0)))),IF(Paramètres!N17="",0,IF(Paramètres!O17="",NA(),IF(LEFT(TRIM(Paramètres!O17),1)="F",INDEX($F$1949:$F$2001,MATCH(Paramètres!N17,Paramètres!$G$5:$G$57,0)),INDEX($E$1949:$E$2001,MATCH(Paramètres!N17,Paramètres!$G$5:$G$57,0)))+IF(RIGHT(TRIM(Paramètres!O17),3)="Fin",1-$H1961,IF(LEFT(TRIM(Paramètres!O17),1)="F",1,0)))))))</f>
        <v/>
      </c>
      <c r="F1961" s="19">
        <f>IF($A1961="","",E1961+$H1961-1)</f>
        <v/>
      </c>
      <c r="G1961" s="18" t="n"/>
      <c r="H1961" s="18">
        <f>IF($A1961="","",IF(I1961&lt;&gt;"",I1961,Paramètres!B17))</f>
        <v/>
      </c>
      <c r="I1961" s="18" t="n"/>
    </row>
    <row r="1962">
      <c r="A1962" s="18">
        <f>IF(ISNUMBER(Dossiers!$D$40),Dossiers!$A$40&amp;" · "&amp;Dossiers!$B$40,"")</f>
        <v/>
      </c>
      <c r="B1962" s="18">
        <f>IF($A1962="","",Paramètres!G18)</f>
        <v/>
      </c>
      <c r="C1962" s="18">
        <f>IF($A1962="","",IF(Paramètres!H18="","",Paramètres!H18))</f>
        <v/>
      </c>
      <c r="D1962" s="18">
        <f>IF($A1962="","",IF(Paramètres!I18="","",Paramètres!I18))</f>
        <v/>
      </c>
      <c r="E1962" s="19">
        <f>IF($A1962="","",IF(Paramètres!J18&amp;Paramètres!L18&amp;Paramètres!N18="",Dossiers!$D$40,MAX(IF(Paramètres!J18="",0,IF(Paramètres!K18="",NA(),IF(LEFT(TRIM(Paramètres!K18),1)="F",INDEX($F$1949:$F$2001,MATCH(Paramètres!J18,Paramètres!$G$5:$G$57,0)),INDEX($E$1949:$E$2001,MATCH(Paramètres!J18,Paramètres!$G$5:$G$57,0)))+IF(RIGHT(TRIM(Paramètres!K18),3)="Fin",1-$H1962,IF(LEFT(TRIM(Paramètres!K18),1)="F",1,0)))),IF(Paramètres!L18="",0,IF(Paramètres!M18="",NA(),IF(LEFT(TRIM(Paramètres!M18),1)="F",INDEX($F$1949:$F$2001,MATCH(Paramètres!L18,Paramètres!$G$5:$G$57,0)),INDEX($E$1949:$E$2001,MATCH(Paramètres!L18,Paramètres!$G$5:$G$57,0)))+IF(RIGHT(TRIM(Paramètres!M18),3)="Fin",1-$H1962,IF(LEFT(TRIM(Paramètres!M18),1)="F",1,0)))),IF(Paramètres!N18="",0,IF(Paramètres!O18="",NA(),IF(LEFT(TRIM(Paramètres!O18),1)="F",INDEX($F$1949:$F$2001,MATCH(Paramètres!N18,Paramètres!$G$5:$G$57,0)),INDEX($E$1949:$E$2001,MATCH(Paramètres!N18,Paramètres!$G$5:$G$57,0)))+IF(RIGHT(TRIM(Paramètres!O18),3)="Fin",1-$H1962,IF(LEFT(TRIM(Paramètres!O18),1)="F",1,0)))))))</f>
        <v/>
      </c>
      <c r="F1962" s="19">
        <f>IF($A1962="","",E1962+$H1962-1)</f>
        <v/>
      </c>
      <c r="G1962" s="18" t="n"/>
      <c r="H1962" s="18">
        <f>IF($A1962="","",IF(I1962&lt;&gt;"",I1962,Paramètres!B18))</f>
        <v/>
      </c>
      <c r="I1962" s="18" t="n"/>
    </row>
    <row r="1963">
      <c r="A1963" s="18">
        <f>IF(ISNUMBER(Dossiers!$D$40),Dossiers!$A$40&amp;" · "&amp;Dossiers!$B$40,"")</f>
        <v/>
      </c>
      <c r="B1963" s="18">
        <f>IF($A1963="","",Paramètres!G19)</f>
        <v/>
      </c>
      <c r="C1963" s="18">
        <f>IF($A1963="","",IF(Paramètres!H19="","",Paramètres!H19))</f>
        <v/>
      </c>
      <c r="D1963" s="18">
        <f>IF($A1963="","",IF(Paramètres!I19="","",Paramètres!I19))</f>
        <v/>
      </c>
      <c r="E1963" s="19">
        <f>IF($A1963="","",IF(Paramètres!J19&amp;Paramètres!L19&amp;Paramètres!N19="",Dossiers!$D$40,MAX(IF(Paramètres!J19="",0,IF(Paramètres!K19="",NA(),IF(LEFT(TRIM(Paramètres!K19),1)="F",INDEX($F$1949:$F$2001,MATCH(Paramètres!J19,Paramètres!$G$5:$G$57,0)),INDEX($E$1949:$E$2001,MATCH(Paramètres!J19,Paramètres!$G$5:$G$57,0)))+IF(RIGHT(TRIM(Paramètres!K19),3)="Fin",1-$H1963,IF(LEFT(TRIM(Paramètres!K19),1)="F",1,0)))),IF(Paramètres!L19="",0,IF(Paramètres!M19="",NA(),IF(LEFT(TRIM(Paramètres!M19),1)="F",INDEX($F$1949:$F$2001,MATCH(Paramètres!L19,Paramètres!$G$5:$G$57,0)),INDEX($E$1949:$E$2001,MATCH(Paramètres!L19,Paramètres!$G$5:$G$57,0)))+IF(RIGHT(TRIM(Paramètres!M19),3)="Fin",1-$H1963,IF(LEFT(TRIM(Paramètres!M19),1)="F",1,0)))),IF(Paramètres!N19="",0,IF(Paramètres!O19="",NA(),IF(LEFT(TRIM(Paramètres!O19),1)="F",INDEX($F$1949:$F$2001,MATCH(Paramètres!N19,Paramètres!$G$5:$G$57,0)),INDEX($E$1949:$E$2001,MATCH(Paramètres!N19,Paramètres!$G$5:$G$57,0)))+IF(RIGHT(TRIM(Paramètres!O19),3)="Fin",1-$H1963,IF(LEFT(TRIM(Paramètres!O19),1)="F",1,0)))))))</f>
        <v/>
      </c>
      <c r="F1963" s="19">
        <f>IF($A1963="","",E1963+$H1963-1)</f>
        <v/>
      </c>
      <c r="G1963" s="18" t="n"/>
      <c r="H1963" s="18">
        <f>IF($A1963="","",IF(I1963&lt;&gt;"",I1963,Paramètres!B19))</f>
        <v/>
      </c>
      <c r="I1963" s="18" t="n"/>
    </row>
    <row r="1964">
      <c r="A1964" s="18">
        <f>IF(ISNUMBER(Dossiers!$D$40),Dossiers!$A$40&amp;" · "&amp;Dossiers!$B$40,"")</f>
        <v/>
      </c>
      <c r="B1964" s="18">
        <f>IF($A1964="","",Paramètres!G20)</f>
        <v/>
      </c>
      <c r="C1964" s="18">
        <f>IF($A1964="","",IF(Paramètres!H20="","",Paramètres!H20))</f>
        <v/>
      </c>
      <c r="D1964" s="18">
        <f>IF($A1964="","",IF(Paramètres!I20="","",Paramètres!I20))</f>
        <v/>
      </c>
      <c r="E1964" s="19">
        <f>IF($A1964="","",IF(Paramètres!J20&amp;Paramètres!L20&amp;Paramètres!N20="",Dossiers!$D$40,MAX(IF(Paramètres!J20="",0,IF(Paramètres!K20="",NA(),IF(LEFT(TRIM(Paramètres!K20),1)="F",INDEX($F$1949:$F$2001,MATCH(Paramètres!J20,Paramètres!$G$5:$G$57,0)),INDEX($E$1949:$E$2001,MATCH(Paramètres!J20,Paramètres!$G$5:$G$57,0)))+IF(RIGHT(TRIM(Paramètres!K20),3)="Fin",1-$H1964,IF(LEFT(TRIM(Paramètres!K20),1)="F",1,0)))),IF(Paramètres!L20="",0,IF(Paramètres!M20="",NA(),IF(LEFT(TRIM(Paramètres!M20),1)="F",INDEX($F$1949:$F$2001,MATCH(Paramètres!L20,Paramètres!$G$5:$G$57,0)),INDEX($E$1949:$E$2001,MATCH(Paramètres!L20,Paramètres!$G$5:$G$57,0)))+IF(RIGHT(TRIM(Paramètres!M20),3)="Fin",1-$H1964,IF(LEFT(TRIM(Paramètres!M20),1)="F",1,0)))),IF(Paramètres!N20="",0,IF(Paramètres!O20="",NA(),IF(LEFT(TRIM(Paramètres!O20),1)="F",INDEX($F$1949:$F$2001,MATCH(Paramètres!N20,Paramètres!$G$5:$G$57,0)),INDEX($E$1949:$E$2001,MATCH(Paramètres!N20,Paramètres!$G$5:$G$57,0)))+IF(RIGHT(TRIM(Paramètres!O20),3)="Fin",1-$H1964,IF(LEFT(TRIM(Paramètres!O20),1)="F",1,0)))))))</f>
        <v/>
      </c>
      <c r="F1964" s="19">
        <f>IF($A1964="","",E1964+$H1964-1)</f>
        <v/>
      </c>
      <c r="G1964" s="18" t="n"/>
      <c r="H1964" s="18">
        <f>IF($A1964="","",IF(I1964&lt;&gt;"",I1964,Paramètres!B20))</f>
        <v/>
      </c>
      <c r="I1964" s="18" t="n"/>
    </row>
    <row r="1965">
      <c r="A1965" s="18">
        <f>IF(ISNUMBER(Dossiers!$D$40),Dossiers!$A$40&amp;" · "&amp;Dossiers!$B$40,"")</f>
        <v/>
      </c>
      <c r="B1965" s="18">
        <f>IF($A1965="","",Paramètres!G21)</f>
        <v/>
      </c>
      <c r="C1965" s="18">
        <f>IF($A1965="","",IF(Paramètres!H21="","",Paramètres!H21))</f>
        <v/>
      </c>
      <c r="D1965" s="18">
        <f>IF($A1965="","",IF(Paramètres!I21="","",Paramètres!I21))</f>
        <v/>
      </c>
      <c r="E1965" s="19">
        <f>IF($A1965="","",IF(Paramètres!J21&amp;Paramètres!L21&amp;Paramètres!N21="",Dossiers!$D$40,MAX(IF(Paramètres!J21="",0,IF(Paramètres!K21="",NA(),IF(LEFT(TRIM(Paramètres!K21),1)="F",INDEX($F$1949:$F$2001,MATCH(Paramètres!J21,Paramètres!$G$5:$G$57,0)),INDEX($E$1949:$E$2001,MATCH(Paramètres!J21,Paramètres!$G$5:$G$57,0)))+IF(RIGHT(TRIM(Paramètres!K21),3)="Fin",1-$H1965,IF(LEFT(TRIM(Paramètres!K21),1)="F",1,0)))),IF(Paramètres!L21="",0,IF(Paramètres!M21="",NA(),IF(LEFT(TRIM(Paramètres!M21),1)="F",INDEX($F$1949:$F$2001,MATCH(Paramètres!L21,Paramètres!$G$5:$G$57,0)),INDEX($E$1949:$E$2001,MATCH(Paramètres!L21,Paramètres!$G$5:$G$57,0)))+IF(RIGHT(TRIM(Paramètres!M21),3)="Fin",1-$H1965,IF(LEFT(TRIM(Paramètres!M21),1)="F",1,0)))),IF(Paramètres!N21="",0,IF(Paramètres!O21="",NA(),IF(LEFT(TRIM(Paramètres!O21),1)="F",INDEX($F$1949:$F$2001,MATCH(Paramètres!N21,Paramètres!$G$5:$G$57,0)),INDEX($E$1949:$E$2001,MATCH(Paramètres!N21,Paramètres!$G$5:$G$57,0)))+IF(RIGHT(TRIM(Paramètres!O21),3)="Fin",1-$H1965,IF(LEFT(TRIM(Paramètres!O21),1)="F",1,0)))))))</f>
        <v/>
      </c>
      <c r="F1965" s="19">
        <f>IF($A1965="","",E1965+$H1965-1)</f>
        <v/>
      </c>
      <c r="G1965" s="18" t="n"/>
      <c r="H1965" s="18">
        <f>IF($A1965="","",IF(I1965&lt;&gt;"",I1965,Paramètres!B21))</f>
        <v/>
      </c>
      <c r="I1965" s="18" t="n"/>
    </row>
    <row r="1966">
      <c r="A1966" s="18">
        <f>IF(ISNUMBER(Dossiers!$D$40),Dossiers!$A$40&amp;" · "&amp;Dossiers!$B$40,"")</f>
        <v/>
      </c>
      <c r="B1966" s="18">
        <f>IF($A1966="","",Paramètres!G22)</f>
        <v/>
      </c>
      <c r="C1966" s="18">
        <f>IF($A1966="","",IF(Paramètres!H22="","",Paramètres!H22))</f>
        <v/>
      </c>
      <c r="D1966" s="18">
        <f>IF($A1966="","",IF(Paramètres!I22="","",Paramètres!I22))</f>
        <v/>
      </c>
      <c r="E1966" s="19">
        <f>IF($A1966="","",IF(Paramètres!J22&amp;Paramètres!L22&amp;Paramètres!N22="",Dossiers!$D$40,MAX(IF(Paramètres!J22="",0,IF(Paramètres!K22="",NA(),IF(LEFT(TRIM(Paramètres!K22),1)="F",INDEX($F$1949:$F$2001,MATCH(Paramètres!J22,Paramètres!$G$5:$G$57,0)),INDEX($E$1949:$E$2001,MATCH(Paramètres!J22,Paramètres!$G$5:$G$57,0)))+IF(RIGHT(TRIM(Paramètres!K22),3)="Fin",1-$H1966,IF(LEFT(TRIM(Paramètres!K22),1)="F",1,0)))),IF(Paramètres!L22="",0,IF(Paramètres!M22="",NA(),IF(LEFT(TRIM(Paramètres!M22),1)="F",INDEX($F$1949:$F$2001,MATCH(Paramètres!L22,Paramètres!$G$5:$G$57,0)),INDEX($E$1949:$E$2001,MATCH(Paramètres!L22,Paramètres!$G$5:$G$57,0)))+IF(RIGHT(TRIM(Paramètres!M22),3)="Fin",1-$H1966,IF(LEFT(TRIM(Paramètres!M22),1)="F",1,0)))),IF(Paramètres!N22="",0,IF(Paramètres!O22="",NA(),IF(LEFT(TRIM(Paramètres!O22),1)="F",INDEX($F$1949:$F$2001,MATCH(Paramètres!N22,Paramètres!$G$5:$G$57,0)),INDEX($E$1949:$E$2001,MATCH(Paramètres!N22,Paramètres!$G$5:$G$57,0)))+IF(RIGHT(TRIM(Paramètres!O22),3)="Fin",1-$H1966,IF(LEFT(TRIM(Paramètres!O22),1)="F",1,0)))))))</f>
        <v/>
      </c>
      <c r="F1966" s="19">
        <f>IF($A1966="","",E1966+$H1966-1)</f>
        <v/>
      </c>
      <c r="G1966" s="18" t="n"/>
      <c r="H1966" s="18">
        <f>IF($A1966="","",IF(I1966&lt;&gt;"",I1966,Paramètres!B22))</f>
        <v/>
      </c>
      <c r="I1966" s="18" t="n"/>
    </row>
    <row r="1967">
      <c r="A1967" s="18">
        <f>IF(ISNUMBER(Dossiers!$D$40),Dossiers!$A$40&amp;" · "&amp;Dossiers!$B$40,"")</f>
        <v/>
      </c>
      <c r="B1967" s="18">
        <f>IF($A1967="","",Paramètres!G23)</f>
        <v/>
      </c>
      <c r="C1967" s="18">
        <f>IF($A1967="","",IF(Paramètres!H23="","",Paramètres!H23))</f>
        <v/>
      </c>
      <c r="D1967" s="18">
        <f>IF($A1967="","",IF(Paramètres!I23="","",Paramètres!I23))</f>
        <v/>
      </c>
      <c r="E1967" s="19">
        <f>IF($A1967="","",IF(Paramètres!J23&amp;Paramètres!L23&amp;Paramètres!N23="",Dossiers!$D$40,MAX(IF(Paramètres!J23="",0,IF(Paramètres!K23="",NA(),IF(LEFT(TRIM(Paramètres!K23),1)="F",INDEX($F$1949:$F$2001,MATCH(Paramètres!J23,Paramètres!$G$5:$G$57,0)),INDEX($E$1949:$E$2001,MATCH(Paramètres!J23,Paramètres!$G$5:$G$57,0)))+IF(RIGHT(TRIM(Paramètres!K23),3)="Fin",1-$H1967,IF(LEFT(TRIM(Paramètres!K23),1)="F",1,0)))),IF(Paramètres!L23="",0,IF(Paramètres!M23="",NA(),IF(LEFT(TRIM(Paramètres!M23),1)="F",INDEX($F$1949:$F$2001,MATCH(Paramètres!L23,Paramètres!$G$5:$G$57,0)),INDEX($E$1949:$E$2001,MATCH(Paramètres!L23,Paramètres!$G$5:$G$57,0)))+IF(RIGHT(TRIM(Paramètres!M23),3)="Fin",1-$H1967,IF(LEFT(TRIM(Paramètres!M23),1)="F",1,0)))),IF(Paramètres!N23="",0,IF(Paramètres!O23="",NA(),IF(LEFT(TRIM(Paramètres!O23),1)="F",INDEX($F$1949:$F$2001,MATCH(Paramètres!N23,Paramètres!$G$5:$G$57,0)),INDEX($E$1949:$E$2001,MATCH(Paramètres!N23,Paramètres!$G$5:$G$57,0)))+IF(RIGHT(TRIM(Paramètres!O23),3)="Fin",1-$H1967,IF(LEFT(TRIM(Paramètres!O23),1)="F",1,0)))))))</f>
        <v/>
      </c>
      <c r="F1967" s="19">
        <f>IF($A1967="","",E1967+$H1967-1)</f>
        <v/>
      </c>
      <c r="G1967" s="18" t="n"/>
      <c r="H1967" s="18">
        <f>IF($A1967="","",IF(I1967&lt;&gt;"",I1967,Paramètres!B23))</f>
        <v/>
      </c>
      <c r="I1967" s="18" t="n"/>
    </row>
    <row r="1968">
      <c r="A1968" s="18">
        <f>IF(ISNUMBER(Dossiers!$D$40),Dossiers!$A$40&amp;" · "&amp;Dossiers!$B$40,"")</f>
        <v/>
      </c>
      <c r="B1968" s="18">
        <f>IF($A1968="","",Paramètres!G24)</f>
        <v/>
      </c>
      <c r="C1968" s="18">
        <f>IF($A1968="","",IF(Paramètres!H24="","",Paramètres!H24))</f>
        <v/>
      </c>
      <c r="D1968" s="18">
        <f>IF($A1968="","",IF(Paramètres!I24="","",Paramètres!I24))</f>
        <v/>
      </c>
      <c r="E1968" s="19">
        <f>IF($A1968="","",IF(Paramètres!J24&amp;Paramètres!L24&amp;Paramètres!N24="",Dossiers!$D$40,MAX(IF(Paramètres!J24="",0,IF(Paramètres!K24="",NA(),IF(LEFT(TRIM(Paramètres!K24),1)="F",INDEX($F$1949:$F$2001,MATCH(Paramètres!J24,Paramètres!$G$5:$G$57,0)),INDEX($E$1949:$E$2001,MATCH(Paramètres!J24,Paramètres!$G$5:$G$57,0)))+IF(RIGHT(TRIM(Paramètres!K24),3)="Fin",1-$H1968,IF(LEFT(TRIM(Paramètres!K24),1)="F",1,0)))),IF(Paramètres!L24="",0,IF(Paramètres!M24="",NA(),IF(LEFT(TRIM(Paramètres!M24),1)="F",INDEX($F$1949:$F$2001,MATCH(Paramètres!L24,Paramètres!$G$5:$G$57,0)),INDEX($E$1949:$E$2001,MATCH(Paramètres!L24,Paramètres!$G$5:$G$57,0)))+IF(RIGHT(TRIM(Paramètres!M24),3)="Fin",1-$H1968,IF(LEFT(TRIM(Paramètres!M24),1)="F",1,0)))),IF(Paramètres!N24="",0,IF(Paramètres!O24="",NA(),IF(LEFT(TRIM(Paramètres!O24),1)="F",INDEX($F$1949:$F$2001,MATCH(Paramètres!N24,Paramètres!$G$5:$G$57,0)),INDEX($E$1949:$E$2001,MATCH(Paramètres!N24,Paramètres!$G$5:$G$57,0)))+IF(RIGHT(TRIM(Paramètres!O24),3)="Fin",1-$H1968,IF(LEFT(TRIM(Paramètres!O24),1)="F",1,0)))))))</f>
        <v/>
      </c>
      <c r="F1968" s="19">
        <f>IF($A1968="","",E1968+$H1968-1)</f>
        <v/>
      </c>
      <c r="G1968" s="18" t="n"/>
      <c r="H1968" s="18">
        <f>IF($A1968="","",IF(I1968&lt;&gt;"",I1968,Paramètres!B24))</f>
        <v/>
      </c>
      <c r="I1968" s="18" t="n"/>
    </row>
    <row r="1969">
      <c r="A1969" s="18">
        <f>IF(ISNUMBER(Dossiers!$D$40),Dossiers!$A$40&amp;" · "&amp;Dossiers!$B$40,"")</f>
        <v/>
      </c>
      <c r="B1969" s="18">
        <f>IF($A1969="","",Paramètres!G25)</f>
        <v/>
      </c>
      <c r="C1969" s="18">
        <f>IF($A1969="","",IF(Paramètres!H25="","",Paramètres!H25))</f>
        <v/>
      </c>
      <c r="D1969" s="18">
        <f>IF($A1969="","",IF(Paramètres!I25="","",Paramètres!I25))</f>
        <v/>
      </c>
      <c r="E1969" s="19">
        <f>IF($A1969="","",IF(Paramètres!J25&amp;Paramètres!L25&amp;Paramètres!N25="",Dossiers!$D$40,MAX(IF(Paramètres!J25="",0,IF(Paramètres!K25="",NA(),IF(LEFT(TRIM(Paramètres!K25),1)="F",INDEX($F$1949:$F$2001,MATCH(Paramètres!J25,Paramètres!$G$5:$G$57,0)),INDEX($E$1949:$E$2001,MATCH(Paramètres!J25,Paramètres!$G$5:$G$57,0)))+IF(RIGHT(TRIM(Paramètres!K25),3)="Fin",1-$H1969,IF(LEFT(TRIM(Paramètres!K25),1)="F",1,0)))),IF(Paramètres!L25="",0,IF(Paramètres!M25="",NA(),IF(LEFT(TRIM(Paramètres!M25),1)="F",INDEX($F$1949:$F$2001,MATCH(Paramètres!L25,Paramètres!$G$5:$G$57,0)),INDEX($E$1949:$E$2001,MATCH(Paramètres!L25,Paramètres!$G$5:$G$57,0)))+IF(RIGHT(TRIM(Paramètres!M25),3)="Fin",1-$H1969,IF(LEFT(TRIM(Paramètres!M25),1)="F",1,0)))),IF(Paramètres!N25="",0,IF(Paramètres!O25="",NA(),IF(LEFT(TRIM(Paramètres!O25),1)="F",INDEX($F$1949:$F$2001,MATCH(Paramètres!N25,Paramètres!$G$5:$G$57,0)),INDEX($E$1949:$E$2001,MATCH(Paramètres!N25,Paramètres!$G$5:$G$57,0)))+IF(RIGHT(TRIM(Paramètres!O25),3)="Fin",1-$H1969,IF(LEFT(TRIM(Paramètres!O25),1)="F",1,0)))))))</f>
        <v/>
      </c>
      <c r="F1969" s="19">
        <f>IF($A1969="","",E1969+$H1969-1)</f>
        <v/>
      </c>
      <c r="G1969" s="18" t="n"/>
      <c r="H1969" s="18">
        <f>IF($A1969="","",IF(I1969&lt;&gt;"",I1969,Paramètres!B25))</f>
        <v/>
      </c>
      <c r="I1969" s="18" t="n"/>
    </row>
    <row r="1970">
      <c r="A1970" s="18">
        <f>IF(ISNUMBER(Dossiers!$D$40),Dossiers!$A$40&amp;" · "&amp;Dossiers!$B$40,"")</f>
        <v/>
      </c>
      <c r="B1970" s="18">
        <f>IF($A1970="","",Paramètres!G26)</f>
        <v/>
      </c>
      <c r="C1970" s="18">
        <f>IF($A1970="","",IF(Paramètres!H26="","",Paramètres!H26))</f>
        <v/>
      </c>
      <c r="D1970" s="18">
        <f>IF($A1970="","",IF(Paramètres!I26="","",Paramètres!I26))</f>
        <v/>
      </c>
      <c r="E1970" s="19">
        <f>IF($A1970="","",IF(Paramètres!J26&amp;Paramètres!L26&amp;Paramètres!N26="",Dossiers!$D$40,MAX(IF(Paramètres!J26="",0,IF(Paramètres!K26="",NA(),IF(LEFT(TRIM(Paramètres!K26),1)="F",INDEX($F$1949:$F$2001,MATCH(Paramètres!J26,Paramètres!$G$5:$G$57,0)),INDEX($E$1949:$E$2001,MATCH(Paramètres!J26,Paramètres!$G$5:$G$57,0)))+IF(RIGHT(TRIM(Paramètres!K26),3)="Fin",1-$H1970,IF(LEFT(TRIM(Paramètres!K26),1)="F",1,0)))),IF(Paramètres!L26="",0,IF(Paramètres!M26="",NA(),IF(LEFT(TRIM(Paramètres!M26),1)="F",INDEX($F$1949:$F$2001,MATCH(Paramètres!L26,Paramètres!$G$5:$G$57,0)),INDEX($E$1949:$E$2001,MATCH(Paramètres!L26,Paramètres!$G$5:$G$57,0)))+IF(RIGHT(TRIM(Paramètres!M26),3)="Fin",1-$H1970,IF(LEFT(TRIM(Paramètres!M26),1)="F",1,0)))),IF(Paramètres!N26="",0,IF(Paramètres!O26="",NA(),IF(LEFT(TRIM(Paramètres!O26),1)="F",INDEX($F$1949:$F$2001,MATCH(Paramètres!N26,Paramètres!$G$5:$G$57,0)),INDEX($E$1949:$E$2001,MATCH(Paramètres!N26,Paramètres!$G$5:$G$57,0)))+IF(RIGHT(TRIM(Paramètres!O26),3)="Fin",1-$H1970,IF(LEFT(TRIM(Paramètres!O26),1)="F",1,0)))))))</f>
        <v/>
      </c>
      <c r="F1970" s="19">
        <f>IF($A1970="","",E1970+$H1970-1)</f>
        <v/>
      </c>
      <c r="G1970" s="18" t="n"/>
      <c r="H1970" s="18">
        <f>IF($A1970="","",IF(I1970&lt;&gt;"",I1970,Paramètres!B26))</f>
        <v/>
      </c>
      <c r="I1970" s="18" t="n"/>
    </row>
    <row r="1971">
      <c r="A1971" s="18">
        <f>IF(ISNUMBER(Dossiers!$D$40),Dossiers!$A$40&amp;" · "&amp;Dossiers!$B$40,"")</f>
        <v/>
      </c>
      <c r="B1971" s="18">
        <f>IF($A1971="","",Paramètres!G27)</f>
        <v/>
      </c>
      <c r="C1971" s="18">
        <f>IF($A1971="","",IF(Paramètres!H27="","",Paramètres!H27))</f>
        <v/>
      </c>
      <c r="D1971" s="18">
        <f>IF($A1971="","",IF(Paramètres!I27="","",Paramètres!I27))</f>
        <v/>
      </c>
      <c r="E1971" s="19">
        <f>IF($A1971="","",IF(Paramètres!J27&amp;Paramètres!L27&amp;Paramètres!N27="",Dossiers!$D$40,MAX(IF(Paramètres!J27="",0,IF(Paramètres!K27="",NA(),IF(LEFT(TRIM(Paramètres!K27),1)="F",INDEX($F$1949:$F$2001,MATCH(Paramètres!J27,Paramètres!$G$5:$G$57,0)),INDEX($E$1949:$E$2001,MATCH(Paramètres!J27,Paramètres!$G$5:$G$57,0)))+IF(RIGHT(TRIM(Paramètres!K27),3)="Fin",1-$H1971,IF(LEFT(TRIM(Paramètres!K27),1)="F",1,0)))),IF(Paramètres!L27="",0,IF(Paramètres!M27="",NA(),IF(LEFT(TRIM(Paramètres!M27),1)="F",INDEX($F$1949:$F$2001,MATCH(Paramètres!L27,Paramètres!$G$5:$G$57,0)),INDEX($E$1949:$E$2001,MATCH(Paramètres!L27,Paramètres!$G$5:$G$57,0)))+IF(RIGHT(TRIM(Paramètres!M27),3)="Fin",1-$H1971,IF(LEFT(TRIM(Paramètres!M27),1)="F",1,0)))),IF(Paramètres!N27="",0,IF(Paramètres!O27="",NA(),IF(LEFT(TRIM(Paramètres!O27),1)="F",INDEX($F$1949:$F$2001,MATCH(Paramètres!N27,Paramètres!$G$5:$G$57,0)),INDEX($E$1949:$E$2001,MATCH(Paramètres!N27,Paramètres!$G$5:$G$57,0)))+IF(RIGHT(TRIM(Paramètres!O27),3)="Fin",1-$H1971,IF(LEFT(TRIM(Paramètres!O27),1)="F",1,0)))))))</f>
        <v/>
      </c>
      <c r="F1971" s="19">
        <f>IF($A1971="","",E1971+$H1971-1)</f>
        <v/>
      </c>
      <c r="G1971" s="18" t="n"/>
      <c r="H1971" s="18">
        <f>IF($A1971="","",IF(I1971&lt;&gt;"",I1971,Paramètres!B27))</f>
        <v/>
      </c>
      <c r="I1971" s="18" t="n"/>
    </row>
    <row r="1972">
      <c r="A1972" s="18">
        <f>IF(ISNUMBER(Dossiers!$D$40),Dossiers!$A$40&amp;" · "&amp;Dossiers!$B$40,"")</f>
        <v/>
      </c>
      <c r="B1972" s="18">
        <f>IF($A1972="","",Paramètres!G28)</f>
        <v/>
      </c>
      <c r="C1972" s="18">
        <f>IF($A1972="","",IF(Paramètres!H28="","",Paramètres!H28))</f>
        <v/>
      </c>
      <c r="D1972" s="18">
        <f>IF($A1972="","",IF(Paramètres!I28="","",Paramètres!I28))</f>
        <v/>
      </c>
      <c r="E1972" s="19">
        <f>IF($A1972="","",IF(Paramètres!J28&amp;Paramètres!L28&amp;Paramètres!N28="",Dossiers!$D$40,MAX(IF(Paramètres!J28="",0,IF(Paramètres!K28="",NA(),IF(LEFT(TRIM(Paramètres!K28),1)="F",INDEX($F$1949:$F$2001,MATCH(Paramètres!J28,Paramètres!$G$5:$G$57,0)),INDEX($E$1949:$E$2001,MATCH(Paramètres!J28,Paramètres!$G$5:$G$57,0)))+IF(RIGHT(TRIM(Paramètres!K28),3)="Fin",1-$H1972,IF(LEFT(TRIM(Paramètres!K28),1)="F",1,0)))),IF(Paramètres!L28="",0,IF(Paramètres!M28="",NA(),IF(LEFT(TRIM(Paramètres!M28),1)="F",INDEX($F$1949:$F$2001,MATCH(Paramètres!L28,Paramètres!$G$5:$G$57,0)),INDEX($E$1949:$E$2001,MATCH(Paramètres!L28,Paramètres!$G$5:$G$57,0)))+IF(RIGHT(TRIM(Paramètres!M28),3)="Fin",1-$H1972,IF(LEFT(TRIM(Paramètres!M28),1)="F",1,0)))),IF(Paramètres!N28="",0,IF(Paramètres!O28="",NA(),IF(LEFT(TRIM(Paramètres!O28),1)="F",INDEX($F$1949:$F$2001,MATCH(Paramètres!N28,Paramètres!$G$5:$G$57,0)),INDEX($E$1949:$E$2001,MATCH(Paramètres!N28,Paramètres!$G$5:$G$57,0)))+IF(RIGHT(TRIM(Paramètres!O28),3)="Fin",1-$H1972,IF(LEFT(TRIM(Paramètres!O28),1)="F",1,0)))))))</f>
        <v/>
      </c>
      <c r="F1972" s="19">
        <f>IF($A1972="","",E1972+$H1972-1)</f>
        <v/>
      </c>
      <c r="G1972" s="18" t="n"/>
      <c r="H1972" s="18">
        <f>IF($A1972="","",IF(I1972&lt;&gt;"",I1972,Paramètres!B28))</f>
        <v/>
      </c>
      <c r="I1972" s="18" t="n"/>
    </row>
    <row r="1973">
      <c r="A1973" s="18">
        <f>IF(ISNUMBER(Dossiers!$D$40),Dossiers!$A$40&amp;" · "&amp;Dossiers!$B$40,"")</f>
        <v/>
      </c>
      <c r="B1973" s="18">
        <f>IF($A1973="","",Paramètres!G29)</f>
        <v/>
      </c>
      <c r="C1973" s="18">
        <f>IF($A1973="","",IF(Paramètres!H29="","",Paramètres!H29))</f>
        <v/>
      </c>
      <c r="D1973" s="18">
        <f>IF($A1973="","",IF(Paramètres!I29="","",Paramètres!I29))</f>
        <v/>
      </c>
      <c r="E1973" s="19">
        <f>IF($A1973="","",IF(Paramètres!J29&amp;Paramètres!L29&amp;Paramètres!N29="",Dossiers!$D$40,MAX(IF(Paramètres!J29="",0,IF(Paramètres!K29="",NA(),IF(LEFT(TRIM(Paramètres!K29),1)="F",INDEX($F$1949:$F$2001,MATCH(Paramètres!J29,Paramètres!$G$5:$G$57,0)),INDEX($E$1949:$E$2001,MATCH(Paramètres!J29,Paramètres!$G$5:$G$57,0)))+IF(RIGHT(TRIM(Paramètres!K29),3)="Fin",1-$H1973,IF(LEFT(TRIM(Paramètres!K29),1)="F",1,0)))),IF(Paramètres!L29="",0,IF(Paramètres!M29="",NA(),IF(LEFT(TRIM(Paramètres!M29),1)="F",INDEX($F$1949:$F$2001,MATCH(Paramètres!L29,Paramètres!$G$5:$G$57,0)),INDEX($E$1949:$E$2001,MATCH(Paramètres!L29,Paramètres!$G$5:$G$57,0)))+IF(RIGHT(TRIM(Paramètres!M29),3)="Fin",1-$H1973,IF(LEFT(TRIM(Paramètres!M29),1)="F",1,0)))),IF(Paramètres!N29="",0,IF(Paramètres!O29="",NA(),IF(LEFT(TRIM(Paramètres!O29),1)="F",INDEX($F$1949:$F$2001,MATCH(Paramètres!N29,Paramètres!$G$5:$G$57,0)),INDEX($E$1949:$E$2001,MATCH(Paramètres!N29,Paramètres!$G$5:$G$57,0)))+IF(RIGHT(TRIM(Paramètres!O29),3)="Fin",1-$H1973,IF(LEFT(TRIM(Paramètres!O29),1)="F",1,0)))))))</f>
        <v/>
      </c>
      <c r="F1973" s="19">
        <f>IF($A1973="","",E1973+$H1973-1)</f>
        <v/>
      </c>
      <c r="G1973" s="18" t="n"/>
      <c r="H1973" s="18">
        <f>IF($A1973="","",IF(I1973&lt;&gt;"",I1973,Paramètres!B29))</f>
        <v/>
      </c>
      <c r="I1973" s="18" t="n"/>
    </row>
    <row r="1974">
      <c r="A1974" s="18">
        <f>IF(ISNUMBER(Dossiers!$D$40),Dossiers!$A$40&amp;" · "&amp;Dossiers!$B$40,"")</f>
        <v/>
      </c>
      <c r="B1974" s="18">
        <f>IF($A1974="","",Paramètres!G30)</f>
        <v/>
      </c>
      <c r="C1974" s="18">
        <f>IF($A1974="","",IF(Paramètres!H30="","",Paramètres!H30))</f>
        <v/>
      </c>
      <c r="D1974" s="18">
        <f>IF($A1974="","",IF(Paramètres!I30="","",Paramètres!I30))</f>
        <v/>
      </c>
      <c r="E1974" s="19">
        <f>IF($A1974="","",IF(Paramètres!J30&amp;Paramètres!L30&amp;Paramètres!N30="",Dossiers!$D$40,MAX(IF(Paramètres!J30="",0,IF(Paramètres!K30="",NA(),IF(LEFT(TRIM(Paramètres!K30),1)="F",INDEX($F$1949:$F$2001,MATCH(Paramètres!J30,Paramètres!$G$5:$G$57,0)),INDEX($E$1949:$E$2001,MATCH(Paramètres!J30,Paramètres!$G$5:$G$57,0)))+IF(RIGHT(TRIM(Paramètres!K30),3)="Fin",1-$H1974,IF(LEFT(TRIM(Paramètres!K30),1)="F",1,0)))),IF(Paramètres!L30="",0,IF(Paramètres!M30="",NA(),IF(LEFT(TRIM(Paramètres!M30),1)="F",INDEX($F$1949:$F$2001,MATCH(Paramètres!L30,Paramètres!$G$5:$G$57,0)),INDEX($E$1949:$E$2001,MATCH(Paramètres!L30,Paramètres!$G$5:$G$57,0)))+IF(RIGHT(TRIM(Paramètres!M30),3)="Fin",1-$H1974,IF(LEFT(TRIM(Paramètres!M30),1)="F",1,0)))),IF(Paramètres!N30="",0,IF(Paramètres!O30="",NA(),IF(LEFT(TRIM(Paramètres!O30),1)="F",INDEX($F$1949:$F$2001,MATCH(Paramètres!N30,Paramètres!$G$5:$G$57,0)),INDEX($E$1949:$E$2001,MATCH(Paramètres!N30,Paramètres!$G$5:$G$57,0)))+IF(RIGHT(TRIM(Paramètres!O30),3)="Fin",1-$H1974,IF(LEFT(TRIM(Paramètres!O30),1)="F",1,0)))))))</f>
        <v/>
      </c>
      <c r="F1974" s="19">
        <f>IF($A1974="","",E1974+$H1974-1)</f>
        <v/>
      </c>
      <c r="G1974" s="18" t="n"/>
      <c r="H1974" s="18">
        <f>IF($A1974="","",IF(I1974&lt;&gt;"",I1974,Paramètres!B30))</f>
        <v/>
      </c>
      <c r="I1974" s="18" t="n"/>
    </row>
    <row r="1975">
      <c r="A1975" s="18">
        <f>IF(ISNUMBER(Dossiers!$D$40),Dossiers!$A$40&amp;" · "&amp;Dossiers!$B$40,"")</f>
        <v/>
      </c>
      <c r="B1975" s="18">
        <f>IF($A1975="","",Paramètres!G31)</f>
        <v/>
      </c>
      <c r="C1975" s="20">
        <f>IF($A1975="","",IF(Dossiers!$F$40="","",Dossiers!$F$40))</f>
        <v/>
      </c>
      <c r="D1975" s="18">
        <f>IF($A1975="","",IF(Paramètres!I31="","",Paramètres!I31))</f>
        <v/>
      </c>
      <c r="E1975" s="19">
        <f>IF($A1975="","",IF(Paramètres!J31&amp;Paramètres!L31&amp;Paramètres!N31="",Dossiers!$D$40,MAX(IF(Paramètres!J31="",0,IF(Paramètres!K31="",NA(),IF(LEFT(TRIM(Paramètres!K31),1)="F",INDEX($F$1949:$F$2001,MATCH(Paramètres!J31,Paramètres!$G$5:$G$57,0)),INDEX($E$1949:$E$2001,MATCH(Paramètres!J31,Paramètres!$G$5:$G$57,0)))+IF(RIGHT(TRIM(Paramètres!K31),3)="Fin",1-$H1975,IF(LEFT(TRIM(Paramètres!K31),1)="F",1,0)))),IF(Paramètres!L31="",0,IF(Paramètres!M31="",NA(),IF(LEFT(TRIM(Paramètres!M31),1)="F",INDEX($F$1949:$F$2001,MATCH(Paramètres!L31,Paramètres!$G$5:$G$57,0)),INDEX($E$1949:$E$2001,MATCH(Paramètres!L31,Paramètres!$G$5:$G$57,0)))+IF(RIGHT(TRIM(Paramètres!M31),3)="Fin",1-$H1975,IF(LEFT(TRIM(Paramètres!M31),1)="F",1,0)))),IF(Paramètres!N31="",0,IF(Paramètres!O31="",NA(),IF(LEFT(TRIM(Paramètres!O31),1)="F",INDEX($F$1949:$F$2001,MATCH(Paramètres!N31,Paramètres!$G$5:$G$57,0)),INDEX($E$1949:$E$2001,MATCH(Paramètres!N31,Paramètres!$G$5:$G$57,0)))+IF(RIGHT(TRIM(Paramètres!O31),3)="Fin",1-$H1975,IF(LEFT(TRIM(Paramètres!O31),1)="F",1,0)))))))</f>
        <v/>
      </c>
      <c r="F1975" s="19">
        <f>IF($A1975="","",E1975+$H1975-1)</f>
        <v/>
      </c>
      <c r="G1975" s="18" t="n"/>
      <c r="H1975" s="18">
        <f>IF($A1975="","",IF(I1975&lt;&gt;"",I1975,Paramètres!B31))</f>
        <v/>
      </c>
      <c r="I1975" s="18" t="n"/>
    </row>
    <row r="1976">
      <c r="A1976" s="18">
        <f>IF(ISNUMBER(Dossiers!$D$40),Dossiers!$A$40&amp;" · "&amp;Dossiers!$B$40,"")</f>
        <v/>
      </c>
      <c r="B1976" s="18">
        <f>IF($A1976="","",Paramètres!G32)</f>
        <v/>
      </c>
      <c r="C1976" s="18">
        <f>IF($A1976="","",IF(Paramètres!H32="","",Paramètres!H32))</f>
        <v/>
      </c>
      <c r="D1976" s="18">
        <f>IF($A1976="","",IF(Paramètres!I32="","",Paramètres!I32))</f>
        <v/>
      </c>
      <c r="E1976" s="19">
        <f>IF($A1976="","",MIN(E1977:E1980))</f>
        <v/>
      </c>
      <c r="F1976" s="19">
        <f>IF($A1976="","",MAX(F1977:F1980))</f>
        <v/>
      </c>
      <c r="G1976" s="18" t="n"/>
      <c r="H1976" s="18">
        <f>IF($A1976="","",F1976-E1976+1)</f>
        <v/>
      </c>
      <c r="I1976" s="18" t="n"/>
    </row>
    <row r="1977">
      <c r="A1977" s="18">
        <f>IF(ISNUMBER(Dossiers!$D$40),Dossiers!$A$40&amp;" · "&amp;Dossiers!$B$40,"")</f>
        <v/>
      </c>
      <c r="B1977" s="18">
        <f>IF($A1977="","",Paramètres!G33)</f>
        <v/>
      </c>
      <c r="C1977" s="18">
        <f>IF($A1977="","",IF(Paramètres!H33="","",Paramètres!H33))</f>
        <v/>
      </c>
      <c r="D1977" s="18">
        <f>IF($A1977="","",IF(Paramètres!I33="","",Paramètres!I33))</f>
        <v/>
      </c>
      <c r="E1977" s="19">
        <f>IF($A1977="","",IF(Paramètres!J33&amp;Paramètres!L33&amp;Paramètres!N33="",Dossiers!$D$40,MAX(IF(Paramètres!J33="",0,IF(Paramètres!K33="",NA(),IF(LEFT(TRIM(Paramètres!K33),1)="F",INDEX($F$1949:$F$2001,MATCH(Paramètres!J33,Paramètres!$G$5:$G$57,0)),INDEX($E$1949:$E$2001,MATCH(Paramètres!J33,Paramètres!$G$5:$G$57,0)))+IF(RIGHT(TRIM(Paramètres!K33),3)="Fin",1-$H1977,IF(LEFT(TRIM(Paramètres!K33),1)="F",1,0)))),IF(Paramètres!L33="",0,IF(Paramètres!M33="",NA(),IF(LEFT(TRIM(Paramètres!M33),1)="F",INDEX($F$1949:$F$2001,MATCH(Paramètres!L33,Paramètres!$G$5:$G$57,0)),INDEX($E$1949:$E$2001,MATCH(Paramètres!L33,Paramètres!$G$5:$G$57,0)))+IF(RIGHT(TRIM(Paramètres!M33),3)="Fin",1-$H1977,IF(LEFT(TRIM(Paramètres!M33),1)="F",1,0)))),IF(Paramètres!N33="",0,IF(Paramètres!O33="",NA(),IF(LEFT(TRIM(Paramètres!O33),1)="F",INDEX($F$1949:$F$2001,MATCH(Paramètres!N33,Paramètres!$G$5:$G$57,0)),INDEX($E$1949:$E$2001,MATCH(Paramètres!N33,Paramètres!$G$5:$G$57,0)))+IF(RIGHT(TRIM(Paramètres!O33),3)="Fin",1-$H1977,IF(LEFT(TRIM(Paramètres!O33),1)="F",1,0)))))))</f>
        <v/>
      </c>
      <c r="F1977" s="19">
        <f>IF($A1977="","",E1977+$H1977-1)</f>
        <v/>
      </c>
      <c r="G1977" s="18" t="n"/>
      <c r="H1977" s="18">
        <f>IF($A1977="","",IF(I1977&lt;&gt;"",I1977,Paramètres!B33))</f>
        <v/>
      </c>
      <c r="I1977" s="18" t="n"/>
    </row>
    <row r="1978">
      <c r="A1978" s="18">
        <f>IF(ISNUMBER(Dossiers!$D$40),Dossiers!$A$40&amp;" · "&amp;Dossiers!$B$40,"")</f>
        <v/>
      </c>
      <c r="B1978" s="18">
        <f>IF($A1978="","",Paramètres!G34)</f>
        <v/>
      </c>
      <c r="C1978" s="18">
        <f>IF($A1978="","",IF(Paramètres!H34="","",Paramètres!H34))</f>
        <v/>
      </c>
      <c r="D1978" s="18">
        <f>IF($A1978="","",IF(Paramètres!I34="","",Paramètres!I34))</f>
        <v/>
      </c>
      <c r="E1978" s="19">
        <f>IF($A1978="","",IF(Paramètres!J34&amp;Paramètres!L34&amp;Paramètres!N34="",Dossiers!$D$40,MAX(IF(Paramètres!J34="",0,IF(Paramètres!K34="",NA(),IF(LEFT(TRIM(Paramètres!K34),1)="F",INDEX($F$1949:$F$2001,MATCH(Paramètres!J34,Paramètres!$G$5:$G$57,0)),INDEX($E$1949:$E$2001,MATCH(Paramètres!J34,Paramètres!$G$5:$G$57,0)))+IF(RIGHT(TRIM(Paramètres!K34),3)="Fin",1-$H1978,IF(LEFT(TRIM(Paramètres!K34),1)="F",1,0)))),IF(Paramètres!L34="",0,IF(Paramètres!M34="",NA(),IF(LEFT(TRIM(Paramètres!M34),1)="F",INDEX($F$1949:$F$2001,MATCH(Paramètres!L34,Paramètres!$G$5:$G$57,0)),INDEX($E$1949:$E$2001,MATCH(Paramètres!L34,Paramètres!$G$5:$G$57,0)))+IF(RIGHT(TRIM(Paramètres!M34),3)="Fin",1-$H1978,IF(LEFT(TRIM(Paramètres!M34),1)="F",1,0)))),IF(Paramètres!N34="",0,IF(Paramètres!O34="",NA(),IF(LEFT(TRIM(Paramètres!O34),1)="F",INDEX($F$1949:$F$2001,MATCH(Paramètres!N34,Paramètres!$G$5:$G$57,0)),INDEX($E$1949:$E$2001,MATCH(Paramètres!N34,Paramètres!$G$5:$G$57,0)))+IF(RIGHT(TRIM(Paramètres!O34),3)="Fin",1-$H1978,IF(LEFT(TRIM(Paramètres!O34),1)="F",1,0)))))))</f>
        <v/>
      </c>
      <c r="F1978" s="19">
        <f>IF($A1978="","",E1978+$H1978-1)</f>
        <v/>
      </c>
      <c r="G1978" s="18" t="n"/>
      <c r="H1978" s="18">
        <f>IF($A1978="","",IF(I1978&lt;&gt;"",I1978,Paramètres!B34))</f>
        <v/>
      </c>
      <c r="I1978" s="18" t="n"/>
    </row>
    <row r="1979">
      <c r="A1979" s="18">
        <f>IF(ISNUMBER(Dossiers!$D$40),Dossiers!$A$40&amp;" · "&amp;Dossiers!$B$40,"")</f>
        <v/>
      </c>
      <c r="B1979" s="18">
        <f>IF($A1979="","",Paramètres!G35)</f>
        <v/>
      </c>
      <c r="C1979" s="18">
        <f>IF($A1979="","",IF(Paramètres!H35="","",Paramètres!H35))</f>
        <v/>
      </c>
      <c r="D1979" s="18">
        <f>IF($A1979="","",IF(Paramètres!I35="","",Paramètres!I35))</f>
        <v/>
      </c>
      <c r="E1979" s="19">
        <f>IF($A1979="","",IF(Paramètres!J35&amp;Paramètres!L35&amp;Paramètres!N35="",Dossiers!$D$40,MAX(IF(Paramètres!J35="",0,IF(Paramètres!K35="",NA(),IF(LEFT(TRIM(Paramètres!K35),1)="F",INDEX($F$1949:$F$2001,MATCH(Paramètres!J35,Paramètres!$G$5:$G$57,0)),INDEX($E$1949:$E$2001,MATCH(Paramètres!J35,Paramètres!$G$5:$G$57,0)))+IF(RIGHT(TRIM(Paramètres!K35),3)="Fin",1-$H1979,IF(LEFT(TRIM(Paramètres!K35),1)="F",1,0)))),IF(Paramètres!L35="",0,IF(Paramètres!M35="",NA(),IF(LEFT(TRIM(Paramètres!M35),1)="F",INDEX($F$1949:$F$2001,MATCH(Paramètres!L35,Paramètres!$G$5:$G$57,0)),INDEX($E$1949:$E$2001,MATCH(Paramètres!L35,Paramètres!$G$5:$G$57,0)))+IF(RIGHT(TRIM(Paramètres!M35),3)="Fin",1-$H1979,IF(LEFT(TRIM(Paramètres!M35),1)="F",1,0)))),IF(Paramètres!N35="",0,IF(Paramètres!O35="",NA(),IF(LEFT(TRIM(Paramètres!O35),1)="F",INDEX($F$1949:$F$2001,MATCH(Paramètres!N35,Paramètres!$G$5:$G$57,0)),INDEX($E$1949:$E$2001,MATCH(Paramètres!N35,Paramètres!$G$5:$G$57,0)))+IF(RIGHT(TRIM(Paramètres!O35),3)="Fin",1-$H1979,IF(LEFT(TRIM(Paramètres!O35),1)="F",1,0)))))))</f>
        <v/>
      </c>
      <c r="F1979" s="19">
        <f>IF($A1979="","",E1979+$H1979-1)</f>
        <v/>
      </c>
      <c r="G1979" s="18" t="n"/>
      <c r="H1979" s="18">
        <f>IF($A1979="","",IF(I1979&lt;&gt;"",I1979,Paramètres!B35))</f>
        <v/>
      </c>
      <c r="I1979" s="18" t="n"/>
    </row>
    <row r="1980">
      <c r="A1980" s="18">
        <f>IF(ISNUMBER(Dossiers!$D$40),Dossiers!$A$40&amp;" · "&amp;Dossiers!$B$40,"")</f>
        <v/>
      </c>
      <c r="B1980" s="18">
        <f>IF($A1980="","",Paramètres!G36)</f>
        <v/>
      </c>
      <c r="C1980" s="18">
        <f>IF($A1980="","",IF(Paramètres!H36="","",Paramètres!H36))</f>
        <v/>
      </c>
      <c r="D1980" s="18">
        <f>IF($A1980="","",IF(Paramètres!I36="","",Paramètres!I36))</f>
        <v/>
      </c>
      <c r="E1980" s="19">
        <f>IF($A1980="","",IF(Paramètres!J36&amp;Paramètres!L36&amp;Paramètres!N36="",Dossiers!$D$40,MAX(IF(Paramètres!J36="",0,IF(Paramètres!K36="",NA(),IF(LEFT(TRIM(Paramètres!K36),1)="F",INDEX($F$1949:$F$2001,MATCH(Paramètres!J36,Paramètres!$G$5:$G$57,0)),INDEX($E$1949:$E$2001,MATCH(Paramètres!J36,Paramètres!$G$5:$G$57,0)))+IF(RIGHT(TRIM(Paramètres!K36),3)="Fin",1-$H1980,IF(LEFT(TRIM(Paramètres!K36),1)="F",1,0)))),IF(Paramètres!L36="",0,IF(Paramètres!M36="",NA(),IF(LEFT(TRIM(Paramètres!M36),1)="F",INDEX($F$1949:$F$2001,MATCH(Paramètres!L36,Paramètres!$G$5:$G$57,0)),INDEX($E$1949:$E$2001,MATCH(Paramètres!L36,Paramètres!$G$5:$G$57,0)))+IF(RIGHT(TRIM(Paramètres!M36),3)="Fin",1-$H1980,IF(LEFT(TRIM(Paramètres!M36),1)="F",1,0)))),IF(Paramètres!N36="",0,IF(Paramètres!O36="",NA(),IF(LEFT(TRIM(Paramètres!O36),1)="F",INDEX($F$1949:$F$2001,MATCH(Paramètres!N36,Paramètres!$G$5:$G$57,0)),INDEX($E$1949:$E$2001,MATCH(Paramètres!N36,Paramètres!$G$5:$G$57,0)))+IF(RIGHT(TRIM(Paramètres!O36),3)="Fin",1-$H1980,IF(LEFT(TRIM(Paramètres!O36),1)="F",1,0)))))))</f>
        <v/>
      </c>
      <c r="F1980" s="19">
        <f>IF($A1980="","",E1980+$H1980-1)</f>
        <v/>
      </c>
      <c r="G1980" s="18" t="n"/>
      <c r="H1980" s="18">
        <f>IF($A1980="","",IF(I1980&lt;&gt;"",I1980,Paramètres!B36))</f>
        <v/>
      </c>
      <c r="I1980" s="18" t="n"/>
    </row>
    <row r="1981">
      <c r="A1981" s="18">
        <f>IF(ISNUMBER(Dossiers!$D$40),Dossiers!$A$40&amp;" · "&amp;Dossiers!$B$40,"")</f>
        <v/>
      </c>
      <c r="B1981" s="18">
        <f>IF($A1981="","",Paramètres!G37)</f>
        <v/>
      </c>
      <c r="C1981" s="18">
        <f>IF($A1981="","",IF(Paramètres!H37="","",Paramètres!H37))</f>
        <v/>
      </c>
      <c r="D1981" s="18">
        <f>IF($A1981="","",IF(Paramètres!I37="","",Paramètres!I37))</f>
        <v/>
      </c>
      <c r="E1981" s="19">
        <f>IF($A1981="","",MIN(E1982:E1999))</f>
        <v/>
      </c>
      <c r="F1981" s="19">
        <f>IF($A1981="","",MAX(F1982:F1999))</f>
        <v/>
      </c>
      <c r="G1981" s="18" t="n"/>
      <c r="H1981" s="18">
        <f>IF($A1981="","",F1981-E1981+1)</f>
        <v/>
      </c>
      <c r="I1981" s="18" t="n"/>
    </row>
    <row r="1982">
      <c r="A1982" s="18">
        <f>IF(ISNUMBER(Dossiers!$D$40),Dossiers!$A$40&amp;" · "&amp;Dossiers!$B$40,"")</f>
        <v/>
      </c>
      <c r="B1982" s="18">
        <f>IF($A1982="","",Paramètres!G38)</f>
        <v/>
      </c>
      <c r="C1982" s="18">
        <f>IF($A1982="","",IF(Paramètres!H38="","",Paramètres!H38))</f>
        <v/>
      </c>
      <c r="D1982" s="18">
        <f>IF($A1982="","",IF(Paramètres!I38="","",Paramètres!I38))</f>
        <v/>
      </c>
      <c r="E1982" s="19">
        <f>IF($A1982="","",IF(Paramètres!J38&amp;Paramètres!L38&amp;Paramètres!N38="",Dossiers!$D$40,MAX(IF(Paramètres!J38="",0,IF(Paramètres!K38="",NA(),IF(LEFT(TRIM(Paramètres!K38),1)="F",INDEX($F$1949:$F$2001,MATCH(Paramètres!J38,Paramètres!$G$5:$G$57,0)),INDEX($E$1949:$E$2001,MATCH(Paramètres!J38,Paramètres!$G$5:$G$57,0)))+IF(RIGHT(TRIM(Paramètres!K38),3)="Fin",1-$H1982,IF(LEFT(TRIM(Paramètres!K38),1)="F",1,0)))),IF(Paramètres!L38="",0,IF(Paramètres!M38="",NA(),IF(LEFT(TRIM(Paramètres!M38),1)="F",INDEX($F$1949:$F$2001,MATCH(Paramètres!L38,Paramètres!$G$5:$G$57,0)),INDEX($E$1949:$E$2001,MATCH(Paramètres!L38,Paramètres!$G$5:$G$57,0)))+IF(RIGHT(TRIM(Paramètres!M38),3)="Fin",1-$H1982,IF(LEFT(TRIM(Paramètres!M38),1)="F",1,0)))),IF(Paramètres!N38="",0,IF(Paramètres!O38="",NA(),IF(LEFT(TRIM(Paramètres!O38),1)="F",INDEX($F$1949:$F$2001,MATCH(Paramètres!N38,Paramètres!$G$5:$G$57,0)),INDEX($E$1949:$E$2001,MATCH(Paramètres!N38,Paramètres!$G$5:$G$57,0)))+IF(RIGHT(TRIM(Paramètres!O38),3)="Fin",1-$H1982,IF(LEFT(TRIM(Paramètres!O38),1)="F",1,0)))))))</f>
        <v/>
      </c>
      <c r="F1982" s="19">
        <f>IF($A1982="","",E1982+$H1982-1)</f>
        <v/>
      </c>
      <c r="G1982" s="18" t="n"/>
      <c r="H1982" s="18">
        <f>IF($A1982="","",IF(I1982&lt;&gt;"",I1982,Paramètres!B38))</f>
        <v/>
      </c>
      <c r="I1982" s="18" t="n"/>
    </row>
    <row r="1983">
      <c r="A1983" s="18">
        <f>IF(ISNUMBER(Dossiers!$D$40),Dossiers!$A$40&amp;" · "&amp;Dossiers!$B$40,"")</f>
        <v/>
      </c>
      <c r="B1983" s="18">
        <f>IF($A1983="","",Paramètres!G39)</f>
        <v/>
      </c>
      <c r="C1983" s="18">
        <f>IF($A1983="","",IF(Paramètres!H39="","",Paramètres!H39))</f>
        <v/>
      </c>
      <c r="D1983" s="18">
        <f>IF($A1983="","",IF(Paramètres!I39="","",Paramètres!I39))</f>
        <v/>
      </c>
      <c r="E1983" s="19">
        <f>IF($A1983="","",IF(Paramètres!J39&amp;Paramètres!L39&amp;Paramètres!N39="",Dossiers!$D$40,MAX(IF(Paramètres!J39="",0,IF(Paramètres!K39="",NA(),IF(LEFT(TRIM(Paramètres!K39),1)="F",INDEX($F$1949:$F$2001,MATCH(Paramètres!J39,Paramètres!$G$5:$G$57,0)),INDEX($E$1949:$E$2001,MATCH(Paramètres!J39,Paramètres!$G$5:$G$57,0)))+IF(RIGHT(TRIM(Paramètres!K39),3)="Fin",1-$H1983,IF(LEFT(TRIM(Paramètres!K39),1)="F",1,0)))),IF(Paramètres!L39="",0,IF(Paramètres!M39="",NA(),IF(LEFT(TRIM(Paramètres!M39),1)="F",INDEX($F$1949:$F$2001,MATCH(Paramètres!L39,Paramètres!$G$5:$G$57,0)),INDEX($E$1949:$E$2001,MATCH(Paramètres!L39,Paramètres!$G$5:$G$57,0)))+IF(RIGHT(TRIM(Paramètres!M39),3)="Fin",1-$H1983,IF(LEFT(TRIM(Paramètres!M39),1)="F",1,0)))),IF(Paramètres!N39="",0,IF(Paramètres!O39="",NA(),IF(LEFT(TRIM(Paramètres!O39),1)="F",INDEX($F$1949:$F$2001,MATCH(Paramètres!N39,Paramètres!$G$5:$G$57,0)),INDEX($E$1949:$E$2001,MATCH(Paramètres!N39,Paramètres!$G$5:$G$57,0)))+IF(RIGHT(TRIM(Paramètres!O39),3)="Fin",1-$H1983,IF(LEFT(TRIM(Paramètres!O39),1)="F",1,0)))))))</f>
        <v/>
      </c>
      <c r="F1983" s="19">
        <f>IF($A1983="","",E1983+$H1983-1)</f>
        <v/>
      </c>
      <c r="G1983" s="18" t="n"/>
      <c r="H1983" s="18">
        <f>IF($A1983="","",IF(I1983&lt;&gt;"",I1983,Paramètres!B39))</f>
        <v/>
      </c>
      <c r="I1983" s="18" t="n"/>
    </row>
    <row r="1984">
      <c r="A1984" s="18">
        <f>IF(ISNUMBER(Dossiers!$D$40),Dossiers!$A$40&amp;" · "&amp;Dossiers!$B$40,"")</f>
        <v/>
      </c>
      <c r="B1984" s="18">
        <f>IF($A1984="","",Paramètres!G40)</f>
        <v/>
      </c>
      <c r="C1984" s="18">
        <f>IF($A1984="","",IF(Paramètres!H40="","",Paramètres!H40))</f>
        <v/>
      </c>
      <c r="D1984" s="18">
        <f>IF($A1984="","",IF(Paramètres!I40="","",Paramètres!I40))</f>
        <v/>
      </c>
      <c r="E1984" s="19">
        <f>IF($A1984="","",IF(Paramètres!J40&amp;Paramètres!L40&amp;Paramètres!N40="",Dossiers!$D$40,MAX(IF(Paramètres!J40="",0,IF(Paramètres!K40="",NA(),IF(LEFT(TRIM(Paramètres!K40),1)="F",INDEX($F$1949:$F$2001,MATCH(Paramètres!J40,Paramètres!$G$5:$G$57,0)),INDEX($E$1949:$E$2001,MATCH(Paramètres!J40,Paramètres!$G$5:$G$57,0)))+IF(RIGHT(TRIM(Paramètres!K40),3)="Fin",1-$H1984,IF(LEFT(TRIM(Paramètres!K40),1)="F",1,0)))),IF(Paramètres!L40="",0,IF(Paramètres!M40="",NA(),IF(LEFT(TRIM(Paramètres!M40),1)="F",INDEX($F$1949:$F$2001,MATCH(Paramètres!L40,Paramètres!$G$5:$G$57,0)),INDEX($E$1949:$E$2001,MATCH(Paramètres!L40,Paramètres!$G$5:$G$57,0)))+IF(RIGHT(TRIM(Paramètres!M40),3)="Fin",1-$H1984,IF(LEFT(TRIM(Paramètres!M40),1)="F",1,0)))),IF(Paramètres!N40="",0,IF(Paramètres!O40="",NA(),IF(LEFT(TRIM(Paramètres!O40),1)="F",INDEX($F$1949:$F$2001,MATCH(Paramètres!N40,Paramètres!$G$5:$G$57,0)),INDEX($E$1949:$E$2001,MATCH(Paramètres!N40,Paramètres!$G$5:$G$57,0)))+IF(RIGHT(TRIM(Paramètres!O40),3)="Fin",1-$H1984,IF(LEFT(TRIM(Paramètres!O40),1)="F",1,0)))))))</f>
        <v/>
      </c>
      <c r="F1984" s="19">
        <f>IF($A1984="","",E1984+$H1984-1)</f>
        <v/>
      </c>
      <c r="G1984" s="18" t="n"/>
      <c r="H1984" s="18">
        <f>IF($A1984="","",IF(I1984&lt;&gt;"",I1984,Paramètres!B40))</f>
        <v/>
      </c>
      <c r="I1984" s="18" t="n"/>
    </row>
    <row r="1985">
      <c r="A1985" s="18">
        <f>IF(ISNUMBER(Dossiers!$D$40),Dossiers!$A$40&amp;" · "&amp;Dossiers!$B$40,"")</f>
        <v/>
      </c>
      <c r="B1985" s="18">
        <f>IF($A1985="","",Paramètres!G41)</f>
        <v/>
      </c>
      <c r="C1985" s="18">
        <f>IF($A1985="","",IF(Paramètres!H41="","",Paramètres!H41))</f>
        <v/>
      </c>
      <c r="D1985" s="18">
        <f>IF($A1985="","",IF(Paramètres!I41="","",Paramètres!I41))</f>
        <v/>
      </c>
      <c r="E1985" s="19">
        <f>IF($A1985="","",IF(Paramètres!J41&amp;Paramètres!L41&amp;Paramètres!N41="",Dossiers!$D$40,MAX(IF(Paramètres!J41="",0,IF(Paramètres!K41="",NA(),IF(LEFT(TRIM(Paramètres!K41),1)="F",INDEX($F$1949:$F$2001,MATCH(Paramètres!J41,Paramètres!$G$5:$G$57,0)),INDEX($E$1949:$E$2001,MATCH(Paramètres!J41,Paramètres!$G$5:$G$57,0)))+IF(RIGHT(TRIM(Paramètres!K41),3)="Fin",1-$H1985,IF(LEFT(TRIM(Paramètres!K41),1)="F",1,0)))),IF(Paramètres!L41="",0,IF(Paramètres!M41="",NA(),IF(LEFT(TRIM(Paramètres!M41),1)="F",INDEX($F$1949:$F$2001,MATCH(Paramètres!L41,Paramètres!$G$5:$G$57,0)),INDEX($E$1949:$E$2001,MATCH(Paramètres!L41,Paramètres!$G$5:$G$57,0)))+IF(RIGHT(TRIM(Paramètres!M41),3)="Fin",1-$H1985,IF(LEFT(TRIM(Paramètres!M41),1)="F",1,0)))),IF(Paramètres!N41="",0,IF(Paramètres!O41="",NA(),IF(LEFT(TRIM(Paramètres!O41),1)="F",INDEX($F$1949:$F$2001,MATCH(Paramètres!N41,Paramètres!$G$5:$G$57,0)),INDEX($E$1949:$E$2001,MATCH(Paramètres!N41,Paramètres!$G$5:$G$57,0)))+IF(RIGHT(TRIM(Paramètres!O41),3)="Fin",1-$H1985,IF(LEFT(TRIM(Paramètres!O41),1)="F",1,0)))))))</f>
        <v/>
      </c>
      <c r="F1985" s="19">
        <f>IF($A1985="","",E1985+$H1985-1)</f>
        <v/>
      </c>
      <c r="G1985" s="18" t="n"/>
      <c r="H1985" s="18">
        <f>IF($A1985="","",IF(I1985&lt;&gt;"",I1985,Paramètres!B41))</f>
        <v/>
      </c>
      <c r="I1985" s="18" t="n"/>
    </row>
    <row r="1986">
      <c r="A1986" s="18">
        <f>IF(ISNUMBER(Dossiers!$D$40),Dossiers!$A$40&amp;" · "&amp;Dossiers!$B$40,"")</f>
        <v/>
      </c>
      <c r="B1986" s="18">
        <f>IF($A1986="","",Paramètres!G42)</f>
        <v/>
      </c>
      <c r="C1986" s="18">
        <f>IF($A1986="","",IF(Paramètres!H42="","",Paramètres!H42))</f>
        <v/>
      </c>
      <c r="D1986" s="18">
        <f>IF($A1986="","",IF(Paramètres!I42="","",Paramètres!I42))</f>
        <v/>
      </c>
      <c r="E1986" s="19">
        <f>IF($A1986="","",IF(Paramètres!J42&amp;Paramètres!L42&amp;Paramètres!N42="",Dossiers!$D$40,MAX(IF(Paramètres!J42="",0,IF(Paramètres!K42="",NA(),IF(LEFT(TRIM(Paramètres!K42),1)="F",INDEX($F$1949:$F$2001,MATCH(Paramètres!J42,Paramètres!$G$5:$G$57,0)),INDEX($E$1949:$E$2001,MATCH(Paramètres!J42,Paramètres!$G$5:$G$57,0)))+IF(RIGHT(TRIM(Paramètres!K42),3)="Fin",1-$H1986,IF(LEFT(TRIM(Paramètres!K42),1)="F",1,0)))),IF(Paramètres!L42="",0,IF(Paramètres!M42="",NA(),IF(LEFT(TRIM(Paramètres!M42),1)="F",INDEX($F$1949:$F$2001,MATCH(Paramètres!L42,Paramètres!$G$5:$G$57,0)),INDEX($E$1949:$E$2001,MATCH(Paramètres!L42,Paramètres!$G$5:$G$57,0)))+IF(RIGHT(TRIM(Paramètres!M42),3)="Fin",1-$H1986,IF(LEFT(TRIM(Paramètres!M42),1)="F",1,0)))),IF(Paramètres!N42="",0,IF(Paramètres!O42="",NA(),IF(LEFT(TRIM(Paramètres!O42),1)="F",INDEX($F$1949:$F$2001,MATCH(Paramètres!N42,Paramètres!$G$5:$G$57,0)),INDEX($E$1949:$E$2001,MATCH(Paramètres!N42,Paramètres!$G$5:$G$57,0)))+IF(RIGHT(TRIM(Paramètres!O42),3)="Fin",1-$H1986,IF(LEFT(TRIM(Paramètres!O42),1)="F",1,0)))))))</f>
        <v/>
      </c>
      <c r="F1986" s="19">
        <f>IF($A1986="","",E1986+$H1986-1)</f>
        <v/>
      </c>
      <c r="G1986" s="18" t="n"/>
      <c r="H1986" s="18">
        <f>IF($A1986="","",IF(I1986&lt;&gt;"",I1986,Paramètres!B42))</f>
        <v/>
      </c>
      <c r="I1986" s="18" t="n"/>
    </row>
    <row r="1987">
      <c r="A1987" s="18">
        <f>IF(ISNUMBER(Dossiers!$D$40),Dossiers!$A$40&amp;" · "&amp;Dossiers!$B$40,"")</f>
        <v/>
      </c>
      <c r="B1987" s="18">
        <f>IF($A1987="","",Paramètres!G43)</f>
        <v/>
      </c>
      <c r="C1987" s="18">
        <f>IF($A1987="","",IF(Paramètres!H43="","",Paramètres!H43))</f>
        <v/>
      </c>
      <c r="D1987" s="18">
        <f>IF($A1987="","",IF(Paramètres!I43="","",Paramètres!I43))</f>
        <v/>
      </c>
      <c r="E1987" s="19">
        <f>IF($A1987="","",IF(Paramètres!J43&amp;Paramètres!L43&amp;Paramètres!N43="",Dossiers!$D$40,MAX(IF(Paramètres!J43="",0,IF(Paramètres!K43="",NA(),IF(LEFT(TRIM(Paramètres!K43),1)="F",INDEX($F$1949:$F$2001,MATCH(Paramètres!J43,Paramètres!$G$5:$G$57,0)),INDEX($E$1949:$E$2001,MATCH(Paramètres!J43,Paramètres!$G$5:$G$57,0)))+IF(RIGHT(TRIM(Paramètres!K43),3)="Fin",1-$H1987,IF(LEFT(TRIM(Paramètres!K43),1)="F",1,0)))),IF(Paramètres!L43="",0,IF(Paramètres!M43="",NA(),IF(LEFT(TRIM(Paramètres!M43),1)="F",INDEX($F$1949:$F$2001,MATCH(Paramètres!L43,Paramètres!$G$5:$G$57,0)),INDEX($E$1949:$E$2001,MATCH(Paramètres!L43,Paramètres!$G$5:$G$57,0)))+IF(RIGHT(TRIM(Paramètres!M43),3)="Fin",1-$H1987,IF(LEFT(TRIM(Paramètres!M43),1)="F",1,0)))),IF(Paramètres!N43="",0,IF(Paramètres!O43="",NA(),IF(LEFT(TRIM(Paramètres!O43),1)="F",INDEX($F$1949:$F$2001,MATCH(Paramètres!N43,Paramètres!$G$5:$G$57,0)),INDEX($E$1949:$E$2001,MATCH(Paramètres!N43,Paramètres!$G$5:$G$57,0)))+IF(RIGHT(TRIM(Paramètres!O43),3)="Fin",1-$H1987,IF(LEFT(TRIM(Paramètres!O43),1)="F",1,0)))))))</f>
        <v/>
      </c>
      <c r="F1987" s="19">
        <f>IF($A1987="","",E1987+$H1987-1)</f>
        <v/>
      </c>
      <c r="G1987" s="18" t="n"/>
      <c r="H1987" s="18">
        <f>IF($A1987="","",IF(I1987&lt;&gt;"",I1987,Paramètres!B43))</f>
        <v/>
      </c>
      <c r="I1987" s="18" t="n"/>
    </row>
    <row r="1988">
      <c r="A1988" s="18">
        <f>IF(ISNUMBER(Dossiers!$D$40),Dossiers!$A$40&amp;" · "&amp;Dossiers!$B$40,"")</f>
        <v/>
      </c>
      <c r="B1988" s="18">
        <f>IF($A1988="","",Paramètres!G44)</f>
        <v/>
      </c>
      <c r="C1988" s="18">
        <f>IF($A1988="","",IF(Paramètres!H44="","",Paramètres!H44))</f>
        <v/>
      </c>
      <c r="D1988" s="18">
        <f>IF($A1988="","",IF(Paramètres!I44="","",Paramètres!I44))</f>
        <v/>
      </c>
      <c r="E1988" s="19">
        <f>IF($A1988="","",IF(Paramètres!J44&amp;Paramètres!L44&amp;Paramètres!N44="",Dossiers!$D$40,MAX(IF(Paramètres!J44="",0,IF(Paramètres!K44="",NA(),IF(LEFT(TRIM(Paramètres!K44),1)="F",INDEX($F$1949:$F$2001,MATCH(Paramètres!J44,Paramètres!$G$5:$G$57,0)),INDEX($E$1949:$E$2001,MATCH(Paramètres!J44,Paramètres!$G$5:$G$57,0)))+IF(RIGHT(TRIM(Paramètres!K44),3)="Fin",1-$H1988,IF(LEFT(TRIM(Paramètres!K44),1)="F",1,0)))),IF(Paramètres!L44="",0,IF(Paramètres!M44="",NA(),IF(LEFT(TRIM(Paramètres!M44),1)="F",INDEX($F$1949:$F$2001,MATCH(Paramètres!L44,Paramètres!$G$5:$G$57,0)),INDEX($E$1949:$E$2001,MATCH(Paramètres!L44,Paramètres!$G$5:$G$57,0)))+IF(RIGHT(TRIM(Paramètres!M44),3)="Fin",1-$H1988,IF(LEFT(TRIM(Paramètres!M44),1)="F",1,0)))),IF(Paramètres!N44="",0,IF(Paramètres!O44="",NA(),IF(LEFT(TRIM(Paramètres!O44),1)="F",INDEX($F$1949:$F$2001,MATCH(Paramètres!N44,Paramètres!$G$5:$G$57,0)),INDEX($E$1949:$E$2001,MATCH(Paramètres!N44,Paramètres!$G$5:$G$57,0)))+IF(RIGHT(TRIM(Paramètres!O44),3)="Fin",1-$H1988,IF(LEFT(TRIM(Paramètres!O44),1)="F",1,0)))))))</f>
        <v/>
      </c>
      <c r="F1988" s="19">
        <f>IF($A1988="","",E1988+$H1988-1)</f>
        <v/>
      </c>
      <c r="G1988" s="18" t="n"/>
      <c r="H1988" s="18">
        <f>IF($A1988="","",IF(I1988&lt;&gt;"",I1988,Paramètres!B44))</f>
        <v/>
      </c>
      <c r="I1988" s="18" t="n"/>
    </row>
    <row r="1989">
      <c r="A1989" s="18">
        <f>IF(ISNUMBER(Dossiers!$D$40),Dossiers!$A$40&amp;" · "&amp;Dossiers!$B$40,"")</f>
        <v/>
      </c>
      <c r="B1989" s="18">
        <f>IF($A1989="","",Paramètres!G45)</f>
        <v/>
      </c>
      <c r="C1989" s="20">
        <f>IF($A1989="","",IF(Dossiers!$G$40="","",Dossiers!$G$40))</f>
        <v/>
      </c>
      <c r="D1989" s="18">
        <f>IF($A1989="","",IF(Paramètres!I45="","",Paramètres!I45))</f>
        <v/>
      </c>
      <c r="E1989" s="19">
        <f>IF($A1989="","",IF(Paramètres!J45&amp;Paramètres!L45&amp;Paramètres!N45="",Dossiers!$D$40,MAX(IF(Paramètres!J45="",0,IF(Paramètres!K45="",NA(),IF(LEFT(TRIM(Paramètres!K45),1)="F",INDEX($F$1949:$F$2001,MATCH(Paramètres!J45,Paramètres!$G$5:$G$57,0)),INDEX($E$1949:$E$2001,MATCH(Paramètres!J45,Paramètres!$G$5:$G$57,0)))+IF(RIGHT(TRIM(Paramètres!K45),3)="Fin",1-$H1989,IF(LEFT(TRIM(Paramètres!K45),1)="F",1,0)))),IF(Paramètres!L45="",0,IF(Paramètres!M45="",NA(),IF(LEFT(TRIM(Paramètres!M45),1)="F",INDEX($F$1949:$F$2001,MATCH(Paramètres!L45,Paramètres!$G$5:$G$57,0)),INDEX($E$1949:$E$2001,MATCH(Paramètres!L45,Paramètres!$G$5:$G$57,0)))+IF(RIGHT(TRIM(Paramètres!M45),3)="Fin",1-$H1989,IF(LEFT(TRIM(Paramètres!M45),1)="F",1,0)))),IF(Paramètres!N45="",0,IF(Paramètres!O45="",NA(),IF(LEFT(TRIM(Paramètres!O45),1)="F",INDEX($F$1949:$F$2001,MATCH(Paramètres!N45,Paramètres!$G$5:$G$57,0)),INDEX($E$1949:$E$2001,MATCH(Paramètres!N45,Paramètres!$G$5:$G$57,0)))+IF(RIGHT(TRIM(Paramètres!O45),3)="Fin",1-$H1989,IF(LEFT(TRIM(Paramètres!O45),1)="F",1,0)))))))</f>
        <v/>
      </c>
      <c r="F1989" s="19">
        <f>IF($A1989="","",E1989+$H1989-1)</f>
        <v/>
      </c>
      <c r="G1989" s="18" t="n"/>
      <c r="H1989" s="18">
        <f>IF($A1989="","",IF(I1989&lt;&gt;"",I1989,Paramètres!B45))</f>
        <v/>
      </c>
      <c r="I1989" s="18" t="n"/>
    </row>
    <row r="1990">
      <c r="A1990" s="18">
        <f>IF(ISNUMBER(Dossiers!$D$40),Dossiers!$A$40&amp;" · "&amp;Dossiers!$B$40,"")</f>
        <v/>
      </c>
      <c r="B1990" s="18">
        <f>IF($A1990="","",Paramètres!G46)</f>
        <v/>
      </c>
      <c r="C1990" s="18">
        <f>IF($A1990="","",IF(Paramètres!H46="","",Paramètres!H46))</f>
        <v/>
      </c>
      <c r="D1990" s="18">
        <f>IF($A1990="","",IF(Paramètres!I46="","",Paramètres!I46))</f>
        <v/>
      </c>
      <c r="E1990" s="19">
        <f>IF($A1990="","",IF(Paramètres!J46&amp;Paramètres!L46&amp;Paramètres!N46="",Dossiers!$D$40,MAX(IF(Paramètres!J46="",0,IF(Paramètres!K46="",NA(),IF(LEFT(TRIM(Paramètres!K46),1)="F",INDEX($F$1949:$F$2001,MATCH(Paramètres!J46,Paramètres!$G$5:$G$57,0)),INDEX($E$1949:$E$2001,MATCH(Paramètres!J46,Paramètres!$G$5:$G$57,0)))+IF(RIGHT(TRIM(Paramètres!K46),3)="Fin",1-$H1990,IF(LEFT(TRIM(Paramètres!K46),1)="F",1,0)))),IF(Paramètres!L46="",0,IF(Paramètres!M46="",NA(),IF(LEFT(TRIM(Paramètres!M46),1)="F",INDEX($F$1949:$F$2001,MATCH(Paramètres!L46,Paramètres!$G$5:$G$57,0)),INDEX($E$1949:$E$2001,MATCH(Paramètres!L46,Paramètres!$G$5:$G$57,0)))+IF(RIGHT(TRIM(Paramètres!M46),3)="Fin",1-$H1990,IF(LEFT(TRIM(Paramètres!M46),1)="F",1,0)))),IF(Paramètres!N46="",0,IF(Paramètres!O46="",NA(),IF(LEFT(TRIM(Paramètres!O46),1)="F",INDEX($F$1949:$F$2001,MATCH(Paramètres!N46,Paramètres!$G$5:$G$57,0)),INDEX($E$1949:$E$2001,MATCH(Paramètres!N46,Paramètres!$G$5:$G$57,0)))+IF(RIGHT(TRIM(Paramètres!O46),3)="Fin",1-$H1990,IF(LEFT(TRIM(Paramètres!O46),1)="F",1,0)))))))</f>
        <v/>
      </c>
      <c r="F1990" s="19">
        <f>IF($A1990="","",E1990+$H1990-1)</f>
        <v/>
      </c>
      <c r="G1990" s="18" t="n"/>
      <c r="H1990" s="18">
        <f>IF($A1990="","",IF(I1990&lt;&gt;"",I1990,Paramètres!B46))</f>
        <v/>
      </c>
      <c r="I1990" s="18" t="n"/>
    </row>
    <row r="1991">
      <c r="A1991" s="18">
        <f>IF(ISNUMBER(Dossiers!$D$40),Dossiers!$A$40&amp;" · "&amp;Dossiers!$B$40,"")</f>
        <v/>
      </c>
      <c r="B1991" s="18">
        <f>IF($A1991="","",Paramètres!G47)</f>
        <v/>
      </c>
      <c r="C1991" s="18">
        <f>IF($A1991="","",IF(Paramètres!H47="","",Paramètres!H47))</f>
        <v/>
      </c>
      <c r="D1991" s="18">
        <f>IF($A1991="","",IF(Paramètres!I47="","",Paramètres!I47))</f>
        <v/>
      </c>
      <c r="E1991" s="19">
        <f>IF($A1991="","",IF(Paramètres!J47&amp;Paramètres!L47&amp;Paramètres!N47="",Dossiers!$D$40,MAX(IF(Paramètres!J47="",0,IF(Paramètres!K47="",NA(),IF(LEFT(TRIM(Paramètres!K47),1)="F",INDEX($F$1949:$F$2001,MATCH(Paramètres!J47,Paramètres!$G$5:$G$57,0)),INDEX($E$1949:$E$2001,MATCH(Paramètres!J47,Paramètres!$G$5:$G$57,0)))+IF(RIGHT(TRIM(Paramètres!K47),3)="Fin",1-$H1991,IF(LEFT(TRIM(Paramètres!K47),1)="F",1,0)))),IF(Paramètres!L47="",0,IF(Paramètres!M47="",NA(),IF(LEFT(TRIM(Paramètres!M47),1)="F",INDEX($F$1949:$F$2001,MATCH(Paramètres!L47,Paramètres!$G$5:$G$57,0)),INDEX($E$1949:$E$2001,MATCH(Paramètres!L47,Paramètres!$G$5:$G$57,0)))+IF(RIGHT(TRIM(Paramètres!M47),3)="Fin",1-$H1991,IF(LEFT(TRIM(Paramètres!M47),1)="F",1,0)))),IF(Paramètres!N47="",0,IF(Paramètres!O47="",NA(),IF(LEFT(TRIM(Paramètres!O47),1)="F",INDEX($F$1949:$F$2001,MATCH(Paramètres!N47,Paramètres!$G$5:$G$57,0)),INDEX($E$1949:$E$2001,MATCH(Paramètres!N47,Paramètres!$G$5:$G$57,0)))+IF(RIGHT(TRIM(Paramètres!O47),3)="Fin",1-$H1991,IF(LEFT(TRIM(Paramètres!O47),1)="F",1,0)))))))</f>
        <v/>
      </c>
      <c r="F1991" s="19">
        <f>IF($A1991="","",E1991+$H1991-1)</f>
        <v/>
      </c>
      <c r="G1991" s="18" t="n"/>
      <c r="H1991" s="18">
        <f>IF($A1991="","",IF(I1991&lt;&gt;"",I1991,Paramètres!B47))</f>
        <v/>
      </c>
      <c r="I1991" s="18" t="n"/>
    </row>
    <row r="1992">
      <c r="A1992" s="18">
        <f>IF(ISNUMBER(Dossiers!$D$40),Dossiers!$A$40&amp;" · "&amp;Dossiers!$B$40,"")</f>
        <v/>
      </c>
      <c r="B1992" s="18">
        <f>IF($A1992="","",Paramètres!G48)</f>
        <v/>
      </c>
      <c r="C1992" s="18">
        <f>IF($A1992="","",IF(Paramètres!H48="","",Paramètres!H48))</f>
        <v/>
      </c>
      <c r="D1992" s="18">
        <f>IF($A1992="","",IF(Paramètres!I48="","",Paramètres!I48))</f>
        <v/>
      </c>
      <c r="E1992" s="19">
        <f>IF($A1992="","",IF(Paramètres!J48&amp;Paramètres!L48&amp;Paramètres!N48="",Dossiers!$D$40,MAX(IF(Paramètres!J48="",0,IF(Paramètres!K48="",NA(),IF(LEFT(TRIM(Paramètres!K48),1)="F",INDEX($F$1949:$F$2001,MATCH(Paramètres!J48,Paramètres!$G$5:$G$57,0)),INDEX($E$1949:$E$2001,MATCH(Paramètres!J48,Paramètres!$G$5:$G$57,0)))+IF(RIGHT(TRIM(Paramètres!K48),3)="Fin",1-$H1992,IF(LEFT(TRIM(Paramètres!K48),1)="F",1,0)))),IF(Paramètres!L48="",0,IF(Paramètres!M48="",NA(),IF(LEFT(TRIM(Paramètres!M48),1)="F",INDEX($F$1949:$F$2001,MATCH(Paramètres!L48,Paramètres!$G$5:$G$57,0)),INDEX($E$1949:$E$2001,MATCH(Paramètres!L48,Paramètres!$G$5:$G$57,0)))+IF(RIGHT(TRIM(Paramètres!M48),3)="Fin",1-$H1992,IF(LEFT(TRIM(Paramètres!M48),1)="F",1,0)))),IF(Paramètres!N48="",0,IF(Paramètres!O48="",NA(),IF(LEFT(TRIM(Paramètres!O48),1)="F",INDEX($F$1949:$F$2001,MATCH(Paramètres!N48,Paramètres!$G$5:$G$57,0)),INDEX($E$1949:$E$2001,MATCH(Paramètres!N48,Paramètres!$G$5:$G$57,0)))+IF(RIGHT(TRIM(Paramètres!O48),3)="Fin",1-$H1992,IF(LEFT(TRIM(Paramètres!O48),1)="F",1,0)))))))</f>
        <v/>
      </c>
      <c r="F1992" s="19">
        <f>IF($A1992="","",E1992+$H1992-1)</f>
        <v/>
      </c>
      <c r="G1992" s="18" t="n"/>
      <c r="H1992" s="18">
        <f>IF($A1992="","",IF(I1992&lt;&gt;"",I1992,Paramètres!B48))</f>
        <v/>
      </c>
      <c r="I1992" s="18" t="n"/>
    </row>
    <row r="1993">
      <c r="A1993" s="18">
        <f>IF(ISNUMBER(Dossiers!$D$40),Dossiers!$A$40&amp;" · "&amp;Dossiers!$B$40,"")</f>
        <v/>
      </c>
      <c r="B1993" s="18">
        <f>IF($A1993="","",Paramètres!G49)</f>
        <v/>
      </c>
      <c r="C1993" s="18">
        <f>IF($A1993="","",IF(Paramètres!H49="","",Paramètres!H49))</f>
        <v/>
      </c>
      <c r="D1993" s="18">
        <f>IF($A1993="","",IF(Paramètres!I49="","",Paramètres!I49))</f>
        <v/>
      </c>
      <c r="E1993" s="19">
        <f>IF($A1993="","",IF(Paramètres!J49&amp;Paramètres!L49&amp;Paramètres!N49="",Dossiers!$D$40,MAX(IF(Paramètres!J49="",0,IF(Paramètres!K49="",NA(),IF(LEFT(TRIM(Paramètres!K49),1)="F",INDEX($F$1949:$F$2001,MATCH(Paramètres!J49,Paramètres!$G$5:$G$57,0)),INDEX($E$1949:$E$2001,MATCH(Paramètres!J49,Paramètres!$G$5:$G$57,0)))+IF(RIGHT(TRIM(Paramètres!K49),3)="Fin",1-$H1993,IF(LEFT(TRIM(Paramètres!K49),1)="F",1,0)))),IF(Paramètres!L49="",0,IF(Paramètres!M49="",NA(),IF(LEFT(TRIM(Paramètres!M49),1)="F",INDEX($F$1949:$F$2001,MATCH(Paramètres!L49,Paramètres!$G$5:$G$57,0)),INDEX($E$1949:$E$2001,MATCH(Paramètres!L49,Paramètres!$G$5:$G$57,0)))+IF(RIGHT(TRIM(Paramètres!M49),3)="Fin",1-$H1993,IF(LEFT(TRIM(Paramètres!M49),1)="F",1,0)))),IF(Paramètres!N49="",0,IF(Paramètres!O49="",NA(),IF(LEFT(TRIM(Paramètres!O49),1)="F",INDEX($F$1949:$F$2001,MATCH(Paramètres!N49,Paramètres!$G$5:$G$57,0)),INDEX($E$1949:$E$2001,MATCH(Paramètres!N49,Paramètres!$G$5:$G$57,0)))+IF(RIGHT(TRIM(Paramètres!O49),3)="Fin",1-$H1993,IF(LEFT(TRIM(Paramètres!O49),1)="F",1,0)))))))</f>
        <v/>
      </c>
      <c r="F1993" s="19">
        <f>IF($A1993="","",E1993+$H1993-1)</f>
        <v/>
      </c>
      <c r="G1993" s="18" t="n"/>
      <c r="H1993" s="18">
        <f>IF($A1993="","",IF(I1993&lt;&gt;"",I1993,Paramètres!B49))</f>
        <v/>
      </c>
      <c r="I1993" s="18" t="n"/>
    </row>
    <row r="1994">
      <c r="A1994" s="18">
        <f>IF(ISNUMBER(Dossiers!$D$40),Dossiers!$A$40&amp;" · "&amp;Dossiers!$B$40,"")</f>
        <v/>
      </c>
      <c r="B1994" s="18">
        <f>IF($A1994="","",Paramètres!G50)</f>
        <v/>
      </c>
      <c r="C1994" s="18">
        <f>IF($A1994="","",IF(Paramètres!H50="","",Paramètres!H50))</f>
        <v/>
      </c>
      <c r="D1994" s="18">
        <f>IF($A1994="","",IF(Paramètres!I50="","",Paramètres!I50))</f>
        <v/>
      </c>
      <c r="E1994" s="19">
        <f>IF($A1994="","",IF(Paramètres!J50&amp;Paramètres!L50&amp;Paramètres!N50="",Dossiers!$D$40,MAX(IF(Paramètres!J50="",0,IF(Paramètres!K50="",NA(),IF(LEFT(TRIM(Paramètres!K50),1)="F",INDEX($F$1949:$F$2001,MATCH(Paramètres!J50,Paramètres!$G$5:$G$57,0)),INDEX($E$1949:$E$2001,MATCH(Paramètres!J50,Paramètres!$G$5:$G$57,0)))+IF(RIGHT(TRIM(Paramètres!K50),3)="Fin",1-$H1994,IF(LEFT(TRIM(Paramètres!K50),1)="F",1,0)))),IF(Paramètres!L50="",0,IF(Paramètres!M50="",NA(),IF(LEFT(TRIM(Paramètres!M50),1)="F",INDEX($F$1949:$F$2001,MATCH(Paramètres!L50,Paramètres!$G$5:$G$57,0)),INDEX($E$1949:$E$2001,MATCH(Paramètres!L50,Paramètres!$G$5:$G$57,0)))+IF(RIGHT(TRIM(Paramètres!M50),3)="Fin",1-$H1994,IF(LEFT(TRIM(Paramètres!M50),1)="F",1,0)))),IF(Paramètres!N50="",0,IF(Paramètres!O50="",NA(),IF(LEFT(TRIM(Paramètres!O50),1)="F",INDEX($F$1949:$F$2001,MATCH(Paramètres!N50,Paramètres!$G$5:$G$57,0)),INDEX($E$1949:$E$2001,MATCH(Paramètres!N50,Paramètres!$G$5:$G$57,0)))+IF(RIGHT(TRIM(Paramètres!O50),3)="Fin",1-$H1994,IF(LEFT(TRIM(Paramètres!O50),1)="F",1,0)))))))</f>
        <v/>
      </c>
      <c r="F1994" s="19">
        <f>IF($A1994="","",E1994+$H1994-1)</f>
        <v/>
      </c>
      <c r="G1994" s="18" t="n"/>
      <c r="H1994" s="18">
        <f>IF($A1994="","",IF(I1994&lt;&gt;"",I1994,Paramètres!B50))</f>
        <v/>
      </c>
      <c r="I1994" s="18" t="n"/>
    </row>
    <row r="1995">
      <c r="A1995" s="18">
        <f>IF(ISNUMBER(Dossiers!$D$40),Dossiers!$A$40&amp;" · "&amp;Dossiers!$B$40,"")</f>
        <v/>
      </c>
      <c r="B1995" s="18">
        <f>IF($A1995="","",Paramètres!G51)</f>
        <v/>
      </c>
      <c r="C1995" s="18">
        <f>IF($A1995="","",IF(Paramètres!H51="","",Paramètres!H51))</f>
        <v/>
      </c>
      <c r="D1995" s="18">
        <f>IF($A1995="","",IF(Paramètres!I51="","",Paramètres!I51))</f>
        <v/>
      </c>
      <c r="E1995" s="19">
        <f>IF($A1995="","",IF(Paramètres!J51&amp;Paramètres!L51&amp;Paramètres!N51="",Dossiers!$D$40,MAX(IF(Paramètres!J51="",0,IF(Paramètres!K51="",NA(),IF(LEFT(TRIM(Paramètres!K51),1)="F",INDEX($F$1949:$F$2001,MATCH(Paramètres!J51,Paramètres!$G$5:$G$57,0)),INDEX($E$1949:$E$2001,MATCH(Paramètres!J51,Paramètres!$G$5:$G$57,0)))+IF(RIGHT(TRIM(Paramètres!K51),3)="Fin",1-$H1995,IF(LEFT(TRIM(Paramètres!K51),1)="F",1,0)))),IF(Paramètres!L51="",0,IF(Paramètres!M51="",NA(),IF(LEFT(TRIM(Paramètres!M51),1)="F",INDEX($F$1949:$F$2001,MATCH(Paramètres!L51,Paramètres!$G$5:$G$57,0)),INDEX($E$1949:$E$2001,MATCH(Paramètres!L51,Paramètres!$G$5:$G$57,0)))+IF(RIGHT(TRIM(Paramètres!M51),3)="Fin",1-$H1995,IF(LEFT(TRIM(Paramètres!M51),1)="F",1,0)))),IF(Paramètres!N51="",0,IF(Paramètres!O51="",NA(),IF(LEFT(TRIM(Paramètres!O51),1)="F",INDEX($F$1949:$F$2001,MATCH(Paramètres!N51,Paramètres!$G$5:$G$57,0)),INDEX($E$1949:$E$2001,MATCH(Paramètres!N51,Paramètres!$G$5:$G$57,0)))+IF(RIGHT(TRIM(Paramètres!O51),3)="Fin",1-$H1995,IF(LEFT(TRIM(Paramètres!O51),1)="F",1,0)))))))</f>
        <v/>
      </c>
      <c r="F1995" s="19">
        <f>IF($A1995="","",E1995+$H1995-1)</f>
        <v/>
      </c>
      <c r="G1995" s="18" t="n"/>
      <c r="H1995" s="18">
        <f>IF($A1995="","",IF(I1995&lt;&gt;"",I1995,Paramètres!B51))</f>
        <v/>
      </c>
      <c r="I1995" s="18" t="n"/>
    </row>
    <row r="1996">
      <c r="A1996" s="18">
        <f>IF(ISNUMBER(Dossiers!$D$40),Dossiers!$A$40&amp;" · "&amp;Dossiers!$B$40,"")</f>
        <v/>
      </c>
      <c r="B1996" s="18">
        <f>IF($A1996="","",Paramètres!G52)</f>
        <v/>
      </c>
      <c r="C1996" s="18">
        <f>IF($A1996="","",IF(Paramètres!H52="","",Paramètres!H52))</f>
        <v/>
      </c>
      <c r="D1996" s="18">
        <f>IF($A1996="","",IF(Paramètres!I52="","",Paramètres!I52))</f>
        <v/>
      </c>
      <c r="E1996" s="19">
        <f>IF($A1996="","",IF(Paramètres!J52&amp;Paramètres!L52&amp;Paramètres!N52="",Dossiers!$D$40,MAX(IF(Paramètres!J52="",0,IF(Paramètres!K52="",NA(),IF(LEFT(TRIM(Paramètres!K52),1)="F",INDEX($F$1949:$F$2001,MATCH(Paramètres!J52,Paramètres!$G$5:$G$57,0)),INDEX($E$1949:$E$2001,MATCH(Paramètres!J52,Paramètres!$G$5:$G$57,0)))+IF(RIGHT(TRIM(Paramètres!K52),3)="Fin",1-$H1996,IF(LEFT(TRIM(Paramètres!K52),1)="F",1,0)))),IF(Paramètres!L52="",0,IF(Paramètres!M52="",NA(),IF(LEFT(TRIM(Paramètres!M52),1)="F",INDEX($F$1949:$F$2001,MATCH(Paramètres!L52,Paramètres!$G$5:$G$57,0)),INDEX($E$1949:$E$2001,MATCH(Paramètres!L52,Paramètres!$G$5:$G$57,0)))+IF(RIGHT(TRIM(Paramètres!M52),3)="Fin",1-$H1996,IF(LEFT(TRIM(Paramètres!M52),1)="F",1,0)))),IF(Paramètres!N52="",0,IF(Paramètres!O52="",NA(),IF(LEFT(TRIM(Paramètres!O52),1)="F",INDEX($F$1949:$F$2001,MATCH(Paramètres!N52,Paramètres!$G$5:$G$57,0)),INDEX($E$1949:$E$2001,MATCH(Paramètres!N52,Paramètres!$G$5:$G$57,0)))+IF(RIGHT(TRIM(Paramètres!O52),3)="Fin",1-$H1996,IF(LEFT(TRIM(Paramètres!O52),1)="F",1,0)))))))</f>
        <v/>
      </c>
      <c r="F1996" s="19">
        <f>IF($A1996="","",E1996+$H1996-1)</f>
        <v/>
      </c>
      <c r="G1996" s="18" t="n"/>
      <c r="H1996" s="18">
        <f>IF($A1996="","",IF(I1996&lt;&gt;"",I1996,Paramètres!B52))</f>
        <v/>
      </c>
      <c r="I1996" s="18" t="n"/>
    </row>
    <row r="1997">
      <c r="A1997" s="18">
        <f>IF(ISNUMBER(Dossiers!$D$40),Dossiers!$A$40&amp;" · "&amp;Dossiers!$B$40,"")</f>
        <v/>
      </c>
      <c r="B1997" s="18">
        <f>IF($A1997="","",Paramètres!G53)</f>
        <v/>
      </c>
      <c r="C1997" s="18">
        <f>IF($A1997="","",IF(Paramètres!H53="","",Paramètres!H53))</f>
        <v/>
      </c>
      <c r="D1997" s="18">
        <f>IF($A1997="","",IF(Paramètres!I53="","",Paramètres!I53))</f>
        <v/>
      </c>
      <c r="E1997" s="19">
        <f>IF($A1997="","",IF(Paramètres!J53&amp;Paramètres!L53&amp;Paramètres!N53="",Dossiers!$D$40,MAX(IF(Paramètres!J53="",0,IF(Paramètres!K53="",NA(),IF(LEFT(TRIM(Paramètres!K53),1)="F",INDEX($F$1949:$F$2001,MATCH(Paramètres!J53,Paramètres!$G$5:$G$57,0)),INDEX($E$1949:$E$2001,MATCH(Paramètres!J53,Paramètres!$G$5:$G$57,0)))+IF(RIGHT(TRIM(Paramètres!K53),3)="Fin",1-$H1997,IF(LEFT(TRIM(Paramètres!K53),1)="F",1,0)))),IF(Paramètres!L53="",0,IF(Paramètres!M53="",NA(),IF(LEFT(TRIM(Paramètres!M53),1)="F",INDEX($F$1949:$F$2001,MATCH(Paramètres!L53,Paramètres!$G$5:$G$57,0)),INDEX($E$1949:$E$2001,MATCH(Paramètres!L53,Paramètres!$G$5:$G$57,0)))+IF(RIGHT(TRIM(Paramètres!M53),3)="Fin",1-$H1997,IF(LEFT(TRIM(Paramètres!M53),1)="F",1,0)))),IF(Paramètres!N53="",0,IF(Paramètres!O53="",NA(),IF(LEFT(TRIM(Paramètres!O53),1)="F",INDEX($F$1949:$F$2001,MATCH(Paramètres!N53,Paramètres!$G$5:$G$57,0)),INDEX($E$1949:$E$2001,MATCH(Paramètres!N53,Paramètres!$G$5:$G$57,0)))+IF(RIGHT(TRIM(Paramètres!O53),3)="Fin",1-$H1997,IF(LEFT(TRIM(Paramètres!O53),1)="F",1,0)))))))</f>
        <v/>
      </c>
      <c r="F1997" s="19">
        <f>IF($A1997="","",E1997+$H1997-1)</f>
        <v/>
      </c>
      <c r="G1997" s="18" t="n"/>
      <c r="H1997" s="18">
        <f>IF($A1997="","",IF(I1997&lt;&gt;"",I1997,Paramètres!B53))</f>
        <v/>
      </c>
      <c r="I1997" s="18" t="n"/>
    </row>
    <row r="1998">
      <c r="A1998" s="18">
        <f>IF(ISNUMBER(Dossiers!$D$40),Dossiers!$A$40&amp;" · "&amp;Dossiers!$B$40,"")</f>
        <v/>
      </c>
      <c r="B1998" s="18">
        <f>IF($A1998="","",Paramètres!G54)</f>
        <v/>
      </c>
      <c r="C1998" s="18">
        <f>IF($A1998="","",IF(Paramètres!H54="","",Paramètres!H54))</f>
        <v/>
      </c>
      <c r="D1998" s="18">
        <f>IF($A1998="","",IF(Paramètres!I54="","",Paramètres!I54))</f>
        <v/>
      </c>
      <c r="E1998" s="19">
        <f>IF($A1998="","",IF(Paramètres!J54&amp;Paramètres!L54&amp;Paramètres!N54="",Dossiers!$D$40,MAX(IF(Paramètres!J54="",0,IF(Paramètres!K54="",NA(),IF(LEFT(TRIM(Paramètres!K54),1)="F",INDEX($F$1949:$F$2001,MATCH(Paramètres!J54,Paramètres!$G$5:$G$57,0)),INDEX($E$1949:$E$2001,MATCH(Paramètres!J54,Paramètres!$G$5:$G$57,0)))+IF(RIGHT(TRIM(Paramètres!K54),3)="Fin",1-$H1998,IF(LEFT(TRIM(Paramètres!K54),1)="F",1,0)))),IF(Paramètres!L54="",0,IF(Paramètres!M54="",NA(),IF(LEFT(TRIM(Paramètres!M54),1)="F",INDEX($F$1949:$F$2001,MATCH(Paramètres!L54,Paramètres!$G$5:$G$57,0)),INDEX($E$1949:$E$2001,MATCH(Paramètres!L54,Paramètres!$G$5:$G$57,0)))+IF(RIGHT(TRIM(Paramètres!M54),3)="Fin",1-$H1998,IF(LEFT(TRIM(Paramètres!M54),1)="F",1,0)))),IF(Paramètres!N54="",0,IF(Paramètres!O54="",NA(),IF(LEFT(TRIM(Paramètres!O54),1)="F",INDEX($F$1949:$F$2001,MATCH(Paramètres!N54,Paramètres!$G$5:$G$57,0)),INDEX($E$1949:$E$2001,MATCH(Paramètres!N54,Paramètres!$G$5:$G$57,0)))+IF(RIGHT(TRIM(Paramètres!O54),3)="Fin",1-$H1998,IF(LEFT(TRIM(Paramètres!O54),1)="F",1,0)))))))</f>
        <v/>
      </c>
      <c r="F1998" s="19">
        <f>IF($A1998="","",E1998+$H1998-1)</f>
        <v/>
      </c>
      <c r="G1998" s="18" t="n"/>
      <c r="H1998" s="18">
        <f>IF($A1998="","",IF(I1998&lt;&gt;"",I1998,Paramètres!B54))</f>
        <v/>
      </c>
      <c r="I1998" s="18" t="n"/>
    </row>
    <row r="1999">
      <c r="A1999" s="18">
        <f>IF(ISNUMBER(Dossiers!$D$40),Dossiers!$A$40&amp;" · "&amp;Dossiers!$B$40,"")</f>
        <v/>
      </c>
      <c r="B1999" s="18">
        <f>IF($A1999="","",Paramètres!G55)</f>
        <v/>
      </c>
      <c r="C1999" s="18">
        <f>IF($A1999="","",IF(Paramètres!H55="","",Paramètres!H55))</f>
        <v/>
      </c>
      <c r="D1999" s="18">
        <f>IF($A1999="","",IF(Paramètres!I55="","",Paramètres!I55))</f>
        <v/>
      </c>
      <c r="E1999" s="19">
        <f>IF($A1999="","",IF(Paramètres!J55&amp;Paramètres!L55&amp;Paramètres!N55="",Dossiers!$D$40,MAX(IF(Paramètres!J55="",0,IF(Paramètres!K55="",NA(),IF(LEFT(TRIM(Paramètres!K55),1)="F",INDEX($F$1949:$F$2001,MATCH(Paramètres!J55,Paramètres!$G$5:$G$57,0)),INDEX($E$1949:$E$2001,MATCH(Paramètres!J55,Paramètres!$G$5:$G$57,0)))+IF(RIGHT(TRIM(Paramètres!K55),3)="Fin",1-$H1999,IF(LEFT(TRIM(Paramètres!K55),1)="F",1,0)))),IF(Paramètres!L55="",0,IF(Paramètres!M55="",NA(),IF(LEFT(TRIM(Paramètres!M55),1)="F",INDEX($F$1949:$F$2001,MATCH(Paramètres!L55,Paramètres!$G$5:$G$57,0)),INDEX($E$1949:$E$2001,MATCH(Paramètres!L55,Paramètres!$G$5:$G$57,0)))+IF(RIGHT(TRIM(Paramètres!M55),3)="Fin",1-$H1999,IF(LEFT(TRIM(Paramètres!M55),1)="F",1,0)))),IF(Paramètres!N55="",0,IF(Paramètres!O55="",NA(),IF(LEFT(TRIM(Paramètres!O55),1)="F",INDEX($F$1949:$F$2001,MATCH(Paramètres!N55,Paramètres!$G$5:$G$57,0)),INDEX($E$1949:$E$2001,MATCH(Paramètres!N55,Paramètres!$G$5:$G$57,0)))+IF(RIGHT(TRIM(Paramètres!O55),3)="Fin",1-$H1999,IF(LEFT(TRIM(Paramètres!O55),1)="F",1,0)))))))</f>
        <v/>
      </c>
      <c r="F1999" s="19">
        <f>IF($A1999="","",E1999+$H1999-1)</f>
        <v/>
      </c>
      <c r="G1999" s="18" t="n"/>
      <c r="H1999" s="18">
        <f>IF($A1999="","",IF(I1999&lt;&gt;"",I1999,Paramètres!B55))</f>
        <v/>
      </c>
      <c r="I1999" s="18" t="n"/>
    </row>
    <row r="2000">
      <c r="A2000" s="18">
        <f>IF(ISNUMBER(Dossiers!$D$40),Dossiers!$A$40&amp;" · "&amp;Dossiers!$B$40,"")</f>
        <v/>
      </c>
      <c r="B2000" s="18">
        <f>IF($A2000="","",Paramètres!G56)</f>
        <v/>
      </c>
      <c r="C2000" s="18">
        <f>IF($A2000="","",IF(Paramètres!H56="","",Paramètres!H56))</f>
        <v/>
      </c>
      <c r="D2000" s="18">
        <f>IF($A2000="","",IF(Paramètres!I56="","",Paramètres!I56))</f>
        <v/>
      </c>
      <c r="E2000" s="19">
        <f>IF($A2000="","",MIN(E2001:E2001))</f>
        <v/>
      </c>
      <c r="F2000" s="19">
        <f>IF($A2000="","",MAX(F2001:F2001))</f>
        <v/>
      </c>
      <c r="G2000" s="18" t="n"/>
      <c r="H2000" s="18">
        <f>IF($A2000="","",F2000-E2000+1)</f>
        <v/>
      </c>
      <c r="I2000" s="18" t="n"/>
    </row>
    <row r="2001">
      <c r="A2001" s="18">
        <f>IF(ISNUMBER(Dossiers!$D$40),Dossiers!$A$40&amp;" · "&amp;Dossiers!$B$40,"")</f>
        <v/>
      </c>
      <c r="B2001" s="18">
        <f>IF($A2001="","",Paramètres!G57)</f>
        <v/>
      </c>
      <c r="C2001" s="18">
        <f>IF($A2001="","",IF(Paramètres!H57="","",Paramètres!H57))</f>
        <v/>
      </c>
      <c r="D2001" s="18">
        <f>IF($A2001="","",IF(Paramètres!I57="","",Paramètres!I57))</f>
        <v/>
      </c>
      <c r="E2001" s="19">
        <f>IF($A2001="","",IF(Paramètres!J57&amp;Paramètres!L57&amp;Paramètres!N57="",Dossiers!$D$40,MAX(IF(Paramètres!J57="",0,IF(Paramètres!K57="",NA(),IF(LEFT(TRIM(Paramètres!K57),1)="F",INDEX($F$1949:$F$2001,MATCH(Paramètres!J57,Paramètres!$G$5:$G$57,0)),INDEX($E$1949:$E$2001,MATCH(Paramètres!J57,Paramètres!$G$5:$G$57,0)))+IF(RIGHT(TRIM(Paramètres!K57),3)="Fin",1-$H2001,IF(LEFT(TRIM(Paramètres!K57),1)="F",1,0)))),IF(Paramètres!L57="",0,IF(Paramètres!M57="",NA(),IF(LEFT(TRIM(Paramètres!M57),1)="F",INDEX($F$1949:$F$2001,MATCH(Paramètres!L57,Paramètres!$G$5:$G$57,0)),INDEX($E$1949:$E$2001,MATCH(Paramètres!L57,Paramètres!$G$5:$G$57,0)))+IF(RIGHT(TRIM(Paramètres!M57),3)="Fin",1-$H2001,IF(LEFT(TRIM(Paramètres!M57),1)="F",1,0)))),IF(Paramètres!N57="",0,IF(Paramètres!O57="",NA(),IF(LEFT(TRIM(Paramètres!O57),1)="F",INDEX($F$1949:$F$2001,MATCH(Paramètres!N57,Paramètres!$G$5:$G$57,0)),INDEX($E$1949:$E$2001,MATCH(Paramètres!N57,Paramètres!$G$5:$G$57,0)))+IF(RIGHT(TRIM(Paramètres!O57),3)="Fin",1-$H2001,IF(LEFT(TRIM(Paramètres!O57),1)="F",1,0)))))))</f>
        <v/>
      </c>
      <c r="F2001" s="19">
        <f>IF($A2001="","",E2001+$H2001-1)</f>
        <v/>
      </c>
      <c r="G2001" s="18" t="n"/>
      <c r="H2001" s="18">
        <f>IF($A2001="","",IF(I2001&lt;&gt;"",I2001,Paramètres!B57))</f>
        <v/>
      </c>
      <c r="I2001" s="18" t="n"/>
    </row>
    <row r="2002">
      <c r="A2002" s="16">
        <f>IF(ISNUMBER(Dossiers!$D$41),Dossiers!$E$41,"")</f>
        <v/>
      </c>
      <c r="B2002" s="16">
        <f>IF($A2002="","","Identifiant")</f>
        <v/>
      </c>
      <c r="C2002" s="16">
        <f>IF($A2002="","","Macro Etape")</f>
        <v/>
      </c>
      <c r="D2002" s="16">
        <f>IF($A2002="","","Etape")</f>
        <v/>
      </c>
      <c r="E2002" s="17">
        <f>IF($A2002="","","Début le")</f>
        <v/>
      </c>
      <c r="F2002" s="17">
        <f>IF($A2002="","","Fin prévue le")</f>
        <v/>
      </c>
      <c r="G2002" s="16">
        <f>IF($A2002="","","Statut")</f>
        <v/>
      </c>
      <c r="H2002" s="16">
        <f>IF($A2002="","","Durée (jours)")</f>
        <v/>
      </c>
      <c r="I2002" s="16">
        <f>IF($A2002="","","Durée particulière")</f>
        <v/>
      </c>
      <c r="J2002" s="10">
        <f>IF($A2002="","",HYPERLINK("#'Tableau de bord'!A1","↑ Tableau de bord"))</f>
        <v/>
      </c>
    </row>
    <row r="2003">
      <c r="A2003" s="18">
        <f>IF(ISNUMBER(Dossiers!$D$41),Dossiers!$A$41&amp;" · "&amp;Dossiers!$B$41,"")</f>
        <v/>
      </c>
      <c r="B2003" s="18">
        <f>IF($A2003="","",Paramètres!G5)</f>
        <v/>
      </c>
      <c r="C2003" s="18">
        <f>IF($A2003="","",IF(Paramètres!H5="","",Paramètres!H5))</f>
        <v/>
      </c>
      <c r="D2003" s="18">
        <f>IF($A2003="","",IF(Paramètres!I5="","",Paramètres!I5))</f>
        <v/>
      </c>
      <c r="E2003" s="19">
        <f>IF($A2003="","",MIN(E2004:E2007))</f>
        <v/>
      </c>
      <c r="F2003" s="19">
        <f>IF($A2003="","",MAX(F2004:F2007))</f>
        <v/>
      </c>
      <c r="G2003" s="18" t="n"/>
      <c r="H2003" s="18">
        <f>IF($A2003="","",F2003-E2003+1)</f>
        <v/>
      </c>
      <c r="I2003" s="18" t="n"/>
    </row>
    <row r="2004">
      <c r="A2004" s="18">
        <f>IF(ISNUMBER(Dossiers!$D$41),Dossiers!$A$41&amp;" · "&amp;Dossiers!$B$41,"")</f>
        <v/>
      </c>
      <c r="B2004" s="18">
        <f>IF($A2004="","",Paramètres!G6)</f>
        <v/>
      </c>
      <c r="C2004" s="18">
        <f>IF($A2004="","",IF(Paramètres!H6="","",Paramètres!H6))</f>
        <v/>
      </c>
      <c r="D2004" s="18">
        <f>IF($A2004="","",IF(Paramètres!I6="","",Paramètres!I6))</f>
        <v/>
      </c>
      <c r="E2004" s="19">
        <f>IF($A2004="","",IF(Paramètres!J6&amp;Paramètres!L6&amp;Paramètres!N6="",Dossiers!$D$41,MAX(IF(Paramètres!J6="",0,IF(Paramètres!K6="",NA(),IF(LEFT(TRIM(Paramètres!K6),1)="F",INDEX($F$2003:$F$2055,MATCH(Paramètres!J6,Paramètres!$G$5:$G$57,0)),INDEX($E$2003:$E$2055,MATCH(Paramètres!J6,Paramètres!$G$5:$G$57,0)))+IF(RIGHT(TRIM(Paramètres!K6),3)="Fin",1-$H2004,IF(LEFT(TRIM(Paramètres!K6),1)="F",1,0)))),IF(Paramètres!L6="",0,IF(Paramètres!M6="",NA(),IF(LEFT(TRIM(Paramètres!M6),1)="F",INDEX($F$2003:$F$2055,MATCH(Paramètres!L6,Paramètres!$G$5:$G$57,0)),INDEX($E$2003:$E$2055,MATCH(Paramètres!L6,Paramètres!$G$5:$G$57,0)))+IF(RIGHT(TRIM(Paramètres!M6),3)="Fin",1-$H2004,IF(LEFT(TRIM(Paramètres!M6),1)="F",1,0)))),IF(Paramètres!N6="",0,IF(Paramètres!O6="",NA(),IF(LEFT(TRIM(Paramètres!O6),1)="F",INDEX($F$2003:$F$2055,MATCH(Paramètres!N6,Paramètres!$G$5:$G$57,0)),INDEX($E$2003:$E$2055,MATCH(Paramètres!N6,Paramètres!$G$5:$G$57,0)))+IF(RIGHT(TRIM(Paramètres!O6),3)="Fin",1-$H2004,IF(LEFT(TRIM(Paramètres!O6),1)="F",1,0)))))))</f>
        <v/>
      </c>
      <c r="F2004" s="19">
        <f>IF($A2004="","",E2004+$H2004-1)</f>
        <v/>
      </c>
      <c r="G2004" s="18" t="n"/>
      <c r="H2004" s="18">
        <f>IF($A2004="","",IF(I2004&lt;&gt;"",I2004,Paramètres!B6))</f>
        <v/>
      </c>
      <c r="I2004" s="18" t="n"/>
    </row>
    <row r="2005">
      <c r="A2005" s="18">
        <f>IF(ISNUMBER(Dossiers!$D$41),Dossiers!$A$41&amp;" · "&amp;Dossiers!$B$41,"")</f>
        <v/>
      </c>
      <c r="B2005" s="18">
        <f>IF($A2005="","",Paramètres!G7)</f>
        <v/>
      </c>
      <c r="C2005" s="18">
        <f>IF($A2005="","",IF(Paramètres!H7="","",Paramètres!H7))</f>
        <v/>
      </c>
      <c r="D2005" s="18">
        <f>IF($A2005="","",IF(Paramètres!I7="","",Paramètres!I7))</f>
        <v/>
      </c>
      <c r="E2005" s="19">
        <f>IF($A2005="","",IF(Paramètres!J7&amp;Paramètres!L7&amp;Paramètres!N7="",Dossiers!$D$41,MAX(IF(Paramètres!J7="",0,IF(Paramètres!K7="",NA(),IF(LEFT(TRIM(Paramètres!K7),1)="F",INDEX($F$2003:$F$2055,MATCH(Paramètres!J7,Paramètres!$G$5:$G$57,0)),INDEX($E$2003:$E$2055,MATCH(Paramètres!J7,Paramètres!$G$5:$G$57,0)))+IF(RIGHT(TRIM(Paramètres!K7),3)="Fin",1-$H2005,IF(LEFT(TRIM(Paramètres!K7),1)="F",1,0)))),IF(Paramètres!L7="",0,IF(Paramètres!M7="",NA(),IF(LEFT(TRIM(Paramètres!M7),1)="F",INDEX($F$2003:$F$2055,MATCH(Paramètres!L7,Paramètres!$G$5:$G$57,0)),INDEX($E$2003:$E$2055,MATCH(Paramètres!L7,Paramètres!$G$5:$G$57,0)))+IF(RIGHT(TRIM(Paramètres!M7),3)="Fin",1-$H2005,IF(LEFT(TRIM(Paramètres!M7),1)="F",1,0)))),IF(Paramètres!N7="",0,IF(Paramètres!O7="",NA(),IF(LEFT(TRIM(Paramètres!O7),1)="F",INDEX($F$2003:$F$2055,MATCH(Paramètres!N7,Paramètres!$G$5:$G$57,0)),INDEX($E$2003:$E$2055,MATCH(Paramètres!N7,Paramètres!$G$5:$G$57,0)))+IF(RIGHT(TRIM(Paramètres!O7),3)="Fin",1-$H2005,IF(LEFT(TRIM(Paramètres!O7),1)="F",1,0)))))))</f>
        <v/>
      </c>
      <c r="F2005" s="19">
        <f>IF($A2005="","",E2005+$H2005-1)</f>
        <v/>
      </c>
      <c r="G2005" s="18" t="n"/>
      <c r="H2005" s="18">
        <f>IF($A2005="","",IF(I2005&lt;&gt;"",I2005,Paramètres!B7))</f>
        <v/>
      </c>
      <c r="I2005" s="18" t="n"/>
    </row>
    <row r="2006">
      <c r="A2006" s="18">
        <f>IF(ISNUMBER(Dossiers!$D$41),Dossiers!$A$41&amp;" · "&amp;Dossiers!$B$41,"")</f>
        <v/>
      </c>
      <c r="B2006" s="18">
        <f>IF($A2006="","",Paramètres!G8)</f>
        <v/>
      </c>
      <c r="C2006" s="18">
        <f>IF($A2006="","",IF(Paramètres!H8="","",Paramètres!H8))</f>
        <v/>
      </c>
      <c r="D2006" s="18">
        <f>IF($A2006="","",IF(Paramètres!I8="","",Paramètres!I8))</f>
        <v/>
      </c>
      <c r="E2006" s="19">
        <f>IF($A2006="","",IF(Paramètres!J8&amp;Paramètres!L8&amp;Paramètres!N8="",Dossiers!$D$41,MAX(IF(Paramètres!J8="",0,IF(Paramètres!K8="",NA(),IF(LEFT(TRIM(Paramètres!K8),1)="F",INDEX($F$2003:$F$2055,MATCH(Paramètres!J8,Paramètres!$G$5:$G$57,0)),INDEX($E$2003:$E$2055,MATCH(Paramètres!J8,Paramètres!$G$5:$G$57,0)))+IF(RIGHT(TRIM(Paramètres!K8),3)="Fin",1-$H2006,IF(LEFT(TRIM(Paramètres!K8),1)="F",1,0)))),IF(Paramètres!L8="",0,IF(Paramètres!M8="",NA(),IF(LEFT(TRIM(Paramètres!M8),1)="F",INDEX($F$2003:$F$2055,MATCH(Paramètres!L8,Paramètres!$G$5:$G$57,0)),INDEX($E$2003:$E$2055,MATCH(Paramètres!L8,Paramètres!$G$5:$G$57,0)))+IF(RIGHT(TRIM(Paramètres!M8),3)="Fin",1-$H2006,IF(LEFT(TRIM(Paramètres!M8),1)="F",1,0)))),IF(Paramètres!N8="",0,IF(Paramètres!O8="",NA(),IF(LEFT(TRIM(Paramètres!O8),1)="F",INDEX($F$2003:$F$2055,MATCH(Paramètres!N8,Paramètres!$G$5:$G$57,0)),INDEX($E$2003:$E$2055,MATCH(Paramètres!N8,Paramètres!$G$5:$G$57,0)))+IF(RIGHT(TRIM(Paramètres!O8),3)="Fin",1-$H2006,IF(LEFT(TRIM(Paramètres!O8),1)="F",1,0)))))))</f>
        <v/>
      </c>
      <c r="F2006" s="19">
        <f>IF($A2006="","",E2006+$H2006-1)</f>
        <v/>
      </c>
      <c r="G2006" s="18" t="n"/>
      <c r="H2006" s="18">
        <f>IF($A2006="","",IF(I2006&lt;&gt;"",I2006,Paramètres!B8))</f>
        <v/>
      </c>
      <c r="I2006" s="18" t="n"/>
    </row>
    <row r="2007">
      <c r="A2007" s="18">
        <f>IF(ISNUMBER(Dossiers!$D$41),Dossiers!$A$41&amp;" · "&amp;Dossiers!$B$41,"")</f>
        <v/>
      </c>
      <c r="B2007" s="18">
        <f>IF($A2007="","",Paramètres!G9)</f>
        <v/>
      </c>
      <c r="C2007" s="18">
        <f>IF($A2007="","",IF(Paramètres!H9="","",Paramètres!H9))</f>
        <v/>
      </c>
      <c r="D2007" s="18">
        <f>IF($A2007="","",IF(Paramètres!I9="","",Paramètres!I9))</f>
        <v/>
      </c>
      <c r="E2007" s="19">
        <f>IF($A2007="","",IF(Paramètres!J9&amp;Paramètres!L9&amp;Paramètres!N9="",Dossiers!$D$41,MAX(IF(Paramètres!J9="",0,IF(Paramètres!K9="",NA(),IF(LEFT(TRIM(Paramètres!K9),1)="F",INDEX($F$2003:$F$2055,MATCH(Paramètres!J9,Paramètres!$G$5:$G$57,0)),INDEX($E$2003:$E$2055,MATCH(Paramètres!J9,Paramètres!$G$5:$G$57,0)))+IF(RIGHT(TRIM(Paramètres!K9),3)="Fin",1-$H2007,IF(LEFT(TRIM(Paramètres!K9),1)="F",1,0)))),IF(Paramètres!L9="",0,IF(Paramètres!M9="",NA(),IF(LEFT(TRIM(Paramètres!M9),1)="F",INDEX($F$2003:$F$2055,MATCH(Paramètres!L9,Paramètres!$G$5:$G$57,0)),INDEX($E$2003:$E$2055,MATCH(Paramètres!L9,Paramètres!$G$5:$G$57,0)))+IF(RIGHT(TRIM(Paramètres!M9),3)="Fin",1-$H2007,IF(LEFT(TRIM(Paramètres!M9),1)="F",1,0)))),IF(Paramètres!N9="",0,IF(Paramètres!O9="",NA(),IF(LEFT(TRIM(Paramètres!O9),1)="F",INDEX($F$2003:$F$2055,MATCH(Paramètres!N9,Paramètres!$G$5:$G$57,0)),INDEX($E$2003:$E$2055,MATCH(Paramètres!N9,Paramètres!$G$5:$G$57,0)))+IF(RIGHT(TRIM(Paramètres!O9),3)="Fin",1-$H2007,IF(LEFT(TRIM(Paramètres!O9),1)="F",1,0)))))))</f>
        <v/>
      </c>
      <c r="F2007" s="19">
        <f>IF($A2007="","",E2007+$H2007-1)</f>
        <v/>
      </c>
      <c r="G2007" s="18" t="n"/>
      <c r="H2007" s="18">
        <f>IF($A2007="","",IF(I2007&lt;&gt;"",I2007,Paramètres!B9))</f>
        <v/>
      </c>
      <c r="I2007" s="18" t="n"/>
    </row>
    <row r="2008">
      <c r="A2008" s="18">
        <f>IF(ISNUMBER(Dossiers!$D$41),Dossiers!$A$41&amp;" · "&amp;Dossiers!$B$41,"")</f>
        <v/>
      </c>
      <c r="B2008" s="18">
        <f>IF($A2008="","",Paramètres!G10)</f>
        <v/>
      </c>
      <c r="C2008" s="18">
        <f>IF($A2008="","",IF(Paramètres!H10="","",Paramètres!H10))</f>
        <v/>
      </c>
      <c r="D2008" s="18">
        <f>IF($A2008="","",IF(Paramètres!I10="","",Paramètres!I10))</f>
        <v/>
      </c>
      <c r="E2008" s="19">
        <f>IF($A2008="","",MIN(E2009:E2012))</f>
        <v/>
      </c>
      <c r="F2008" s="19">
        <f>IF($A2008="","",MAX(F2009:F2012))</f>
        <v/>
      </c>
      <c r="G2008" s="18" t="n"/>
      <c r="H2008" s="18">
        <f>IF($A2008="","",F2008-E2008+1)</f>
        <v/>
      </c>
      <c r="I2008" s="18" t="n"/>
    </row>
    <row r="2009">
      <c r="A2009" s="18">
        <f>IF(ISNUMBER(Dossiers!$D$41),Dossiers!$A$41&amp;" · "&amp;Dossiers!$B$41,"")</f>
        <v/>
      </c>
      <c r="B2009" s="18">
        <f>IF($A2009="","",Paramètres!G11)</f>
        <v/>
      </c>
      <c r="C2009" s="18">
        <f>IF($A2009="","",IF(Paramètres!H11="","",Paramètres!H11))</f>
        <v/>
      </c>
      <c r="D2009" s="18">
        <f>IF($A2009="","",IF(Paramètres!I11="","",Paramètres!I11))</f>
        <v/>
      </c>
      <c r="E2009" s="19">
        <f>IF($A2009="","",IF(Paramètres!J11&amp;Paramètres!L11&amp;Paramètres!N11="",Dossiers!$D$41,MAX(IF(Paramètres!J11="",0,IF(Paramètres!K11="",NA(),IF(LEFT(TRIM(Paramètres!K11),1)="F",INDEX($F$2003:$F$2055,MATCH(Paramètres!J11,Paramètres!$G$5:$G$57,0)),INDEX($E$2003:$E$2055,MATCH(Paramètres!J11,Paramètres!$G$5:$G$57,0)))+IF(RIGHT(TRIM(Paramètres!K11),3)="Fin",1-$H2009,IF(LEFT(TRIM(Paramètres!K11),1)="F",1,0)))),IF(Paramètres!L11="",0,IF(Paramètres!M11="",NA(),IF(LEFT(TRIM(Paramètres!M11),1)="F",INDEX($F$2003:$F$2055,MATCH(Paramètres!L11,Paramètres!$G$5:$G$57,0)),INDEX($E$2003:$E$2055,MATCH(Paramètres!L11,Paramètres!$G$5:$G$57,0)))+IF(RIGHT(TRIM(Paramètres!M11),3)="Fin",1-$H2009,IF(LEFT(TRIM(Paramètres!M11),1)="F",1,0)))),IF(Paramètres!N11="",0,IF(Paramètres!O11="",NA(),IF(LEFT(TRIM(Paramètres!O11),1)="F",INDEX($F$2003:$F$2055,MATCH(Paramètres!N11,Paramètres!$G$5:$G$57,0)),INDEX($E$2003:$E$2055,MATCH(Paramètres!N11,Paramètres!$G$5:$G$57,0)))+IF(RIGHT(TRIM(Paramètres!O11),3)="Fin",1-$H2009,IF(LEFT(TRIM(Paramètres!O11),1)="F",1,0)))))))</f>
        <v/>
      </c>
      <c r="F2009" s="19">
        <f>IF($A2009="","",E2009+$H2009-1)</f>
        <v/>
      </c>
      <c r="G2009" s="18" t="n"/>
      <c r="H2009" s="18">
        <f>IF($A2009="","",IF(I2009&lt;&gt;"",I2009,Paramètres!B11))</f>
        <v/>
      </c>
      <c r="I2009" s="18" t="n"/>
    </row>
    <row r="2010">
      <c r="A2010" s="18">
        <f>IF(ISNUMBER(Dossiers!$D$41),Dossiers!$A$41&amp;" · "&amp;Dossiers!$B$41,"")</f>
        <v/>
      </c>
      <c r="B2010" s="18">
        <f>IF($A2010="","",Paramètres!G12)</f>
        <v/>
      </c>
      <c r="C2010" s="18">
        <f>IF($A2010="","",IF(Paramètres!H12="","",Paramètres!H12))</f>
        <v/>
      </c>
      <c r="D2010" s="18">
        <f>IF($A2010="","",IF(Paramètres!I12="","",Paramètres!I12))</f>
        <v/>
      </c>
      <c r="E2010" s="19">
        <f>IF($A2010="","",IF(Paramètres!J12&amp;Paramètres!L12&amp;Paramètres!N12="",Dossiers!$D$41,MAX(IF(Paramètres!J12="",0,IF(Paramètres!K12="",NA(),IF(LEFT(TRIM(Paramètres!K12),1)="F",INDEX($F$2003:$F$2055,MATCH(Paramètres!J12,Paramètres!$G$5:$G$57,0)),INDEX($E$2003:$E$2055,MATCH(Paramètres!J12,Paramètres!$G$5:$G$57,0)))+IF(RIGHT(TRIM(Paramètres!K12),3)="Fin",1-$H2010,IF(LEFT(TRIM(Paramètres!K12),1)="F",1,0)))),IF(Paramètres!L12="",0,IF(Paramètres!M12="",NA(),IF(LEFT(TRIM(Paramètres!M12),1)="F",INDEX($F$2003:$F$2055,MATCH(Paramètres!L12,Paramètres!$G$5:$G$57,0)),INDEX($E$2003:$E$2055,MATCH(Paramètres!L12,Paramètres!$G$5:$G$57,0)))+IF(RIGHT(TRIM(Paramètres!M12),3)="Fin",1-$H2010,IF(LEFT(TRIM(Paramètres!M12),1)="F",1,0)))),IF(Paramètres!N12="",0,IF(Paramètres!O12="",NA(),IF(LEFT(TRIM(Paramètres!O12),1)="F",INDEX($F$2003:$F$2055,MATCH(Paramètres!N12,Paramètres!$G$5:$G$57,0)),INDEX($E$2003:$E$2055,MATCH(Paramètres!N12,Paramètres!$G$5:$G$57,0)))+IF(RIGHT(TRIM(Paramètres!O12),3)="Fin",1-$H2010,IF(LEFT(TRIM(Paramètres!O12),1)="F",1,0)))))))</f>
        <v/>
      </c>
      <c r="F2010" s="19">
        <f>IF($A2010="","",E2010+$H2010-1)</f>
        <v/>
      </c>
      <c r="G2010" s="18" t="n"/>
      <c r="H2010" s="18">
        <f>IF($A2010="","",IF(I2010&lt;&gt;"",I2010,Paramètres!B12))</f>
        <v/>
      </c>
      <c r="I2010" s="18" t="n"/>
    </row>
    <row r="2011">
      <c r="A2011" s="18">
        <f>IF(ISNUMBER(Dossiers!$D$41),Dossiers!$A$41&amp;" · "&amp;Dossiers!$B$41,"")</f>
        <v/>
      </c>
      <c r="B2011" s="18">
        <f>IF($A2011="","",Paramètres!G13)</f>
        <v/>
      </c>
      <c r="C2011" s="18">
        <f>IF($A2011="","",IF(Paramètres!H13="","",Paramètres!H13))</f>
        <v/>
      </c>
      <c r="D2011" s="18">
        <f>IF($A2011="","",IF(Paramètres!I13="","",Paramètres!I13))</f>
        <v/>
      </c>
      <c r="E2011" s="19">
        <f>IF($A2011="","",IF(Paramètres!J13&amp;Paramètres!L13&amp;Paramètres!N13="",Dossiers!$D$41,MAX(IF(Paramètres!J13="",0,IF(Paramètres!K13="",NA(),IF(LEFT(TRIM(Paramètres!K13),1)="F",INDEX($F$2003:$F$2055,MATCH(Paramètres!J13,Paramètres!$G$5:$G$57,0)),INDEX($E$2003:$E$2055,MATCH(Paramètres!J13,Paramètres!$G$5:$G$57,0)))+IF(RIGHT(TRIM(Paramètres!K13),3)="Fin",1-$H2011,IF(LEFT(TRIM(Paramètres!K13),1)="F",1,0)))),IF(Paramètres!L13="",0,IF(Paramètres!M13="",NA(),IF(LEFT(TRIM(Paramètres!M13),1)="F",INDEX($F$2003:$F$2055,MATCH(Paramètres!L13,Paramètres!$G$5:$G$57,0)),INDEX($E$2003:$E$2055,MATCH(Paramètres!L13,Paramètres!$G$5:$G$57,0)))+IF(RIGHT(TRIM(Paramètres!M13),3)="Fin",1-$H2011,IF(LEFT(TRIM(Paramètres!M13),1)="F",1,0)))),IF(Paramètres!N13="",0,IF(Paramètres!O13="",NA(),IF(LEFT(TRIM(Paramètres!O13),1)="F",INDEX($F$2003:$F$2055,MATCH(Paramètres!N13,Paramètres!$G$5:$G$57,0)),INDEX($E$2003:$E$2055,MATCH(Paramètres!N13,Paramètres!$G$5:$G$57,0)))+IF(RIGHT(TRIM(Paramètres!O13),3)="Fin",1-$H2011,IF(LEFT(TRIM(Paramètres!O13),1)="F",1,0)))))))</f>
        <v/>
      </c>
      <c r="F2011" s="19">
        <f>IF($A2011="","",E2011+$H2011-1)</f>
        <v/>
      </c>
      <c r="G2011" s="18" t="n"/>
      <c r="H2011" s="18">
        <f>IF($A2011="","",IF(I2011&lt;&gt;"",I2011,Paramètres!B13))</f>
        <v/>
      </c>
      <c r="I2011" s="18" t="n"/>
    </row>
    <row r="2012">
      <c r="A2012" s="18">
        <f>IF(ISNUMBER(Dossiers!$D$41),Dossiers!$A$41&amp;" · "&amp;Dossiers!$B$41,"")</f>
        <v/>
      </c>
      <c r="B2012" s="18">
        <f>IF($A2012="","",Paramètres!G14)</f>
        <v/>
      </c>
      <c r="C2012" s="18">
        <f>IF($A2012="","",IF(Paramètres!H14="","",Paramètres!H14))</f>
        <v/>
      </c>
      <c r="D2012" s="18">
        <f>IF($A2012="","",IF(Paramètres!I14="","",Paramètres!I14))</f>
        <v/>
      </c>
      <c r="E2012" s="19">
        <f>IF($A2012="","",IF(Paramètres!J14&amp;Paramètres!L14&amp;Paramètres!N14="",Dossiers!$D$41,MAX(IF(Paramètres!J14="",0,IF(Paramètres!K14="",NA(),IF(LEFT(TRIM(Paramètres!K14),1)="F",INDEX($F$2003:$F$2055,MATCH(Paramètres!J14,Paramètres!$G$5:$G$57,0)),INDEX($E$2003:$E$2055,MATCH(Paramètres!J14,Paramètres!$G$5:$G$57,0)))+IF(RIGHT(TRIM(Paramètres!K14),3)="Fin",1-$H2012,IF(LEFT(TRIM(Paramètres!K14),1)="F",1,0)))),IF(Paramètres!L14="",0,IF(Paramètres!M14="",NA(),IF(LEFT(TRIM(Paramètres!M14),1)="F",INDEX($F$2003:$F$2055,MATCH(Paramètres!L14,Paramètres!$G$5:$G$57,0)),INDEX($E$2003:$E$2055,MATCH(Paramètres!L14,Paramètres!$G$5:$G$57,0)))+IF(RIGHT(TRIM(Paramètres!M14),3)="Fin",1-$H2012,IF(LEFT(TRIM(Paramètres!M14),1)="F",1,0)))),IF(Paramètres!N14="",0,IF(Paramètres!O14="",NA(),IF(LEFT(TRIM(Paramètres!O14),1)="F",INDEX($F$2003:$F$2055,MATCH(Paramètres!N14,Paramètres!$G$5:$G$57,0)),INDEX($E$2003:$E$2055,MATCH(Paramètres!N14,Paramètres!$G$5:$G$57,0)))+IF(RIGHT(TRIM(Paramètres!O14),3)="Fin",1-$H2012,IF(LEFT(TRIM(Paramètres!O14),1)="F",1,0)))))))</f>
        <v/>
      </c>
      <c r="F2012" s="19">
        <f>IF($A2012="","",E2012+$H2012-1)</f>
        <v/>
      </c>
      <c r="G2012" s="18" t="n"/>
      <c r="H2012" s="18">
        <f>IF($A2012="","",IF(I2012&lt;&gt;"",I2012,Paramètres!B14))</f>
        <v/>
      </c>
      <c r="I2012" s="18" t="n"/>
    </row>
    <row r="2013">
      <c r="A2013" s="18">
        <f>IF(ISNUMBER(Dossiers!$D$41),Dossiers!$A$41&amp;" · "&amp;Dossiers!$B$41,"")</f>
        <v/>
      </c>
      <c r="B2013" s="18">
        <f>IF($A2013="","",Paramètres!G15)</f>
        <v/>
      </c>
      <c r="C2013" s="18">
        <f>IF($A2013="","",IF(Paramètres!H15="","",Paramètres!H15))</f>
        <v/>
      </c>
      <c r="D2013" s="18">
        <f>IF($A2013="","",IF(Paramètres!I15="","",Paramètres!I15))</f>
        <v/>
      </c>
      <c r="E2013" s="19">
        <f>IF($A2013="","",MIN(E2014:E2029))</f>
        <v/>
      </c>
      <c r="F2013" s="19">
        <f>IF($A2013="","",MAX(F2014:F2029))</f>
        <v/>
      </c>
      <c r="G2013" s="18" t="n"/>
      <c r="H2013" s="18">
        <f>IF($A2013="","",F2013-E2013+1)</f>
        <v/>
      </c>
      <c r="I2013" s="18" t="n"/>
    </row>
    <row r="2014">
      <c r="A2014" s="18">
        <f>IF(ISNUMBER(Dossiers!$D$41),Dossiers!$A$41&amp;" · "&amp;Dossiers!$B$41,"")</f>
        <v/>
      </c>
      <c r="B2014" s="18">
        <f>IF($A2014="","",Paramètres!G16)</f>
        <v/>
      </c>
      <c r="C2014" s="18">
        <f>IF($A2014="","",IF(Paramètres!H16="","",Paramètres!H16))</f>
        <v/>
      </c>
      <c r="D2014" s="18">
        <f>IF($A2014="","",IF(Paramètres!I16="","",Paramètres!I16))</f>
        <v/>
      </c>
      <c r="E2014" s="19">
        <f>IF($A2014="","",IF(Paramètres!J16&amp;Paramètres!L16&amp;Paramètres!N16="",Dossiers!$D$41,MAX(IF(Paramètres!J16="",0,IF(Paramètres!K16="",NA(),IF(LEFT(TRIM(Paramètres!K16),1)="F",INDEX($F$2003:$F$2055,MATCH(Paramètres!J16,Paramètres!$G$5:$G$57,0)),INDEX($E$2003:$E$2055,MATCH(Paramètres!J16,Paramètres!$G$5:$G$57,0)))+IF(RIGHT(TRIM(Paramètres!K16),3)="Fin",1-$H2014,IF(LEFT(TRIM(Paramètres!K16),1)="F",1,0)))),IF(Paramètres!L16="",0,IF(Paramètres!M16="",NA(),IF(LEFT(TRIM(Paramètres!M16),1)="F",INDEX($F$2003:$F$2055,MATCH(Paramètres!L16,Paramètres!$G$5:$G$57,0)),INDEX($E$2003:$E$2055,MATCH(Paramètres!L16,Paramètres!$G$5:$G$57,0)))+IF(RIGHT(TRIM(Paramètres!M16),3)="Fin",1-$H2014,IF(LEFT(TRIM(Paramètres!M16),1)="F",1,0)))),IF(Paramètres!N16="",0,IF(Paramètres!O16="",NA(),IF(LEFT(TRIM(Paramètres!O16),1)="F",INDEX($F$2003:$F$2055,MATCH(Paramètres!N16,Paramètres!$G$5:$G$57,0)),INDEX($E$2003:$E$2055,MATCH(Paramètres!N16,Paramètres!$G$5:$G$57,0)))+IF(RIGHT(TRIM(Paramètres!O16),3)="Fin",1-$H2014,IF(LEFT(TRIM(Paramètres!O16),1)="F",1,0)))))))</f>
        <v/>
      </c>
      <c r="F2014" s="19">
        <f>IF($A2014="","",E2014+$H2014-1)</f>
        <v/>
      </c>
      <c r="G2014" s="18" t="n"/>
      <c r="H2014" s="18">
        <f>IF($A2014="","",IF(I2014&lt;&gt;"",I2014,Paramètres!B16))</f>
        <v/>
      </c>
      <c r="I2014" s="18" t="n"/>
    </row>
    <row r="2015">
      <c r="A2015" s="18">
        <f>IF(ISNUMBER(Dossiers!$D$41),Dossiers!$A$41&amp;" · "&amp;Dossiers!$B$41,"")</f>
        <v/>
      </c>
      <c r="B2015" s="18">
        <f>IF($A2015="","",Paramètres!G17)</f>
        <v/>
      </c>
      <c r="C2015" s="18">
        <f>IF($A2015="","",IF(Paramètres!H17="","",Paramètres!H17))</f>
        <v/>
      </c>
      <c r="D2015" s="18">
        <f>IF($A2015="","",IF(Paramètres!I17="","",Paramètres!I17))</f>
        <v/>
      </c>
      <c r="E2015" s="19">
        <f>IF($A2015="","",IF(Paramètres!J17&amp;Paramètres!L17&amp;Paramètres!N17="",Dossiers!$D$41,MAX(IF(Paramètres!J17="",0,IF(Paramètres!K17="",NA(),IF(LEFT(TRIM(Paramètres!K17),1)="F",INDEX($F$2003:$F$2055,MATCH(Paramètres!J17,Paramètres!$G$5:$G$57,0)),INDEX($E$2003:$E$2055,MATCH(Paramètres!J17,Paramètres!$G$5:$G$57,0)))+IF(RIGHT(TRIM(Paramètres!K17),3)="Fin",1-$H2015,IF(LEFT(TRIM(Paramètres!K17),1)="F",1,0)))),IF(Paramètres!L17="",0,IF(Paramètres!M17="",NA(),IF(LEFT(TRIM(Paramètres!M17),1)="F",INDEX($F$2003:$F$2055,MATCH(Paramètres!L17,Paramètres!$G$5:$G$57,0)),INDEX($E$2003:$E$2055,MATCH(Paramètres!L17,Paramètres!$G$5:$G$57,0)))+IF(RIGHT(TRIM(Paramètres!M17),3)="Fin",1-$H2015,IF(LEFT(TRIM(Paramètres!M17),1)="F",1,0)))),IF(Paramètres!N17="",0,IF(Paramètres!O17="",NA(),IF(LEFT(TRIM(Paramètres!O17),1)="F",INDEX($F$2003:$F$2055,MATCH(Paramètres!N17,Paramètres!$G$5:$G$57,0)),INDEX($E$2003:$E$2055,MATCH(Paramètres!N17,Paramètres!$G$5:$G$57,0)))+IF(RIGHT(TRIM(Paramètres!O17),3)="Fin",1-$H2015,IF(LEFT(TRIM(Paramètres!O17),1)="F",1,0)))))))</f>
        <v/>
      </c>
      <c r="F2015" s="19">
        <f>IF($A2015="","",E2015+$H2015-1)</f>
        <v/>
      </c>
      <c r="G2015" s="18" t="n"/>
      <c r="H2015" s="18">
        <f>IF($A2015="","",IF(I2015&lt;&gt;"",I2015,Paramètres!B17))</f>
        <v/>
      </c>
      <c r="I2015" s="18" t="n"/>
    </row>
    <row r="2016">
      <c r="A2016" s="18">
        <f>IF(ISNUMBER(Dossiers!$D$41),Dossiers!$A$41&amp;" · "&amp;Dossiers!$B$41,"")</f>
        <v/>
      </c>
      <c r="B2016" s="18">
        <f>IF($A2016="","",Paramètres!G18)</f>
        <v/>
      </c>
      <c r="C2016" s="18">
        <f>IF($A2016="","",IF(Paramètres!H18="","",Paramètres!H18))</f>
        <v/>
      </c>
      <c r="D2016" s="18">
        <f>IF($A2016="","",IF(Paramètres!I18="","",Paramètres!I18))</f>
        <v/>
      </c>
      <c r="E2016" s="19">
        <f>IF($A2016="","",IF(Paramètres!J18&amp;Paramètres!L18&amp;Paramètres!N18="",Dossiers!$D$41,MAX(IF(Paramètres!J18="",0,IF(Paramètres!K18="",NA(),IF(LEFT(TRIM(Paramètres!K18),1)="F",INDEX($F$2003:$F$2055,MATCH(Paramètres!J18,Paramètres!$G$5:$G$57,0)),INDEX($E$2003:$E$2055,MATCH(Paramètres!J18,Paramètres!$G$5:$G$57,0)))+IF(RIGHT(TRIM(Paramètres!K18),3)="Fin",1-$H2016,IF(LEFT(TRIM(Paramètres!K18),1)="F",1,0)))),IF(Paramètres!L18="",0,IF(Paramètres!M18="",NA(),IF(LEFT(TRIM(Paramètres!M18),1)="F",INDEX($F$2003:$F$2055,MATCH(Paramètres!L18,Paramètres!$G$5:$G$57,0)),INDEX($E$2003:$E$2055,MATCH(Paramètres!L18,Paramètres!$G$5:$G$57,0)))+IF(RIGHT(TRIM(Paramètres!M18),3)="Fin",1-$H2016,IF(LEFT(TRIM(Paramètres!M18),1)="F",1,0)))),IF(Paramètres!N18="",0,IF(Paramètres!O18="",NA(),IF(LEFT(TRIM(Paramètres!O18),1)="F",INDEX($F$2003:$F$2055,MATCH(Paramètres!N18,Paramètres!$G$5:$G$57,0)),INDEX($E$2003:$E$2055,MATCH(Paramètres!N18,Paramètres!$G$5:$G$57,0)))+IF(RIGHT(TRIM(Paramètres!O18),3)="Fin",1-$H2016,IF(LEFT(TRIM(Paramètres!O18),1)="F",1,0)))))))</f>
        <v/>
      </c>
      <c r="F2016" s="19">
        <f>IF($A2016="","",E2016+$H2016-1)</f>
        <v/>
      </c>
      <c r="G2016" s="18" t="n"/>
      <c r="H2016" s="18">
        <f>IF($A2016="","",IF(I2016&lt;&gt;"",I2016,Paramètres!B18))</f>
        <v/>
      </c>
      <c r="I2016" s="18" t="n"/>
    </row>
    <row r="2017">
      <c r="A2017" s="18">
        <f>IF(ISNUMBER(Dossiers!$D$41),Dossiers!$A$41&amp;" · "&amp;Dossiers!$B$41,"")</f>
        <v/>
      </c>
      <c r="B2017" s="18">
        <f>IF($A2017="","",Paramètres!G19)</f>
        <v/>
      </c>
      <c r="C2017" s="18">
        <f>IF($A2017="","",IF(Paramètres!H19="","",Paramètres!H19))</f>
        <v/>
      </c>
      <c r="D2017" s="18">
        <f>IF($A2017="","",IF(Paramètres!I19="","",Paramètres!I19))</f>
        <v/>
      </c>
      <c r="E2017" s="19">
        <f>IF($A2017="","",IF(Paramètres!J19&amp;Paramètres!L19&amp;Paramètres!N19="",Dossiers!$D$41,MAX(IF(Paramètres!J19="",0,IF(Paramètres!K19="",NA(),IF(LEFT(TRIM(Paramètres!K19),1)="F",INDEX($F$2003:$F$2055,MATCH(Paramètres!J19,Paramètres!$G$5:$G$57,0)),INDEX($E$2003:$E$2055,MATCH(Paramètres!J19,Paramètres!$G$5:$G$57,0)))+IF(RIGHT(TRIM(Paramètres!K19),3)="Fin",1-$H2017,IF(LEFT(TRIM(Paramètres!K19),1)="F",1,0)))),IF(Paramètres!L19="",0,IF(Paramètres!M19="",NA(),IF(LEFT(TRIM(Paramètres!M19),1)="F",INDEX($F$2003:$F$2055,MATCH(Paramètres!L19,Paramètres!$G$5:$G$57,0)),INDEX($E$2003:$E$2055,MATCH(Paramètres!L19,Paramètres!$G$5:$G$57,0)))+IF(RIGHT(TRIM(Paramètres!M19),3)="Fin",1-$H2017,IF(LEFT(TRIM(Paramètres!M19),1)="F",1,0)))),IF(Paramètres!N19="",0,IF(Paramètres!O19="",NA(),IF(LEFT(TRIM(Paramètres!O19),1)="F",INDEX($F$2003:$F$2055,MATCH(Paramètres!N19,Paramètres!$G$5:$G$57,0)),INDEX($E$2003:$E$2055,MATCH(Paramètres!N19,Paramètres!$G$5:$G$57,0)))+IF(RIGHT(TRIM(Paramètres!O19),3)="Fin",1-$H2017,IF(LEFT(TRIM(Paramètres!O19),1)="F",1,0)))))))</f>
        <v/>
      </c>
      <c r="F2017" s="19">
        <f>IF($A2017="","",E2017+$H2017-1)</f>
        <v/>
      </c>
      <c r="G2017" s="18" t="n"/>
      <c r="H2017" s="18">
        <f>IF($A2017="","",IF(I2017&lt;&gt;"",I2017,Paramètres!B19))</f>
        <v/>
      </c>
      <c r="I2017" s="18" t="n"/>
    </row>
    <row r="2018">
      <c r="A2018" s="18">
        <f>IF(ISNUMBER(Dossiers!$D$41),Dossiers!$A$41&amp;" · "&amp;Dossiers!$B$41,"")</f>
        <v/>
      </c>
      <c r="B2018" s="18">
        <f>IF($A2018="","",Paramètres!G20)</f>
        <v/>
      </c>
      <c r="C2018" s="18">
        <f>IF($A2018="","",IF(Paramètres!H20="","",Paramètres!H20))</f>
        <v/>
      </c>
      <c r="D2018" s="18">
        <f>IF($A2018="","",IF(Paramètres!I20="","",Paramètres!I20))</f>
        <v/>
      </c>
      <c r="E2018" s="19">
        <f>IF($A2018="","",IF(Paramètres!J20&amp;Paramètres!L20&amp;Paramètres!N20="",Dossiers!$D$41,MAX(IF(Paramètres!J20="",0,IF(Paramètres!K20="",NA(),IF(LEFT(TRIM(Paramètres!K20),1)="F",INDEX($F$2003:$F$2055,MATCH(Paramètres!J20,Paramètres!$G$5:$G$57,0)),INDEX($E$2003:$E$2055,MATCH(Paramètres!J20,Paramètres!$G$5:$G$57,0)))+IF(RIGHT(TRIM(Paramètres!K20),3)="Fin",1-$H2018,IF(LEFT(TRIM(Paramètres!K20),1)="F",1,0)))),IF(Paramètres!L20="",0,IF(Paramètres!M20="",NA(),IF(LEFT(TRIM(Paramètres!M20),1)="F",INDEX($F$2003:$F$2055,MATCH(Paramètres!L20,Paramètres!$G$5:$G$57,0)),INDEX($E$2003:$E$2055,MATCH(Paramètres!L20,Paramètres!$G$5:$G$57,0)))+IF(RIGHT(TRIM(Paramètres!M20),3)="Fin",1-$H2018,IF(LEFT(TRIM(Paramètres!M20),1)="F",1,0)))),IF(Paramètres!N20="",0,IF(Paramètres!O20="",NA(),IF(LEFT(TRIM(Paramètres!O20),1)="F",INDEX($F$2003:$F$2055,MATCH(Paramètres!N20,Paramètres!$G$5:$G$57,0)),INDEX($E$2003:$E$2055,MATCH(Paramètres!N20,Paramètres!$G$5:$G$57,0)))+IF(RIGHT(TRIM(Paramètres!O20),3)="Fin",1-$H2018,IF(LEFT(TRIM(Paramètres!O20),1)="F",1,0)))))))</f>
        <v/>
      </c>
      <c r="F2018" s="19">
        <f>IF($A2018="","",E2018+$H2018-1)</f>
        <v/>
      </c>
      <c r="G2018" s="18" t="n"/>
      <c r="H2018" s="18">
        <f>IF($A2018="","",IF(I2018&lt;&gt;"",I2018,Paramètres!B20))</f>
        <v/>
      </c>
      <c r="I2018" s="18" t="n"/>
    </row>
    <row r="2019">
      <c r="A2019" s="18">
        <f>IF(ISNUMBER(Dossiers!$D$41),Dossiers!$A$41&amp;" · "&amp;Dossiers!$B$41,"")</f>
        <v/>
      </c>
      <c r="B2019" s="18">
        <f>IF($A2019="","",Paramètres!G21)</f>
        <v/>
      </c>
      <c r="C2019" s="18">
        <f>IF($A2019="","",IF(Paramètres!H21="","",Paramètres!H21))</f>
        <v/>
      </c>
      <c r="D2019" s="18">
        <f>IF($A2019="","",IF(Paramètres!I21="","",Paramètres!I21))</f>
        <v/>
      </c>
      <c r="E2019" s="19">
        <f>IF($A2019="","",IF(Paramètres!J21&amp;Paramètres!L21&amp;Paramètres!N21="",Dossiers!$D$41,MAX(IF(Paramètres!J21="",0,IF(Paramètres!K21="",NA(),IF(LEFT(TRIM(Paramètres!K21),1)="F",INDEX($F$2003:$F$2055,MATCH(Paramètres!J21,Paramètres!$G$5:$G$57,0)),INDEX($E$2003:$E$2055,MATCH(Paramètres!J21,Paramètres!$G$5:$G$57,0)))+IF(RIGHT(TRIM(Paramètres!K21),3)="Fin",1-$H2019,IF(LEFT(TRIM(Paramètres!K21),1)="F",1,0)))),IF(Paramètres!L21="",0,IF(Paramètres!M21="",NA(),IF(LEFT(TRIM(Paramètres!M21),1)="F",INDEX($F$2003:$F$2055,MATCH(Paramètres!L21,Paramètres!$G$5:$G$57,0)),INDEX($E$2003:$E$2055,MATCH(Paramètres!L21,Paramètres!$G$5:$G$57,0)))+IF(RIGHT(TRIM(Paramètres!M21),3)="Fin",1-$H2019,IF(LEFT(TRIM(Paramètres!M21),1)="F",1,0)))),IF(Paramètres!N21="",0,IF(Paramètres!O21="",NA(),IF(LEFT(TRIM(Paramètres!O21),1)="F",INDEX($F$2003:$F$2055,MATCH(Paramètres!N21,Paramètres!$G$5:$G$57,0)),INDEX($E$2003:$E$2055,MATCH(Paramètres!N21,Paramètres!$G$5:$G$57,0)))+IF(RIGHT(TRIM(Paramètres!O21),3)="Fin",1-$H2019,IF(LEFT(TRIM(Paramètres!O21),1)="F",1,0)))))))</f>
        <v/>
      </c>
      <c r="F2019" s="19">
        <f>IF($A2019="","",E2019+$H2019-1)</f>
        <v/>
      </c>
      <c r="G2019" s="18" t="n"/>
      <c r="H2019" s="18">
        <f>IF($A2019="","",IF(I2019&lt;&gt;"",I2019,Paramètres!B21))</f>
        <v/>
      </c>
      <c r="I2019" s="18" t="n"/>
    </row>
    <row r="2020">
      <c r="A2020" s="18">
        <f>IF(ISNUMBER(Dossiers!$D$41),Dossiers!$A$41&amp;" · "&amp;Dossiers!$B$41,"")</f>
        <v/>
      </c>
      <c r="B2020" s="18">
        <f>IF($A2020="","",Paramètres!G22)</f>
        <v/>
      </c>
      <c r="C2020" s="18">
        <f>IF($A2020="","",IF(Paramètres!H22="","",Paramètres!H22))</f>
        <v/>
      </c>
      <c r="D2020" s="18">
        <f>IF($A2020="","",IF(Paramètres!I22="","",Paramètres!I22))</f>
        <v/>
      </c>
      <c r="E2020" s="19">
        <f>IF($A2020="","",IF(Paramètres!J22&amp;Paramètres!L22&amp;Paramètres!N22="",Dossiers!$D$41,MAX(IF(Paramètres!J22="",0,IF(Paramètres!K22="",NA(),IF(LEFT(TRIM(Paramètres!K22),1)="F",INDEX($F$2003:$F$2055,MATCH(Paramètres!J22,Paramètres!$G$5:$G$57,0)),INDEX($E$2003:$E$2055,MATCH(Paramètres!J22,Paramètres!$G$5:$G$57,0)))+IF(RIGHT(TRIM(Paramètres!K22),3)="Fin",1-$H2020,IF(LEFT(TRIM(Paramètres!K22),1)="F",1,0)))),IF(Paramètres!L22="",0,IF(Paramètres!M22="",NA(),IF(LEFT(TRIM(Paramètres!M22),1)="F",INDEX($F$2003:$F$2055,MATCH(Paramètres!L22,Paramètres!$G$5:$G$57,0)),INDEX($E$2003:$E$2055,MATCH(Paramètres!L22,Paramètres!$G$5:$G$57,0)))+IF(RIGHT(TRIM(Paramètres!M22),3)="Fin",1-$H2020,IF(LEFT(TRIM(Paramètres!M22),1)="F",1,0)))),IF(Paramètres!N22="",0,IF(Paramètres!O22="",NA(),IF(LEFT(TRIM(Paramètres!O22),1)="F",INDEX($F$2003:$F$2055,MATCH(Paramètres!N22,Paramètres!$G$5:$G$57,0)),INDEX($E$2003:$E$2055,MATCH(Paramètres!N22,Paramètres!$G$5:$G$57,0)))+IF(RIGHT(TRIM(Paramètres!O22),3)="Fin",1-$H2020,IF(LEFT(TRIM(Paramètres!O22),1)="F",1,0)))))))</f>
        <v/>
      </c>
      <c r="F2020" s="19">
        <f>IF($A2020="","",E2020+$H2020-1)</f>
        <v/>
      </c>
      <c r="G2020" s="18" t="n"/>
      <c r="H2020" s="18">
        <f>IF($A2020="","",IF(I2020&lt;&gt;"",I2020,Paramètres!B22))</f>
        <v/>
      </c>
      <c r="I2020" s="18" t="n"/>
    </row>
    <row r="2021">
      <c r="A2021" s="18">
        <f>IF(ISNUMBER(Dossiers!$D$41),Dossiers!$A$41&amp;" · "&amp;Dossiers!$B$41,"")</f>
        <v/>
      </c>
      <c r="B2021" s="18">
        <f>IF($A2021="","",Paramètres!G23)</f>
        <v/>
      </c>
      <c r="C2021" s="18">
        <f>IF($A2021="","",IF(Paramètres!H23="","",Paramètres!H23))</f>
        <v/>
      </c>
      <c r="D2021" s="18">
        <f>IF($A2021="","",IF(Paramètres!I23="","",Paramètres!I23))</f>
        <v/>
      </c>
      <c r="E2021" s="19">
        <f>IF($A2021="","",IF(Paramètres!J23&amp;Paramètres!L23&amp;Paramètres!N23="",Dossiers!$D$41,MAX(IF(Paramètres!J23="",0,IF(Paramètres!K23="",NA(),IF(LEFT(TRIM(Paramètres!K23),1)="F",INDEX($F$2003:$F$2055,MATCH(Paramètres!J23,Paramètres!$G$5:$G$57,0)),INDEX($E$2003:$E$2055,MATCH(Paramètres!J23,Paramètres!$G$5:$G$57,0)))+IF(RIGHT(TRIM(Paramètres!K23),3)="Fin",1-$H2021,IF(LEFT(TRIM(Paramètres!K23),1)="F",1,0)))),IF(Paramètres!L23="",0,IF(Paramètres!M23="",NA(),IF(LEFT(TRIM(Paramètres!M23),1)="F",INDEX($F$2003:$F$2055,MATCH(Paramètres!L23,Paramètres!$G$5:$G$57,0)),INDEX($E$2003:$E$2055,MATCH(Paramètres!L23,Paramètres!$G$5:$G$57,0)))+IF(RIGHT(TRIM(Paramètres!M23),3)="Fin",1-$H2021,IF(LEFT(TRIM(Paramètres!M23),1)="F",1,0)))),IF(Paramètres!N23="",0,IF(Paramètres!O23="",NA(),IF(LEFT(TRIM(Paramètres!O23),1)="F",INDEX($F$2003:$F$2055,MATCH(Paramètres!N23,Paramètres!$G$5:$G$57,0)),INDEX($E$2003:$E$2055,MATCH(Paramètres!N23,Paramètres!$G$5:$G$57,0)))+IF(RIGHT(TRIM(Paramètres!O23),3)="Fin",1-$H2021,IF(LEFT(TRIM(Paramètres!O23),1)="F",1,0)))))))</f>
        <v/>
      </c>
      <c r="F2021" s="19">
        <f>IF($A2021="","",E2021+$H2021-1)</f>
        <v/>
      </c>
      <c r="G2021" s="18" t="n"/>
      <c r="H2021" s="18">
        <f>IF($A2021="","",IF(I2021&lt;&gt;"",I2021,Paramètres!B23))</f>
        <v/>
      </c>
      <c r="I2021" s="18" t="n"/>
    </row>
    <row r="2022">
      <c r="A2022" s="18">
        <f>IF(ISNUMBER(Dossiers!$D$41),Dossiers!$A$41&amp;" · "&amp;Dossiers!$B$41,"")</f>
        <v/>
      </c>
      <c r="B2022" s="18">
        <f>IF($A2022="","",Paramètres!G24)</f>
        <v/>
      </c>
      <c r="C2022" s="18">
        <f>IF($A2022="","",IF(Paramètres!H24="","",Paramètres!H24))</f>
        <v/>
      </c>
      <c r="D2022" s="18">
        <f>IF($A2022="","",IF(Paramètres!I24="","",Paramètres!I24))</f>
        <v/>
      </c>
      <c r="E2022" s="19">
        <f>IF($A2022="","",IF(Paramètres!J24&amp;Paramètres!L24&amp;Paramètres!N24="",Dossiers!$D$41,MAX(IF(Paramètres!J24="",0,IF(Paramètres!K24="",NA(),IF(LEFT(TRIM(Paramètres!K24),1)="F",INDEX($F$2003:$F$2055,MATCH(Paramètres!J24,Paramètres!$G$5:$G$57,0)),INDEX($E$2003:$E$2055,MATCH(Paramètres!J24,Paramètres!$G$5:$G$57,0)))+IF(RIGHT(TRIM(Paramètres!K24),3)="Fin",1-$H2022,IF(LEFT(TRIM(Paramètres!K24),1)="F",1,0)))),IF(Paramètres!L24="",0,IF(Paramètres!M24="",NA(),IF(LEFT(TRIM(Paramètres!M24),1)="F",INDEX($F$2003:$F$2055,MATCH(Paramètres!L24,Paramètres!$G$5:$G$57,0)),INDEX($E$2003:$E$2055,MATCH(Paramètres!L24,Paramètres!$G$5:$G$57,0)))+IF(RIGHT(TRIM(Paramètres!M24),3)="Fin",1-$H2022,IF(LEFT(TRIM(Paramètres!M24),1)="F",1,0)))),IF(Paramètres!N24="",0,IF(Paramètres!O24="",NA(),IF(LEFT(TRIM(Paramètres!O24),1)="F",INDEX($F$2003:$F$2055,MATCH(Paramètres!N24,Paramètres!$G$5:$G$57,0)),INDEX($E$2003:$E$2055,MATCH(Paramètres!N24,Paramètres!$G$5:$G$57,0)))+IF(RIGHT(TRIM(Paramètres!O24),3)="Fin",1-$H2022,IF(LEFT(TRIM(Paramètres!O24),1)="F",1,0)))))))</f>
        <v/>
      </c>
      <c r="F2022" s="19">
        <f>IF($A2022="","",E2022+$H2022-1)</f>
        <v/>
      </c>
      <c r="G2022" s="18" t="n"/>
      <c r="H2022" s="18">
        <f>IF($A2022="","",IF(I2022&lt;&gt;"",I2022,Paramètres!B24))</f>
        <v/>
      </c>
      <c r="I2022" s="18" t="n"/>
    </row>
    <row r="2023">
      <c r="A2023" s="18">
        <f>IF(ISNUMBER(Dossiers!$D$41),Dossiers!$A$41&amp;" · "&amp;Dossiers!$B$41,"")</f>
        <v/>
      </c>
      <c r="B2023" s="18">
        <f>IF($A2023="","",Paramètres!G25)</f>
        <v/>
      </c>
      <c r="C2023" s="18">
        <f>IF($A2023="","",IF(Paramètres!H25="","",Paramètres!H25))</f>
        <v/>
      </c>
      <c r="D2023" s="18">
        <f>IF($A2023="","",IF(Paramètres!I25="","",Paramètres!I25))</f>
        <v/>
      </c>
      <c r="E2023" s="19">
        <f>IF($A2023="","",IF(Paramètres!J25&amp;Paramètres!L25&amp;Paramètres!N25="",Dossiers!$D$41,MAX(IF(Paramètres!J25="",0,IF(Paramètres!K25="",NA(),IF(LEFT(TRIM(Paramètres!K25),1)="F",INDEX($F$2003:$F$2055,MATCH(Paramètres!J25,Paramètres!$G$5:$G$57,0)),INDEX($E$2003:$E$2055,MATCH(Paramètres!J25,Paramètres!$G$5:$G$57,0)))+IF(RIGHT(TRIM(Paramètres!K25),3)="Fin",1-$H2023,IF(LEFT(TRIM(Paramètres!K25),1)="F",1,0)))),IF(Paramètres!L25="",0,IF(Paramètres!M25="",NA(),IF(LEFT(TRIM(Paramètres!M25),1)="F",INDEX($F$2003:$F$2055,MATCH(Paramètres!L25,Paramètres!$G$5:$G$57,0)),INDEX($E$2003:$E$2055,MATCH(Paramètres!L25,Paramètres!$G$5:$G$57,0)))+IF(RIGHT(TRIM(Paramètres!M25),3)="Fin",1-$H2023,IF(LEFT(TRIM(Paramètres!M25),1)="F",1,0)))),IF(Paramètres!N25="",0,IF(Paramètres!O25="",NA(),IF(LEFT(TRIM(Paramètres!O25),1)="F",INDEX($F$2003:$F$2055,MATCH(Paramètres!N25,Paramètres!$G$5:$G$57,0)),INDEX($E$2003:$E$2055,MATCH(Paramètres!N25,Paramètres!$G$5:$G$57,0)))+IF(RIGHT(TRIM(Paramètres!O25),3)="Fin",1-$H2023,IF(LEFT(TRIM(Paramètres!O25),1)="F",1,0)))))))</f>
        <v/>
      </c>
      <c r="F2023" s="19">
        <f>IF($A2023="","",E2023+$H2023-1)</f>
        <v/>
      </c>
      <c r="G2023" s="18" t="n"/>
      <c r="H2023" s="18">
        <f>IF($A2023="","",IF(I2023&lt;&gt;"",I2023,Paramètres!B25))</f>
        <v/>
      </c>
      <c r="I2023" s="18" t="n"/>
    </row>
    <row r="2024">
      <c r="A2024" s="18">
        <f>IF(ISNUMBER(Dossiers!$D$41),Dossiers!$A$41&amp;" · "&amp;Dossiers!$B$41,"")</f>
        <v/>
      </c>
      <c r="B2024" s="18">
        <f>IF($A2024="","",Paramètres!G26)</f>
        <v/>
      </c>
      <c r="C2024" s="18">
        <f>IF($A2024="","",IF(Paramètres!H26="","",Paramètres!H26))</f>
        <v/>
      </c>
      <c r="D2024" s="18">
        <f>IF($A2024="","",IF(Paramètres!I26="","",Paramètres!I26))</f>
        <v/>
      </c>
      <c r="E2024" s="19">
        <f>IF($A2024="","",IF(Paramètres!J26&amp;Paramètres!L26&amp;Paramètres!N26="",Dossiers!$D$41,MAX(IF(Paramètres!J26="",0,IF(Paramètres!K26="",NA(),IF(LEFT(TRIM(Paramètres!K26),1)="F",INDEX($F$2003:$F$2055,MATCH(Paramètres!J26,Paramètres!$G$5:$G$57,0)),INDEX($E$2003:$E$2055,MATCH(Paramètres!J26,Paramètres!$G$5:$G$57,0)))+IF(RIGHT(TRIM(Paramètres!K26),3)="Fin",1-$H2024,IF(LEFT(TRIM(Paramètres!K26),1)="F",1,0)))),IF(Paramètres!L26="",0,IF(Paramètres!M26="",NA(),IF(LEFT(TRIM(Paramètres!M26),1)="F",INDEX($F$2003:$F$2055,MATCH(Paramètres!L26,Paramètres!$G$5:$G$57,0)),INDEX($E$2003:$E$2055,MATCH(Paramètres!L26,Paramètres!$G$5:$G$57,0)))+IF(RIGHT(TRIM(Paramètres!M26),3)="Fin",1-$H2024,IF(LEFT(TRIM(Paramètres!M26),1)="F",1,0)))),IF(Paramètres!N26="",0,IF(Paramètres!O26="",NA(),IF(LEFT(TRIM(Paramètres!O26),1)="F",INDEX($F$2003:$F$2055,MATCH(Paramètres!N26,Paramètres!$G$5:$G$57,0)),INDEX($E$2003:$E$2055,MATCH(Paramètres!N26,Paramètres!$G$5:$G$57,0)))+IF(RIGHT(TRIM(Paramètres!O26),3)="Fin",1-$H2024,IF(LEFT(TRIM(Paramètres!O26),1)="F",1,0)))))))</f>
        <v/>
      </c>
      <c r="F2024" s="19">
        <f>IF($A2024="","",E2024+$H2024-1)</f>
        <v/>
      </c>
      <c r="G2024" s="18" t="n"/>
      <c r="H2024" s="18">
        <f>IF($A2024="","",IF(I2024&lt;&gt;"",I2024,Paramètres!B26))</f>
        <v/>
      </c>
      <c r="I2024" s="18" t="n"/>
    </row>
    <row r="2025">
      <c r="A2025" s="18">
        <f>IF(ISNUMBER(Dossiers!$D$41),Dossiers!$A$41&amp;" · "&amp;Dossiers!$B$41,"")</f>
        <v/>
      </c>
      <c r="B2025" s="18">
        <f>IF($A2025="","",Paramètres!G27)</f>
        <v/>
      </c>
      <c r="C2025" s="18">
        <f>IF($A2025="","",IF(Paramètres!H27="","",Paramètres!H27))</f>
        <v/>
      </c>
      <c r="D2025" s="18">
        <f>IF($A2025="","",IF(Paramètres!I27="","",Paramètres!I27))</f>
        <v/>
      </c>
      <c r="E2025" s="19">
        <f>IF($A2025="","",IF(Paramètres!J27&amp;Paramètres!L27&amp;Paramètres!N27="",Dossiers!$D$41,MAX(IF(Paramètres!J27="",0,IF(Paramètres!K27="",NA(),IF(LEFT(TRIM(Paramètres!K27),1)="F",INDEX($F$2003:$F$2055,MATCH(Paramètres!J27,Paramètres!$G$5:$G$57,0)),INDEX($E$2003:$E$2055,MATCH(Paramètres!J27,Paramètres!$G$5:$G$57,0)))+IF(RIGHT(TRIM(Paramètres!K27),3)="Fin",1-$H2025,IF(LEFT(TRIM(Paramètres!K27),1)="F",1,0)))),IF(Paramètres!L27="",0,IF(Paramètres!M27="",NA(),IF(LEFT(TRIM(Paramètres!M27),1)="F",INDEX($F$2003:$F$2055,MATCH(Paramètres!L27,Paramètres!$G$5:$G$57,0)),INDEX($E$2003:$E$2055,MATCH(Paramètres!L27,Paramètres!$G$5:$G$57,0)))+IF(RIGHT(TRIM(Paramètres!M27),3)="Fin",1-$H2025,IF(LEFT(TRIM(Paramètres!M27),1)="F",1,0)))),IF(Paramètres!N27="",0,IF(Paramètres!O27="",NA(),IF(LEFT(TRIM(Paramètres!O27),1)="F",INDEX($F$2003:$F$2055,MATCH(Paramètres!N27,Paramètres!$G$5:$G$57,0)),INDEX($E$2003:$E$2055,MATCH(Paramètres!N27,Paramètres!$G$5:$G$57,0)))+IF(RIGHT(TRIM(Paramètres!O27),3)="Fin",1-$H2025,IF(LEFT(TRIM(Paramètres!O27),1)="F",1,0)))))))</f>
        <v/>
      </c>
      <c r="F2025" s="19">
        <f>IF($A2025="","",E2025+$H2025-1)</f>
        <v/>
      </c>
      <c r="G2025" s="18" t="n"/>
      <c r="H2025" s="18">
        <f>IF($A2025="","",IF(I2025&lt;&gt;"",I2025,Paramètres!B27))</f>
        <v/>
      </c>
      <c r="I2025" s="18" t="n"/>
    </row>
    <row r="2026">
      <c r="A2026" s="18">
        <f>IF(ISNUMBER(Dossiers!$D$41),Dossiers!$A$41&amp;" · "&amp;Dossiers!$B$41,"")</f>
        <v/>
      </c>
      <c r="B2026" s="18">
        <f>IF($A2026="","",Paramètres!G28)</f>
        <v/>
      </c>
      <c r="C2026" s="18">
        <f>IF($A2026="","",IF(Paramètres!H28="","",Paramètres!H28))</f>
        <v/>
      </c>
      <c r="D2026" s="18">
        <f>IF($A2026="","",IF(Paramètres!I28="","",Paramètres!I28))</f>
        <v/>
      </c>
      <c r="E2026" s="19">
        <f>IF($A2026="","",IF(Paramètres!J28&amp;Paramètres!L28&amp;Paramètres!N28="",Dossiers!$D$41,MAX(IF(Paramètres!J28="",0,IF(Paramètres!K28="",NA(),IF(LEFT(TRIM(Paramètres!K28),1)="F",INDEX($F$2003:$F$2055,MATCH(Paramètres!J28,Paramètres!$G$5:$G$57,0)),INDEX($E$2003:$E$2055,MATCH(Paramètres!J28,Paramètres!$G$5:$G$57,0)))+IF(RIGHT(TRIM(Paramètres!K28),3)="Fin",1-$H2026,IF(LEFT(TRIM(Paramètres!K28),1)="F",1,0)))),IF(Paramètres!L28="",0,IF(Paramètres!M28="",NA(),IF(LEFT(TRIM(Paramètres!M28),1)="F",INDEX($F$2003:$F$2055,MATCH(Paramètres!L28,Paramètres!$G$5:$G$57,0)),INDEX($E$2003:$E$2055,MATCH(Paramètres!L28,Paramètres!$G$5:$G$57,0)))+IF(RIGHT(TRIM(Paramètres!M28),3)="Fin",1-$H2026,IF(LEFT(TRIM(Paramètres!M28),1)="F",1,0)))),IF(Paramètres!N28="",0,IF(Paramètres!O28="",NA(),IF(LEFT(TRIM(Paramètres!O28),1)="F",INDEX($F$2003:$F$2055,MATCH(Paramètres!N28,Paramètres!$G$5:$G$57,0)),INDEX($E$2003:$E$2055,MATCH(Paramètres!N28,Paramètres!$G$5:$G$57,0)))+IF(RIGHT(TRIM(Paramètres!O28),3)="Fin",1-$H2026,IF(LEFT(TRIM(Paramètres!O28),1)="F",1,0)))))))</f>
        <v/>
      </c>
      <c r="F2026" s="19">
        <f>IF($A2026="","",E2026+$H2026-1)</f>
        <v/>
      </c>
      <c r="G2026" s="18" t="n"/>
      <c r="H2026" s="18">
        <f>IF($A2026="","",IF(I2026&lt;&gt;"",I2026,Paramètres!B28))</f>
        <v/>
      </c>
      <c r="I2026" s="18" t="n"/>
    </row>
    <row r="2027">
      <c r="A2027" s="18">
        <f>IF(ISNUMBER(Dossiers!$D$41),Dossiers!$A$41&amp;" · "&amp;Dossiers!$B$41,"")</f>
        <v/>
      </c>
      <c r="B2027" s="18">
        <f>IF($A2027="","",Paramètres!G29)</f>
        <v/>
      </c>
      <c r="C2027" s="18">
        <f>IF($A2027="","",IF(Paramètres!H29="","",Paramètres!H29))</f>
        <v/>
      </c>
      <c r="D2027" s="18">
        <f>IF($A2027="","",IF(Paramètres!I29="","",Paramètres!I29))</f>
        <v/>
      </c>
      <c r="E2027" s="19">
        <f>IF($A2027="","",IF(Paramètres!J29&amp;Paramètres!L29&amp;Paramètres!N29="",Dossiers!$D$41,MAX(IF(Paramètres!J29="",0,IF(Paramètres!K29="",NA(),IF(LEFT(TRIM(Paramètres!K29),1)="F",INDEX($F$2003:$F$2055,MATCH(Paramètres!J29,Paramètres!$G$5:$G$57,0)),INDEX($E$2003:$E$2055,MATCH(Paramètres!J29,Paramètres!$G$5:$G$57,0)))+IF(RIGHT(TRIM(Paramètres!K29),3)="Fin",1-$H2027,IF(LEFT(TRIM(Paramètres!K29),1)="F",1,0)))),IF(Paramètres!L29="",0,IF(Paramètres!M29="",NA(),IF(LEFT(TRIM(Paramètres!M29),1)="F",INDEX($F$2003:$F$2055,MATCH(Paramètres!L29,Paramètres!$G$5:$G$57,0)),INDEX($E$2003:$E$2055,MATCH(Paramètres!L29,Paramètres!$G$5:$G$57,0)))+IF(RIGHT(TRIM(Paramètres!M29),3)="Fin",1-$H2027,IF(LEFT(TRIM(Paramètres!M29),1)="F",1,0)))),IF(Paramètres!N29="",0,IF(Paramètres!O29="",NA(),IF(LEFT(TRIM(Paramètres!O29),1)="F",INDEX($F$2003:$F$2055,MATCH(Paramètres!N29,Paramètres!$G$5:$G$57,0)),INDEX($E$2003:$E$2055,MATCH(Paramètres!N29,Paramètres!$G$5:$G$57,0)))+IF(RIGHT(TRIM(Paramètres!O29),3)="Fin",1-$H2027,IF(LEFT(TRIM(Paramètres!O29),1)="F",1,0)))))))</f>
        <v/>
      </c>
      <c r="F2027" s="19">
        <f>IF($A2027="","",E2027+$H2027-1)</f>
        <v/>
      </c>
      <c r="G2027" s="18" t="n"/>
      <c r="H2027" s="18">
        <f>IF($A2027="","",IF(I2027&lt;&gt;"",I2027,Paramètres!B29))</f>
        <v/>
      </c>
      <c r="I2027" s="18" t="n"/>
    </row>
    <row r="2028">
      <c r="A2028" s="18">
        <f>IF(ISNUMBER(Dossiers!$D$41),Dossiers!$A$41&amp;" · "&amp;Dossiers!$B$41,"")</f>
        <v/>
      </c>
      <c r="B2028" s="18">
        <f>IF($A2028="","",Paramètres!G30)</f>
        <v/>
      </c>
      <c r="C2028" s="18">
        <f>IF($A2028="","",IF(Paramètres!H30="","",Paramètres!H30))</f>
        <v/>
      </c>
      <c r="D2028" s="18">
        <f>IF($A2028="","",IF(Paramètres!I30="","",Paramètres!I30))</f>
        <v/>
      </c>
      <c r="E2028" s="19">
        <f>IF($A2028="","",IF(Paramètres!J30&amp;Paramètres!L30&amp;Paramètres!N30="",Dossiers!$D$41,MAX(IF(Paramètres!J30="",0,IF(Paramètres!K30="",NA(),IF(LEFT(TRIM(Paramètres!K30),1)="F",INDEX($F$2003:$F$2055,MATCH(Paramètres!J30,Paramètres!$G$5:$G$57,0)),INDEX($E$2003:$E$2055,MATCH(Paramètres!J30,Paramètres!$G$5:$G$57,0)))+IF(RIGHT(TRIM(Paramètres!K30),3)="Fin",1-$H2028,IF(LEFT(TRIM(Paramètres!K30),1)="F",1,0)))),IF(Paramètres!L30="",0,IF(Paramètres!M30="",NA(),IF(LEFT(TRIM(Paramètres!M30),1)="F",INDEX($F$2003:$F$2055,MATCH(Paramètres!L30,Paramètres!$G$5:$G$57,0)),INDEX($E$2003:$E$2055,MATCH(Paramètres!L30,Paramètres!$G$5:$G$57,0)))+IF(RIGHT(TRIM(Paramètres!M30),3)="Fin",1-$H2028,IF(LEFT(TRIM(Paramètres!M30),1)="F",1,0)))),IF(Paramètres!N30="",0,IF(Paramètres!O30="",NA(),IF(LEFT(TRIM(Paramètres!O30),1)="F",INDEX($F$2003:$F$2055,MATCH(Paramètres!N30,Paramètres!$G$5:$G$57,0)),INDEX($E$2003:$E$2055,MATCH(Paramètres!N30,Paramètres!$G$5:$G$57,0)))+IF(RIGHT(TRIM(Paramètres!O30),3)="Fin",1-$H2028,IF(LEFT(TRIM(Paramètres!O30),1)="F",1,0)))))))</f>
        <v/>
      </c>
      <c r="F2028" s="19">
        <f>IF($A2028="","",E2028+$H2028-1)</f>
        <v/>
      </c>
      <c r="G2028" s="18" t="n"/>
      <c r="H2028" s="18">
        <f>IF($A2028="","",IF(I2028&lt;&gt;"",I2028,Paramètres!B30))</f>
        <v/>
      </c>
      <c r="I2028" s="18" t="n"/>
    </row>
    <row r="2029">
      <c r="A2029" s="18">
        <f>IF(ISNUMBER(Dossiers!$D$41),Dossiers!$A$41&amp;" · "&amp;Dossiers!$B$41,"")</f>
        <v/>
      </c>
      <c r="B2029" s="18">
        <f>IF($A2029="","",Paramètres!G31)</f>
        <v/>
      </c>
      <c r="C2029" s="20">
        <f>IF($A2029="","",IF(Dossiers!$F$41="","",Dossiers!$F$41))</f>
        <v/>
      </c>
      <c r="D2029" s="18">
        <f>IF($A2029="","",IF(Paramètres!I31="","",Paramètres!I31))</f>
        <v/>
      </c>
      <c r="E2029" s="19">
        <f>IF($A2029="","",IF(Paramètres!J31&amp;Paramètres!L31&amp;Paramètres!N31="",Dossiers!$D$41,MAX(IF(Paramètres!J31="",0,IF(Paramètres!K31="",NA(),IF(LEFT(TRIM(Paramètres!K31),1)="F",INDEX($F$2003:$F$2055,MATCH(Paramètres!J31,Paramètres!$G$5:$G$57,0)),INDEX($E$2003:$E$2055,MATCH(Paramètres!J31,Paramètres!$G$5:$G$57,0)))+IF(RIGHT(TRIM(Paramètres!K31),3)="Fin",1-$H2029,IF(LEFT(TRIM(Paramètres!K31),1)="F",1,0)))),IF(Paramètres!L31="",0,IF(Paramètres!M31="",NA(),IF(LEFT(TRIM(Paramètres!M31),1)="F",INDEX($F$2003:$F$2055,MATCH(Paramètres!L31,Paramètres!$G$5:$G$57,0)),INDEX($E$2003:$E$2055,MATCH(Paramètres!L31,Paramètres!$G$5:$G$57,0)))+IF(RIGHT(TRIM(Paramètres!M31),3)="Fin",1-$H2029,IF(LEFT(TRIM(Paramètres!M31),1)="F",1,0)))),IF(Paramètres!N31="",0,IF(Paramètres!O31="",NA(),IF(LEFT(TRIM(Paramètres!O31),1)="F",INDEX($F$2003:$F$2055,MATCH(Paramètres!N31,Paramètres!$G$5:$G$57,0)),INDEX($E$2003:$E$2055,MATCH(Paramètres!N31,Paramètres!$G$5:$G$57,0)))+IF(RIGHT(TRIM(Paramètres!O31),3)="Fin",1-$H2029,IF(LEFT(TRIM(Paramètres!O31),1)="F",1,0)))))))</f>
        <v/>
      </c>
      <c r="F2029" s="19">
        <f>IF($A2029="","",E2029+$H2029-1)</f>
        <v/>
      </c>
      <c r="G2029" s="18" t="n"/>
      <c r="H2029" s="18">
        <f>IF($A2029="","",IF(I2029&lt;&gt;"",I2029,Paramètres!B31))</f>
        <v/>
      </c>
      <c r="I2029" s="18" t="n"/>
    </row>
    <row r="2030">
      <c r="A2030" s="18">
        <f>IF(ISNUMBER(Dossiers!$D$41),Dossiers!$A$41&amp;" · "&amp;Dossiers!$B$41,"")</f>
        <v/>
      </c>
      <c r="B2030" s="18">
        <f>IF($A2030="","",Paramètres!G32)</f>
        <v/>
      </c>
      <c r="C2030" s="18">
        <f>IF($A2030="","",IF(Paramètres!H32="","",Paramètres!H32))</f>
        <v/>
      </c>
      <c r="D2030" s="18">
        <f>IF($A2030="","",IF(Paramètres!I32="","",Paramètres!I32))</f>
        <v/>
      </c>
      <c r="E2030" s="19">
        <f>IF($A2030="","",MIN(E2031:E2034))</f>
        <v/>
      </c>
      <c r="F2030" s="19">
        <f>IF($A2030="","",MAX(F2031:F2034))</f>
        <v/>
      </c>
      <c r="G2030" s="18" t="n"/>
      <c r="H2030" s="18">
        <f>IF($A2030="","",F2030-E2030+1)</f>
        <v/>
      </c>
      <c r="I2030" s="18" t="n"/>
    </row>
    <row r="2031">
      <c r="A2031" s="18">
        <f>IF(ISNUMBER(Dossiers!$D$41),Dossiers!$A$41&amp;" · "&amp;Dossiers!$B$41,"")</f>
        <v/>
      </c>
      <c r="B2031" s="18">
        <f>IF($A2031="","",Paramètres!G33)</f>
        <v/>
      </c>
      <c r="C2031" s="18">
        <f>IF($A2031="","",IF(Paramètres!H33="","",Paramètres!H33))</f>
        <v/>
      </c>
      <c r="D2031" s="18">
        <f>IF($A2031="","",IF(Paramètres!I33="","",Paramètres!I33))</f>
        <v/>
      </c>
      <c r="E2031" s="19">
        <f>IF($A2031="","",IF(Paramètres!J33&amp;Paramètres!L33&amp;Paramètres!N33="",Dossiers!$D$41,MAX(IF(Paramètres!J33="",0,IF(Paramètres!K33="",NA(),IF(LEFT(TRIM(Paramètres!K33),1)="F",INDEX($F$2003:$F$2055,MATCH(Paramètres!J33,Paramètres!$G$5:$G$57,0)),INDEX($E$2003:$E$2055,MATCH(Paramètres!J33,Paramètres!$G$5:$G$57,0)))+IF(RIGHT(TRIM(Paramètres!K33),3)="Fin",1-$H2031,IF(LEFT(TRIM(Paramètres!K33),1)="F",1,0)))),IF(Paramètres!L33="",0,IF(Paramètres!M33="",NA(),IF(LEFT(TRIM(Paramètres!M33),1)="F",INDEX($F$2003:$F$2055,MATCH(Paramètres!L33,Paramètres!$G$5:$G$57,0)),INDEX($E$2003:$E$2055,MATCH(Paramètres!L33,Paramètres!$G$5:$G$57,0)))+IF(RIGHT(TRIM(Paramètres!M33),3)="Fin",1-$H2031,IF(LEFT(TRIM(Paramètres!M33),1)="F",1,0)))),IF(Paramètres!N33="",0,IF(Paramètres!O33="",NA(),IF(LEFT(TRIM(Paramètres!O33),1)="F",INDEX($F$2003:$F$2055,MATCH(Paramètres!N33,Paramètres!$G$5:$G$57,0)),INDEX($E$2003:$E$2055,MATCH(Paramètres!N33,Paramètres!$G$5:$G$57,0)))+IF(RIGHT(TRIM(Paramètres!O33),3)="Fin",1-$H2031,IF(LEFT(TRIM(Paramètres!O33),1)="F",1,0)))))))</f>
        <v/>
      </c>
      <c r="F2031" s="19">
        <f>IF($A2031="","",E2031+$H2031-1)</f>
        <v/>
      </c>
      <c r="G2031" s="18" t="n"/>
      <c r="H2031" s="18">
        <f>IF($A2031="","",IF(I2031&lt;&gt;"",I2031,Paramètres!B33))</f>
        <v/>
      </c>
      <c r="I2031" s="18" t="n"/>
    </row>
    <row r="2032">
      <c r="A2032" s="18">
        <f>IF(ISNUMBER(Dossiers!$D$41),Dossiers!$A$41&amp;" · "&amp;Dossiers!$B$41,"")</f>
        <v/>
      </c>
      <c r="B2032" s="18">
        <f>IF($A2032="","",Paramètres!G34)</f>
        <v/>
      </c>
      <c r="C2032" s="18">
        <f>IF($A2032="","",IF(Paramètres!H34="","",Paramètres!H34))</f>
        <v/>
      </c>
      <c r="D2032" s="18">
        <f>IF($A2032="","",IF(Paramètres!I34="","",Paramètres!I34))</f>
        <v/>
      </c>
      <c r="E2032" s="19">
        <f>IF($A2032="","",IF(Paramètres!J34&amp;Paramètres!L34&amp;Paramètres!N34="",Dossiers!$D$41,MAX(IF(Paramètres!J34="",0,IF(Paramètres!K34="",NA(),IF(LEFT(TRIM(Paramètres!K34),1)="F",INDEX($F$2003:$F$2055,MATCH(Paramètres!J34,Paramètres!$G$5:$G$57,0)),INDEX($E$2003:$E$2055,MATCH(Paramètres!J34,Paramètres!$G$5:$G$57,0)))+IF(RIGHT(TRIM(Paramètres!K34),3)="Fin",1-$H2032,IF(LEFT(TRIM(Paramètres!K34),1)="F",1,0)))),IF(Paramètres!L34="",0,IF(Paramètres!M34="",NA(),IF(LEFT(TRIM(Paramètres!M34),1)="F",INDEX($F$2003:$F$2055,MATCH(Paramètres!L34,Paramètres!$G$5:$G$57,0)),INDEX($E$2003:$E$2055,MATCH(Paramètres!L34,Paramètres!$G$5:$G$57,0)))+IF(RIGHT(TRIM(Paramètres!M34),3)="Fin",1-$H2032,IF(LEFT(TRIM(Paramètres!M34),1)="F",1,0)))),IF(Paramètres!N34="",0,IF(Paramètres!O34="",NA(),IF(LEFT(TRIM(Paramètres!O34),1)="F",INDEX($F$2003:$F$2055,MATCH(Paramètres!N34,Paramètres!$G$5:$G$57,0)),INDEX($E$2003:$E$2055,MATCH(Paramètres!N34,Paramètres!$G$5:$G$57,0)))+IF(RIGHT(TRIM(Paramètres!O34),3)="Fin",1-$H2032,IF(LEFT(TRIM(Paramètres!O34),1)="F",1,0)))))))</f>
        <v/>
      </c>
      <c r="F2032" s="19">
        <f>IF($A2032="","",E2032+$H2032-1)</f>
        <v/>
      </c>
      <c r="G2032" s="18" t="n"/>
      <c r="H2032" s="18">
        <f>IF($A2032="","",IF(I2032&lt;&gt;"",I2032,Paramètres!B34))</f>
        <v/>
      </c>
      <c r="I2032" s="18" t="n"/>
    </row>
    <row r="2033">
      <c r="A2033" s="18">
        <f>IF(ISNUMBER(Dossiers!$D$41),Dossiers!$A$41&amp;" · "&amp;Dossiers!$B$41,"")</f>
        <v/>
      </c>
      <c r="B2033" s="18">
        <f>IF($A2033="","",Paramètres!G35)</f>
        <v/>
      </c>
      <c r="C2033" s="18">
        <f>IF($A2033="","",IF(Paramètres!H35="","",Paramètres!H35))</f>
        <v/>
      </c>
      <c r="D2033" s="18">
        <f>IF($A2033="","",IF(Paramètres!I35="","",Paramètres!I35))</f>
        <v/>
      </c>
      <c r="E2033" s="19">
        <f>IF($A2033="","",IF(Paramètres!J35&amp;Paramètres!L35&amp;Paramètres!N35="",Dossiers!$D$41,MAX(IF(Paramètres!J35="",0,IF(Paramètres!K35="",NA(),IF(LEFT(TRIM(Paramètres!K35),1)="F",INDEX($F$2003:$F$2055,MATCH(Paramètres!J35,Paramètres!$G$5:$G$57,0)),INDEX($E$2003:$E$2055,MATCH(Paramètres!J35,Paramètres!$G$5:$G$57,0)))+IF(RIGHT(TRIM(Paramètres!K35),3)="Fin",1-$H2033,IF(LEFT(TRIM(Paramètres!K35),1)="F",1,0)))),IF(Paramètres!L35="",0,IF(Paramètres!M35="",NA(),IF(LEFT(TRIM(Paramètres!M35),1)="F",INDEX($F$2003:$F$2055,MATCH(Paramètres!L35,Paramètres!$G$5:$G$57,0)),INDEX($E$2003:$E$2055,MATCH(Paramètres!L35,Paramètres!$G$5:$G$57,0)))+IF(RIGHT(TRIM(Paramètres!M35),3)="Fin",1-$H2033,IF(LEFT(TRIM(Paramètres!M35),1)="F",1,0)))),IF(Paramètres!N35="",0,IF(Paramètres!O35="",NA(),IF(LEFT(TRIM(Paramètres!O35),1)="F",INDEX($F$2003:$F$2055,MATCH(Paramètres!N35,Paramètres!$G$5:$G$57,0)),INDEX($E$2003:$E$2055,MATCH(Paramètres!N35,Paramètres!$G$5:$G$57,0)))+IF(RIGHT(TRIM(Paramètres!O35),3)="Fin",1-$H2033,IF(LEFT(TRIM(Paramètres!O35),1)="F",1,0)))))))</f>
        <v/>
      </c>
      <c r="F2033" s="19">
        <f>IF($A2033="","",E2033+$H2033-1)</f>
        <v/>
      </c>
      <c r="G2033" s="18" t="n"/>
      <c r="H2033" s="18">
        <f>IF($A2033="","",IF(I2033&lt;&gt;"",I2033,Paramètres!B35))</f>
        <v/>
      </c>
      <c r="I2033" s="18" t="n"/>
    </row>
    <row r="2034">
      <c r="A2034" s="18">
        <f>IF(ISNUMBER(Dossiers!$D$41),Dossiers!$A$41&amp;" · "&amp;Dossiers!$B$41,"")</f>
        <v/>
      </c>
      <c r="B2034" s="18">
        <f>IF($A2034="","",Paramètres!G36)</f>
        <v/>
      </c>
      <c r="C2034" s="18">
        <f>IF($A2034="","",IF(Paramètres!H36="","",Paramètres!H36))</f>
        <v/>
      </c>
      <c r="D2034" s="18">
        <f>IF($A2034="","",IF(Paramètres!I36="","",Paramètres!I36))</f>
        <v/>
      </c>
      <c r="E2034" s="19">
        <f>IF($A2034="","",IF(Paramètres!J36&amp;Paramètres!L36&amp;Paramètres!N36="",Dossiers!$D$41,MAX(IF(Paramètres!J36="",0,IF(Paramètres!K36="",NA(),IF(LEFT(TRIM(Paramètres!K36),1)="F",INDEX($F$2003:$F$2055,MATCH(Paramètres!J36,Paramètres!$G$5:$G$57,0)),INDEX($E$2003:$E$2055,MATCH(Paramètres!J36,Paramètres!$G$5:$G$57,0)))+IF(RIGHT(TRIM(Paramètres!K36),3)="Fin",1-$H2034,IF(LEFT(TRIM(Paramètres!K36),1)="F",1,0)))),IF(Paramètres!L36="",0,IF(Paramètres!M36="",NA(),IF(LEFT(TRIM(Paramètres!M36),1)="F",INDEX($F$2003:$F$2055,MATCH(Paramètres!L36,Paramètres!$G$5:$G$57,0)),INDEX($E$2003:$E$2055,MATCH(Paramètres!L36,Paramètres!$G$5:$G$57,0)))+IF(RIGHT(TRIM(Paramètres!M36),3)="Fin",1-$H2034,IF(LEFT(TRIM(Paramètres!M36),1)="F",1,0)))),IF(Paramètres!N36="",0,IF(Paramètres!O36="",NA(),IF(LEFT(TRIM(Paramètres!O36),1)="F",INDEX($F$2003:$F$2055,MATCH(Paramètres!N36,Paramètres!$G$5:$G$57,0)),INDEX($E$2003:$E$2055,MATCH(Paramètres!N36,Paramètres!$G$5:$G$57,0)))+IF(RIGHT(TRIM(Paramètres!O36),3)="Fin",1-$H2034,IF(LEFT(TRIM(Paramètres!O36),1)="F",1,0)))))))</f>
        <v/>
      </c>
      <c r="F2034" s="19">
        <f>IF($A2034="","",E2034+$H2034-1)</f>
        <v/>
      </c>
      <c r="G2034" s="18" t="n"/>
      <c r="H2034" s="18">
        <f>IF($A2034="","",IF(I2034&lt;&gt;"",I2034,Paramètres!B36))</f>
        <v/>
      </c>
      <c r="I2034" s="18" t="n"/>
    </row>
    <row r="2035">
      <c r="A2035" s="18">
        <f>IF(ISNUMBER(Dossiers!$D$41),Dossiers!$A$41&amp;" · "&amp;Dossiers!$B$41,"")</f>
        <v/>
      </c>
      <c r="B2035" s="18">
        <f>IF($A2035="","",Paramètres!G37)</f>
        <v/>
      </c>
      <c r="C2035" s="18">
        <f>IF($A2035="","",IF(Paramètres!H37="","",Paramètres!H37))</f>
        <v/>
      </c>
      <c r="D2035" s="18">
        <f>IF($A2035="","",IF(Paramètres!I37="","",Paramètres!I37))</f>
        <v/>
      </c>
      <c r="E2035" s="19">
        <f>IF($A2035="","",MIN(E2036:E2053))</f>
        <v/>
      </c>
      <c r="F2035" s="19">
        <f>IF($A2035="","",MAX(F2036:F2053))</f>
        <v/>
      </c>
      <c r="G2035" s="18" t="n"/>
      <c r="H2035" s="18">
        <f>IF($A2035="","",F2035-E2035+1)</f>
        <v/>
      </c>
      <c r="I2035" s="18" t="n"/>
    </row>
    <row r="2036">
      <c r="A2036" s="18">
        <f>IF(ISNUMBER(Dossiers!$D$41),Dossiers!$A$41&amp;" · "&amp;Dossiers!$B$41,"")</f>
        <v/>
      </c>
      <c r="B2036" s="18">
        <f>IF($A2036="","",Paramètres!G38)</f>
        <v/>
      </c>
      <c r="C2036" s="18">
        <f>IF($A2036="","",IF(Paramètres!H38="","",Paramètres!H38))</f>
        <v/>
      </c>
      <c r="D2036" s="18">
        <f>IF($A2036="","",IF(Paramètres!I38="","",Paramètres!I38))</f>
        <v/>
      </c>
      <c r="E2036" s="19">
        <f>IF($A2036="","",IF(Paramètres!J38&amp;Paramètres!L38&amp;Paramètres!N38="",Dossiers!$D$41,MAX(IF(Paramètres!J38="",0,IF(Paramètres!K38="",NA(),IF(LEFT(TRIM(Paramètres!K38),1)="F",INDEX($F$2003:$F$2055,MATCH(Paramètres!J38,Paramètres!$G$5:$G$57,0)),INDEX($E$2003:$E$2055,MATCH(Paramètres!J38,Paramètres!$G$5:$G$57,0)))+IF(RIGHT(TRIM(Paramètres!K38),3)="Fin",1-$H2036,IF(LEFT(TRIM(Paramètres!K38),1)="F",1,0)))),IF(Paramètres!L38="",0,IF(Paramètres!M38="",NA(),IF(LEFT(TRIM(Paramètres!M38),1)="F",INDEX($F$2003:$F$2055,MATCH(Paramètres!L38,Paramètres!$G$5:$G$57,0)),INDEX($E$2003:$E$2055,MATCH(Paramètres!L38,Paramètres!$G$5:$G$57,0)))+IF(RIGHT(TRIM(Paramètres!M38),3)="Fin",1-$H2036,IF(LEFT(TRIM(Paramètres!M38),1)="F",1,0)))),IF(Paramètres!N38="",0,IF(Paramètres!O38="",NA(),IF(LEFT(TRIM(Paramètres!O38),1)="F",INDEX($F$2003:$F$2055,MATCH(Paramètres!N38,Paramètres!$G$5:$G$57,0)),INDEX($E$2003:$E$2055,MATCH(Paramètres!N38,Paramètres!$G$5:$G$57,0)))+IF(RIGHT(TRIM(Paramètres!O38),3)="Fin",1-$H2036,IF(LEFT(TRIM(Paramètres!O38),1)="F",1,0)))))))</f>
        <v/>
      </c>
      <c r="F2036" s="19">
        <f>IF($A2036="","",E2036+$H2036-1)</f>
        <v/>
      </c>
      <c r="G2036" s="18" t="n"/>
      <c r="H2036" s="18">
        <f>IF($A2036="","",IF(I2036&lt;&gt;"",I2036,Paramètres!B38))</f>
        <v/>
      </c>
      <c r="I2036" s="18" t="n"/>
    </row>
    <row r="2037">
      <c r="A2037" s="18">
        <f>IF(ISNUMBER(Dossiers!$D$41),Dossiers!$A$41&amp;" · "&amp;Dossiers!$B$41,"")</f>
        <v/>
      </c>
      <c r="B2037" s="18">
        <f>IF($A2037="","",Paramètres!G39)</f>
        <v/>
      </c>
      <c r="C2037" s="18">
        <f>IF($A2037="","",IF(Paramètres!H39="","",Paramètres!H39))</f>
        <v/>
      </c>
      <c r="D2037" s="18">
        <f>IF($A2037="","",IF(Paramètres!I39="","",Paramètres!I39))</f>
        <v/>
      </c>
      <c r="E2037" s="19">
        <f>IF($A2037="","",IF(Paramètres!J39&amp;Paramètres!L39&amp;Paramètres!N39="",Dossiers!$D$41,MAX(IF(Paramètres!J39="",0,IF(Paramètres!K39="",NA(),IF(LEFT(TRIM(Paramètres!K39),1)="F",INDEX($F$2003:$F$2055,MATCH(Paramètres!J39,Paramètres!$G$5:$G$57,0)),INDEX($E$2003:$E$2055,MATCH(Paramètres!J39,Paramètres!$G$5:$G$57,0)))+IF(RIGHT(TRIM(Paramètres!K39),3)="Fin",1-$H2037,IF(LEFT(TRIM(Paramètres!K39),1)="F",1,0)))),IF(Paramètres!L39="",0,IF(Paramètres!M39="",NA(),IF(LEFT(TRIM(Paramètres!M39),1)="F",INDEX($F$2003:$F$2055,MATCH(Paramètres!L39,Paramètres!$G$5:$G$57,0)),INDEX($E$2003:$E$2055,MATCH(Paramètres!L39,Paramètres!$G$5:$G$57,0)))+IF(RIGHT(TRIM(Paramètres!M39),3)="Fin",1-$H2037,IF(LEFT(TRIM(Paramètres!M39),1)="F",1,0)))),IF(Paramètres!N39="",0,IF(Paramètres!O39="",NA(),IF(LEFT(TRIM(Paramètres!O39),1)="F",INDEX($F$2003:$F$2055,MATCH(Paramètres!N39,Paramètres!$G$5:$G$57,0)),INDEX($E$2003:$E$2055,MATCH(Paramètres!N39,Paramètres!$G$5:$G$57,0)))+IF(RIGHT(TRIM(Paramètres!O39),3)="Fin",1-$H2037,IF(LEFT(TRIM(Paramètres!O39),1)="F",1,0)))))))</f>
        <v/>
      </c>
      <c r="F2037" s="19">
        <f>IF($A2037="","",E2037+$H2037-1)</f>
        <v/>
      </c>
      <c r="G2037" s="18" t="n"/>
      <c r="H2037" s="18">
        <f>IF($A2037="","",IF(I2037&lt;&gt;"",I2037,Paramètres!B39))</f>
        <v/>
      </c>
      <c r="I2037" s="18" t="n"/>
    </row>
    <row r="2038">
      <c r="A2038" s="18">
        <f>IF(ISNUMBER(Dossiers!$D$41),Dossiers!$A$41&amp;" · "&amp;Dossiers!$B$41,"")</f>
        <v/>
      </c>
      <c r="B2038" s="18">
        <f>IF($A2038="","",Paramètres!G40)</f>
        <v/>
      </c>
      <c r="C2038" s="18">
        <f>IF($A2038="","",IF(Paramètres!H40="","",Paramètres!H40))</f>
        <v/>
      </c>
      <c r="D2038" s="18">
        <f>IF($A2038="","",IF(Paramètres!I40="","",Paramètres!I40))</f>
        <v/>
      </c>
      <c r="E2038" s="19">
        <f>IF($A2038="","",IF(Paramètres!J40&amp;Paramètres!L40&amp;Paramètres!N40="",Dossiers!$D$41,MAX(IF(Paramètres!J40="",0,IF(Paramètres!K40="",NA(),IF(LEFT(TRIM(Paramètres!K40),1)="F",INDEX($F$2003:$F$2055,MATCH(Paramètres!J40,Paramètres!$G$5:$G$57,0)),INDEX($E$2003:$E$2055,MATCH(Paramètres!J40,Paramètres!$G$5:$G$57,0)))+IF(RIGHT(TRIM(Paramètres!K40),3)="Fin",1-$H2038,IF(LEFT(TRIM(Paramètres!K40),1)="F",1,0)))),IF(Paramètres!L40="",0,IF(Paramètres!M40="",NA(),IF(LEFT(TRIM(Paramètres!M40),1)="F",INDEX($F$2003:$F$2055,MATCH(Paramètres!L40,Paramètres!$G$5:$G$57,0)),INDEX($E$2003:$E$2055,MATCH(Paramètres!L40,Paramètres!$G$5:$G$57,0)))+IF(RIGHT(TRIM(Paramètres!M40),3)="Fin",1-$H2038,IF(LEFT(TRIM(Paramètres!M40),1)="F",1,0)))),IF(Paramètres!N40="",0,IF(Paramètres!O40="",NA(),IF(LEFT(TRIM(Paramètres!O40),1)="F",INDEX($F$2003:$F$2055,MATCH(Paramètres!N40,Paramètres!$G$5:$G$57,0)),INDEX($E$2003:$E$2055,MATCH(Paramètres!N40,Paramètres!$G$5:$G$57,0)))+IF(RIGHT(TRIM(Paramètres!O40),3)="Fin",1-$H2038,IF(LEFT(TRIM(Paramètres!O40),1)="F",1,0)))))))</f>
        <v/>
      </c>
      <c r="F2038" s="19">
        <f>IF($A2038="","",E2038+$H2038-1)</f>
        <v/>
      </c>
      <c r="G2038" s="18" t="n"/>
      <c r="H2038" s="18">
        <f>IF($A2038="","",IF(I2038&lt;&gt;"",I2038,Paramètres!B40))</f>
        <v/>
      </c>
      <c r="I2038" s="18" t="n"/>
    </row>
    <row r="2039">
      <c r="A2039" s="18">
        <f>IF(ISNUMBER(Dossiers!$D$41),Dossiers!$A$41&amp;" · "&amp;Dossiers!$B$41,"")</f>
        <v/>
      </c>
      <c r="B2039" s="18">
        <f>IF($A2039="","",Paramètres!G41)</f>
        <v/>
      </c>
      <c r="C2039" s="18">
        <f>IF($A2039="","",IF(Paramètres!H41="","",Paramètres!H41))</f>
        <v/>
      </c>
      <c r="D2039" s="18">
        <f>IF($A2039="","",IF(Paramètres!I41="","",Paramètres!I41))</f>
        <v/>
      </c>
      <c r="E2039" s="19">
        <f>IF($A2039="","",IF(Paramètres!J41&amp;Paramètres!L41&amp;Paramètres!N41="",Dossiers!$D$41,MAX(IF(Paramètres!J41="",0,IF(Paramètres!K41="",NA(),IF(LEFT(TRIM(Paramètres!K41),1)="F",INDEX($F$2003:$F$2055,MATCH(Paramètres!J41,Paramètres!$G$5:$G$57,0)),INDEX($E$2003:$E$2055,MATCH(Paramètres!J41,Paramètres!$G$5:$G$57,0)))+IF(RIGHT(TRIM(Paramètres!K41),3)="Fin",1-$H2039,IF(LEFT(TRIM(Paramètres!K41),1)="F",1,0)))),IF(Paramètres!L41="",0,IF(Paramètres!M41="",NA(),IF(LEFT(TRIM(Paramètres!M41),1)="F",INDEX($F$2003:$F$2055,MATCH(Paramètres!L41,Paramètres!$G$5:$G$57,0)),INDEX($E$2003:$E$2055,MATCH(Paramètres!L41,Paramètres!$G$5:$G$57,0)))+IF(RIGHT(TRIM(Paramètres!M41),3)="Fin",1-$H2039,IF(LEFT(TRIM(Paramètres!M41),1)="F",1,0)))),IF(Paramètres!N41="",0,IF(Paramètres!O41="",NA(),IF(LEFT(TRIM(Paramètres!O41),1)="F",INDEX($F$2003:$F$2055,MATCH(Paramètres!N41,Paramètres!$G$5:$G$57,0)),INDEX($E$2003:$E$2055,MATCH(Paramètres!N41,Paramètres!$G$5:$G$57,0)))+IF(RIGHT(TRIM(Paramètres!O41),3)="Fin",1-$H2039,IF(LEFT(TRIM(Paramètres!O41),1)="F",1,0)))))))</f>
        <v/>
      </c>
      <c r="F2039" s="19">
        <f>IF($A2039="","",E2039+$H2039-1)</f>
        <v/>
      </c>
      <c r="G2039" s="18" t="n"/>
      <c r="H2039" s="18">
        <f>IF($A2039="","",IF(I2039&lt;&gt;"",I2039,Paramètres!B41))</f>
        <v/>
      </c>
      <c r="I2039" s="18" t="n"/>
    </row>
    <row r="2040">
      <c r="A2040" s="18">
        <f>IF(ISNUMBER(Dossiers!$D$41),Dossiers!$A$41&amp;" · "&amp;Dossiers!$B$41,"")</f>
        <v/>
      </c>
      <c r="B2040" s="18">
        <f>IF($A2040="","",Paramètres!G42)</f>
        <v/>
      </c>
      <c r="C2040" s="18">
        <f>IF($A2040="","",IF(Paramètres!H42="","",Paramètres!H42))</f>
        <v/>
      </c>
      <c r="D2040" s="18">
        <f>IF($A2040="","",IF(Paramètres!I42="","",Paramètres!I42))</f>
        <v/>
      </c>
      <c r="E2040" s="19">
        <f>IF($A2040="","",IF(Paramètres!J42&amp;Paramètres!L42&amp;Paramètres!N42="",Dossiers!$D$41,MAX(IF(Paramètres!J42="",0,IF(Paramètres!K42="",NA(),IF(LEFT(TRIM(Paramètres!K42),1)="F",INDEX($F$2003:$F$2055,MATCH(Paramètres!J42,Paramètres!$G$5:$G$57,0)),INDEX($E$2003:$E$2055,MATCH(Paramètres!J42,Paramètres!$G$5:$G$57,0)))+IF(RIGHT(TRIM(Paramètres!K42),3)="Fin",1-$H2040,IF(LEFT(TRIM(Paramètres!K42),1)="F",1,0)))),IF(Paramètres!L42="",0,IF(Paramètres!M42="",NA(),IF(LEFT(TRIM(Paramètres!M42),1)="F",INDEX($F$2003:$F$2055,MATCH(Paramètres!L42,Paramètres!$G$5:$G$57,0)),INDEX($E$2003:$E$2055,MATCH(Paramètres!L42,Paramètres!$G$5:$G$57,0)))+IF(RIGHT(TRIM(Paramètres!M42),3)="Fin",1-$H2040,IF(LEFT(TRIM(Paramètres!M42),1)="F",1,0)))),IF(Paramètres!N42="",0,IF(Paramètres!O42="",NA(),IF(LEFT(TRIM(Paramètres!O42),1)="F",INDEX($F$2003:$F$2055,MATCH(Paramètres!N42,Paramètres!$G$5:$G$57,0)),INDEX($E$2003:$E$2055,MATCH(Paramètres!N42,Paramètres!$G$5:$G$57,0)))+IF(RIGHT(TRIM(Paramètres!O42),3)="Fin",1-$H2040,IF(LEFT(TRIM(Paramètres!O42),1)="F",1,0)))))))</f>
        <v/>
      </c>
      <c r="F2040" s="19">
        <f>IF($A2040="","",E2040+$H2040-1)</f>
        <v/>
      </c>
      <c r="G2040" s="18" t="n"/>
      <c r="H2040" s="18">
        <f>IF($A2040="","",IF(I2040&lt;&gt;"",I2040,Paramètres!B42))</f>
        <v/>
      </c>
      <c r="I2040" s="18" t="n"/>
    </row>
    <row r="2041">
      <c r="A2041" s="18">
        <f>IF(ISNUMBER(Dossiers!$D$41),Dossiers!$A$41&amp;" · "&amp;Dossiers!$B$41,"")</f>
        <v/>
      </c>
      <c r="B2041" s="18">
        <f>IF($A2041="","",Paramètres!G43)</f>
        <v/>
      </c>
      <c r="C2041" s="18">
        <f>IF($A2041="","",IF(Paramètres!H43="","",Paramètres!H43))</f>
        <v/>
      </c>
      <c r="D2041" s="18">
        <f>IF($A2041="","",IF(Paramètres!I43="","",Paramètres!I43))</f>
        <v/>
      </c>
      <c r="E2041" s="19">
        <f>IF($A2041="","",IF(Paramètres!J43&amp;Paramètres!L43&amp;Paramètres!N43="",Dossiers!$D$41,MAX(IF(Paramètres!J43="",0,IF(Paramètres!K43="",NA(),IF(LEFT(TRIM(Paramètres!K43),1)="F",INDEX($F$2003:$F$2055,MATCH(Paramètres!J43,Paramètres!$G$5:$G$57,0)),INDEX($E$2003:$E$2055,MATCH(Paramètres!J43,Paramètres!$G$5:$G$57,0)))+IF(RIGHT(TRIM(Paramètres!K43),3)="Fin",1-$H2041,IF(LEFT(TRIM(Paramètres!K43),1)="F",1,0)))),IF(Paramètres!L43="",0,IF(Paramètres!M43="",NA(),IF(LEFT(TRIM(Paramètres!M43),1)="F",INDEX($F$2003:$F$2055,MATCH(Paramètres!L43,Paramètres!$G$5:$G$57,0)),INDEX($E$2003:$E$2055,MATCH(Paramètres!L43,Paramètres!$G$5:$G$57,0)))+IF(RIGHT(TRIM(Paramètres!M43),3)="Fin",1-$H2041,IF(LEFT(TRIM(Paramètres!M43),1)="F",1,0)))),IF(Paramètres!N43="",0,IF(Paramètres!O43="",NA(),IF(LEFT(TRIM(Paramètres!O43),1)="F",INDEX($F$2003:$F$2055,MATCH(Paramètres!N43,Paramètres!$G$5:$G$57,0)),INDEX($E$2003:$E$2055,MATCH(Paramètres!N43,Paramètres!$G$5:$G$57,0)))+IF(RIGHT(TRIM(Paramètres!O43),3)="Fin",1-$H2041,IF(LEFT(TRIM(Paramètres!O43),1)="F",1,0)))))))</f>
        <v/>
      </c>
      <c r="F2041" s="19">
        <f>IF($A2041="","",E2041+$H2041-1)</f>
        <v/>
      </c>
      <c r="G2041" s="18" t="n"/>
      <c r="H2041" s="18">
        <f>IF($A2041="","",IF(I2041&lt;&gt;"",I2041,Paramètres!B43))</f>
        <v/>
      </c>
      <c r="I2041" s="18" t="n"/>
    </row>
    <row r="2042">
      <c r="A2042" s="18">
        <f>IF(ISNUMBER(Dossiers!$D$41),Dossiers!$A$41&amp;" · "&amp;Dossiers!$B$41,"")</f>
        <v/>
      </c>
      <c r="B2042" s="18">
        <f>IF($A2042="","",Paramètres!G44)</f>
        <v/>
      </c>
      <c r="C2042" s="18">
        <f>IF($A2042="","",IF(Paramètres!H44="","",Paramètres!H44))</f>
        <v/>
      </c>
      <c r="D2042" s="18">
        <f>IF($A2042="","",IF(Paramètres!I44="","",Paramètres!I44))</f>
        <v/>
      </c>
      <c r="E2042" s="19">
        <f>IF($A2042="","",IF(Paramètres!J44&amp;Paramètres!L44&amp;Paramètres!N44="",Dossiers!$D$41,MAX(IF(Paramètres!J44="",0,IF(Paramètres!K44="",NA(),IF(LEFT(TRIM(Paramètres!K44),1)="F",INDEX($F$2003:$F$2055,MATCH(Paramètres!J44,Paramètres!$G$5:$G$57,0)),INDEX($E$2003:$E$2055,MATCH(Paramètres!J44,Paramètres!$G$5:$G$57,0)))+IF(RIGHT(TRIM(Paramètres!K44),3)="Fin",1-$H2042,IF(LEFT(TRIM(Paramètres!K44),1)="F",1,0)))),IF(Paramètres!L44="",0,IF(Paramètres!M44="",NA(),IF(LEFT(TRIM(Paramètres!M44),1)="F",INDEX($F$2003:$F$2055,MATCH(Paramètres!L44,Paramètres!$G$5:$G$57,0)),INDEX($E$2003:$E$2055,MATCH(Paramètres!L44,Paramètres!$G$5:$G$57,0)))+IF(RIGHT(TRIM(Paramètres!M44),3)="Fin",1-$H2042,IF(LEFT(TRIM(Paramètres!M44),1)="F",1,0)))),IF(Paramètres!N44="",0,IF(Paramètres!O44="",NA(),IF(LEFT(TRIM(Paramètres!O44),1)="F",INDEX($F$2003:$F$2055,MATCH(Paramètres!N44,Paramètres!$G$5:$G$57,0)),INDEX($E$2003:$E$2055,MATCH(Paramètres!N44,Paramètres!$G$5:$G$57,0)))+IF(RIGHT(TRIM(Paramètres!O44),3)="Fin",1-$H2042,IF(LEFT(TRIM(Paramètres!O44),1)="F",1,0)))))))</f>
        <v/>
      </c>
      <c r="F2042" s="19">
        <f>IF($A2042="","",E2042+$H2042-1)</f>
        <v/>
      </c>
      <c r="G2042" s="18" t="n"/>
      <c r="H2042" s="18">
        <f>IF($A2042="","",IF(I2042&lt;&gt;"",I2042,Paramètres!B44))</f>
        <v/>
      </c>
      <c r="I2042" s="18" t="n"/>
    </row>
    <row r="2043">
      <c r="A2043" s="18">
        <f>IF(ISNUMBER(Dossiers!$D$41),Dossiers!$A$41&amp;" · "&amp;Dossiers!$B$41,"")</f>
        <v/>
      </c>
      <c r="B2043" s="18">
        <f>IF($A2043="","",Paramètres!G45)</f>
        <v/>
      </c>
      <c r="C2043" s="20">
        <f>IF($A2043="","",IF(Dossiers!$G$41="","",Dossiers!$G$41))</f>
        <v/>
      </c>
      <c r="D2043" s="18">
        <f>IF($A2043="","",IF(Paramètres!I45="","",Paramètres!I45))</f>
        <v/>
      </c>
      <c r="E2043" s="19">
        <f>IF($A2043="","",IF(Paramètres!J45&amp;Paramètres!L45&amp;Paramètres!N45="",Dossiers!$D$41,MAX(IF(Paramètres!J45="",0,IF(Paramètres!K45="",NA(),IF(LEFT(TRIM(Paramètres!K45),1)="F",INDEX($F$2003:$F$2055,MATCH(Paramètres!J45,Paramètres!$G$5:$G$57,0)),INDEX($E$2003:$E$2055,MATCH(Paramètres!J45,Paramètres!$G$5:$G$57,0)))+IF(RIGHT(TRIM(Paramètres!K45),3)="Fin",1-$H2043,IF(LEFT(TRIM(Paramètres!K45),1)="F",1,0)))),IF(Paramètres!L45="",0,IF(Paramètres!M45="",NA(),IF(LEFT(TRIM(Paramètres!M45),1)="F",INDEX($F$2003:$F$2055,MATCH(Paramètres!L45,Paramètres!$G$5:$G$57,0)),INDEX($E$2003:$E$2055,MATCH(Paramètres!L45,Paramètres!$G$5:$G$57,0)))+IF(RIGHT(TRIM(Paramètres!M45),3)="Fin",1-$H2043,IF(LEFT(TRIM(Paramètres!M45),1)="F",1,0)))),IF(Paramètres!N45="",0,IF(Paramètres!O45="",NA(),IF(LEFT(TRIM(Paramètres!O45),1)="F",INDEX($F$2003:$F$2055,MATCH(Paramètres!N45,Paramètres!$G$5:$G$57,0)),INDEX($E$2003:$E$2055,MATCH(Paramètres!N45,Paramètres!$G$5:$G$57,0)))+IF(RIGHT(TRIM(Paramètres!O45),3)="Fin",1-$H2043,IF(LEFT(TRIM(Paramètres!O45),1)="F",1,0)))))))</f>
        <v/>
      </c>
      <c r="F2043" s="19">
        <f>IF($A2043="","",E2043+$H2043-1)</f>
        <v/>
      </c>
      <c r="G2043" s="18" t="n"/>
      <c r="H2043" s="18">
        <f>IF($A2043="","",IF(I2043&lt;&gt;"",I2043,Paramètres!B45))</f>
        <v/>
      </c>
      <c r="I2043" s="18" t="n"/>
    </row>
    <row r="2044">
      <c r="A2044" s="18">
        <f>IF(ISNUMBER(Dossiers!$D$41),Dossiers!$A$41&amp;" · "&amp;Dossiers!$B$41,"")</f>
        <v/>
      </c>
      <c r="B2044" s="18">
        <f>IF($A2044="","",Paramètres!G46)</f>
        <v/>
      </c>
      <c r="C2044" s="18">
        <f>IF($A2044="","",IF(Paramètres!H46="","",Paramètres!H46))</f>
        <v/>
      </c>
      <c r="D2044" s="18">
        <f>IF($A2044="","",IF(Paramètres!I46="","",Paramètres!I46))</f>
        <v/>
      </c>
      <c r="E2044" s="19">
        <f>IF($A2044="","",IF(Paramètres!J46&amp;Paramètres!L46&amp;Paramètres!N46="",Dossiers!$D$41,MAX(IF(Paramètres!J46="",0,IF(Paramètres!K46="",NA(),IF(LEFT(TRIM(Paramètres!K46),1)="F",INDEX($F$2003:$F$2055,MATCH(Paramètres!J46,Paramètres!$G$5:$G$57,0)),INDEX($E$2003:$E$2055,MATCH(Paramètres!J46,Paramètres!$G$5:$G$57,0)))+IF(RIGHT(TRIM(Paramètres!K46),3)="Fin",1-$H2044,IF(LEFT(TRIM(Paramètres!K46),1)="F",1,0)))),IF(Paramètres!L46="",0,IF(Paramètres!M46="",NA(),IF(LEFT(TRIM(Paramètres!M46),1)="F",INDEX($F$2003:$F$2055,MATCH(Paramètres!L46,Paramètres!$G$5:$G$57,0)),INDEX($E$2003:$E$2055,MATCH(Paramètres!L46,Paramètres!$G$5:$G$57,0)))+IF(RIGHT(TRIM(Paramètres!M46),3)="Fin",1-$H2044,IF(LEFT(TRIM(Paramètres!M46),1)="F",1,0)))),IF(Paramètres!N46="",0,IF(Paramètres!O46="",NA(),IF(LEFT(TRIM(Paramètres!O46),1)="F",INDEX($F$2003:$F$2055,MATCH(Paramètres!N46,Paramètres!$G$5:$G$57,0)),INDEX($E$2003:$E$2055,MATCH(Paramètres!N46,Paramètres!$G$5:$G$57,0)))+IF(RIGHT(TRIM(Paramètres!O46),3)="Fin",1-$H2044,IF(LEFT(TRIM(Paramètres!O46),1)="F",1,0)))))))</f>
        <v/>
      </c>
      <c r="F2044" s="19">
        <f>IF($A2044="","",E2044+$H2044-1)</f>
        <v/>
      </c>
      <c r="G2044" s="18" t="n"/>
      <c r="H2044" s="18">
        <f>IF($A2044="","",IF(I2044&lt;&gt;"",I2044,Paramètres!B46))</f>
        <v/>
      </c>
      <c r="I2044" s="18" t="n"/>
    </row>
    <row r="2045">
      <c r="A2045" s="18">
        <f>IF(ISNUMBER(Dossiers!$D$41),Dossiers!$A$41&amp;" · "&amp;Dossiers!$B$41,"")</f>
        <v/>
      </c>
      <c r="B2045" s="18">
        <f>IF($A2045="","",Paramètres!G47)</f>
        <v/>
      </c>
      <c r="C2045" s="18">
        <f>IF($A2045="","",IF(Paramètres!H47="","",Paramètres!H47))</f>
        <v/>
      </c>
      <c r="D2045" s="18">
        <f>IF($A2045="","",IF(Paramètres!I47="","",Paramètres!I47))</f>
        <v/>
      </c>
      <c r="E2045" s="19">
        <f>IF($A2045="","",IF(Paramètres!J47&amp;Paramètres!L47&amp;Paramètres!N47="",Dossiers!$D$41,MAX(IF(Paramètres!J47="",0,IF(Paramètres!K47="",NA(),IF(LEFT(TRIM(Paramètres!K47),1)="F",INDEX($F$2003:$F$2055,MATCH(Paramètres!J47,Paramètres!$G$5:$G$57,0)),INDEX($E$2003:$E$2055,MATCH(Paramètres!J47,Paramètres!$G$5:$G$57,0)))+IF(RIGHT(TRIM(Paramètres!K47),3)="Fin",1-$H2045,IF(LEFT(TRIM(Paramètres!K47),1)="F",1,0)))),IF(Paramètres!L47="",0,IF(Paramètres!M47="",NA(),IF(LEFT(TRIM(Paramètres!M47),1)="F",INDEX($F$2003:$F$2055,MATCH(Paramètres!L47,Paramètres!$G$5:$G$57,0)),INDEX($E$2003:$E$2055,MATCH(Paramètres!L47,Paramètres!$G$5:$G$57,0)))+IF(RIGHT(TRIM(Paramètres!M47),3)="Fin",1-$H2045,IF(LEFT(TRIM(Paramètres!M47),1)="F",1,0)))),IF(Paramètres!N47="",0,IF(Paramètres!O47="",NA(),IF(LEFT(TRIM(Paramètres!O47),1)="F",INDEX($F$2003:$F$2055,MATCH(Paramètres!N47,Paramètres!$G$5:$G$57,0)),INDEX($E$2003:$E$2055,MATCH(Paramètres!N47,Paramètres!$G$5:$G$57,0)))+IF(RIGHT(TRIM(Paramètres!O47),3)="Fin",1-$H2045,IF(LEFT(TRIM(Paramètres!O47),1)="F",1,0)))))))</f>
        <v/>
      </c>
      <c r="F2045" s="19">
        <f>IF($A2045="","",E2045+$H2045-1)</f>
        <v/>
      </c>
      <c r="G2045" s="18" t="n"/>
      <c r="H2045" s="18">
        <f>IF($A2045="","",IF(I2045&lt;&gt;"",I2045,Paramètres!B47))</f>
        <v/>
      </c>
      <c r="I2045" s="18" t="n"/>
    </row>
    <row r="2046">
      <c r="A2046" s="18">
        <f>IF(ISNUMBER(Dossiers!$D$41),Dossiers!$A$41&amp;" · "&amp;Dossiers!$B$41,"")</f>
        <v/>
      </c>
      <c r="B2046" s="18">
        <f>IF($A2046="","",Paramètres!G48)</f>
        <v/>
      </c>
      <c r="C2046" s="18">
        <f>IF($A2046="","",IF(Paramètres!H48="","",Paramètres!H48))</f>
        <v/>
      </c>
      <c r="D2046" s="18">
        <f>IF($A2046="","",IF(Paramètres!I48="","",Paramètres!I48))</f>
        <v/>
      </c>
      <c r="E2046" s="19">
        <f>IF($A2046="","",IF(Paramètres!J48&amp;Paramètres!L48&amp;Paramètres!N48="",Dossiers!$D$41,MAX(IF(Paramètres!J48="",0,IF(Paramètres!K48="",NA(),IF(LEFT(TRIM(Paramètres!K48),1)="F",INDEX($F$2003:$F$2055,MATCH(Paramètres!J48,Paramètres!$G$5:$G$57,0)),INDEX($E$2003:$E$2055,MATCH(Paramètres!J48,Paramètres!$G$5:$G$57,0)))+IF(RIGHT(TRIM(Paramètres!K48),3)="Fin",1-$H2046,IF(LEFT(TRIM(Paramètres!K48),1)="F",1,0)))),IF(Paramètres!L48="",0,IF(Paramètres!M48="",NA(),IF(LEFT(TRIM(Paramètres!M48),1)="F",INDEX($F$2003:$F$2055,MATCH(Paramètres!L48,Paramètres!$G$5:$G$57,0)),INDEX($E$2003:$E$2055,MATCH(Paramètres!L48,Paramètres!$G$5:$G$57,0)))+IF(RIGHT(TRIM(Paramètres!M48),3)="Fin",1-$H2046,IF(LEFT(TRIM(Paramètres!M48),1)="F",1,0)))),IF(Paramètres!N48="",0,IF(Paramètres!O48="",NA(),IF(LEFT(TRIM(Paramètres!O48),1)="F",INDEX($F$2003:$F$2055,MATCH(Paramètres!N48,Paramètres!$G$5:$G$57,0)),INDEX($E$2003:$E$2055,MATCH(Paramètres!N48,Paramètres!$G$5:$G$57,0)))+IF(RIGHT(TRIM(Paramètres!O48),3)="Fin",1-$H2046,IF(LEFT(TRIM(Paramètres!O48),1)="F",1,0)))))))</f>
        <v/>
      </c>
      <c r="F2046" s="19">
        <f>IF($A2046="","",E2046+$H2046-1)</f>
        <v/>
      </c>
      <c r="G2046" s="18" t="n"/>
      <c r="H2046" s="18">
        <f>IF($A2046="","",IF(I2046&lt;&gt;"",I2046,Paramètres!B48))</f>
        <v/>
      </c>
      <c r="I2046" s="18" t="n"/>
    </row>
    <row r="2047">
      <c r="A2047" s="18">
        <f>IF(ISNUMBER(Dossiers!$D$41),Dossiers!$A$41&amp;" · "&amp;Dossiers!$B$41,"")</f>
        <v/>
      </c>
      <c r="B2047" s="18">
        <f>IF($A2047="","",Paramètres!G49)</f>
        <v/>
      </c>
      <c r="C2047" s="18">
        <f>IF($A2047="","",IF(Paramètres!H49="","",Paramètres!H49))</f>
        <v/>
      </c>
      <c r="D2047" s="18">
        <f>IF($A2047="","",IF(Paramètres!I49="","",Paramètres!I49))</f>
        <v/>
      </c>
      <c r="E2047" s="19">
        <f>IF($A2047="","",IF(Paramètres!J49&amp;Paramètres!L49&amp;Paramètres!N49="",Dossiers!$D$41,MAX(IF(Paramètres!J49="",0,IF(Paramètres!K49="",NA(),IF(LEFT(TRIM(Paramètres!K49),1)="F",INDEX($F$2003:$F$2055,MATCH(Paramètres!J49,Paramètres!$G$5:$G$57,0)),INDEX($E$2003:$E$2055,MATCH(Paramètres!J49,Paramètres!$G$5:$G$57,0)))+IF(RIGHT(TRIM(Paramètres!K49),3)="Fin",1-$H2047,IF(LEFT(TRIM(Paramètres!K49),1)="F",1,0)))),IF(Paramètres!L49="",0,IF(Paramètres!M49="",NA(),IF(LEFT(TRIM(Paramètres!M49),1)="F",INDEX($F$2003:$F$2055,MATCH(Paramètres!L49,Paramètres!$G$5:$G$57,0)),INDEX($E$2003:$E$2055,MATCH(Paramètres!L49,Paramètres!$G$5:$G$57,0)))+IF(RIGHT(TRIM(Paramètres!M49),3)="Fin",1-$H2047,IF(LEFT(TRIM(Paramètres!M49),1)="F",1,0)))),IF(Paramètres!N49="",0,IF(Paramètres!O49="",NA(),IF(LEFT(TRIM(Paramètres!O49),1)="F",INDEX($F$2003:$F$2055,MATCH(Paramètres!N49,Paramètres!$G$5:$G$57,0)),INDEX($E$2003:$E$2055,MATCH(Paramètres!N49,Paramètres!$G$5:$G$57,0)))+IF(RIGHT(TRIM(Paramètres!O49),3)="Fin",1-$H2047,IF(LEFT(TRIM(Paramètres!O49),1)="F",1,0)))))))</f>
        <v/>
      </c>
      <c r="F2047" s="19">
        <f>IF($A2047="","",E2047+$H2047-1)</f>
        <v/>
      </c>
      <c r="G2047" s="18" t="n"/>
      <c r="H2047" s="18">
        <f>IF($A2047="","",IF(I2047&lt;&gt;"",I2047,Paramètres!B49))</f>
        <v/>
      </c>
      <c r="I2047" s="18" t="n"/>
    </row>
    <row r="2048">
      <c r="A2048" s="18">
        <f>IF(ISNUMBER(Dossiers!$D$41),Dossiers!$A$41&amp;" · "&amp;Dossiers!$B$41,"")</f>
        <v/>
      </c>
      <c r="B2048" s="18">
        <f>IF($A2048="","",Paramètres!G50)</f>
        <v/>
      </c>
      <c r="C2048" s="18">
        <f>IF($A2048="","",IF(Paramètres!H50="","",Paramètres!H50))</f>
        <v/>
      </c>
      <c r="D2048" s="18">
        <f>IF($A2048="","",IF(Paramètres!I50="","",Paramètres!I50))</f>
        <v/>
      </c>
      <c r="E2048" s="19">
        <f>IF($A2048="","",IF(Paramètres!J50&amp;Paramètres!L50&amp;Paramètres!N50="",Dossiers!$D$41,MAX(IF(Paramètres!J50="",0,IF(Paramètres!K50="",NA(),IF(LEFT(TRIM(Paramètres!K50),1)="F",INDEX($F$2003:$F$2055,MATCH(Paramètres!J50,Paramètres!$G$5:$G$57,0)),INDEX($E$2003:$E$2055,MATCH(Paramètres!J50,Paramètres!$G$5:$G$57,0)))+IF(RIGHT(TRIM(Paramètres!K50),3)="Fin",1-$H2048,IF(LEFT(TRIM(Paramètres!K50),1)="F",1,0)))),IF(Paramètres!L50="",0,IF(Paramètres!M50="",NA(),IF(LEFT(TRIM(Paramètres!M50),1)="F",INDEX($F$2003:$F$2055,MATCH(Paramètres!L50,Paramètres!$G$5:$G$57,0)),INDEX($E$2003:$E$2055,MATCH(Paramètres!L50,Paramètres!$G$5:$G$57,0)))+IF(RIGHT(TRIM(Paramètres!M50),3)="Fin",1-$H2048,IF(LEFT(TRIM(Paramètres!M50),1)="F",1,0)))),IF(Paramètres!N50="",0,IF(Paramètres!O50="",NA(),IF(LEFT(TRIM(Paramètres!O50),1)="F",INDEX($F$2003:$F$2055,MATCH(Paramètres!N50,Paramètres!$G$5:$G$57,0)),INDEX($E$2003:$E$2055,MATCH(Paramètres!N50,Paramètres!$G$5:$G$57,0)))+IF(RIGHT(TRIM(Paramètres!O50),3)="Fin",1-$H2048,IF(LEFT(TRIM(Paramètres!O50),1)="F",1,0)))))))</f>
        <v/>
      </c>
      <c r="F2048" s="19">
        <f>IF($A2048="","",E2048+$H2048-1)</f>
        <v/>
      </c>
      <c r="G2048" s="18" t="n"/>
      <c r="H2048" s="18">
        <f>IF($A2048="","",IF(I2048&lt;&gt;"",I2048,Paramètres!B50))</f>
        <v/>
      </c>
      <c r="I2048" s="18" t="n"/>
    </row>
    <row r="2049">
      <c r="A2049" s="18">
        <f>IF(ISNUMBER(Dossiers!$D$41),Dossiers!$A$41&amp;" · "&amp;Dossiers!$B$41,"")</f>
        <v/>
      </c>
      <c r="B2049" s="18">
        <f>IF($A2049="","",Paramètres!G51)</f>
        <v/>
      </c>
      <c r="C2049" s="18">
        <f>IF($A2049="","",IF(Paramètres!H51="","",Paramètres!H51))</f>
        <v/>
      </c>
      <c r="D2049" s="18">
        <f>IF($A2049="","",IF(Paramètres!I51="","",Paramètres!I51))</f>
        <v/>
      </c>
      <c r="E2049" s="19">
        <f>IF($A2049="","",IF(Paramètres!J51&amp;Paramètres!L51&amp;Paramètres!N51="",Dossiers!$D$41,MAX(IF(Paramètres!J51="",0,IF(Paramètres!K51="",NA(),IF(LEFT(TRIM(Paramètres!K51),1)="F",INDEX($F$2003:$F$2055,MATCH(Paramètres!J51,Paramètres!$G$5:$G$57,0)),INDEX($E$2003:$E$2055,MATCH(Paramètres!J51,Paramètres!$G$5:$G$57,0)))+IF(RIGHT(TRIM(Paramètres!K51),3)="Fin",1-$H2049,IF(LEFT(TRIM(Paramètres!K51),1)="F",1,0)))),IF(Paramètres!L51="",0,IF(Paramètres!M51="",NA(),IF(LEFT(TRIM(Paramètres!M51),1)="F",INDEX($F$2003:$F$2055,MATCH(Paramètres!L51,Paramètres!$G$5:$G$57,0)),INDEX($E$2003:$E$2055,MATCH(Paramètres!L51,Paramètres!$G$5:$G$57,0)))+IF(RIGHT(TRIM(Paramètres!M51),3)="Fin",1-$H2049,IF(LEFT(TRIM(Paramètres!M51),1)="F",1,0)))),IF(Paramètres!N51="",0,IF(Paramètres!O51="",NA(),IF(LEFT(TRIM(Paramètres!O51),1)="F",INDEX($F$2003:$F$2055,MATCH(Paramètres!N51,Paramètres!$G$5:$G$57,0)),INDEX($E$2003:$E$2055,MATCH(Paramètres!N51,Paramètres!$G$5:$G$57,0)))+IF(RIGHT(TRIM(Paramètres!O51),3)="Fin",1-$H2049,IF(LEFT(TRIM(Paramètres!O51),1)="F",1,0)))))))</f>
        <v/>
      </c>
      <c r="F2049" s="19">
        <f>IF($A2049="","",E2049+$H2049-1)</f>
        <v/>
      </c>
      <c r="G2049" s="18" t="n"/>
      <c r="H2049" s="18">
        <f>IF($A2049="","",IF(I2049&lt;&gt;"",I2049,Paramètres!B51))</f>
        <v/>
      </c>
      <c r="I2049" s="18" t="n"/>
    </row>
    <row r="2050">
      <c r="A2050" s="18">
        <f>IF(ISNUMBER(Dossiers!$D$41),Dossiers!$A$41&amp;" · "&amp;Dossiers!$B$41,"")</f>
        <v/>
      </c>
      <c r="B2050" s="18">
        <f>IF($A2050="","",Paramètres!G52)</f>
        <v/>
      </c>
      <c r="C2050" s="18">
        <f>IF($A2050="","",IF(Paramètres!H52="","",Paramètres!H52))</f>
        <v/>
      </c>
      <c r="D2050" s="18">
        <f>IF($A2050="","",IF(Paramètres!I52="","",Paramètres!I52))</f>
        <v/>
      </c>
      <c r="E2050" s="19">
        <f>IF($A2050="","",IF(Paramètres!J52&amp;Paramètres!L52&amp;Paramètres!N52="",Dossiers!$D$41,MAX(IF(Paramètres!J52="",0,IF(Paramètres!K52="",NA(),IF(LEFT(TRIM(Paramètres!K52),1)="F",INDEX($F$2003:$F$2055,MATCH(Paramètres!J52,Paramètres!$G$5:$G$57,0)),INDEX($E$2003:$E$2055,MATCH(Paramètres!J52,Paramètres!$G$5:$G$57,0)))+IF(RIGHT(TRIM(Paramètres!K52),3)="Fin",1-$H2050,IF(LEFT(TRIM(Paramètres!K52),1)="F",1,0)))),IF(Paramètres!L52="",0,IF(Paramètres!M52="",NA(),IF(LEFT(TRIM(Paramètres!M52),1)="F",INDEX($F$2003:$F$2055,MATCH(Paramètres!L52,Paramètres!$G$5:$G$57,0)),INDEX($E$2003:$E$2055,MATCH(Paramètres!L52,Paramètres!$G$5:$G$57,0)))+IF(RIGHT(TRIM(Paramètres!M52),3)="Fin",1-$H2050,IF(LEFT(TRIM(Paramètres!M52),1)="F",1,0)))),IF(Paramètres!N52="",0,IF(Paramètres!O52="",NA(),IF(LEFT(TRIM(Paramètres!O52),1)="F",INDEX($F$2003:$F$2055,MATCH(Paramètres!N52,Paramètres!$G$5:$G$57,0)),INDEX($E$2003:$E$2055,MATCH(Paramètres!N52,Paramètres!$G$5:$G$57,0)))+IF(RIGHT(TRIM(Paramètres!O52),3)="Fin",1-$H2050,IF(LEFT(TRIM(Paramètres!O52),1)="F",1,0)))))))</f>
        <v/>
      </c>
      <c r="F2050" s="19">
        <f>IF($A2050="","",E2050+$H2050-1)</f>
        <v/>
      </c>
      <c r="G2050" s="18" t="n"/>
      <c r="H2050" s="18">
        <f>IF($A2050="","",IF(I2050&lt;&gt;"",I2050,Paramètres!B52))</f>
        <v/>
      </c>
      <c r="I2050" s="18" t="n"/>
    </row>
    <row r="2051">
      <c r="A2051" s="18">
        <f>IF(ISNUMBER(Dossiers!$D$41),Dossiers!$A$41&amp;" · "&amp;Dossiers!$B$41,"")</f>
        <v/>
      </c>
      <c r="B2051" s="18">
        <f>IF($A2051="","",Paramètres!G53)</f>
        <v/>
      </c>
      <c r="C2051" s="18">
        <f>IF($A2051="","",IF(Paramètres!H53="","",Paramètres!H53))</f>
        <v/>
      </c>
      <c r="D2051" s="18">
        <f>IF($A2051="","",IF(Paramètres!I53="","",Paramètres!I53))</f>
        <v/>
      </c>
      <c r="E2051" s="19">
        <f>IF($A2051="","",IF(Paramètres!J53&amp;Paramètres!L53&amp;Paramètres!N53="",Dossiers!$D$41,MAX(IF(Paramètres!J53="",0,IF(Paramètres!K53="",NA(),IF(LEFT(TRIM(Paramètres!K53),1)="F",INDEX($F$2003:$F$2055,MATCH(Paramètres!J53,Paramètres!$G$5:$G$57,0)),INDEX($E$2003:$E$2055,MATCH(Paramètres!J53,Paramètres!$G$5:$G$57,0)))+IF(RIGHT(TRIM(Paramètres!K53),3)="Fin",1-$H2051,IF(LEFT(TRIM(Paramètres!K53),1)="F",1,0)))),IF(Paramètres!L53="",0,IF(Paramètres!M53="",NA(),IF(LEFT(TRIM(Paramètres!M53),1)="F",INDEX($F$2003:$F$2055,MATCH(Paramètres!L53,Paramètres!$G$5:$G$57,0)),INDEX($E$2003:$E$2055,MATCH(Paramètres!L53,Paramètres!$G$5:$G$57,0)))+IF(RIGHT(TRIM(Paramètres!M53),3)="Fin",1-$H2051,IF(LEFT(TRIM(Paramètres!M53),1)="F",1,0)))),IF(Paramètres!N53="",0,IF(Paramètres!O53="",NA(),IF(LEFT(TRIM(Paramètres!O53),1)="F",INDEX($F$2003:$F$2055,MATCH(Paramètres!N53,Paramètres!$G$5:$G$57,0)),INDEX($E$2003:$E$2055,MATCH(Paramètres!N53,Paramètres!$G$5:$G$57,0)))+IF(RIGHT(TRIM(Paramètres!O53),3)="Fin",1-$H2051,IF(LEFT(TRIM(Paramètres!O53),1)="F",1,0)))))))</f>
        <v/>
      </c>
      <c r="F2051" s="19">
        <f>IF($A2051="","",E2051+$H2051-1)</f>
        <v/>
      </c>
      <c r="G2051" s="18" t="n"/>
      <c r="H2051" s="18">
        <f>IF($A2051="","",IF(I2051&lt;&gt;"",I2051,Paramètres!B53))</f>
        <v/>
      </c>
      <c r="I2051" s="18" t="n"/>
    </row>
    <row r="2052">
      <c r="A2052" s="18">
        <f>IF(ISNUMBER(Dossiers!$D$41),Dossiers!$A$41&amp;" · "&amp;Dossiers!$B$41,"")</f>
        <v/>
      </c>
      <c r="B2052" s="18">
        <f>IF($A2052="","",Paramètres!G54)</f>
        <v/>
      </c>
      <c r="C2052" s="18">
        <f>IF($A2052="","",IF(Paramètres!H54="","",Paramètres!H54))</f>
        <v/>
      </c>
      <c r="D2052" s="18">
        <f>IF($A2052="","",IF(Paramètres!I54="","",Paramètres!I54))</f>
        <v/>
      </c>
      <c r="E2052" s="19">
        <f>IF($A2052="","",IF(Paramètres!J54&amp;Paramètres!L54&amp;Paramètres!N54="",Dossiers!$D$41,MAX(IF(Paramètres!J54="",0,IF(Paramètres!K54="",NA(),IF(LEFT(TRIM(Paramètres!K54),1)="F",INDEX($F$2003:$F$2055,MATCH(Paramètres!J54,Paramètres!$G$5:$G$57,0)),INDEX($E$2003:$E$2055,MATCH(Paramètres!J54,Paramètres!$G$5:$G$57,0)))+IF(RIGHT(TRIM(Paramètres!K54),3)="Fin",1-$H2052,IF(LEFT(TRIM(Paramètres!K54),1)="F",1,0)))),IF(Paramètres!L54="",0,IF(Paramètres!M54="",NA(),IF(LEFT(TRIM(Paramètres!M54),1)="F",INDEX($F$2003:$F$2055,MATCH(Paramètres!L54,Paramètres!$G$5:$G$57,0)),INDEX($E$2003:$E$2055,MATCH(Paramètres!L54,Paramètres!$G$5:$G$57,0)))+IF(RIGHT(TRIM(Paramètres!M54),3)="Fin",1-$H2052,IF(LEFT(TRIM(Paramètres!M54),1)="F",1,0)))),IF(Paramètres!N54="",0,IF(Paramètres!O54="",NA(),IF(LEFT(TRIM(Paramètres!O54),1)="F",INDEX($F$2003:$F$2055,MATCH(Paramètres!N54,Paramètres!$G$5:$G$57,0)),INDEX($E$2003:$E$2055,MATCH(Paramètres!N54,Paramètres!$G$5:$G$57,0)))+IF(RIGHT(TRIM(Paramètres!O54),3)="Fin",1-$H2052,IF(LEFT(TRIM(Paramètres!O54),1)="F",1,0)))))))</f>
        <v/>
      </c>
      <c r="F2052" s="19">
        <f>IF($A2052="","",E2052+$H2052-1)</f>
        <v/>
      </c>
      <c r="G2052" s="18" t="n"/>
      <c r="H2052" s="18">
        <f>IF($A2052="","",IF(I2052&lt;&gt;"",I2052,Paramètres!B54))</f>
        <v/>
      </c>
      <c r="I2052" s="18" t="n"/>
    </row>
    <row r="2053">
      <c r="A2053" s="18">
        <f>IF(ISNUMBER(Dossiers!$D$41),Dossiers!$A$41&amp;" · "&amp;Dossiers!$B$41,"")</f>
        <v/>
      </c>
      <c r="B2053" s="18">
        <f>IF($A2053="","",Paramètres!G55)</f>
        <v/>
      </c>
      <c r="C2053" s="18">
        <f>IF($A2053="","",IF(Paramètres!H55="","",Paramètres!H55))</f>
        <v/>
      </c>
      <c r="D2053" s="18">
        <f>IF($A2053="","",IF(Paramètres!I55="","",Paramètres!I55))</f>
        <v/>
      </c>
      <c r="E2053" s="19">
        <f>IF($A2053="","",IF(Paramètres!J55&amp;Paramètres!L55&amp;Paramètres!N55="",Dossiers!$D$41,MAX(IF(Paramètres!J55="",0,IF(Paramètres!K55="",NA(),IF(LEFT(TRIM(Paramètres!K55),1)="F",INDEX($F$2003:$F$2055,MATCH(Paramètres!J55,Paramètres!$G$5:$G$57,0)),INDEX($E$2003:$E$2055,MATCH(Paramètres!J55,Paramètres!$G$5:$G$57,0)))+IF(RIGHT(TRIM(Paramètres!K55),3)="Fin",1-$H2053,IF(LEFT(TRIM(Paramètres!K55),1)="F",1,0)))),IF(Paramètres!L55="",0,IF(Paramètres!M55="",NA(),IF(LEFT(TRIM(Paramètres!M55),1)="F",INDEX($F$2003:$F$2055,MATCH(Paramètres!L55,Paramètres!$G$5:$G$57,0)),INDEX($E$2003:$E$2055,MATCH(Paramètres!L55,Paramètres!$G$5:$G$57,0)))+IF(RIGHT(TRIM(Paramètres!M55),3)="Fin",1-$H2053,IF(LEFT(TRIM(Paramètres!M55),1)="F",1,0)))),IF(Paramètres!N55="",0,IF(Paramètres!O55="",NA(),IF(LEFT(TRIM(Paramètres!O55),1)="F",INDEX($F$2003:$F$2055,MATCH(Paramètres!N55,Paramètres!$G$5:$G$57,0)),INDEX($E$2003:$E$2055,MATCH(Paramètres!N55,Paramètres!$G$5:$G$57,0)))+IF(RIGHT(TRIM(Paramètres!O55),3)="Fin",1-$H2053,IF(LEFT(TRIM(Paramètres!O55),1)="F",1,0)))))))</f>
        <v/>
      </c>
      <c r="F2053" s="19">
        <f>IF($A2053="","",E2053+$H2053-1)</f>
        <v/>
      </c>
      <c r="G2053" s="18" t="n"/>
      <c r="H2053" s="18">
        <f>IF($A2053="","",IF(I2053&lt;&gt;"",I2053,Paramètres!B55))</f>
        <v/>
      </c>
      <c r="I2053" s="18" t="n"/>
    </row>
    <row r="2054">
      <c r="A2054" s="18">
        <f>IF(ISNUMBER(Dossiers!$D$41),Dossiers!$A$41&amp;" · "&amp;Dossiers!$B$41,"")</f>
        <v/>
      </c>
      <c r="B2054" s="18">
        <f>IF($A2054="","",Paramètres!G56)</f>
        <v/>
      </c>
      <c r="C2054" s="18">
        <f>IF($A2054="","",IF(Paramètres!H56="","",Paramètres!H56))</f>
        <v/>
      </c>
      <c r="D2054" s="18">
        <f>IF($A2054="","",IF(Paramètres!I56="","",Paramètres!I56))</f>
        <v/>
      </c>
      <c r="E2054" s="19">
        <f>IF($A2054="","",MIN(E2055:E2055))</f>
        <v/>
      </c>
      <c r="F2054" s="19">
        <f>IF($A2054="","",MAX(F2055:F2055))</f>
        <v/>
      </c>
      <c r="G2054" s="18" t="n"/>
      <c r="H2054" s="18">
        <f>IF($A2054="","",F2054-E2054+1)</f>
        <v/>
      </c>
      <c r="I2054" s="18" t="n"/>
    </row>
    <row r="2055">
      <c r="A2055" s="18">
        <f>IF(ISNUMBER(Dossiers!$D$41),Dossiers!$A$41&amp;" · "&amp;Dossiers!$B$41,"")</f>
        <v/>
      </c>
      <c r="B2055" s="18">
        <f>IF($A2055="","",Paramètres!G57)</f>
        <v/>
      </c>
      <c r="C2055" s="18">
        <f>IF($A2055="","",IF(Paramètres!H57="","",Paramètres!H57))</f>
        <v/>
      </c>
      <c r="D2055" s="18">
        <f>IF($A2055="","",IF(Paramètres!I57="","",Paramètres!I57))</f>
        <v/>
      </c>
      <c r="E2055" s="19">
        <f>IF($A2055="","",IF(Paramètres!J57&amp;Paramètres!L57&amp;Paramètres!N57="",Dossiers!$D$41,MAX(IF(Paramètres!J57="",0,IF(Paramètres!K57="",NA(),IF(LEFT(TRIM(Paramètres!K57),1)="F",INDEX($F$2003:$F$2055,MATCH(Paramètres!J57,Paramètres!$G$5:$G$57,0)),INDEX($E$2003:$E$2055,MATCH(Paramètres!J57,Paramètres!$G$5:$G$57,0)))+IF(RIGHT(TRIM(Paramètres!K57),3)="Fin",1-$H2055,IF(LEFT(TRIM(Paramètres!K57),1)="F",1,0)))),IF(Paramètres!L57="",0,IF(Paramètres!M57="",NA(),IF(LEFT(TRIM(Paramètres!M57),1)="F",INDEX($F$2003:$F$2055,MATCH(Paramètres!L57,Paramètres!$G$5:$G$57,0)),INDEX($E$2003:$E$2055,MATCH(Paramètres!L57,Paramètres!$G$5:$G$57,0)))+IF(RIGHT(TRIM(Paramètres!M57),3)="Fin",1-$H2055,IF(LEFT(TRIM(Paramètres!M57),1)="F",1,0)))),IF(Paramètres!N57="",0,IF(Paramètres!O57="",NA(),IF(LEFT(TRIM(Paramètres!O57),1)="F",INDEX($F$2003:$F$2055,MATCH(Paramètres!N57,Paramètres!$G$5:$G$57,0)),INDEX($E$2003:$E$2055,MATCH(Paramètres!N57,Paramètres!$G$5:$G$57,0)))+IF(RIGHT(TRIM(Paramètres!O57),3)="Fin",1-$H2055,IF(LEFT(TRIM(Paramètres!O57),1)="F",1,0)))))))</f>
        <v/>
      </c>
      <c r="F2055" s="19">
        <f>IF($A2055="","",E2055+$H2055-1)</f>
        <v/>
      </c>
      <c r="G2055" s="18" t="n"/>
      <c r="H2055" s="18">
        <f>IF($A2055="","",IF(I2055&lt;&gt;"",I2055,Paramètres!B57))</f>
        <v/>
      </c>
      <c r="I2055" s="18" t="n"/>
    </row>
    <row r="2056">
      <c r="A2056" s="16">
        <f>IF(ISNUMBER(Dossiers!$D$42),Dossiers!$E$42,"")</f>
        <v/>
      </c>
      <c r="B2056" s="16">
        <f>IF($A2056="","","Identifiant")</f>
        <v/>
      </c>
      <c r="C2056" s="16">
        <f>IF($A2056="","","Macro Etape")</f>
        <v/>
      </c>
      <c r="D2056" s="16">
        <f>IF($A2056="","","Etape")</f>
        <v/>
      </c>
      <c r="E2056" s="17">
        <f>IF($A2056="","","Début le")</f>
        <v/>
      </c>
      <c r="F2056" s="17">
        <f>IF($A2056="","","Fin prévue le")</f>
        <v/>
      </c>
      <c r="G2056" s="16">
        <f>IF($A2056="","","Statut")</f>
        <v/>
      </c>
      <c r="H2056" s="16">
        <f>IF($A2056="","","Durée (jours)")</f>
        <v/>
      </c>
      <c r="I2056" s="16">
        <f>IF($A2056="","","Durée particulière")</f>
        <v/>
      </c>
      <c r="J2056" s="10">
        <f>IF($A2056="","",HYPERLINK("#'Tableau de bord'!A1","↑ Tableau de bord"))</f>
        <v/>
      </c>
    </row>
    <row r="2057">
      <c r="A2057" s="18">
        <f>IF(ISNUMBER(Dossiers!$D$42),Dossiers!$A$42&amp;" · "&amp;Dossiers!$B$42,"")</f>
        <v/>
      </c>
      <c r="B2057" s="18">
        <f>IF($A2057="","",Paramètres!G5)</f>
        <v/>
      </c>
      <c r="C2057" s="18">
        <f>IF($A2057="","",IF(Paramètres!H5="","",Paramètres!H5))</f>
        <v/>
      </c>
      <c r="D2057" s="18">
        <f>IF($A2057="","",IF(Paramètres!I5="","",Paramètres!I5))</f>
        <v/>
      </c>
      <c r="E2057" s="19">
        <f>IF($A2057="","",MIN(E2058:E2061))</f>
        <v/>
      </c>
      <c r="F2057" s="19">
        <f>IF($A2057="","",MAX(F2058:F2061))</f>
        <v/>
      </c>
      <c r="G2057" s="18" t="n"/>
      <c r="H2057" s="18">
        <f>IF($A2057="","",F2057-E2057+1)</f>
        <v/>
      </c>
      <c r="I2057" s="18" t="n"/>
    </row>
    <row r="2058">
      <c r="A2058" s="18">
        <f>IF(ISNUMBER(Dossiers!$D$42),Dossiers!$A$42&amp;" · "&amp;Dossiers!$B$42,"")</f>
        <v/>
      </c>
      <c r="B2058" s="18">
        <f>IF($A2058="","",Paramètres!G6)</f>
        <v/>
      </c>
      <c r="C2058" s="18">
        <f>IF($A2058="","",IF(Paramètres!H6="","",Paramètres!H6))</f>
        <v/>
      </c>
      <c r="D2058" s="18">
        <f>IF($A2058="","",IF(Paramètres!I6="","",Paramètres!I6))</f>
        <v/>
      </c>
      <c r="E2058" s="19">
        <f>IF($A2058="","",IF(Paramètres!J6&amp;Paramètres!L6&amp;Paramètres!N6="",Dossiers!$D$42,MAX(IF(Paramètres!J6="",0,IF(Paramètres!K6="",NA(),IF(LEFT(TRIM(Paramètres!K6),1)="F",INDEX($F$2057:$F$2109,MATCH(Paramètres!J6,Paramètres!$G$5:$G$57,0)),INDEX($E$2057:$E$2109,MATCH(Paramètres!J6,Paramètres!$G$5:$G$57,0)))+IF(RIGHT(TRIM(Paramètres!K6),3)="Fin",1-$H2058,IF(LEFT(TRIM(Paramètres!K6),1)="F",1,0)))),IF(Paramètres!L6="",0,IF(Paramètres!M6="",NA(),IF(LEFT(TRIM(Paramètres!M6),1)="F",INDEX($F$2057:$F$2109,MATCH(Paramètres!L6,Paramètres!$G$5:$G$57,0)),INDEX($E$2057:$E$2109,MATCH(Paramètres!L6,Paramètres!$G$5:$G$57,0)))+IF(RIGHT(TRIM(Paramètres!M6),3)="Fin",1-$H2058,IF(LEFT(TRIM(Paramètres!M6),1)="F",1,0)))),IF(Paramètres!N6="",0,IF(Paramètres!O6="",NA(),IF(LEFT(TRIM(Paramètres!O6),1)="F",INDEX($F$2057:$F$2109,MATCH(Paramètres!N6,Paramètres!$G$5:$G$57,0)),INDEX($E$2057:$E$2109,MATCH(Paramètres!N6,Paramètres!$G$5:$G$57,0)))+IF(RIGHT(TRIM(Paramètres!O6),3)="Fin",1-$H2058,IF(LEFT(TRIM(Paramètres!O6),1)="F",1,0)))))))</f>
        <v/>
      </c>
      <c r="F2058" s="19">
        <f>IF($A2058="","",E2058+$H2058-1)</f>
        <v/>
      </c>
      <c r="G2058" s="18" t="n"/>
      <c r="H2058" s="18">
        <f>IF($A2058="","",IF(I2058&lt;&gt;"",I2058,Paramètres!B6))</f>
        <v/>
      </c>
      <c r="I2058" s="18" t="n"/>
    </row>
    <row r="2059">
      <c r="A2059" s="18">
        <f>IF(ISNUMBER(Dossiers!$D$42),Dossiers!$A$42&amp;" · "&amp;Dossiers!$B$42,"")</f>
        <v/>
      </c>
      <c r="B2059" s="18">
        <f>IF($A2059="","",Paramètres!G7)</f>
        <v/>
      </c>
      <c r="C2059" s="18">
        <f>IF($A2059="","",IF(Paramètres!H7="","",Paramètres!H7))</f>
        <v/>
      </c>
      <c r="D2059" s="18">
        <f>IF($A2059="","",IF(Paramètres!I7="","",Paramètres!I7))</f>
        <v/>
      </c>
      <c r="E2059" s="19">
        <f>IF($A2059="","",IF(Paramètres!J7&amp;Paramètres!L7&amp;Paramètres!N7="",Dossiers!$D$42,MAX(IF(Paramètres!J7="",0,IF(Paramètres!K7="",NA(),IF(LEFT(TRIM(Paramètres!K7),1)="F",INDEX($F$2057:$F$2109,MATCH(Paramètres!J7,Paramètres!$G$5:$G$57,0)),INDEX($E$2057:$E$2109,MATCH(Paramètres!J7,Paramètres!$G$5:$G$57,0)))+IF(RIGHT(TRIM(Paramètres!K7),3)="Fin",1-$H2059,IF(LEFT(TRIM(Paramètres!K7),1)="F",1,0)))),IF(Paramètres!L7="",0,IF(Paramètres!M7="",NA(),IF(LEFT(TRIM(Paramètres!M7),1)="F",INDEX($F$2057:$F$2109,MATCH(Paramètres!L7,Paramètres!$G$5:$G$57,0)),INDEX($E$2057:$E$2109,MATCH(Paramètres!L7,Paramètres!$G$5:$G$57,0)))+IF(RIGHT(TRIM(Paramètres!M7),3)="Fin",1-$H2059,IF(LEFT(TRIM(Paramètres!M7),1)="F",1,0)))),IF(Paramètres!N7="",0,IF(Paramètres!O7="",NA(),IF(LEFT(TRIM(Paramètres!O7),1)="F",INDEX($F$2057:$F$2109,MATCH(Paramètres!N7,Paramètres!$G$5:$G$57,0)),INDEX($E$2057:$E$2109,MATCH(Paramètres!N7,Paramètres!$G$5:$G$57,0)))+IF(RIGHT(TRIM(Paramètres!O7),3)="Fin",1-$H2059,IF(LEFT(TRIM(Paramètres!O7),1)="F",1,0)))))))</f>
        <v/>
      </c>
      <c r="F2059" s="19">
        <f>IF($A2059="","",E2059+$H2059-1)</f>
        <v/>
      </c>
      <c r="G2059" s="18" t="n"/>
      <c r="H2059" s="18">
        <f>IF($A2059="","",IF(I2059&lt;&gt;"",I2059,Paramètres!B7))</f>
        <v/>
      </c>
      <c r="I2059" s="18" t="n"/>
    </row>
    <row r="2060">
      <c r="A2060" s="18">
        <f>IF(ISNUMBER(Dossiers!$D$42),Dossiers!$A$42&amp;" · "&amp;Dossiers!$B$42,"")</f>
        <v/>
      </c>
      <c r="B2060" s="18">
        <f>IF($A2060="","",Paramètres!G8)</f>
        <v/>
      </c>
      <c r="C2060" s="18">
        <f>IF($A2060="","",IF(Paramètres!H8="","",Paramètres!H8))</f>
        <v/>
      </c>
      <c r="D2060" s="18">
        <f>IF($A2060="","",IF(Paramètres!I8="","",Paramètres!I8))</f>
        <v/>
      </c>
      <c r="E2060" s="19">
        <f>IF($A2060="","",IF(Paramètres!J8&amp;Paramètres!L8&amp;Paramètres!N8="",Dossiers!$D$42,MAX(IF(Paramètres!J8="",0,IF(Paramètres!K8="",NA(),IF(LEFT(TRIM(Paramètres!K8),1)="F",INDEX($F$2057:$F$2109,MATCH(Paramètres!J8,Paramètres!$G$5:$G$57,0)),INDEX($E$2057:$E$2109,MATCH(Paramètres!J8,Paramètres!$G$5:$G$57,0)))+IF(RIGHT(TRIM(Paramètres!K8),3)="Fin",1-$H2060,IF(LEFT(TRIM(Paramètres!K8),1)="F",1,0)))),IF(Paramètres!L8="",0,IF(Paramètres!M8="",NA(),IF(LEFT(TRIM(Paramètres!M8),1)="F",INDEX($F$2057:$F$2109,MATCH(Paramètres!L8,Paramètres!$G$5:$G$57,0)),INDEX($E$2057:$E$2109,MATCH(Paramètres!L8,Paramètres!$G$5:$G$57,0)))+IF(RIGHT(TRIM(Paramètres!M8),3)="Fin",1-$H2060,IF(LEFT(TRIM(Paramètres!M8),1)="F",1,0)))),IF(Paramètres!N8="",0,IF(Paramètres!O8="",NA(),IF(LEFT(TRIM(Paramètres!O8),1)="F",INDEX($F$2057:$F$2109,MATCH(Paramètres!N8,Paramètres!$G$5:$G$57,0)),INDEX($E$2057:$E$2109,MATCH(Paramètres!N8,Paramètres!$G$5:$G$57,0)))+IF(RIGHT(TRIM(Paramètres!O8),3)="Fin",1-$H2060,IF(LEFT(TRIM(Paramètres!O8),1)="F",1,0)))))))</f>
        <v/>
      </c>
      <c r="F2060" s="19">
        <f>IF($A2060="","",E2060+$H2060-1)</f>
        <v/>
      </c>
      <c r="G2060" s="18" t="n"/>
      <c r="H2060" s="18">
        <f>IF($A2060="","",IF(I2060&lt;&gt;"",I2060,Paramètres!B8))</f>
        <v/>
      </c>
      <c r="I2060" s="18" t="n"/>
    </row>
    <row r="2061">
      <c r="A2061" s="18">
        <f>IF(ISNUMBER(Dossiers!$D$42),Dossiers!$A$42&amp;" · "&amp;Dossiers!$B$42,"")</f>
        <v/>
      </c>
      <c r="B2061" s="18">
        <f>IF($A2061="","",Paramètres!G9)</f>
        <v/>
      </c>
      <c r="C2061" s="18">
        <f>IF($A2061="","",IF(Paramètres!H9="","",Paramètres!H9))</f>
        <v/>
      </c>
      <c r="D2061" s="18">
        <f>IF($A2061="","",IF(Paramètres!I9="","",Paramètres!I9))</f>
        <v/>
      </c>
      <c r="E2061" s="19">
        <f>IF($A2061="","",IF(Paramètres!J9&amp;Paramètres!L9&amp;Paramètres!N9="",Dossiers!$D$42,MAX(IF(Paramètres!J9="",0,IF(Paramètres!K9="",NA(),IF(LEFT(TRIM(Paramètres!K9),1)="F",INDEX($F$2057:$F$2109,MATCH(Paramètres!J9,Paramètres!$G$5:$G$57,0)),INDEX($E$2057:$E$2109,MATCH(Paramètres!J9,Paramètres!$G$5:$G$57,0)))+IF(RIGHT(TRIM(Paramètres!K9),3)="Fin",1-$H2061,IF(LEFT(TRIM(Paramètres!K9),1)="F",1,0)))),IF(Paramètres!L9="",0,IF(Paramètres!M9="",NA(),IF(LEFT(TRIM(Paramètres!M9),1)="F",INDEX($F$2057:$F$2109,MATCH(Paramètres!L9,Paramètres!$G$5:$G$57,0)),INDEX($E$2057:$E$2109,MATCH(Paramètres!L9,Paramètres!$G$5:$G$57,0)))+IF(RIGHT(TRIM(Paramètres!M9),3)="Fin",1-$H2061,IF(LEFT(TRIM(Paramètres!M9),1)="F",1,0)))),IF(Paramètres!N9="",0,IF(Paramètres!O9="",NA(),IF(LEFT(TRIM(Paramètres!O9),1)="F",INDEX($F$2057:$F$2109,MATCH(Paramètres!N9,Paramètres!$G$5:$G$57,0)),INDEX($E$2057:$E$2109,MATCH(Paramètres!N9,Paramètres!$G$5:$G$57,0)))+IF(RIGHT(TRIM(Paramètres!O9),3)="Fin",1-$H2061,IF(LEFT(TRIM(Paramètres!O9),1)="F",1,0)))))))</f>
        <v/>
      </c>
      <c r="F2061" s="19">
        <f>IF($A2061="","",E2061+$H2061-1)</f>
        <v/>
      </c>
      <c r="G2061" s="18" t="n"/>
      <c r="H2061" s="18">
        <f>IF($A2061="","",IF(I2061&lt;&gt;"",I2061,Paramètres!B9))</f>
        <v/>
      </c>
      <c r="I2061" s="18" t="n"/>
    </row>
    <row r="2062">
      <c r="A2062" s="18">
        <f>IF(ISNUMBER(Dossiers!$D$42),Dossiers!$A$42&amp;" · "&amp;Dossiers!$B$42,"")</f>
        <v/>
      </c>
      <c r="B2062" s="18">
        <f>IF($A2062="","",Paramètres!G10)</f>
        <v/>
      </c>
      <c r="C2062" s="18">
        <f>IF($A2062="","",IF(Paramètres!H10="","",Paramètres!H10))</f>
        <v/>
      </c>
      <c r="D2062" s="18">
        <f>IF($A2062="","",IF(Paramètres!I10="","",Paramètres!I10))</f>
        <v/>
      </c>
      <c r="E2062" s="19">
        <f>IF($A2062="","",MIN(E2063:E2066))</f>
        <v/>
      </c>
      <c r="F2062" s="19">
        <f>IF($A2062="","",MAX(F2063:F2066))</f>
        <v/>
      </c>
      <c r="G2062" s="18" t="n"/>
      <c r="H2062" s="18">
        <f>IF($A2062="","",F2062-E2062+1)</f>
        <v/>
      </c>
      <c r="I2062" s="18" t="n"/>
    </row>
    <row r="2063">
      <c r="A2063" s="18">
        <f>IF(ISNUMBER(Dossiers!$D$42),Dossiers!$A$42&amp;" · "&amp;Dossiers!$B$42,"")</f>
        <v/>
      </c>
      <c r="B2063" s="18">
        <f>IF($A2063="","",Paramètres!G11)</f>
        <v/>
      </c>
      <c r="C2063" s="18">
        <f>IF($A2063="","",IF(Paramètres!H11="","",Paramètres!H11))</f>
        <v/>
      </c>
      <c r="D2063" s="18">
        <f>IF($A2063="","",IF(Paramètres!I11="","",Paramètres!I11))</f>
        <v/>
      </c>
      <c r="E2063" s="19">
        <f>IF($A2063="","",IF(Paramètres!J11&amp;Paramètres!L11&amp;Paramètres!N11="",Dossiers!$D$42,MAX(IF(Paramètres!J11="",0,IF(Paramètres!K11="",NA(),IF(LEFT(TRIM(Paramètres!K11),1)="F",INDEX($F$2057:$F$2109,MATCH(Paramètres!J11,Paramètres!$G$5:$G$57,0)),INDEX($E$2057:$E$2109,MATCH(Paramètres!J11,Paramètres!$G$5:$G$57,0)))+IF(RIGHT(TRIM(Paramètres!K11),3)="Fin",1-$H2063,IF(LEFT(TRIM(Paramètres!K11),1)="F",1,0)))),IF(Paramètres!L11="",0,IF(Paramètres!M11="",NA(),IF(LEFT(TRIM(Paramètres!M11),1)="F",INDEX($F$2057:$F$2109,MATCH(Paramètres!L11,Paramètres!$G$5:$G$57,0)),INDEX($E$2057:$E$2109,MATCH(Paramètres!L11,Paramètres!$G$5:$G$57,0)))+IF(RIGHT(TRIM(Paramètres!M11),3)="Fin",1-$H2063,IF(LEFT(TRIM(Paramètres!M11),1)="F",1,0)))),IF(Paramètres!N11="",0,IF(Paramètres!O11="",NA(),IF(LEFT(TRIM(Paramètres!O11),1)="F",INDEX($F$2057:$F$2109,MATCH(Paramètres!N11,Paramètres!$G$5:$G$57,0)),INDEX($E$2057:$E$2109,MATCH(Paramètres!N11,Paramètres!$G$5:$G$57,0)))+IF(RIGHT(TRIM(Paramètres!O11),3)="Fin",1-$H2063,IF(LEFT(TRIM(Paramètres!O11),1)="F",1,0)))))))</f>
        <v/>
      </c>
      <c r="F2063" s="19">
        <f>IF($A2063="","",E2063+$H2063-1)</f>
        <v/>
      </c>
      <c r="G2063" s="18" t="n"/>
      <c r="H2063" s="18">
        <f>IF($A2063="","",IF(I2063&lt;&gt;"",I2063,Paramètres!B11))</f>
        <v/>
      </c>
      <c r="I2063" s="18" t="n"/>
    </row>
    <row r="2064">
      <c r="A2064" s="18">
        <f>IF(ISNUMBER(Dossiers!$D$42),Dossiers!$A$42&amp;" · "&amp;Dossiers!$B$42,"")</f>
        <v/>
      </c>
      <c r="B2064" s="18">
        <f>IF($A2064="","",Paramètres!G12)</f>
        <v/>
      </c>
      <c r="C2064" s="18">
        <f>IF($A2064="","",IF(Paramètres!H12="","",Paramètres!H12))</f>
        <v/>
      </c>
      <c r="D2064" s="18">
        <f>IF($A2064="","",IF(Paramètres!I12="","",Paramètres!I12))</f>
        <v/>
      </c>
      <c r="E2064" s="19">
        <f>IF($A2064="","",IF(Paramètres!J12&amp;Paramètres!L12&amp;Paramètres!N12="",Dossiers!$D$42,MAX(IF(Paramètres!J12="",0,IF(Paramètres!K12="",NA(),IF(LEFT(TRIM(Paramètres!K12),1)="F",INDEX($F$2057:$F$2109,MATCH(Paramètres!J12,Paramètres!$G$5:$G$57,0)),INDEX($E$2057:$E$2109,MATCH(Paramètres!J12,Paramètres!$G$5:$G$57,0)))+IF(RIGHT(TRIM(Paramètres!K12),3)="Fin",1-$H2064,IF(LEFT(TRIM(Paramètres!K12),1)="F",1,0)))),IF(Paramètres!L12="",0,IF(Paramètres!M12="",NA(),IF(LEFT(TRIM(Paramètres!M12),1)="F",INDEX($F$2057:$F$2109,MATCH(Paramètres!L12,Paramètres!$G$5:$G$57,0)),INDEX($E$2057:$E$2109,MATCH(Paramètres!L12,Paramètres!$G$5:$G$57,0)))+IF(RIGHT(TRIM(Paramètres!M12),3)="Fin",1-$H2064,IF(LEFT(TRIM(Paramètres!M12),1)="F",1,0)))),IF(Paramètres!N12="",0,IF(Paramètres!O12="",NA(),IF(LEFT(TRIM(Paramètres!O12),1)="F",INDEX($F$2057:$F$2109,MATCH(Paramètres!N12,Paramètres!$G$5:$G$57,0)),INDEX($E$2057:$E$2109,MATCH(Paramètres!N12,Paramètres!$G$5:$G$57,0)))+IF(RIGHT(TRIM(Paramètres!O12),3)="Fin",1-$H2064,IF(LEFT(TRIM(Paramètres!O12),1)="F",1,0)))))))</f>
        <v/>
      </c>
      <c r="F2064" s="19">
        <f>IF($A2064="","",E2064+$H2064-1)</f>
        <v/>
      </c>
      <c r="G2064" s="18" t="n"/>
      <c r="H2064" s="18">
        <f>IF($A2064="","",IF(I2064&lt;&gt;"",I2064,Paramètres!B12))</f>
        <v/>
      </c>
      <c r="I2064" s="18" t="n"/>
    </row>
    <row r="2065">
      <c r="A2065" s="18">
        <f>IF(ISNUMBER(Dossiers!$D$42),Dossiers!$A$42&amp;" · "&amp;Dossiers!$B$42,"")</f>
        <v/>
      </c>
      <c r="B2065" s="18">
        <f>IF($A2065="","",Paramètres!G13)</f>
        <v/>
      </c>
      <c r="C2065" s="18">
        <f>IF($A2065="","",IF(Paramètres!H13="","",Paramètres!H13))</f>
        <v/>
      </c>
      <c r="D2065" s="18">
        <f>IF($A2065="","",IF(Paramètres!I13="","",Paramètres!I13))</f>
        <v/>
      </c>
      <c r="E2065" s="19">
        <f>IF($A2065="","",IF(Paramètres!J13&amp;Paramètres!L13&amp;Paramètres!N13="",Dossiers!$D$42,MAX(IF(Paramètres!J13="",0,IF(Paramètres!K13="",NA(),IF(LEFT(TRIM(Paramètres!K13),1)="F",INDEX($F$2057:$F$2109,MATCH(Paramètres!J13,Paramètres!$G$5:$G$57,0)),INDEX($E$2057:$E$2109,MATCH(Paramètres!J13,Paramètres!$G$5:$G$57,0)))+IF(RIGHT(TRIM(Paramètres!K13),3)="Fin",1-$H2065,IF(LEFT(TRIM(Paramètres!K13),1)="F",1,0)))),IF(Paramètres!L13="",0,IF(Paramètres!M13="",NA(),IF(LEFT(TRIM(Paramètres!M13),1)="F",INDEX($F$2057:$F$2109,MATCH(Paramètres!L13,Paramètres!$G$5:$G$57,0)),INDEX($E$2057:$E$2109,MATCH(Paramètres!L13,Paramètres!$G$5:$G$57,0)))+IF(RIGHT(TRIM(Paramètres!M13),3)="Fin",1-$H2065,IF(LEFT(TRIM(Paramètres!M13),1)="F",1,0)))),IF(Paramètres!N13="",0,IF(Paramètres!O13="",NA(),IF(LEFT(TRIM(Paramètres!O13),1)="F",INDEX($F$2057:$F$2109,MATCH(Paramètres!N13,Paramètres!$G$5:$G$57,0)),INDEX($E$2057:$E$2109,MATCH(Paramètres!N13,Paramètres!$G$5:$G$57,0)))+IF(RIGHT(TRIM(Paramètres!O13),3)="Fin",1-$H2065,IF(LEFT(TRIM(Paramètres!O13),1)="F",1,0)))))))</f>
        <v/>
      </c>
      <c r="F2065" s="19">
        <f>IF($A2065="","",E2065+$H2065-1)</f>
        <v/>
      </c>
      <c r="G2065" s="18" t="n"/>
      <c r="H2065" s="18">
        <f>IF($A2065="","",IF(I2065&lt;&gt;"",I2065,Paramètres!B13))</f>
        <v/>
      </c>
      <c r="I2065" s="18" t="n"/>
    </row>
    <row r="2066">
      <c r="A2066" s="18">
        <f>IF(ISNUMBER(Dossiers!$D$42),Dossiers!$A$42&amp;" · "&amp;Dossiers!$B$42,"")</f>
        <v/>
      </c>
      <c r="B2066" s="18">
        <f>IF($A2066="","",Paramètres!G14)</f>
        <v/>
      </c>
      <c r="C2066" s="18">
        <f>IF($A2066="","",IF(Paramètres!H14="","",Paramètres!H14))</f>
        <v/>
      </c>
      <c r="D2066" s="18">
        <f>IF($A2066="","",IF(Paramètres!I14="","",Paramètres!I14))</f>
        <v/>
      </c>
      <c r="E2066" s="19">
        <f>IF($A2066="","",IF(Paramètres!J14&amp;Paramètres!L14&amp;Paramètres!N14="",Dossiers!$D$42,MAX(IF(Paramètres!J14="",0,IF(Paramètres!K14="",NA(),IF(LEFT(TRIM(Paramètres!K14),1)="F",INDEX($F$2057:$F$2109,MATCH(Paramètres!J14,Paramètres!$G$5:$G$57,0)),INDEX($E$2057:$E$2109,MATCH(Paramètres!J14,Paramètres!$G$5:$G$57,0)))+IF(RIGHT(TRIM(Paramètres!K14),3)="Fin",1-$H2066,IF(LEFT(TRIM(Paramètres!K14),1)="F",1,0)))),IF(Paramètres!L14="",0,IF(Paramètres!M14="",NA(),IF(LEFT(TRIM(Paramètres!M14),1)="F",INDEX($F$2057:$F$2109,MATCH(Paramètres!L14,Paramètres!$G$5:$G$57,0)),INDEX($E$2057:$E$2109,MATCH(Paramètres!L14,Paramètres!$G$5:$G$57,0)))+IF(RIGHT(TRIM(Paramètres!M14),3)="Fin",1-$H2066,IF(LEFT(TRIM(Paramètres!M14),1)="F",1,0)))),IF(Paramètres!N14="",0,IF(Paramètres!O14="",NA(),IF(LEFT(TRIM(Paramètres!O14),1)="F",INDEX($F$2057:$F$2109,MATCH(Paramètres!N14,Paramètres!$G$5:$G$57,0)),INDEX($E$2057:$E$2109,MATCH(Paramètres!N14,Paramètres!$G$5:$G$57,0)))+IF(RIGHT(TRIM(Paramètres!O14),3)="Fin",1-$H2066,IF(LEFT(TRIM(Paramètres!O14),1)="F",1,0)))))))</f>
        <v/>
      </c>
      <c r="F2066" s="19">
        <f>IF($A2066="","",E2066+$H2066-1)</f>
        <v/>
      </c>
      <c r="G2066" s="18" t="n"/>
      <c r="H2066" s="18">
        <f>IF($A2066="","",IF(I2066&lt;&gt;"",I2066,Paramètres!B14))</f>
        <v/>
      </c>
      <c r="I2066" s="18" t="n"/>
    </row>
    <row r="2067">
      <c r="A2067" s="18">
        <f>IF(ISNUMBER(Dossiers!$D$42),Dossiers!$A$42&amp;" · "&amp;Dossiers!$B$42,"")</f>
        <v/>
      </c>
      <c r="B2067" s="18">
        <f>IF($A2067="","",Paramètres!G15)</f>
        <v/>
      </c>
      <c r="C2067" s="18">
        <f>IF($A2067="","",IF(Paramètres!H15="","",Paramètres!H15))</f>
        <v/>
      </c>
      <c r="D2067" s="18">
        <f>IF($A2067="","",IF(Paramètres!I15="","",Paramètres!I15))</f>
        <v/>
      </c>
      <c r="E2067" s="19">
        <f>IF($A2067="","",MIN(E2068:E2083))</f>
        <v/>
      </c>
      <c r="F2067" s="19">
        <f>IF($A2067="","",MAX(F2068:F2083))</f>
        <v/>
      </c>
      <c r="G2067" s="18" t="n"/>
      <c r="H2067" s="18">
        <f>IF($A2067="","",F2067-E2067+1)</f>
        <v/>
      </c>
      <c r="I2067" s="18" t="n"/>
    </row>
    <row r="2068">
      <c r="A2068" s="18">
        <f>IF(ISNUMBER(Dossiers!$D$42),Dossiers!$A$42&amp;" · "&amp;Dossiers!$B$42,"")</f>
        <v/>
      </c>
      <c r="B2068" s="18">
        <f>IF($A2068="","",Paramètres!G16)</f>
        <v/>
      </c>
      <c r="C2068" s="18">
        <f>IF($A2068="","",IF(Paramètres!H16="","",Paramètres!H16))</f>
        <v/>
      </c>
      <c r="D2068" s="18">
        <f>IF($A2068="","",IF(Paramètres!I16="","",Paramètres!I16))</f>
        <v/>
      </c>
      <c r="E2068" s="19">
        <f>IF($A2068="","",IF(Paramètres!J16&amp;Paramètres!L16&amp;Paramètres!N16="",Dossiers!$D$42,MAX(IF(Paramètres!J16="",0,IF(Paramètres!K16="",NA(),IF(LEFT(TRIM(Paramètres!K16),1)="F",INDEX($F$2057:$F$2109,MATCH(Paramètres!J16,Paramètres!$G$5:$G$57,0)),INDEX($E$2057:$E$2109,MATCH(Paramètres!J16,Paramètres!$G$5:$G$57,0)))+IF(RIGHT(TRIM(Paramètres!K16),3)="Fin",1-$H2068,IF(LEFT(TRIM(Paramètres!K16),1)="F",1,0)))),IF(Paramètres!L16="",0,IF(Paramètres!M16="",NA(),IF(LEFT(TRIM(Paramètres!M16),1)="F",INDEX($F$2057:$F$2109,MATCH(Paramètres!L16,Paramètres!$G$5:$G$57,0)),INDEX($E$2057:$E$2109,MATCH(Paramètres!L16,Paramètres!$G$5:$G$57,0)))+IF(RIGHT(TRIM(Paramètres!M16),3)="Fin",1-$H2068,IF(LEFT(TRIM(Paramètres!M16),1)="F",1,0)))),IF(Paramètres!N16="",0,IF(Paramètres!O16="",NA(),IF(LEFT(TRIM(Paramètres!O16),1)="F",INDEX($F$2057:$F$2109,MATCH(Paramètres!N16,Paramètres!$G$5:$G$57,0)),INDEX($E$2057:$E$2109,MATCH(Paramètres!N16,Paramètres!$G$5:$G$57,0)))+IF(RIGHT(TRIM(Paramètres!O16),3)="Fin",1-$H2068,IF(LEFT(TRIM(Paramètres!O16),1)="F",1,0)))))))</f>
        <v/>
      </c>
      <c r="F2068" s="19">
        <f>IF($A2068="","",E2068+$H2068-1)</f>
        <v/>
      </c>
      <c r="G2068" s="18" t="n"/>
      <c r="H2068" s="18">
        <f>IF($A2068="","",IF(I2068&lt;&gt;"",I2068,Paramètres!B16))</f>
        <v/>
      </c>
      <c r="I2068" s="18" t="n"/>
    </row>
    <row r="2069">
      <c r="A2069" s="18">
        <f>IF(ISNUMBER(Dossiers!$D$42),Dossiers!$A$42&amp;" · "&amp;Dossiers!$B$42,"")</f>
        <v/>
      </c>
      <c r="B2069" s="18">
        <f>IF($A2069="","",Paramètres!G17)</f>
        <v/>
      </c>
      <c r="C2069" s="18">
        <f>IF($A2069="","",IF(Paramètres!H17="","",Paramètres!H17))</f>
        <v/>
      </c>
      <c r="D2069" s="18">
        <f>IF($A2069="","",IF(Paramètres!I17="","",Paramètres!I17))</f>
        <v/>
      </c>
      <c r="E2069" s="19">
        <f>IF($A2069="","",IF(Paramètres!J17&amp;Paramètres!L17&amp;Paramètres!N17="",Dossiers!$D$42,MAX(IF(Paramètres!J17="",0,IF(Paramètres!K17="",NA(),IF(LEFT(TRIM(Paramètres!K17),1)="F",INDEX($F$2057:$F$2109,MATCH(Paramètres!J17,Paramètres!$G$5:$G$57,0)),INDEX($E$2057:$E$2109,MATCH(Paramètres!J17,Paramètres!$G$5:$G$57,0)))+IF(RIGHT(TRIM(Paramètres!K17),3)="Fin",1-$H2069,IF(LEFT(TRIM(Paramètres!K17),1)="F",1,0)))),IF(Paramètres!L17="",0,IF(Paramètres!M17="",NA(),IF(LEFT(TRIM(Paramètres!M17),1)="F",INDEX($F$2057:$F$2109,MATCH(Paramètres!L17,Paramètres!$G$5:$G$57,0)),INDEX($E$2057:$E$2109,MATCH(Paramètres!L17,Paramètres!$G$5:$G$57,0)))+IF(RIGHT(TRIM(Paramètres!M17),3)="Fin",1-$H2069,IF(LEFT(TRIM(Paramètres!M17),1)="F",1,0)))),IF(Paramètres!N17="",0,IF(Paramètres!O17="",NA(),IF(LEFT(TRIM(Paramètres!O17),1)="F",INDEX($F$2057:$F$2109,MATCH(Paramètres!N17,Paramètres!$G$5:$G$57,0)),INDEX($E$2057:$E$2109,MATCH(Paramètres!N17,Paramètres!$G$5:$G$57,0)))+IF(RIGHT(TRIM(Paramètres!O17),3)="Fin",1-$H2069,IF(LEFT(TRIM(Paramètres!O17),1)="F",1,0)))))))</f>
        <v/>
      </c>
      <c r="F2069" s="19">
        <f>IF($A2069="","",E2069+$H2069-1)</f>
        <v/>
      </c>
      <c r="G2069" s="18" t="n"/>
      <c r="H2069" s="18">
        <f>IF($A2069="","",IF(I2069&lt;&gt;"",I2069,Paramètres!B17))</f>
        <v/>
      </c>
      <c r="I2069" s="18" t="n"/>
    </row>
    <row r="2070">
      <c r="A2070" s="18">
        <f>IF(ISNUMBER(Dossiers!$D$42),Dossiers!$A$42&amp;" · "&amp;Dossiers!$B$42,"")</f>
        <v/>
      </c>
      <c r="B2070" s="18">
        <f>IF($A2070="","",Paramètres!G18)</f>
        <v/>
      </c>
      <c r="C2070" s="18">
        <f>IF($A2070="","",IF(Paramètres!H18="","",Paramètres!H18))</f>
        <v/>
      </c>
      <c r="D2070" s="18">
        <f>IF($A2070="","",IF(Paramètres!I18="","",Paramètres!I18))</f>
        <v/>
      </c>
      <c r="E2070" s="19">
        <f>IF($A2070="","",IF(Paramètres!J18&amp;Paramètres!L18&amp;Paramètres!N18="",Dossiers!$D$42,MAX(IF(Paramètres!J18="",0,IF(Paramètres!K18="",NA(),IF(LEFT(TRIM(Paramètres!K18),1)="F",INDEX($F$2057:$F$2109,MATCH(Paramètres!J18,Paramètres!$G$5:$G$57,0)),INDEX($E$2057:$E$2109,MATCH(Paramètres!J18,Paramètres!$G$5:$G$57,0)))+IF(RIGHT(TRIM(Paramètres!K18),3)="Fin",1-$H2070,IF(LEFT(TRIM(Paramètres!K18),1)="F",1,0)))),IF(Paramètres!L18="",0,IF(Paramètres!M18="",NA(),IF(LEFT(TRIM(Paramètres!M18),1)="F",INDEX($F$2057:$F$2109,MATCH(Paramètres!L18,Paramètres!$G$5:$G$57,0)),INDEX($E$2057:$E$2109,MATCH(Paramètres!L18,Paramètres!$G$5:$G$57,0)))+IF(RIGHT(TRIM(Paramètres!M18),3)="Fin",1-$H2070,IF(LEFT(TRIM(Paramètres!M18),1)="F",1,0)))),IF(Paramètres!N18="",0,IF(Paramètres!O18="",NA(),IF(LEFT(TRIM(Paramètres!O18),1)="F",INDEX($F$2057:$F$2109,MATCH(Paramètres!N18,Paramètres!$G$5:$G$57,0)),INDEX($E$2057:$E$2109,MATCH(Paramètres!N18,Paramètres!$G$5:$G$57,0)))+IF(RIGHT(TRIM(Paramètres!O18),3)="Fin",1-$H2070,IF(LEFT(TRIM(Paramètres!O18),1)="F",1,0)))))))</f>
        <v/>
      </c>
      <c r="F2070" s="19">
        <f>IF($A2070="","",E2070+$H2070-1)</f>
        <v/>
      </c>
      <c r="G2070" s="18" t="n"/>
      <c r="H2070" s="18">
        <f>IF($A2070="","",IF(I2070&lt;&gt;"",I2070,Paramètres!B18))</f>
        <v/>
      </c>
      <c r="I2070" s="18" t="n"/>
    </row>
    <row r="2071">
      <c r="A2071" s="18">
        <f>IF(ISNUMBER(Dossiers!$D$42),Dossiers!$A$42&amp;" · "&amp;Dossiers!$B$42,"")</f>
        <v/>
      </c>
      <c r="B2071" s="18">
        <f>IF($A2071="","",Paramètres!G19)</f>
        <v/>
      </c>
      <c r="C2071" s="18">
        <f>IF($A2071="","",IF(Paramètres!H19="","",Paramètres!H19))</f>
        <v/>
      </c>
      <c r="D2071" s="18">
        <f>IF($A2071="","",IF(Paramètres!I19="","",Paramètres!I19))</f>
        <v/>
      </c>
      <c r="E2071" s="19">
        <f>IF($A2071="","",IF(Paramètres!J19&amp;Paramètres!L19&amp;Paramètres!N19="",Dossiers!$D$42,MAX(IF(Paramètres!J19="",0,IF(Paramètres!K19="",NA(),IF(LEFT(TRIM(Paramètres!K19),1)="F",INDEX($F$2057:$F$2109,MATCH(Paramètres!J19,Paramètres!$G$5:$G$57,0)),INDEX($E$2057:$E$2109,MATCH(Paramètres!J19,Paramètres!$G$5:$G$57,0)))+IF(RIGHT(TRIM(Paramètres!K19),3)="Fin",1-$H2071,IF(LEFT(TRIM(Paramètres!K19),1)="F",1,0)))),IF(Paramètres!L19="",0,IF(Paramètres!M19="",NA(),IF(LEFT(TRIM(Paramètres!M19),1)="F",INDEX($F$2057:$F$2109,MATCH(Paramètres!L19,Paramètres!$G$5:$G$57,0)),INDEX($E$2057:$E$2109,MATCH(Paramètres!L19,Paramètres!$G$5:$G$57,0)))+IF(RIGHT(TRIM(Paramètres!M19),3)="Fin",1-$H2071,IF(LEFT(TRIM(Paramètres!M19),1)="F",1,0)))),IF(Paramètres!N19="",0,IF(Paramètres!O19="",NA(),IF(LEFT(TRIM(Paramètres!O19),1)="F",INDEX($F$2057:$F$2109,MATCH(Paramètres!N19,Paramètres!$G$5:$G$57,0)),INDEX($E$2057:$E$2109,MATCH(Paramètres!N19,Paramètres!$G$5:$G$57,0)))+IF(RIGHT(TRIM(Paramètres!O19),3)="Fin",1-$H2071,IF(LEFT(TRIM(Paramètres!O19),1)="F",1,0)))))))</f>
        <v/>
      </c>
      <c r="F2071" s="19">
        <f>IF($A2071="","",E2071+$H2071-1)</f>
        <v/>
      </c>
      <c r="G2071" s="18" t="n"/>
      <c r="H2071" s="18">
        <f>IF($A2071="","",IF(I2071&lt;&gt;"",I2071,Paramètres!B19))</f>
        <v/>
      </c>
      <c r="I2071" s="18" t="n"/>
    </row>
    <row r="2072">
      <c r="A2072" s="18">
        <f>IF(ISNUMBER(Dossiers!$D$42),Dossiers!$A$42&amp;" · "&amp;Dossiers!$B$42,"")</f>
        <v/>
      </c>
      <c r="B2072" s="18">
        <f>IF($A2072="","",Paramètres!G20)</f>
        <v/>
      </c>
      <c r="C2072" s="18">
        <f>IF($A2072="","",IF(Paramètres!H20="","",Paramètres!H20))</f>
        <v/>
      </c>
      <c r="D2072" s="18">
        <f>IF($A2072="","",IF(Paramètres!I20="","",Paramètres!I20))</f>
        <v/>
      </c>
      <c r="E2072" s="19">
        <f>IF($A2072="","",IF(Paramètres!J20&amp;Paramètres!L20&amp;Paramètres!N20="",Dossiers!$D$42,MAX(IF(Paramètres!J20="",0,IF(Paramètres!K20="",NA(),IF(LEFT(TRIM(Paramètres!K20),1)="F",INDEX($F$2057:$F$2109,MATCH(Paramètres!J20,Paramètres!$G$5:$G$57,0)),INDEX($E$2057:$E$2109,MATCH(Paramètres!J20,Paramètres!$G$5:$G$57,0)))+IF(RIGHT(TRIM(Paramètres!K20),3)="Fin",1-$H2072,IF(LEFT(TRIM(Paramètres!K20),1)="F",1,0)))),IF(Paramètres!L20="",0,IF(Paramètres!M20="",NA(),IF(LEFT(TRIM(Paramètres!M20),1)="F",INDEX($F$2057:$F$2109,MATCH(Paramètres!L20,Paramètres!$G$5:$G$57,0)),INDEX($E$2057:$E$2109,MATCH(Paramètres!L20,Paramètres!$G$5:$G$57,0)))+IF(RIGHT(TRIM(Paramètres!M20),3)="Fin",1-$H2072,IF(LEFT(TRIM(Paramètres!M20),1)="F",1,0)))),IF(Paramètres!N20="",0,IF(Paramètres!O20="",NA(),IF(LEFT(TRIM(Paramètres!O20),1)="F",INDEX($F$2057:$F$2109,MATCH(Paramètres!N20,Paramètres!$G$5:$G$57,0)),INDEX($E$2057:$E$2109,MATCH(Paramètres!N20,Paramètres!$G$5:$G$57,0)))+IF(RIGHT(TRIM(Paramètres!O20),3)="Fin",1-$H2072,IF(LEFT(TRIM(Paramètres!O20),1)="F",1,0)))))))</f>
        <v/>
      </c>
      <c r="F2072" s="19">
        <f>IF($A2072="","",E2072+$H2072-1)</f>
        <v/>
      </c>
      <c r="G2072" s="18" t="n"/>
      <c r="H2072" s="18">
        <f>IF($A2072="","",IF(I2072&lt;&gt;"",I2072,Paramètres!B20))</f>
        <v/>
      </c>
      <c r="I2072" s="18" t="n"/>
    </row>
    <row r="2073">
      <c r="A2073" s="18">
        <f>IF(ISNUMBER(Dossiers!$D$42),Dossiers!$A$42&amp;" · "&amp;Dossiers!$B$42,"")</f>
        <v/>
      </c>
      <c r="B2073" s="18">
        <f>IF($A2073="","",Paramètres!G21)</f>
        <v/>
      </c>
      <c r="C2073" s="18">
        <f>IF($A2073="","",IF(Paramètres!H21="","",Paramètres!H21))</f>
        <v/>
      </c>
      <c r="D2073" s="18">
        <f>IF($A2073="","",IF(Paramètres!I21="","",Paramètres!I21))</f>
        <v/>
      </c>
      <c r="E2073" s="19">
        <f>IF($A2073="","",IF(Paramètres!J21&amp;Paramètres!L21&amp;Paramètres!N21="",Dossiers!$D$42,MAX(IF(Paramètres!J21="",0,IF(Paramètres!K21="",NA(),IF(LEFT(TRIM(Paramètres!K21),1)="F",INDEX($F$2057:$F$2109,MATCH(Paramètres!J21,Paramètres!$G$5:$G$57,0)),INDEX($E$2057:$E$2109,MATCH(Paramètres!J21,Paramètres!$G$5:$G$57,0)))+IF(RIGHT(TRIM(Paramètres!K21),3)="Fin",1-$H2073,IF(LEFT(TRIM(Paramètres!K21),1)="F",1,0)))),IF(Paramètres!L21="",0,IF(Paramètres!M21="",NA(),IF(LEFT(TRIM(Paramètres!M21),1)="F",INDEX($F$2057:$F$2109,MATCH(Paramètres!L21,Paramètres!$G$5:$G$57,0)),INDEX($E$2057:$E$2109,MATCH(Paramètres!L21,Paramètres!$G$5:$G$57,0)))+IF(RIGHT(TRIM(Paramètres!M21),3)="Fin",1-$H2073,IF(LEFT(TRIM(Paramètres!M21),1)="F",1,0)))),IF(Paramètres!N21="",0,IF(Paramètres!O21="",NA(),IF(LEFT(TRIM(Paramètres!O21),1)="F",INDEX($F$2057:$F$2109,MATCH(Paramètres!N21,Paramètres!$G$5:$G$57,0)),INDEX($E$2057:$E$2109,MATCH(Paramètres!N21,Paramètres!$G$5:$G$57,0)))+IF(RIGHT(TRIM(Paramètres!O21),3)="Fin",1-$H2073,IF(LEFT(TRIM(Paramètres!O21),1)="F",1,0)))))))</f>
        <v/>
      </c>
      <c r="F2073" s="19">
        <f>IF($A2073="","",E2073+$H2073-1)</f>
        <v/>
      </c>
      <c r="G2073" s="18" t="n"/>
      <c r="H2073" s="18">
        <f>IF($A2073="","",IF(I2073&lt;&gt;"",I2073,Paramètres!B21))</f>
        <v/>
      </c>
      <c r="I2073" s="18" t="n"/>
    </row>
    <row r="2074">
      <c r="A2074" s="18">
        <f>IF(ISNUMBER(Dossiers!$D$42),Dossiers!$A$42&amp;" · "&amp;Dossiers!$B$42,"")</f>
        <v/>
      </c>
      <c r="B2074" s="18">
        <f>IF($A2074="","",Paramètres!G22)</f>
        <v/>
      </c>
      <c r="C2074" s="18">
        <f>IF($A2074="","",IF(Paramètres!H22="","",Paramètres!H22))</f>
        <v/>
      </c>
      <c r="D2074" s="18">
        <f>IF($A2074="","",IF(Paramètres!I22="","",Paramètres!I22))</f>
        <v/>
      </c>
      <c r="E2074" s="19">
        <f>IF($A2074="","",IF(Paramètres!J22&amp;Paramètres!L22&amp;Paramètres!N22="",Dossiers!$D$42,MAX(IF(Paramètres!J22="",0,IF(Paramètres!K22="",NA(),IF(LEFT(TRIM(Paramètres!K22),1)="F",INDEX($F$2057:$F$2109,MATCH(Paramètres!J22,Paramètres!$G$5:$G$57,0)),INDEX($E$2057:$E$2109,MATCH(Paramètres!J22,Paramètres!$G$5:$G$57,0)))+IF(RIGHT(TRIM(Paramètres!K22),3)="Fin",1-$H2074,IF(LEFT(TRIM(Paramètres!K22),1)="F",1,0)))),IF(Paramètres!L22="",0,IF(Paramètres!M22="",NA(),IF(LEFT(TRIM(Paramètres!M22),1)="F",INDEX($F$2057:$F$2109,MATCH(Paramètres!L22,Paramètres!$G$5:$G$57,0)),INDEX($E$2057:$E$2109,MATCH(Paramètres!L22,Paramètres!$G$5:$G$57,0)))+IF(RIGHT(TRIM(Paramètres!M22),3)="Fin",1-$H2074,IF(LEFT(TRIM(Paramètres!M22),1)="F",1,0)))),IF(Paramètres!N22="",0,IF(Paramètres!O22="",NA(),IF(LEFT(TRIM(Paramètres!O22),1)="F",INDEX($F$2057:$F$2109,MATCH(Paramètres!N22,Paramètres!$G$5:$G$57,0)),INDEX($E$2057:$E$2109,MATCH(Paramètres!N22,Paramètres!$G$5:$G$57,0)))+IF(RIGHT(TRIM(Paramètres!O22),3)="Fin",1-$H2074,IF(LEFT(TRIM(Paramètres!O22),1)="F",1,0)))))))</f>
        <v/>
      </c>
      <c r="F2074" s="19">
        <f>IF($A2074="","",E2074+$H2074-1)</f>
        <v/>
      </c>
      <c r="G2074" s="18" t="n"/>
      <c r="H2074" s="18">
        <f>IF($A2074="","",IF(I2074&lt;&gt;"",I2074,Paramètres!B22))</f>
        <v/>
      </c>
      <c r="I2074" s="18" t="n"/>
    </row>
    <row r="2075">
      <c r="A2075" s="18">
        <f>IF(ISNUMBER(Dossiers!$D$42),Dossiers!$A$42&amp;" · "&amp;Dossiers!$B$42,"")</f>
        <v/>
      </c>
      <c r="B2075" s="18">
        <f>IF($A2075="","",Paramètres!G23)</f>
        <v/>
      </c>
      <c r="C2075" s="18">
        <f>IF($A2075="","",IF(Paramètres!H23="","",Paramètres!H23))</f>
        <v/>
      </c>
      <c r="D2075" s="18">
        <f>IF($A2075="","",IF(Paramètres!I23="","",Paramètres!I23))</f>
        <v/>
      </c>
      <c r="E2075" s="19">
        <f>IF($A2075="","",IF(Paramètres!J23&amp;Paramètres!L23&amp;Paramètres!N23="",Dossiers!$D$42,MAX(IF(Paramètres!J23="",0,IF(Paramètres!K23="",NA(),IF(LEFT(TRIM(Paramètres!K23),1)="F",INDEX($F$2057:$F$2109,MATCH(Paramètres!J23,Paramètres!$G$5:$G$57,0)),INDEX($E$2057:$E$2109,MATCH(Paramètres!J23,Paramètres!$G$5:$G$57,0)))+IF(RIGHT(TRIM(Paramètres!K23),3)="Fin",1-$H2075,IF(LEFT(TRIM(Paramètres!K23),1)="F",1,0)))),IF(Paramètres!L23="",0,IF(Paramètres!M23="",NA(),IF(LEFT(TRIM(Paramètres!M23),1)="F",INDEX($F$2057:$F$2109,MATCH(Paramètres!L23,Paramètres!$G$5:$G$57,0)),INDEX($E$2057:$E$2109,MATCH(Paramètres!L23,Paramètres!$G$5:$G$57,0)))+IF(RIGHT(TRIM(Paramètres!M23),3)="Fin",1-$H2075,IF(LEFT(TRIM(Paramètres!M23),1)="F",1,0)))),IF(Paramètres!N23="",0,IF(Paramètres!O23="",NA(),IF(LEFT(TRIM(Paramètres!O23),1)="F",INDEX($F$2057:$F$2109,MATCH(Paramètres!N23,Paramètres!$G$5:$G$57,0)),INDEX($E$2057:$E$2109,MATCH(Paramètres!N23,Paramètres!$G$5:$G$57,0)))+IF(RIGHT(TRIM(Paramètres!O23),3)="Fin",1-$H2075,IF(LEFT(TRIM(Paramètres!O23),1)="F",1,0)))))))</f>
        <v/>
      </c>
      <c r="F2075" s="19">
        <f>IF($A2075="","",E2075+$H2075-1)</f>
        <v/>
      </c>
      <c r="G2075" s="18" t="n"/>
      <c r="H2075" s="18">
        <f>IF($A2075="","",IF(I2075&lt;&gt;"",I2075,Paramètres!B23))</f>
        <v/>
      </c>
      <c r="I2075" s="18" t="n"/>
    </row>
    <row r="2076">
      <c r="A2076" s="18">
        <f>IF(ISNUMBER(Dossiers!$D$42),Dossiers!$A$42&amp;" · "&amp;Dossiers!$B$42,"")</f>
        <v/>
      </c>
      <c r="B2076" s="18">
        <f>IF($A2076="","",Paramètres!G24)</f>
        <v/>
      </c>
      <c r="C2076" s="18">
        <f>IF($A2076="","",IF(Paramètres!H24="","",Paramètres!H24))</f>
        <v/>
      </c>
      <c r="D2076" s="18">
        <f>IF($A2076="","",IF(Paramètres!I24="","",Paramètres!I24))</f>
        <v/>
      </c>
      <c r="E2076" s="19">
        <f>IF($A2076="","",IF(Paramètres!J24&amp;Paramètres!L24&amp;Paramètres!N24="",Dossiers!$D$42,MAX(IF(Paramètres!J24="",0,IF(Paramètres!K24="",NA(),IF(LEFT(TRIM(Paramètres!K24),1)="F",INDEX($F$2057:$F$2109,MATCH(Paramètres!J24,Paramètres!$G$5:$G$57,0)),INDEX($E$2057:$E$2109,MATCH(Paramètres!J24,Paramètres!$G$5:$G$57,0)))+IF(RIGHT(TRIM(Paramètres!K24),3)="Fin",1-$H2076,IF(LEFT(TRIM(Paramètres!K24),1)="F",1,0)))),IF(Paramètres!L24="",0,IF(Paramètres!M24="",NA(),IF(LEFT(TRIM(Paramètres!M24),1)="F",INDEX($F$2057:$F$2109,MATCH(Paramètres!L24,Paramètres!$G$5:$G$57,0)),INDEX($E$2057:$E$2109,MATCH(Paramètres!L24,Paramètres!$G$5:$G$57,0)))+IF(RIGHT(TRIM(Paramètres!M24),3)="Fin",1-$H2076,IF(LEFT(TRIM(Paramètres!M24),1)="F",1,0)))),IF(Paramètres!N24="",0,IF(Paramètres!O24="",NA(),IF(LEFT(TRIM(Paramètres!O24),1)="F",INDEX($F$2057:$F$2109,MATCH(Paramètres!N24,Paramètres!$G$5:$G$57,0)),INDEX($E$2057:$E$2109,MATCH(Paramètres!N24,Paramètres!$G$5:$G$57,0)))+IF(RIGHT(TRIM(Paramètres!O24),3)="Fin",1-$H2076,IF(LEFT(TRIM(Paramètres!O24),1)="F",1,0)))))))</f>
        <v/>
      </c>
      <c r="F2076" s="19">
        <f>IF($A2076="","",E2076+$H2076-1)</f>
        <v/>
      </c>
      <c r="G2076" s="18" t="n"/>
      <c r="H2076" s="18">
        <f>IF($A2076="","",IF(I2076&lt;&gt;"",I2076,Paramètres!B24))</f>
        <v/>
      </c>
      <c r="I2076" s="18" t="n"/>
    </row>
    <row r="2077">
      <c r="A2077" s="18">
        <f>IF(ISNUMBER(Dossiers!$D$42),Dossiers!$A$42&amp;" · "&amp;Dossiers!$B$42,"")</f>
        <v/>
      </c>
      <c r="B2077" s="18">
        <f>IF($A2077="","",Paramètres!G25)</f>
        <v/>
      </c>
      <c r="C2077" s="18">
        <f>IF($A2077="","",IF(Paramètres!H25="","",Paramètres!H25))</f>
        <v/>
      </c>
      <c r="D2077" s="18">
        <f>IF($A2077="","",IF(Paramètres!I25="","",Paramètres!I25))</f>
        <v/>
      </c>
      <c r="E2077" s="19">
        <f>IF($A2077="","",IF(Paramètres!J25&amp;Paramètres!L25&amp;Paramètres!N25="",Dossiers!$D$42,MAX(IF(Paramètres!J25="",0,IF(Paramètres!K25="",NA(),IF(LEFT(TRIM(Paramètres!K25),1)="F",INDEX($F$2057:$F$2109,MATCH(Paramètres!J25,Paramètres!$G$5:$G$57,0)),INDEX($E$2057:$E$2109,MATCH(Paramètres!J25,Paramètres!$G$5:$G$57,0)))+IF(RIGHT(TRIM(Paramètres!K25),3)="Fin",1-$H2077,IF(LEFT(TRIM(Paramètres!K25),1)="F",1,0)))),IF(Paramètres!L25="",0,IF(Paramètres!M25="",NA(),IF(LEFT(TRIM(Paramètres!M25),1)="F",INDEX($F$2057:$F$2109,MATCH(Paramètres!L25,Paramètres!$G$5:$G$57,0)),INDEX($E$2057:$E$2109,MATCH(Paramètres!L25,Paramètres!$G$5:$G$57,0)))+IF(RIGHT(TRIM(Paramètres!M25),3)="Fin",1-$H2077,IF(LEFT(TRIM(Paramètres!M25),1)="F",1,0)))),IF(Paramètres!N25="",0,IF(Paramètres!O25="",NA(),IF(LEFT(TRIM(Paramètres!O25),1)="F",INDEX($F$2057:$F$2109,MATCH(Paramètres!N25,Paramètres!$G$5:$G$57,0)),INDEX($E$2057:$E$2109,MATCH(Paramètres!N25,Paramètres!$G$5:$G$57,0)))+IF(RIGHT(TRIM(Paramètres!O25),3)="Fin",1-$H2077,IF(LEFT(TRIM(Paramètres!O25),1)="F",1,0)))))))</f>
        <v/>
      </c>
      <c r="F2077" s="19">
        <f>IF($A2077="","",E2077+$H2077-1)</f>
        <v/>
      </c>
      <c r="G2077" s="18" t="n"/>
      <c r="H2077" s="18">
        <f>IF($A2077="","",IF(I2077&lt;&gt;"",I2077,Paramètres!B25))</f>
        <v/>
      </c>
      <c r="I2077" s="18" t="n"/>
    </row>
    <row r="2078">
      <c r="A2078" s="18">
        <f>IF(ISNUMBER(Dossiers!$D$42),Dossiers!$A$42&amp;" · "&amp;Dossiers!$B$42,"")</f>
        <v/>
      </c>
      <c r="B2078" s="18">
        <f>IF($A2078="","",Paramètres!G26)</f>
        <v/>
      </c>
      <c r="C2078" s="18">
        <f>IF($A2078="","",IF(Paramètres!H26="","",Paramètres!H26))</f>
        <v/>
      </c>
      <c r="D2078" s="18">
        <f>IF($A2078="","",IF(Paramètres!I26="","",Paramètres!I26))</f>
        <v/>
      </c>
      <c r="E2078" s="19">
        <f>IF($A2078="","",IF(Paramètres!J26&amp;Paramètres!L26&amp;Paramètres!N26="",Dossiers!$D$42,MAX(IF(Paramètres!J26="",0,IF(Paramètres!K26="",NA(),IF(LEFT(TRIM(Paramètres!K26),1)="F",INDEX($F$2057:$F$2109,MATCH(Paramètres!J26,Paramètres!$G$5:$G$57,0)),INDEX($E$2057:$E$2109,MATCH(Paramètres!J26,Paramètres!$G$5:$G$57,0)))+IF(RIGHT(TRIM(Paramètres!K26),3)="Fin",1-$H2078,IF(LEFT(TRIM(Paramètres!K26),1)="F",1,0)))),IF(Paramètres!L26="",0,IF(Paramètres!M26="",NA(),IF(LEFT(TRIM(Paramètres!M26),1)="F",INDEX($F$2057:$F$2109,MATCH(Paramètres!L26,Paramètres!$G$5:$G$57,0)),INDEX($E$2057:$E$2109,MATCH(Paramètres!L26,Paramètres!$G$5:$G$57,0)))+IF(RIGHT(TRIM(Paramètres!M26),3)="Fin",1-$H2078,IF(LEFT(TRIM(Paramètres!M26),1)="F",1,0)))),IF(Paramètres!N26="",0,IF(Paramètres!O26="",NA(),IF(LEFT(TRIM(Paramètres!O26),1)="F",INDEX($F$2057:$F$2109,MATCH(Paramètres!N26,Paramètres!$G$5:$G$57,0)),INDEX($E$2057:$E$2109,MATCH(Paramètres!N26,Paramètres!$G$5:$G$57,0)))+IF(RIGHT(TRIM(Paramètres!O26),3)="Fin",1-$H2078,IF(LEFT(TRIM(Paramètres!O26),1)="F",1,0)))))))</f>
        <v/>
      </c>
      <c r="F2078" s="19">
        <f>IF($A2078="","",E2078+$H2078-1)</f>
        <v/>
      </c>
      <c r="G2078" s="18" t="n"/>
      <c r="H2078" s="18">
        <f>IF($A2078="","",IF(I2078&lt;&gt;"",I2078,Paramètres!B26))</f>
        <v/>
      </c>
      <c r="I2078" s="18" t="n"/>
    </row>
    <row r="2079">
      <c r="A2079" s="18">
        <f>IF(ISNUMBER(Dossiers!$D$42),Dossiers!$A$42&amp;" · "&amp;Dossiers!$B$42,"")</f>
        <v/>
      </c>
      <c r="B2079" s="18">
        <f>IF($A2079="","",Paramètres!G27)</f>
        <v/>
      </c>
      <c r="C2079" s="18">
        <f>IF($A2079="","",IF(Paramètres!H27="","",Paramètres!H27))</f>
        <v/>
      </c>
      <c r="D2079" s="18">
        <f>IF($A2079="","",IF(Paramètres!I27="","",Paramètres!I27))</f>
        <v/>
      </c>
      <c r="E2079" s="19">
        <f>IF($A2079="","",IF(Paramètres!J27&amp;Paramètres!L27&amp;Paramètres!N27="",Dossiers!$D$42,MAX(IF(Paramètres!J27="",0,IF(Paramètres!K27="",NA(),IF(LEFT(TRIM(Paramètres!K27),1)="F",INDEX($F$2057:$F$2109,MATCH(Paramètres!J27,Paramètres!$G$5:$G$57,0)),INDEX($E$2057:$E$2109,MATCH(Paramètres!J27,Paramètres!$G$5:$G$57,0)))+IF(RIGHT(TRIM(Paramètres!K27),3)="Fin",1-$H2079,IF(LEFT(TRIM(Paramètres!K27),1)="F",1,0)))),IF(Paramètres!L27="",0,IF(Paramètres!M27="",NA(),IF(LEFT(TRIM(Paramètres!M27),1)="F",INDEX($F$2057:$F$2109,MATCH(Paramètres!L27,Paramètres!$G$5:$G$57,0)),INDEX($E$2057:$E$2109,MATCH(Paramètres!L27,Paramètres!$G$5:$G$57,0)))+IF(RIGHT(TRIM(Paramètres!M27),3)="Fin",1-$H2079,IF(LEFT(TRIM(Paramètres!M27),1)="F",1,0)))),IF(Paramètres!N27="",0,IF(Paramètres!O27="",NA(),IF(LEFT(TRIM(Paramètres!O27),1)="F",INDEX($F$2057:$F$2109,MATCH(Paramètres!N27,Paramètres!$G$5:$G$57,0)),INDEX($E$2057:$E$2109,MATCH(Paramètres!N27,Paramètres!$G$5:$G$57,0)))+IF(RIGHT(TRIM(Paramètres!O27),3)="Fin",1-$H2079,IF(LEFT(TRIM(Paramètres!O27),1)="F",1,0)))))))</f>
        <v/>
      </c>
      <c r="F2079" s="19">
        <f>IF($A2079="","",E2079+$H2079-1)</f>
        <v/>
      </c>
      <c r="G2079" s="18" t="n"/>
      <c r="H2079" s="18">
        <f>IF($A2079="","",IF(I2079&lt;&gt;"",I2079,Paramètres!B27))</f>
        <v/>
      </c>
      <c r="I2079" s="18" t="n"/>
    </row>
    <row r="2080">
      <c r="A2080" s="18">
        <f>IF(ISNUMBER(Dossiers!$D$42),Dossiers!$A$42&amp;" · "&amp;Dossiers!$B$42,"")</f>
        <v/>
      </c>
      <c r="B2080" s="18">
        <f>IF($A2080="","",Paramètres!G28)</f>
        <v/>
      </c>
      <c r="C2080" s="18">
        <f>IF($A2080="","",IF(Paramètres!H28="","",Paramètres!H28))</f>
        <v/>
      </c>
      <c r="D2080" s="18">
        <f>IF($A2080="","",IF(Paramètres!I28="","",Paramètres!I28))</f>
        <v/>
      </c>
      <c r="E2080" s="19">
        <f>IF($A2080="","",IF(Paramètres!J28&amp;Paramètres!L28&amp;Paramètres!N28="",Dossiers!$D$42,MAX(IF(Paramètres!J28="",0,IF(Paramètres!K28="",NA(),IF(LEFT(TRIM(Paramètres!K28),1)="F",INDEX($F$2057:$F$2109,MATCH(Paramètres!J28,Paramètres!$G$5:$G$57,0)),INDEX($E$2057:$E$2109,MATCH(Paramètres!J28,Paramètres!$G$5:$G$57,0)))+IF(RIGHT(TRIM(Paramètres!K28),3)="Fin",1-$H2080,IF(LEFT(TRIM(Paramètres!K28),1)="F",1,0)))),IF(Paramètres!L28="",0,IF(Paramètres!M28="",NA(),IF(LEFT(TRIM(Paramètres!M28),1)="F",INDEX($F$2057:$F$2109,MATCH(Paramètres!L28,Paramètres!$G$5:$G$57,0)),INDEX($E$2057:$E$2109,MATCH(Paramètres!L28,Paramètres!$G$5:$G$57,0)))+IF(RIGHT(TRIM(Paramètres!M28),3)="Fin",1-$H2080,IF(LEFT(TRIM(Paramètres!M28),1)="F",1,0)))),IF(Paramètres!N28="",0,IF(Paramètres!O28="",NA(),IF(LEFT(TRIM(Paramètres!O28),1)="F",INDEX($F$2057:$F$2109,MATCH(Paramètres!N28,Paramètres!$G$5:$G$57,0)),INDEX($E$2057:$E$2109,MATCH(Paramètres!N28,Paramètres!$G$5:$G$57,0)))+IF(RIGHT(TRIM(Paramètres!O28),3)="Fin",1-$H2080,IF(LEFT(TRIM(Paramètres!O28),1)="F",1,0)))))))</f>
        <v/>
      </c>
      <c r="F2080" s="19">
        <f>IF($A2080="","",E2080+$H2080-1)</f>
        <v/>
      </c>
      <c r="G2080" s="18" t="n"/>
      <c r="H2080" s="18">
        <f>IF($A2080="","",IF(I2080&lt;&gt;"",I2080,Paramètres!B28))</f>
        <v/>
      </c>
      <c r="I2080" s="18" t="n"/>
    </row>
    <row r="2081">
      <c r="A2081" s="18">
        <f>IF(ISNUMBER(Dossiers!$D$42),Dossiers!$A$42&amp;" · "&amp;Dossiers!$B$42,"")</f>
        <v/>
      </c>
      <c r="B2081" s="18">
        <f>IF($A2081="","",Paramètres!G29)</f>
        <v/>
      </c>
      <c r="C2081" s="18">
        <f>IF($A2081="","",IF(Paramètres!H29="","",Paramètres!H29))</f>
        <v/>
      </c>
      <c r="D2081" s="18">
        <f>IF($A2081="","",IF(Paramètres!I29="","",Paramètres!I29))</f>
        <v/>
      </c>
      <c r="E2081" s="19">
        <f>IF($A2081="","",IF(Paramètres!J29&amp;Paramètres!L29&amp;Paramètres!N29="",Dossiers!$D$42,MAX(IF(Paramètres!J29="",0,IF(Paramètres!K29="",NA(),IF(LEFT(TRIM(Paramètres!K29),1)="F",INDEX($F$2057:$F$2109,MATCH(Paramètres!J29,Paramètres!$G$5:$G$57,0)),INDEX($E$2057:$E$2109,MATCH(Paramètres!J29,Paramètres!$G$5:$G$57,0)))+IF(RIGHT(TRIM(Paramètres!K29),3)="Fin",1-$H2081,IF(LEFT(TRIM(Paramètres!K29),1)="F",1,0)))),IF(Paramètres!L29="",0,IF(Paramètres!M29="",NA(),IF(LEFT(TRIM(Paramètres!M29),1)="F",INDEX($F$2057:$F$2109,MATCH(Paramètres!L29,Paramètres!$G$5:$G$57,0)),INDEX($E$2057:$E$2109,MATCH(Paramètres!L29,Paramètres!$G$5:$G$57,0)))+IF(RIGHT(TRIM(Paramètres!M29),3)="Fin",1-$H2081,IF(LEFT(TRIM(Paramètres!M29),1)="F",1,0)))),IF(Paramètres!N29="",0,IF(Paramètres!O29="",NA(),IF(LEFT(TRIM(Paramètres!O29),1)="F",INDEX($F$2057:$F$2109,MATCH(Paramètres!N29,Paramètres!$G$5:$G$57,0)),INDEX($E$2057:$E$2109,MATCH(Paramètres!N29,Paramètres!$G$5:$G$57,0)))+IF(RIGHT(TRIM(Paramètres!O29),3)="Fin",1-$H2081,IF(LEFT(TRIM(Paramètres!O29),1)="F",1,0)))))))</f>
        <v/>
      </c>
      <c r="F2081" s="19">
        <f>IF($A2081="","",E2081+$H2081-1)</f>
        <v/>
      </c>
      <c r="G2081" s="18" t="n"/>
      <c r="H2081" s="18">
        <f>IF($A2081="","",IF(I2081&lt;&gt;"",I2081,Paramètres!B29))</f>
        <v/>
      </c>
      <c r="I2081" s="18" t="n"/>
    </row>
    <row r="2082">
      <c r="A2082" s="18">
        <f>IF(ISNUMBER(Dossiers!$D$42),Dossiers!$A$42&amp;" · "&amp;Dossiers!$B$42,"")</f>
        <v/>
      </c>
      <c r="B2082" s="18">
        <f>IF($A2082="","",Paramètres!G30)</f>
        <v/>
      </c>
      <c r="C2082" s="18">
        <f>IF($A2082="","",IF(Paramètres!H30="","",Paramètres!H30))</f>
        <v/>
      </c>
      <c r="D2082" s="18">
        <f>IF($A2082="","",IF(Paramètres!I30="","",Paramètres!I30))</f>
        <v/>
      </c>
      <c r="E2082" s="19">
        <f>IF($A2082="","",IF(Paramètres!J30&amp;Paramètres!L30&amp;Paramètres!N30="",Dossiers!$D$42,MAX(IF(Paramètres!J30="",0,IF(Paramètres!K30="",NA(),IF(LEFT(TRIM(Paramètres!K30),1)="F",INDEX($F$2057:$F$2109,MATCH(Paramètres!J30,Paramètres!$G$5:$G$57,0)),INDEX($E$2057:$E$2109,MATCH(Paramètres!J30,Paramètres!$G$5:$G$57,0)))+IF(RIGHT(TRIM(Paramètres!K30),3)="Fin",1-$H2082,IF(LEFT(TRIM(Paramètres!K30),1)="F",1,0)))),IF(Paramètres!L30="",0,IF(Paramètres!M30="",NA(),IF(LEFT(TRIM(Paramètres!M30),1)="F",INDEX($F$2057:$F$2109,MATCH(Paramètres!L30,Paramètres!$G$5:$G$57,0)),INDEX($E$2057:$E$2109,MATCH(Paramètres!L30,Paramètres!$G$5:$G$57,0)))+IF(RIGHT(TRIM(Paramètres!M30),3)="Fin",1-$H2082,IF(LEFT(TRIM(Paramètres!M30),1)="F",1,0)))),IF(Paramètres!N30="",0,IF(Paramètres!O30="",NA(),IF(LEFT(TRIM(Paramètres!O30),1)="F",INDEX($F$2057:$F$2109,MATCH(Paramètres!N30,Paramètres!$G$5:$G$57,0)),INDEX($E$2057:$E$2109,MATCH(Paramètres!N30,Paramètres!$G$5:$G$57,0)))+IF(RIGHT(TRIM(Paramètres!O30),3)="Fin",1-$H2082,IF(LEFT(TRIM(Paramètres!O30),1)="F",1,0)))))))</f>
        <v/>
      </c>
      <c r="F2082" s="19">
        <f>IF($A2082="","",E2082+$H2082-1)</f>
        <v/>
      </c>
      <c r="G2082" s="18" t="n"/>
      <c r="H2082" s="18">
        <f>IF($A2082="","",IF(I2082&lt;&gt;"",I2082,Paramètres!B30))</f>
        <v/>
      </c>
      <c r="I2082" s="18" t="n"/>
    </row>
    <row r="2083">
      <c r="A2083" s="18">
        <f>IF(ISNUMBER(Dossiers!$D$42),Dossiers!$A$42&amp;" · "&amp;Dossiers!$B$42,"")</f>
        <v/>
      </c>
      <c r="B2083" s="18">
        <f>IF($A2083="","",Paramètres!G31)</f>
        <v/>
      </c>
      <c r="C2083" s="20">
        <f>IF($A2083="","",IF(Dossiers!$F$42="","",Dossiers!$F$42))</f>
        <v/>
      </c>
      <c r="D2083" s="18">
        <f>IF($A2083="","",IF(Paramètres!I31="","",Paramètres!I31))</f>
        <v/>
      </c>
      <c r="E2083" s="19">
        <f>IF($A2083="","",IF(Paramètres!J31&amp;Paramètres!L31&amp;Paramètres!N31="",Dossiers!$D$42,MAX(IF(Paramètres!J31="",0,IF(Paramètres!K31="",NA(),IF(LEFT(TRIM(Paramètres!K31),1)="F",INDEX($F$2057:$F$2109,MATCH(Paramètres!J31,Paramètres!$G$5:$G$57,0)),INDEX($E$2057:$E$2109,MATCH(Paramètres!J31,Paramètres!$G$5:$G$57,0)))+IF(RIGHT(TRIM(Paramètres!K31),3)="Fin",1-$H2083,IF(LEFT(TRIM(Paramètres!K31),1)="F",1,0)))),IF(Paramètres!L31="",0,IF(Paramètres!M31="",NA(),IF(LEFT(TRIM(Paramètres!M31),1)="F",INDEX($F$2057:$F$2109,MATCH(Paramètres!L31,Paramètres!$G$5:$G$57,0)),INDEX($E$2057:$E$2109,MATCH(Paramètres!L31,Paramètres!$G$5:$G$57,0)))+IF(RIGHT(TRIM(Paramètres!M31),3)="Fin",1-$H2083,IF(LEFT(TRIM(Paramètres!M31),1)="F",1,0)))),IF(Paramètres!N31="",0,IF(Paramètres!O31="",NA(),IF(LEFT(TRIM(Paramètres!O31),1)="F",INDEX($F$2057:$F$2109,MATCH(Paramètres!N31,Paramètres!$G$5:$G$57,0)),INDEX($E$2057:$E$2109,MATCH(Paramètres!N31,Paramètres!$G$5:$G$57,0)))+IF(RIGHT(TRIM(Paramètres!O31),3)="Fin",1-$H2083,IF(LEFT(TRIM(Paramètres!O31),1)="F",1,0)))))))</f>
        <v/>
      </c>
      <c r="F2083" s="19">
        <f>IF($A2083="","",E2083+$H2083-1)</f>
        <v/>
      </c>
      <c r="G2083" s="18" t="n"/>
      <c r="H2083" s="18">
        <f>IF($A2083="","",IF(I2083&lt;&gt;"",I2083,Paramètres!B31))</f>
        <v/>
      </c>
      <c r="I2083" s="18" t="n"/>
    </row>
    <row r="2084">
      <c r="A2084" s="18">
        <f>IF(ISNUMBER(Dossiers!$D$42),Dossiers!$A$42&amp;" · "&amp;Dossiers!$B$42,"")</f>
        <v/>
      </c>
      <c r="B2084" s="18">
        <f>IF($A2084="","",Paramètres!G32)</f>
        <v/>
      </c>
      <c r="C2084" s="18">
        <f>IF($A2084="","",IF(Paramètres!H32="","",Paramètres!H32))</f>
        <v/>
      </c>
      <c r="D2084" s="18">
        <f>IF($A2084="","",IF(Paramètres!I32="","",Paramètres!I32))</f>
        <v/>
      </c>
      <c r="E2084" s="19">
        <f>IF($A2084="","",MIN(E2085:E2088))</f>
        <v/>
      </c>
      <c r="F2084" s="19">
        <f>IF($A2084="","",MAX(F2085:F2088))</f>
        <v/>
      </c>
      <c r="G2084" s="18" t="n"/>
      <c r="H2084" s="18">
        <f>IF($A2084="","",F2084-E2084+1)</f>
        <v/>
      </c>
      <c r="I2084" s="18" t="n"/>
    </row>
    <row r="2085">
      <c r="A2085" s="18">
        <f>IF(ISNUMBER(Dossiers!$D$42),Dossiers!$A$42&amp;" · "&amp;Dossiers!$B$42,"")</f>
        <v/>
      </c>
      <c r="B2085" s="18">
        <f>IF($A2085="","",Paramètres!G33)</f>
        <v/>
      </c>
      <c r="C2085" s="18">
        <f>IF($A2085="","",IF(Paramètres!H33="","",Paramètres!H33))</f>
        <v/>
      </c>
      <c r="D2085" s="18">
        <f>IF($A2085="","",IF(Paramètres!I33="","",Paramètres!I33))</f>
        <v/>
      </c>
      <c r="E2085" s="19">
        <f>IF($A2085="","",IF(Paramètres!J33&amp;Paramètres!L33&amp;Paramètres!N33="",Dossiers!$D$42,MAX(IF(Paramètres!J33="",0,IF(Paramètres!K33="",NA(),IF(LEFT(TRIM(Paramètres!K33),1)="F",INDEX($F$2057:$F$2109,MATCH(Paramètres!J33,Paramètres!$G$5:$G$57,0)),INDEX($E$2057:$E$2109,MATCH(Paramètres!J33,Paramètres!$G$5:$G$57,0)))+IF(RIGHT(TRIM(Paramètres!K33),3)="Fin",1-$H2085,IF(LEFT(TRIM(Paramètres!K33),1)="F",1,0)))),IF(Paramètres!L33="",0,IF(Paramètres!M33="",NA(),IF(LEFT(TRIM(Paramètres!M33),1)="F",INDEX($F$2057:$F$2109,MATCH(Paramètres!L33,Paramètres!$G$5:$G$57,0)),INDEX($E$2057:$E$2109,MATCH(Paramètres!L33,Paramètres!$G$5:$G$57,0)))+IF(RIGHT(TRIM(Paramètres!M33),3)="Fin",1-$H2085,IF(LEFT(TRIM(Paramètres!M33),1)="F",1,0)))),IF(Paramètres!N33="",0,IF(Paramètres!O33="",NA(),IF(LEFT(TRIM(Paramètres!O33),1)="F",INDEX($F$2057:$F$2109,MATCH(Paramètres!N33,Paramètres!$G$5:$G$57,0)),INDEX($E$2057:$E$2109,MATCH(Paramètres!N33,Paramètres!$G$5:$G$57,0)))+IF(RIGHT(TRIM(Paramètres!O33),3)="Fin",1-$H2085,IF(LEFT(TRIM(Paramètres!O33),1)="F",1,0)))))))</f>
        <v/>
      </c>
      <c r="F2085" s="19">
        <f>IF($A2085="","",E2085+$H2085-1)</f>
        <v/>
      </c>
      <c r="G2085" s="18" t="n"/>
      <c r="H2085" s="18">
        <f>IF($A2085="","",IF(I2085&lt;&gt;"",I2085,Paramètres!B33))</f>
        <v/>
      </c>
      <c r="I2085" s="18" t="n"/>
    </row>
    <row r="2086">
      <c r="A2086" s="18">
        <f>IF(ISNUMBER(Dossiers!$D$42),Dossiers!$A$42&amp;" · "&amp;Dossiers!$B$42,"")</f>
        <v/>
      </c>
      <c r="B2086" s="18">
        <f>IF($A2086="","",Paramètres!G34)</f>
        <v/>
      </c>
      <c r="C2086" s="18">
        <f>IF($A2086="","",IF(Paramètres!H34="","",Paramètres!H34))</f>
        <v/>
      </c>
      <c r="D2086" s="18">
        <f>IF($A2086="","",IF(Paramètres!I34="","",Paramètres!I34))</f>
        <v/>
      </c>
      <c r="E2086" s="19">
        <f>IF($A2086="","",IF(Paramètres!J34&amp;Paramètres!L34&amp;Paramètres!N34="",Dossiers!$D$42,MAX(IF(Paramètres!J34="",0,IF(Paramètres!K34="",NA(),IF(LEFT(TRIM(Paramètres!K34),1)="F",INDEX($F$2057:$F$2109,MATCH(Paramètres!J34,Paramètres!$G$5:$G$57,0)),INDEX($E$2057:$E$2109,MATCH(Paramètres!J34,Paramètres!$G$5:$G$57,0)))+IF(RIGHT(TRIM(Paramètres!K34),3)="Fin",1-$H2086,IF(LEFT(TRIM(Paramètres!K34),1)="F",1,0)))),IF(Paramètres!L34="",0,IF(Paramètres!M34="",NA(),IF(LEFT(TRIM(Paramètres!M34),1)="F",INDEX($F$2057:$F$2109,MATCH(Paramètres!L34,Paramètres!$G$5:$G$57,0)),INDEX($E$2057:$E$2109,MATCH(Paramètres!L34,Paramètres!$G$5:$G$57,0)))+IF(RIGHT(TRIM(Paramètres!M34),3)="Fin",1-$H2086,IF(LEFT(TRIM(Paramètres!M34),1)="F",1,0)))),IF(Paramètres!N34="",0,IF(Paramètres!O34="",NA(),IF(LEFT(TRIM(Paramètres!O34),1)="F",INDEX($F$2057:$F$2109,MATCH(Paramètres!N34,Paramètres!$G$5:$G$57,0)),INDEX($E$2057:$E$2109,MATCH(Paramètres!N34,Paramètres!$G$5:$G$57,0)))+IF(RIGHT(TRIM(Paramètres!O34),3)="Fin",1-$H2086,IF(LEFT(TRIM(Paramètres!O34),1)="F",1,0)))))))</f>
        <v/>
      </c>
      <c r="F2086" s="19">
        <f>IF($A2086="","",E2086+$H2086-1)</f>
        <v/>
      </c>
      <c r="G2086" s="18" t="n"/>
      <c r="H2086" s="18">
        <f>IF($A2086="","",IF(I2086&lt;&gt;"",I2086,Paramètres!B34))</f>
        <v/>
      </c>
      <c r="I2086" s="18" t="n"/>
    </row>
    <row r="2087">
      <c r="A2087" s="18">
        <f>IF(ISNUMBER(Dossiers!$D$42),Dossiers!$A$42&amp;" · "&amp;Dossiers!$B$42,"")</f>
        <v/>
      </c>
      <c r="B2087" s="18">
        <f>IF($A2087="","",Paramètres!G35)</f>
        <v/>
      </c>
      <c r="C2087" s="18">
        <f>IF($A2087="","",IF(Paramètres!H35="","",Paramètres!H35))</f>
        <v/>
      </c>
      <c r="D2087" s="18">
        <f>IF($A2087="","",IF(Paramètres!I35="","",Paramètres!I35))</f>
        <v/>
      </c>
      <c r="E2087" s="19">
        <f>IF($A2087="","",IF(Paramètres!J35&amp;Paramètres!L35&amp;Paramètres!N35="",Dossiers!$D$42,MAX(IF(Paramètres!J35="",0,IF(Paramètres!K35="",NA(),IF(LEFT(TRIM(Paramètres!K35),1)="F",INDEX($F$2057:$F$2109,MATCH(Paramètres!J35,Paramètres!$G$5:$G$57,0)),INDEX($E$2057:$E$2109,MATCH(Paramètres!J35,Paramètres!$G$5:$G$57,0)))+IF(RIGHT(TRIM(Paramètres!K35),3)="Fin",1-$H2087,IF(LEFT(TRIM(Paramètres!K35),1)="F",1,0)))),IF(Paramètres!L35="",0,IF(Paramètres!M35="",NA(),IF(LEFT(TRIM(Paramètres!M35),1)="F",INDEX($F$2057:$F$2109,MATCH(Paramètres!L35,Paramètres!$G$5:$G$57,0)),INDEX($E$2057:$E$2109,MATCH(Paramètres!L35,Paramètres!$G$5:$G$57,0)))+IF(RIGHT(TRIM(Paramètres!M35),3)="Fin",1-$H2087,IF(LEFT(TRIM(Paramètres!M35),1)="F",1,0)))),IF(Paramètres!N35="",0,IF(Paramètres!O35="",NA(),IF(LEFT(TRIM(Paramètres!O35),1)="F",INDEX($F$2057:$F$2109,MATCH(Paramètres!N35,Paramètres!$G$5:$G$57,0)),INDEX($E$2057:$E$2109,MATCH(Paramètres!N35,Paramètres!$G$5:$G$57,0)))+IF(RIGHT(TRIM(Paramètres!O35),3)="Fin",1-$H2087,IF(LEFT(TRIM(Paramètres!O35),1)="F",1,0)))))))</f>
        <v/>
      </c>
      <c r="F2087" s="19">
        <f>IF($A2087="","",E2087+$H2087-1)</f>
        <v/>
      </c>
      <c r="G2087" s="18" t="n"/>
      <c r="H2087" s="18">
        <f>IF($A2087="","",IF(I2087&lt;&gt;"",I2087,Paramètres!B35))</f>
        <v/>
      </c>
      <c r="I2087" s="18" t="n"/>
    </row>
    <row r="2088">
      <c r="A2088" s="18">
        <f>IF(ISNUMBER(Dossiers!$D$42),Dossiers!$A$42&amp;" · "&amp;Dossiers!$B$42,"")</f>
        <v/>
      </c>
      <c r="B2088" s="18">
        <f>IF($A2088="","",Paramètres!G36)</f>
        <v/>
      </c>
      <c r="C2088" s="18">
        <f>IF($A2088="","",IF(Paramètres!H36="","",Paramètres!H36))</f>
        <v/>
      </c>
      <c r="D2088" s="18">
        <f>IF($A2088="","",IF(Paramètres!I36="","",Paramètres!I36))</f>
        <v/>
      </c>
      <c r="E2088" s="19">
        <f>IF($A2088="","",IF(Paramètres!J36&amp;Paramètres!L36&amp;Paramètres!N36="",Dossiers!$D$42,MAX(IF(Paramètres!J36="",0,IF(Paramètres!K36="",NA(),IF(LEFT(TRIM(Paramètres!K36),1)="F",INDEX($F$2057:$F$2109,MATCH(Paramètres!J36,Paramètres!$G$5:$G$57,0)),INDEX($E$2057:$E$2109,MATCH(Paramètres!J36,Paramètres!$G$5:$G$57,0)))+IF(RIGHT(TRIM(Paramètres!K36),3)="Fin",1-$H2088,IF(LEFT(TRIM(Paramètres!K36),1)="F",1,0)))),IF(Paramètres!L36="",0,IF(Paramètres!M36="",NA(),IF(LEFT(TRIM(Paramètres!M36),1)="F",INDEX($F$2057:$F$2109,MATCH(Paramètres!L36,Paramètres!$G$5:$G$57,0)),INDEX($E$2057:$E$2109,MATCH(Paramètres!L36,Paramètres!$G$5:$G$57,0)))+IF(RIGHT(TRIM(Paramètres!M36),3)="Fin",1-$H2088,IF(LEFT(TRIM(Paramètres!M36),1)="F",1,0)))),IF(Paramètres!N36="",0,IF(Paramètres!O36="",NA(),IF(LEFT(TRIM(Paramètres!O36),1)="F",INDEX($F$2057:$F$2109,MATCH(Paramètres!N36,Paramètres!$G$5:$G$57,0)),INDEX($E$2057:$E$2109,MATCH(Paramètres!N36,Paramètres!$G$5:$G$57,0)))+IF(RIGHT(TRIM(Paramètres!O36),3)="Fin",1-$H2088,IF(LEFT(TRIM(Paramètres!O36),1)="F",1,0)))))))</f>
        <v/>
      </c>
      <c r="F2088" s="19">
        <f>IF($A2088="","",E2088+$H2088-1)</f>
        <v/>
      </c>
      <c r="G2088" s="18" t="n"/>
      <c r="H2088" s="18">
        <f>IF($A2088="","",IF(I2088&lt;&gt;"",I2088,Paramètres!B36))</f>
        <v/>
      </c>
      <c r="I2088" s="18" t="n"/>
    </row>
    <row r="2089">
      <c r="A2089" s="18">
        <f>IF(ISNUMBER(Dossiers!$D$42),Dossiers!$A$42&amp;" · "&amp;Dossiers!$B$42,"")</f>
        <v/>
      </c>
      <c r="B2089" s="18">
        <f>IF($A2089="","",Paramètres!G37)</f>
        <v/>
      </c>
      <c r="C2089" s="18">
        <f>IF($A2089="","",IF(Paramètres!H37="","",Paramètres!H37))</f>
        <v/>
      </c>
      <c r="D2089" s="18">
        <f>IF($A2089="","",IF(Paramètres!I37="","",Paramètres!I37))</f>
        <v/>
      </c>
      <c r="E2089" s="19">
        <f>IF($A2089="","",MIN(E2090:E2107))</f>
        <v/>
      </c>
      <c r="F2089" s="19">
        <f>IF($A2089="","",MAX(F2090:F2107))</f>
        <v/>
      </c>
      <c r="G2089" s="18" t="n"/>
      <c r="H2089" s="18">
        <f>IF($A2089="","",F2089-E2089+1)</f>
        <v/>
      </c>
      <c r="I2089" s="18" t="n"/>
    </row>
    <row r="2090">
      <c r="A2090" s="18">
        <f>IF(ISNUMBER(Dossiers!$D$42),Dossiers!$A$42&amp;" · "&amp;Dossiers!$B$42,"")</f>
        <v/>
      </c>
      <c r="B2090" s="18">
        <f>IF($A2090="","",Paramètres!G38)</f>
        <v/>
      </c>
      <c r="C2090" s="18">
        <f>IF($A2090="","",IF(Paramètres!H38="","",Paramètres!H38))</f>
        <v/>
      </c>
      <c r="D2090" s="18">
        <f>IF($A2090="","",IF(Paramètres!I38="","",Paramètres!I38))</f>
        <v/>
      </c>
      <c r="E2090" s="19">
        <f>IF($A2090="","",IF(Paramètres!J38&amp;Paramètres!L38&amp;Paramètres!N38="",Dossiers!$D$42,MAX(IF(Paramètres!J38="",0,IF(Paramètres!K38="",NA(),IF(LEFT(TRIM(Paramètres!K38),1)="F",INDEX($F$2057:$F$2109,MATCH(Paramètres!J38,Paramètres!$G$5:$G$57,0)),INDEX($E$2057:$E$2109,MATCH(Paramètres!J38,Paramètres!$G$5:$G$57,0)))+IF(RIGHT(TRIM(Paramètres!K38),3)="Fin",1-$H2090,IF(LEFT(TRIM(Paramètres!K38),1)="F",1,0)))),IF(Paramètres!L38="",0,IF(Paramètres!M38="",NA(),IF(LEFT(TRIM(Paramètres!M38),1)="F",INDEX($F$2057:$F$2109,MATCH(Paramètres!L38,Paramètres!$G$5:$G$57,0)),INDEX($E$2057:$E$2109,MATCH(Paramètres!L38,Paramètres!$G$5:$G$57,0)))+IF(RIGHT(TRIM(Paramètres!M38),3)="Fin",1-$H2090,IF(LEFT(TRIM(Paramètres!M38),1)="F",1,0)))),IF(Paramètres!N38="",0,IF(Paramètres!O38="",NA(),IF(LEFT(TRIM(Paramètres!O38),1)="F",INDEX($F$2057:$F$2109,MATCH(Paramètres!N38,Paramètres!$G$5:$G$57,0)),INDEX($E$2057:$E$2109,MATCH(Paramètres!N38,Paramètres!$G$5:$G$57,0)))+IF(RIGHT(TRIM(Paramètres!O38),3)="Fin",1-$H2090,IF(LEFT(TRIM(Paramètres!O38),1)="F",1,0)))))))</f>
        <v/>
      </c>
      <c r="F2090" s="19">
        <f>IF($A2090="","",E2090+$H2090-1)</f>
        <v/>
      </c>
      <c r="G2090" s="18" t="n"/>
      <c r="H2090" s="18">
        <f>IF($A2090="","",IF(I2090&lt;&gt;"",I2090,Paramètres!B38))</f>
        <v/>
      </c>
      <c r="I2090" s="18" t="n"/>
    </row>
    <row r="2091">
      <c r="A2091" s="18">
        <f>IF(ISNUMBER(Dossiers!$D$42),Dossiers!$A$42&amp;" · "&amp;Dossiers!$B$42,"")</f>
        <v/>
      </c>
      <c r="B2091" s="18">
        <f>IF($A2091="","",Paramètres!G39)</f>
        <v/>
      </c>
      <c r="C2091" s="18">
        <f>IF($A2091="","",IF(Paramètres!H39="","",Paramètres!H39))</f>
        <v/>
      </c>
      <c r="D2091" s="18">
        <f>IF($A2091="","",IF(Paramètres!I39="","",Paramètres!I39))</f>
        <v/>
      </c>
      <c r="E2091" s="19">
        <f>IF($A2091="","",IF(Paramètres!J39&amp;Paramètres!L39&amp;Paramètres!N39="",Dossiers!$D$42,MAX(IF(Paramètres!J39="",0,IF(Paramètres!K39="",NA(),IF(LEFT(TRIM(Paramètres!K39),1)="F",INDEX($F$2057:$F$2109,MATCH(Paramètres!J39,Paramètres!$G$5:$G$57,0)),INDEX($E$2057:$E$2109,MATCH(Paramètres!J39,Paramètres!$G$5:$G$57,0)))+IF(RIGHT(TRIM(Paramètres!K39),3)="Fin",1-$H2091,IF(LEFT(TRIM(Paramètres!K39),1)="F",1,0)))),IF(Paramètres!L39="",0,IF(Paramètres!M39="",NA(),IF(LEFT(TRIM(Paramètres!M39),1)="F",INDEX($F$2057:$F$2109,MATCH(Paramètres!L39,Paramètres!$G$5:$G$57,0)),INDEX($E$2057:$E$2109,MATCH(Paramètres!L39,Paramètres!$G$5:$G$57,0)))+IF(RIGHT(TRIM(Paramètres!M39),3)="Fin",1-$H2091,IF(LEFT(TRIM(Paramètres!M39),1)="F",1,0)))),IF(Paramètres!N39="",0,IF(Paramètres!O39="",NA(),IF(LEFT(TRIM(Paramètres!O39),1)="F",INDEX($F$2057:$F$2109,MATCH(Paramètres!N39,Paramètres!$G$5:$G$57,0)),INDEX($E$2057:$E$2109,MATCH(Paramètres!N39,Paramètres!$G$5:$G$57,0)))+IF(RIGHT(TRIM(Paramètres!O39),3)="Fin",1-$H2091,IF(LEFT(TRIM(Paramètres!O39),1)="F",1,0)))))))</f>
        <v/>
      </c>
      <c r="F2091" s="19">
        <f>IF($A2091="","",E2091+$H2091-1)</f>
        <v/>
      </c>
      <c r="G2091" s="18" t="n"/>
      <c r="H2091" s="18">
        <f>IF($A2091="","",IF(I2091&lt;&gt;"",I2091,Paramètres!B39))</f>
        <v/>
      </c>
      <c r="I2091" s="18" t="n"/>
    </row>
    <row r="2092">
      <c r="A2092" s="18">
        <f>IF(ISNUMBER(Dossiers!$D$42),Dossiers!$A$42&amp;" · "&amp;Dossiers!$B$42,"")</f>
        <v/>
      </c>
      <c r="B2092" s="18">
        <f>IF($A2092="","",Paramètres!G40)</f>
        <v/>
      </c>
      <c r="C2092" s="18">
        <f>IF($A2092="","",IF(Paramètres!H40="","",Paramètres!H40))</f>
        <v/>
      </c>
      <c r="D2092" s="18">
        <f>IF($A2092="","",IF(Paramètres!I40="","",Paramètres!I40))</f>
        <v/>
      </c>
      <c r="E2092" s="19">
        <f>IF($A2092="","",IF(Paramètres!J40&amp;Paramètres!L40&amp;Paramètres!N40="",Dossiers!$D$42,MAX(IF(Paramètres!J40="",0,IF(Paramètres!K40="",NA(),IF(LEFT(TRIM(Paramètres!K40),1)="F",INDEX($F$2057:$F$2109,MATCH(Paramètres!J40,Paramètres!$G$5:$G$57,0)),INDEX($E$2057:$E$2109,MATCH(Paramètres!J40,Paramètres!$G$5:$G$57,0)))+IF(RIGHT(TRIM(Paramètres!K40),3)="Fin",1-$H2092,IF(LEFT(TRIM(Paramètres!K40),1)="F",1,0)))),IF(Paramètres!L40="",0,IF(Paramètres!M40="",NA(),IF(LEFT(TRIM(Paramètres!M40),1)="F",INDEX($F$2057:$F$2109,MATCH(Paramètres!L40,Paramètres!$G$5:$G$57,0)),INDEX($E$2057:$E$2109,MATCH(Paramètres!L40,Paramètres!$G$5:$G$57,0)))+IF(RIGHT(TRIM(Paramètres!M40),3)="Fin",1-$H2092,IF(LEFT(TRIM(Paramètres!M40),1)="F",1,0)))),IF(Paramètres!N40="",0,IF(Paramètres!O40="",NA(),IF(LEFT(TRIM(Paramètres!O40),1)="F",INDEX($F$2057:$F$2109,MATCH(Paramètres!N40,Paramètres!$G$5:$G$57,0)),INDEX($E$2057:$E$2109,MATCH(Paramètres!N40,Paramètres!$G$5:$G$57,0)))+IF(RIGHT(TRIM(Paramètres!O40),3)="Fin",1-$H2092,IF(LEFT(TRIM(Paramètres!O40),1)="F",1,0)))))))</f>
        <v/>
      </c>
      <c r="F2092" s="19">
        <f>IF($A2092="","",E2092+$H2092-1)</f>
        <v/>
      </c>
      <c r="G2092" s="18" t="n"/>
      <c r="H2092" s="18">
        <f>IF($A2092="","",IF(I2092&lt;&gt;"",I2092,Paramètres!B40))</f>
        <v/>
      </c>
      <c r="I2092" s="18" t="n"/>
    </row>
    <row r="2093">
      <c r="A2093" s="18">
        <f>IF(ISNUMBER(Dossiers!$D$42),Dossiers!$A$42&amp;" · "&amp;Dossiers!$B$42,"")</f>
        <v/>
      </c>
      <c r="B2093" s="18">
        <f>IF($A2093="","",Paramètres!G41)</f>
        <v/>
      </c>
      <c r="C2093" s="18">
        <f>IF($A2093="","",IF(Paramètres!H41="","",Paramètres!H41))</f>
        <v/>
      </c>
      <c r="D2093" s="18">
        <f>IF($A2093="","",IF(Paramètres!I41="","",Paramètres!I41))</f>
        <v/>
      </c>
      <c r="E2093" s="19">
        <f>IF($A2093="","",IF(Paramètres!J41&amp;Paramètres!L41&amp;Paramètres!N41="",Dossiers!$D$42,MAX(IF(Paramètres!J41="",0,IF(Paramètres!K41="",NA(),IF(LEFT(TRIM(Paramètres!K41),1)="F",INDEX($F$2057:$F$2109,MATCH(Paramètres!J41,Paramètres!$G$5:$G$57,0)),INDEX($E$2057:$E$2109,MATCH(Paramètres!J41,Paramètres!$G$5:$G$57,0)))+IF(RIGHT(TRIM(Paramètres!K41),3)="Fin",1-$H2093,IF(LEFT(TRIM(Paramètres!K41),1)="F",1,0)))),IF(Paramètres!L41="",0,IF(Paramètres!M41="",NA(),IF(LEFT(TRIM(Paramètres!M41),1)="F",INDEX($F$2057:$F$2109,MATCH(Paramètres!L41,Paramètres!$G$5:$G$57,0)),INDEX($E$2057:$E$2109,MATCH(Paramètres!L41,Paramètres!$G$5:$G$57,0)))+IF(RIGHT(TRIM(Paramètres!M41),3)="Fin",1-$H2093,IF(LEFT(TRIM(Paramètres!M41),1)="F",1,0)))),IF(Paramètres!N41="",0,IF(Paramètres!O41="",NA(),IF(LEFT(TRIM(Paramètres!O41),1)="F",INDEX($F$2057:$F$2109,MATCH(Paramètres!N41,Paramètres!$G$5:$G$57,0)),INDEX($E$2057:$E$2109,MATCH(Paramètres!N41,Paramètres!$G$5:$G$57,0)))+IF(RIGHT(TRIM(Paramètres!O41),3)="Fin",1-$H2093,IF(LEFT(TRIM(Paramètres!O41),1)="F",1,0)))))))</f>
        <v/>
      </c>
      <c r="F2093" s="19">
        <f>IF($A2093="","",E2093+$H2093-1)</f>
        <v/>
      </c>
      <c r="G2093" s="18" t="n"/>
      <c r="H2093" s="18">
        <f>IF($A2093="","",IF(I2093&lt;&gt;"",I2093,Paramètres!B41))</f>
        <v/>
      </c>
      <c r="I2093" s="18" t="n"/>
    </row>
    <row r="2094">
      <c r="A2094" s="18">
        <f>IF(ISNUMBER(Dossiers!$D$42),Dossiers!$A$42&amp;" · "&amp;Dossiers!$B$42,"")</f>
        <v/>
      </c>
      <c r="B2094" s="18">
        <f>IF($A2094="","",Paramètres!G42)</f>
        <v/>
      </c>
      <c r="C2094" s="18">
        <f>IF($A2094="","",IF(Paramètres!H42="","",Paramètres!H42))</f>
        <v/>
      </c>
      <c r="D2094" s="18">
        <f>IF($A2094="","",IF(Paramètres!I42="","",Paramètres!I42))</f>
        <v/>
      </c>
      <c r="E2094" s="19">
        <f>IF($A2094="","",IF(Paramètres!J42&amp;Paramètres!L42&amp;Paramètres!N42="",Dossiers!$D$42,MAX(IF(Paramètres!J42="",0,IF(Paramètres!K42="",NA(),IF(LEFT(TRIM(Paramètres!K42),1)="F",INDEX($F$2057:$F$2109,MATCH(Paramètres!J42,Paramètres!$G$5:$G$57,0)),INDEX($E$2057:$E$2109,MATCH(Paramètres!J42,Paramètres!$G$5:$G$57,0)))+IF(RIGHT(TRIM(Paramètres!K42),3)="Fin",1-$H2094,IF(LEFT(TRIM(Paramètres!K42),1)="F",1,0)))),IF(Paramètres!L42="",0,IF(Paramètres!M42="",NA(),IF(LEFT(TRIM(Paramètres!M42),1)="F",INDEX($F$2057:$F$2109,MATCH(Paramètres!L42,Paramètres!$G$5:$G$57,0)),INDEX($E$2057:$E$2109,MATCH(Paramètres!L42,Paramètres!$G$5:$G$57,0)))+IF(RIGHT(TRIM(Paramètres!M42),3)="Fin",1-$H2094,IF(LEFT(TRIM(Paramètres!M42),1)="F",1,0)))),IF(Paramètres!N42="",0,IF(Paramètres!O42="",NA(),IF(LEFT(TRIM(Paramètres!O42),1)="F",INDEX($F$2057:$F$2109,MATCH(Paramètres!N42,Paramètres!$G$5:$G$57,0)),INDEX($E$2057:$E$2109,MATCH(Paramètres!N42,Paramètres!$G$5:$G$57,0)))+IF(RIGHT(TRIM(Paramètres!O42),3)="Fin",1-$H2094,IF(LEFT(TRIM(Paramètres!O42),1)="F",1,0)))))))</f>
        <v/>
      </c>
      <c r="F2094" s="19">
        <f>IF($A2094="","",E2094+$H2094-1)</f>
        <v/>
      </c>
      <c r="G2094" s="18" t="n"/>
      <c r="H2094" s="18">
        <f>IF($A2094="","",IF(I2094&lt;&gt;"",I2094,Paramètres!B42))</f>
        <v/>
      </c>
      <c r="I2094" s="18" t="n"/>
    </row>
    <row r="2095">
      <c r="A2095" s="18">
        <f>IF(ISNUMBER(Dossiers!$D$42),Dossiers!$A$42&amp;" · "&amp;Dossiers!$B$42,"")</f>
        <v/>
      </c>
      <c r="B2095" s="18">
        <f>IF($A2095="","",Paramètres!G43)</f>
        <v/>
      </c>
      <c r="C2095" s="18">
        <f>IF($A2095="","",IF(Paramètres!H43="","",Paramètres!H43))</f>
        <v/>
      </c>
      <c r="D2095" s="18">
        <f>IF($A2095="","",IF(Paramètres!I43="","",Paramètres!I43))</f>
        <v/>
      </c>
      <c r="E2095" s="19">
        <f>IF($A2095="","",IF(Paramètres!J43&amp;Paramètres!L43&amp;Paramètres!N43="",Dossiers!$D$42,MAX(IF(Paramètres!J43="",0,IF(Paramètres!K43="",NA(),IF(LEFT(TRIM(Paramètres!K43),1)="F",INDEX($F$2057:$F$2109,MATCH(Paramètres!J43,Paramètres!$G$5:$G$57,0)),INDEX($E$2057:$E$2109,MATCH(Paramètres!J43,Paramètres!$G$5:$G$57,0)))+IF(RIGHT(TRIM(Paramètres!K43),3)="Fin",1-$H2095,IF(LEFT(TRIM(Paramètres!K43),1)="F",1,0)))),IF(Paramètres!L43="",0,IF(Paramètres!M43="",NA(),IF(LEFT(TRIM(Paramètres!M43),1)="F",INDEX($F$2057:$F$2109,MATCH(Paramètres!L43,Paramètres!$G$5:$G$57,0)),INDEX($E$2057:$E$2109,MATCH(Paramètres!L43,Paramètres!$G$5:$G$57,0)))+IF(RIGHT(TRIM(Paramètres!M43),3)="Fin",1-$H2095,IF(LEFT(TRIM(Paramètres!M43),1)="F",1,0)))),IF(Paramètres!N43="",0,IF(Paramètres!O43="",NA(),IF(LEFT(TRIM(Paramètres!O43),1)="F",INDEX($F$2057:$F$2109,MATCH(Paramètres!N43,Paramètres!$G$5:$G$57,0)),INDEX($E$2057:$E$2109,MATCH(Paramètres!N43,Paramètres!$G$5:$G$57,0)))+IF(RIGHT(TRIM(Paramètres!O43),3)="Fin",1-$H2095,IF(LEFT(TRIM(Paramètres!O43),1)="F",1,0)))))))</f>
        <v/>
      </c>
      <c r="F2095" s="19">
        <f>IF($A2095="","",E2095+$H2095-1)</f>
        <v/>
      </c>
      <c r="G2095" s="18" t="n"/>
      <c r="H2095" s="18">
        <f>IF($A2095="","",IF(I2095&lt;&gt;"",I2095,Paramètres!B43))</f>
        <v/>
      </c>
      <c r="I2095" s="18" t="n"/>
    </row>
    <row r="2096">
      <c r="A2096" s="18">
        <f>IF(ISNUMBER(Dossiers!$D$42),Dossiers!$A$42&amp;" · "&amp;Dossiers!$B$42,"")</f>
        <v/>
      </c>
      <c r="B2096" s="18">
        <f>IF($A2096="","",Paramètres!G44)</f>
        <v/>
      </c>
      <c r="C2096" s="18">
        <f>IF($A2096="","",IF(Paramètres!H44="","",Paramètres!H44))</f>
        <v/>
      </c>
      <c r="D2096" s="18">
        <f>IF($A2096="","",IF(Paramètres!I44="","",Paramètres!I44))</f>
        <v/>
      </c>
      <c r="E2096" s="19">
        <f>IF($A2096="","",IF(Paramètres!J44&amp;Paramètres!L44&amp;Paramètres!N44="",Dossiers!$D$42,MAX(IF(Paramètres!J44="",0,IF(Paramètres!K44="",NA(),IF(LEFT(TRIM(Paramètres!K44),1)="F",INDEX($F$2057:$F$2109,MATCH(Paramètres!J44,Paramètres!$G$5:$G$57,0)),INDEX($E$2057:$E$2109,MATCH(Paramètres!J44,Paramètres!$G$5:$G$57,0)))+IF(RIGHT(TRIM(Paramètres!K44),3)="Fin",1-$H2096,IF(LEFT(TRIM(Paramètres!K44),1)="F",1,0)))),IF(Paramètres!L44="",0,IF(Paramètres!M44="",NA(),IF(LEFT(TRIM(Paramètres!M44),1)="F",INDEX($F$2057:$F$2109,MATCH(Paramètres!L44,Paramètres!$G$5:$G$57,0)),INDEX($E$2057:$E$2109,MATCH(Paramètres!L44,Paramètres!$G$5:$G$57,0)))+IF(RIGHT(TRIM(Paramètres!M44),3)="Fin",1-$H2096,IF(LEFT(TRIM(Paramètres!M44),1)="F",1,0)))),IF(Paramètres!N44="",0,IF(Paramètres!O44="",NA(),IF(LEFT(TRIM(Paramètres!O44),1)="F",INDEX($F$2057:$F$2109,MATCH(Paramètres!N44,Paramètres!$G$5:$G$57,0)),INDEX($E$2057:$E$2109,MATCH(Paramètres!N44,Paramètres!$G$5:$G$57,0)))+IF(RIGHT(TRIM(Paramètres!O44),3)="Fin",1-$H2096,IF(LEFT(TRIM(Paramètres!O44),1)="F",1,0)))))))</f>
        <v/>
      </c>
      <c r="F2096" s="19">
        <f>IF($A2096="","",E2096+$H2096-1)</f>
        <v/>
      </c>
      <c r="G2096" s="18" t="n"/>
      <c r="H2096" s="18">
        <f>IF($A2096="","",IF(I2096&lt;&gt;"",I2096,Paramètres!B44))</f>
        <v/>
      </c>
      <c r="I2096" s="18" t="n"/>
    </row>
    <row r="2097">
      <c r="A2097" s="18">
        <f>IF(ISNUMBER(Dossiers!$D$42),Dossiers!$A$42&amp;" · "&amp;Dossiers!$B$42,"")</f>
        <v/>
      </c>
      <c r="B2097" s="18">
        <f>IF($A2097="","",Paramètres!G45)</f>
        <v/>
      </c>
      <c r="C2097" s="20">
        <f>IF($A2097="","",IF(Dossiers!$G$42="","",Dossiers!$G$42))</f>
        <v/>
      </c>
      <c r="D2097" s="18">
        <f>IF($A2097="","",IF(Paramètres!I45="","",Paramètres!I45))</f>
        <v/>
      </c>
      <c r="E2097" s="19">
        <f>IF($A2097="","",IF(Paramètres!J45&amp;Paramètres!L45&amp;Paramètres!N45="",Dossiers!$D$42,MAX(IF(Paramètres!J45="",0,IF(Paramètres!K45="",NA(),IF(LEFT(TRIM(Paramètres!K45),1)="F",INDEX($F$2057:$F$2109,MATCH(Paramètres!J45,Paramètres!$G$5:$G$57,0)),INDEX($E$2057:$E$2109,MATCH(Paramètres!J45,Paramètres!$G$5:$G$57,0)))+IF(RIGHT(TRIM(Paramètres!K45),3)="Fin",1-$H2097,IF(LEFT(TRIM(Paramètres!K45),1)="F",1,0)))),IF(Paramètres!L45="",0,IF(Paramètres!M45="",NA(),IF(LEFT(TRIM(Paramètres!M45),1)="F",INDEX($F$2057:$F$2109,MATCH(Paramètres!L45,Paramètres!$G$5:$G$57,0)),INDEX($E$2057:$E$2109,MATCH(Paramètres!L45,Paramètres!$G$5:$G$57,0)))+IF(RIGHT(TRIM(Paramètres!M45),3)="Fin",1-$H2097,IF(LEFT(TRIM(Paramètres!M45),1)="F",1,0)))),IF(Paramètres!N45="",0,IF(Paramètres!O45="",NA(),IF(LEFT(TRIM(Paramètres!O45),1)="F",INDEX($F$2057:$F$2109,MATCH(Paramètres!N45,Paramètres!$G$5:$G$57,0)),INDEX($E$2057:$E$2109,MATCH(Paramètres!N45,Paramètres!$G$5:$G$57,0)))+IF(RIGHT(TRIM(Paramètres!O45),3)="Fin",1-$H2097,IF(LEFT(TRIM(Paramètres!O45),1)="F",1,0)))))))</f>
        <v/>
      </c>
      <c r="F2097" s="19">
        <f>IF($A2097="","",E2097+$H2097-1)</f>
        <v/>
      </c>
      <c r="G2097" s="18" t="n"/>
      <c r="H2097" s="18">
        <f>IF($A2097="","",IF(I2097&lt;&gt;"",I2097,Paramètres!B45))</f>
        <v/>
      </c>
      <c r="I2097" s="18" t="n"/>
    </row>
    <row r="2098">
      <c r="A2098" s="18">
        <f>IF(ISNUMBER(Dossiers!$D$42),Dossiers!$A$42&amp;" · "&amp;Dossiers!$B$42,"")</f>
        <v/>
      </c>
      <c r="B2098" s="18">
        <f>IF($A2098="","",Paramètres!G46)</f>
        <v/>
      </c>
      <c r="C2098" s="18">
        <f>IF($A2098="","",IF(Paramètres!H46="","",Paramètres!H46))</f>
        <v/>
      </c>
      <c r="D2098" s="18">
        <f>IF($A2098="","",IF(Paramètres!I46="","",Paramètres!I46))</f>
        <v/>
      </c>
      <c r="E2098" s="19">
        <f>IF($A2098="","",IF(Paramètres!J46&amp;Paramètres!L46&amp;Paramètres!N46="",Dossiers!$D$42,MAX(IF(Paramètres!J46="",0,IF(Paramètres!K46="",NA(),IF(LEFT(TRIM(Paramètres!K46),1)="F",INDEX($F$2057:$F$2109,MATCH(Paramètres!J46,Paramètres!$G$5:$G$57,0)),INDEX($E$2057:$E$2109,MATCH(Paramètres!J46,Paramètres!$G$5:$G$57,0)))+IF(RIGHT(TRIM(Paramètres!K46),3)="Fin",1-$H2098,IF(LEFT(TRIM(Paramètres!K46),1)="F",1,0)))),IF(Paramètres!L46="",0,IF(Paramètres!M46="",NA(),IF(LEFT(TRIM(Paramètres!M46),1)="F",INDEX($F$2057:$F$2109,MATCH(Paramètres!L46,Paramètres!$G$5:$G$57,0)),INDEX($E$2057:$E$2109,MATCH(Paramètres!L46,Paramètres!$G$5:$G$57,0)))+IF(RIGHT(TRIM(Paramètres!M46),3)="Fin",1-$H2098,IF(LEFT(TRIM(Paramètres!M46),1)="F",1,0)))),IF(Paramètres!N46="",0,IF(Paramètres!O46="",NA(),IF(LEFT(TRIM(Paramètres!O46),1)="F",INDEX($F$2057:$F$2109,MATCH(Paramètres!N46,Paramètres!$G$5:$G$57,0)),INDEX($E$2057:$E$2109,MATCH(Paramètres!N46,Paramètres!$G$5:$G$57,0)))+IF(RIGHT(TRIM(Paramètres!O46),3)="Fin",1-$H2098,IF(LEFT(TRIM(Paramètres!O46),1)="F",1,0)))))))</f>
        <v/>
      </c>
      <c r="F2098" s="19">
        <f>IF($A2098="","",E2098+$H2098-1)</f>
        <v/>
      </c>
      <c r="G2098" s="18" t="n"/>
      <c r="H2098" s="18">
        <f>IF($A2098="","",IF(I2098&lt;&gt;"",I2098,Paramètres!B46))</f>
        <v/>
      </c>
      <c r="I2098" s="18" t="n"/>
    </row>
    <row r="2099">
      <c r="A2099" s="18">
        <f>IF(ISNUMBER(Dossiers!$D$42),Dossiers!$A$42&amp;" · "&amp;Dossiers!$B$42,"")</f>
        <v/>
      </c>
      <c r="B2099" s="18">
        <f>IF($A2099="","",Paramètres!G47)</f>
        <v/>
      </c>
      <c r="C2099" s="18">
        <f>IF($A2099="","",IF(Paramètres!H47="","",Paramètres!H47))</f>
        <v/>
      </c>
      <c r="D2099" s="18">
        <f>IF($A2099="","",IF(Paramètres!I47="","",Paramètres!I47))</f>
        <v/>
      </c>
      <c r="E2099" s="19">
        <f>IF($A2099="","",IF(Paramètres!J47&amp;Paramètres!L47&amp;Paramètres!N47="",Dossiers!$D$42,MAX(IF(Paramètres!J47="",0,IF(Paramètres!K47="",NA(),IF(LEFT(TRIM(Paramètres!K47),1)="F",INDEX($F$2057:$F$2109,MATCH(Paramètres!J47,Paramètres!$G$5:$G$57,0)),INDEX($E$2057:$E$2109,MATCH(Paramètres!J47,Paramètres!$G$5:$G$57,0)))+IF(RIGHT(TRIM(Paramètres!K47),3)="Fin",1-$H2099,IF(LEFT(TRIM(Paramètres!K47),1)="F",1,0)))),IF(Paramètres!L47="",0,IF(Paramètres!M47="",NA(),IF(LEFT(TRIM(Paramètres!M47),1)="F",INDEX($F$2057:$F$2109,MATCH(Paramètres!L47,Paramètres!$G$5:$G$57,0)),INDEX($E$2057:$E$2109,MATCH(Paramètres!L47,Paramètres!$G$5:$G$57,0)))+IF(RIGHT(TRIM(Paramètres!M47),3)="Fin",1-$H2099,IF(LEFT(TRIM(Paramètres!M47),1)="F",1,0)))),IF(Paramètres!N47="",0,IF(Paramètres!O47="",NA(),IF(LEFT(TRIM(Paramètres!O47),1)="F",INDEX($F$2057:$F$2109,MATCH(Paramètres!N47,Paramètres!$G$5:$G$57,0)),INDEX($E$2057:$E$2109,MATCH(Paramètres!N47,Paramètres!$G$5:$G$57,0)))+IF(RIGHT(TRIM(Paramètres!O47),3)="Fin",1-$H2099,IF(LEFT(TRIM(Paramètres!O47),1)="F",1,0)))))))</f>
        <v/>
      </c>
      <c r="F2099" s="19">
        <f>IF($A2099="","",E2099+$H2099-1)</f>
        <v/>
      </c>
      <c r="G2099" s="18" t="n"/>
      <c r="H2099" s="18">
        <f>IF($A2099="","",IF(I2099&lt;&gt;"",I2099,Paramètres!B47))</f>
        <v/>
      </c>
      <c r="I2099" s="18" t="n"/>
    </row>
    <row r="2100">
      <c r="A2100" s="18">
        <f>IF(ISNUMBER(Dossiers!$D$42),Dossiers!$A$42&amp;" · "&amp;Dossiers!$B$42,"")</f>
        <v/>
      </c>
      <c r="B2100" s="18">
        <f>IF($A2100="","",Paramètres!G48)</f>
        <v/>
      </c>
      <c r="C2100" s="18">
        <f>IF($A2100="","",IF(Paramètres!H48="","",Paramètres!H48))</f>
        <v/>
      </c>
      <c r="D2100" s="18">
        <f>IF($A2100="","",IF(Paramètres!I48="","",Paramètres!I48))</f>
        <v/>
      </c>
      <c r="E2100" s="19">
        <f>IF($A2100="","",IF(Paramètres!J48&amp;Paramètres!L48&amp;Paramètres!N48="",Dossiers!$D$42,MAX(IF(Paramètres!J48="",0,IF(Paramètres!K48="",NA(),IF(LEFT(TRIM(Paramètres!K48),1)="F",INDEX($F$2057:$F$2109,MATCH(Paramètres!J48,Paramètres!$G$5:$G$57,0)),INDEX($E$2057:$E$2109,MATCH(Paramètres!J48,Paramètres!$G$5:$G$57,0)))+IF(RIGHT(TRIM(Paramètres!K48),3)="Fin",1-$H2100,IF(LEFT(TRIM(Paramètres!K48),1)="F",1,0)))),IF(Paramètres!L48="",0,IF(Paramètres!M48="",NA(),IF(LEFT(TRIM(Paramètres!M48),1)="F",INDEX($F$2057:$F$2109,MATCH(Paramètres!L48,Paramètres!$G$5:$G$57,0)),INDEX($E$2057:$E$2109,MATCH(Paramètres!L48,Paramètres!$G$5:$G$57,0)))+IF(RIGHT(TRIM(Paramètres!M48),3)="Fin",1-$H2100,IF(LEFT(TRIM(Paramètres!M48),1)="F",1,0)))),IF(Paramètres!N48="",0,IF(Paramètres!O48="",NA(),IF(LEFT(TRIM(Paramètres!O48),1)="F",INDEX($F$2057:$F$2109,MATCH(Paramètres!N48,Paramètres!$G$5:$G$57,0)),INDEX($E$2057:$E$2109,MATCH(Paramètres!N48,Paramètres!$G$5:$G$57,0)))+IF(RIGHT(TRIM(Paramètres!O48),3)="Fin",1-$H2100,IF(LEFT(TRIM(Paramètres!O48),1)="F",1,0)))))))</f>
        <v/>
      </c>
      <c r="F2100" s="19">
        <f>IF($A2100="","",E2100+$H2100-1)</f>
        <v/>
      </c>
      <c r="G2100" s="18" t="n"/>
      <c r="H2100" s="18">
        <f>IF($A2100="","",IF(I2100&lt;&gt;"",I2100,Paramètres!B48))</f>
        <v/>
      </c>
      <c r="I2100" s="18" t="n"/>
    </row>
    <row r="2101">
      <c r="A2101" s="18">
        <f>IF(ISNUMBER(Dossiers!$D$42),Dossiers!$A$42&amp;" · "&amp;Dossiers!$B$42,"")</f>
        <v/>
      </c>
      <c r="B2101" s="18">
        <f>IF($A2101="","",Paramètres!G49)</f>
        <v/>
      </c>
      <c r="C2101" s="18">
        <f>IF($A2101="","",IF(Paramètres!H49="","",Paramètres!H49))</f>
        <v/>
      </c>
      <c r="D2101" s="18">
        <f>IF($A2101="","",IF(Paramètres!I49="","",Paramètres!I49))</f>
        <v/>
      </c>
      <c r="E2101" s="19">
        <f>IF($A2101="","",IF(Paramètres!J49&amp;Paramètres!L49&amp;Paramètres!N49="",Dossiers!$D$42,MAX(IF(Paramètres!J49="",0,IF(Paramètres!K49="",NA(),IF(LEFT(TRIM(Paramètres!K49),1)="F",INDEX($F$2057:$F$2109,MATCH(Paramètres!J49,Paramètres!$G$5:$G$57,0)),INDEX($E$2057:$E$2109,MATCH(Paramètres!J49,Paramètres!$G$5:$G$57,0)))+IF(RIGHT(TRIM(Paramètres!K49),3)="Fin",1-$H2101,IF(LEFT(TRIM(Paramètres!K49),1)="F",1,0)))),IF(Paramètres!L49="",0,IF(Paramètres!M49="",NA(),IF(LEFT(TRIM(Paramètres!M49),1)="F",INDEX($F$2057:$F$2109,MATCH(Paramètres!L49,Paramètres!$G$5:$G$57,0)),INDEX($E$2057:$E$2109,MATCH(Paramètres!L49,Paramètres!$G$5:$G$57,0)))+IF(RIGHT(TRIM(Paramètres!M49),3)="Fin",1-$H2101,IF(LEFT(TRIM(Paramètres!M49),1)="F",1,0)))),IF(Paramètres!N49="",0,IF(Paramètres!O49="",NA(),IF(LEFT(TRIM(Paramètres!O49),1)="F",INDEX($F$2057:$F$2109,MATCH(Paramètres!N49,Paramètres!$G$5:$G$57,0)),INDEX($E$2057:$E$2109,MATCH(Paramètres!N49,Paramètres!$G$5:$G$57,0)))+IF(RIGHT(TRIM(Paramètres!O49),3)="Fin",1-$H2101,IF(LEFT(TRIM(Paramètres!O49),1)="F",1,0)))))))</f>
        <v/>
      </c>
      <c r="F2101" s="19">
        <f>IF($A2101="","",E2101+$H2101-1)</f>
        <v/>
      </c>
      <c r="G2101" s="18" t="n"/>
      <c r="H2101" s="18">
        <f>IF($A2101="","",IF(I2101&lt;&gt;"",I2101,Paramètres!B49))</f>
        <v/>
      </c>
      <c r="I2101" s="18" t="n"/>
    </row>
    <row r="2102">
      <c r="A2102" s="18">
        <f>IF(ISNUMBER(Dossiers!$D$42),Dossiers!$A$42&amp;" · "&amp;Dossiers!$B$42,"")</f>
        <v/>
      </c>
      <c r="B2102" s="18">
        <f>IF($A2102="","",Paramètres!G50)</f>
        <v/>
      </c>
      <c r="C2102" s="18">
        <f>IF($A2102="","",IF(Paramètres!H50="","",Paramètres!H50))</f>
        <v/>
      </c>
      <c r="D2102" s="18">
        <f>IF($A2102="","",IF(Paramètres!I50="","",Paramètres!I50))</f>
        <v/>
      </c>
      <c r="E2102" s="19">
        <f>IF($A2102="","",IF(Paramètres!J50&amp;Paramètres!L50&amp;Paramètres!N50="",Dossiers!$D$42,MAX(IF(Paramètres!J50="",0,IF(Paramètres!K50="",NA(),IF(LEFT(TRIM(Paramètres!K50),1)="F",INDEX($F$2057:$F$2109,MATCH(Paramètres!J50,Paramètres!$G$5:$G$57,0)),INDEX($E$2057:$E$2109,MATCH(Paramètres!J50,Paramètres!$G$5:$G$57,0)))+IF(RIGHT(TRIM(Paramètres!K50),3)="Fin",1-$H2102,IF(LEFT(TRIM(Paramètres!K50),1)="F",1,0)))),IF(Paramètres!L50="",0,IF(Paramètres!M50="",NA(),IF(LEFT(TRIM(Paramètres!M50),1)="F",INDEX($F$2057:$F$2109,MATCH(Paramètres!L50,Paramètres!$G$5:$G$57,0)),INDEX($E$2057:$E$2109,MATCH(Paramètres!L50,Paramètres!$G$5:$G$57,0)))+IF(RIGHT(TRIM(Paramètres!M50),3)="Fin",1-$H2102,IF(LEFT(TRIM(Paramètres!M50),1)="F",1,0)))),IF(Paramètres!N50="",0,IF(Paramètres!O50="",NA(),IF(LEFT(TRIM(Paramètres!O50),1)="F",INDEX($F$2057:$F$2109,MATCH(Paramètres!N50,Paramètres!$G$5:$G$57,0)),INDEX($E$2057:$E$2109,MATCH(Paramètres!N50,Paramètres!$G$5:$G$57,0)))+IF(RIGHT(TRIM(Paramètres!O50),3)="Fin",1-$H2102,IF(LEFT(TRIM(Paramètres!O50),1)="F",1,0)))))))</f>
        <v/>
      </c>
      <c r="F2102" s="19">
        <f>IF($A2102="","",E2102+$H2102-1)</f>
        <v/>
      </c>
      <c r="G2102" s="18" t="n"/>
      <c r="H2102" s="18">
        <f>IF($A2102="","",IF(I2102&lt;&gt;"",I2102,Paramètres!B50))</f>
        <v/>
      </c>
      <c r="I2102" s="18" t="n"/>
    </row>
    <row r="2103">
      <c r="A2103" s="18">
        <f>IF(ISNUMBER(Dossiers!$D$42),Dossiers!$A$42&amp;" · "&amp;Dossiers!$B$42,"")</f>
        <v/>
      </c>
      <c r="B2103" s="18">
        <f>IF($A2103="","",Paramètres!G51)</f>
        <v/>
      </c>
      <c r="C2103" s="18">
        <f>IF($A2103="","",IF(Paramètres!H51="","",Paramètres!H51))</f>
        <v/>
      </c>
      <c r="D2103" s="18">
        <f>IF($A2103="","",IF(Paramètres!I51="","",Paramètres!I51))</f>
        <v/>
      </c>
      <c r="E2103" s="19">
        <f>IF($A2103="","",IF(Paramètres!J51&amp;Paramètres!L51&amp;Paramètres!N51="",Dossiers!$D$42,MAX(IF(Paramètres!J51="",0,IF(Paramètres!K51="",NA(),IF(LEFT(TRIM(Paramètres!K51),1)="F",INDEX($F$2057:$F$2109,MATCH(Paramètres!J51,Paramètres!$G$5:$G$57,0)),INDEX($E$2057:$E$2109,MATCH(Paramètres!J51,Paramètres!$G$5:$G$57,0)))+IF(RIGHT(TRIM(Paramètres!K51),3)="Fin",1-$H2103,IF(LEFT(TRIM(Paramètres!K51),1)="F",1,0)))),IF(Paramètres!L51="",0,IF(Paramètres!M51="",NA(),IF(LEFT(TRIM(Paramètres!M51),1)="F",INDEX($F$2057:$F$2109,MATCH(Paramètres!L51,Paramètres!$G$5:$G$57,0)),INDEX($E$2057:$E$2109,MATCH(Paramètres!L51,Paramètres!$G$5:$G$57,0)))+IF(RIGHT(TRIM(Paramètres!M51),3)="Fin",1-$H2103,IF(LEFT(TRIM(Paramètres!M51),1)="F",1,0)))),IF(Paramètres!N51="",0,IF(Paramètres!O51="",NA(),IF(LEFT(TRIM(Paramètres!O51),1)="F",INDEX($F$2057:$F$2109,MATCH(Paramètres!N51,Paramètres!$G$5:$G$57,0)),INDEX($E$2057:$E$2109,MATCH(Paramètres!N51,Paramètres!$G$5:$G$57,0)))+IF(RIGHT(TRIM(Paramètres!O51),3)="Fin",1-$H2103,IF(LEFT(TRIM(Paramètres!O51),1)="F",1,0)))))))</f>
        <v/>
      </c>
      <c r="F2103" s="19">
        <f>IF($A2103="","",E2103+$H2103-1)</f>
        <v/>
      </c>
      <c r="G2103" s="18" t="n"/>
      <c r="H2103" s="18">
        <f>IF($A2103="","",IF(I2103&lt;&gt;"",I2103,Paramètres!B51))</f>
        <v/>
      </c>
      <c r="I2103" s="18" t="n"/>
    </row>
    <row r="2104">
      <c r="A2104" s="18">
        <f>IF(ISNUMBER(Dossiers!$D$42),Dossiers!$A$42&amp;" · "&amp;Dossiers!$B$42,"")</f>
        <v/>
      </c>
      <c r="B2104" s="18">
        <f>IF($A2104="","",Paramètres!G52)</f>
        <v/>
      </c>
      <c r="C2104" s="18">
        <f>IF($A2104="","",IF(Paramètres!H52="","",Paramètres!H52))</f>
        <v/>
      </c>
      <c r="D2104" s="18">
        <f>IF($A2104="","",IF(Paramètres!I52="","",Paramètres!I52))</f>
        <v/>
      </c>
      <c r="E2104" s="19">
        <f>IF($A2104="","",IF(Paramètres!J52&amp;Paramètres!L52&amp;Paramètres!N52="",Dossiers!$D$42,MAX(IF(Paramètres!J52="",0,IF(Paramètres!K52="",NA(),IF(LEFT(TRIM(Paramètres!K52),1)="F",INDEX($F$2057:$F$2109,MATCH(Paramètres!J52,Paramètres!$G$5:$G$57,0)),INDEX($E$2057:$E$2109,MATCH(Paramètres!J52,Paramètres!$G$5:$G$57,0)))+IF(RIGHT(TRIM(Paramètres!K52),3)="Fin",1-$H2104,IF(LEFT(TRIM(Paramètres!K52),1)="F",1,0)))),IF(Paramètres!L52="",0,IF(Paramètres!M52="",NA(),IF(LEFT(TRIM(Paramètres!M52),1)="F",INDEX($F$2057:$F$2109,MATCH(Paramètres!L52,Paramètres!$G$5:$G$57,0)),INDEX($E$2057:$E$2109,MATCH(Paramètres!L52,Paramètres!$G$5:$G$57,0)))+IF(RIGHT(TRIM(Paramètres!M52),3)="Fin",1-$H2104,IF(LEFT(TRIM(Paramètres!M52),1)="F",1,0)))),IF(Paramètres!N52="",0,IF(Paramètres!O52="",NA(),IF(LEFT(TRIM(Paramètres!O52),1)="F",INDEX($F$2057:$F$2109,MATCH(Paramètres!N52,Paramètres!$G$5:$G$57,0)),INDEX($E$2057:$E$2109,MATCH(Paramètres!N52,Paramètres!$G$5:$G$57,0)))+IF(RIGHT(TRIM(Paramètres!O52),3)="Fin",1-$H2104,IF(LEFT(TRIM(Paramètres!O52),1)="F",1,0)))))))</f>
        <v/>
      </c>
      <c r="F2104" s="19">
        <f>IF($A2104="","",E2104+$H2104-1)</f>
        <v/>
      </c>
      <c r="G2104" s="18" t="n"/>
      <c r="H2104" s="18">
        <f>IF($A2104="","",IF(I2104&lt;&gt;"",I2104,Paramètres!B52))</f>
        <v/>
      </c>
      <c r="I2104" s="18" t="n"/>
    </row>
    <row r="2105">
      <c r="A2105" s="18">
        <f>IF(ISNUMBER(Dossiers!$D$42),Dossiers!$A$42&amp;" · "&amp;Dossiers!$B$42,"")</f>
        <v/>
      </c>
      <c r="B2105" s="18">
        <f>IF($A2105="","",Paramètres!G53)</f>
        <v/>
      </c>
      <c r="C2105" s="18">
        <f>IF($A2105="","",IF(Paramètres!H53="","",Paramètres!H53))</f>
        <v/>
      </c>
      <c r="D2105" s="18">
        <f>IF($A2105="","",IF(Paramètres!I53="","",Paramètres!I53))</f>
        <v/>
      </c>
      <c r="E2105" s="19">
        <f>IF($A2105="","",IF(Paramètres!J53&amp;Paramètres!L53&amp;Paramètres!N53="",Dossiers!$D$42,MAX(IF(Paramètres!J53="",0,IF(Paramètres!K53="",NA(),IF(LEFT(TRIM(Paramètres!K53),1)="F",INDEX($F$2057:$F$2109,MATCH(Paramètres!J53,Paramètres!$G$5:$G$57,0)),INDEX($E$2057:$E$2109,MATCH(Paramètres!J53,Paramètres!$G$5:$G$57,0)))+IF(RIGHT(TRIM(Paramètres!K53),3)="Fin",1-$H2105,IF(LEFT(TRIM(Paramètres!K53),1)="F",1,0)))),IF(Paramètres!L53="",0,IF(Paramètres!M53="",NA(),IF(LEFT(TRIM(Paramètres!M53),1)="F",INDEX($F$2057:$F$2109,MATCH(Paramètres!L53,Paramètres!$G$5:$G$57,0)),INDEX($E$2057:$E$2109,MATCH(Paramètres!L53,Paramètres!$G$5:$G$57,0)))+IF(RIGHT(TRIM(Paramètres!M53),3)="Fin",1-$H2105,IF(LEFT(TRIM(Paramètres!M53),1)="F",1,0)))),IF(Paramètres!N53="",0,IF(Paramètres!O53="",NA(),IF(LEFT(TRIM(Paramètres!O53),1)="F",INDEX($F$2057:$F$2109,MATCH(Paramètres!N53,Paramètres!$G$5:$G$57,0)),INDEX($E$2057:$E$2109,MATCH(Paramètres!N53,Paramètres!$G$5:$G$57,0)))+IF(RIGHT(TRIM(Paramètres!O53),3)="Fin",1-$H2105,IF(LEFT(TRIM(Paramètres!O53),1)="F",1,0)))))))</f>
        <v/>
      </c>
      <c r="F2105" s="19">
        <f>IF($A2105="","",E2105+$H2105-1)</f>
        <v/>
      </c>
      <c r="G2105" s="18" t="n"/>
      <c r="H2105" s="18">
        <f>IF($A2105="","",IF(I2105&lt;&gt;"",I2105,Paramètres!B53))</f>
        <v/>
      </c>
      <c r="I2105" s="18" t="n"/>
    </row>
    <row r="2106">
      <c r="A2106" s="18">
        <f>IF(ISNUMBER(Dossiers!$D$42),Dossiers!$A$42&amp;" · "&amp;Dossiers!$B$42,"")</f>
        <v/>
      </c>
      <c r="B2106" s="18">
        <f>IF($A2106="","",Paramètres!G54)</f>
        <v/>
      </c>
      <c r="C2106" s="18">
        <f>IF($A2106="","",IF(Paramètres!H54="","",Paramètres!H54))</f>
        <v/>
      </c>
      <c r="D2106" s="18">
        <f>IF($A2106="","",IF(Paramètres!I54="","",Paramètres!I54))</f>
        <v/>
      </c>
      <c r="E2106" s="19">
        <f>IF($A2106="","",IF(Paramètres!J54&amp;Paramètres!L54&amp;Paramètres!N54="",Dossiers!$D$42,MAX(IF(Paramètres!J54="",0,IF(Paramètres!K54="",NA(),IF(LEFT(TRIM(Paramètres!K54),1)="F",INDEX($F$2057:$F$2109,MATCH(Paramètres!J54,Paramètres!$G$5:$G$57,0)),INDEX($E$2057:$E$2109,MATCH(Paramètres!J54,Paramètres!$G$5:$G$57,0)))+IF(RIGHT(TRIM(Paramètres!K54),3)="Fin",1-$H2106,IF(LEFT(TRIM(Paramètres!K54),1)="F",1,0)))),IF(Paramètres!L54="",0,IF(Paramètres!M54="",NA(),IF(LEFT(TRIM(Paramètres!M54),1)="F",INDEX($F$2057:$F$2109,MATCH(Paramètres!L54,Paramètres!$G$5:$G$57,0)),INDEX($E$2057:$E$2109,MATCH(Paramètres!L54,Paramètres!$G$5:$G$57,0)))+IF(RIGHT(TRIM(Paramètres!M54),3)="Fin",1-$H2106,IF(LEFT(TRIM(Paramètres!M54),1)="F",1,0)))),IF(Paramètres!N54="",0,IF(Paramètres!O54="",NA(),IF(LEFT(TRIM(Paramètres!O54),1)="F",INDEX($F$2057:$F$2109,MATCH(Paramètres!N54,Paramètres!$G$5:$G$57,0)),INDEX($E$2057:$E$2109,MATCH(Paramètres!N54,Paramètres!$G$5:$G$57,0)))+IF(RIGHT(TRIM(Paramètres!O54),3)="Fin",1-$H2106,IF(LEFT(TRIM(Paramètres!O54),1)="F",1,0)))))))</f>
        <v/>
      </c>
      <c r="F2106" s="19">
        <f>IF($A2106="","",E2106+$H2106-1)</f>
        <v/>
      </c>
      <c r="G2106" s="18" t="n"/>
      <c r="H2106" s="18">
        <f>IF($A2106="","",IF(I2106&lt;&gt;"",I2106,Paramètres!B54))</f>
        <v/>
      </c>
      <c r="I2106" s="18" t="n"/>
    </row>
    <row r="2107">
      <c r="A2107" s="18">
        <f>IF(ISNUMBER(Dossiers!$D$42),Dossiers!$A$42&amp;" · "&amp;Dossiers!$B$42,"")</f>
        <v/>
      </c>
      <c r="B2107" s="18">
        <f>IF($A2107="","",Paramètres!G55)</f>
        <v/>
      </c>
      <c r="C2107" s="18">
        <f>IF($A2107="","",IF(Paramètres!H55="","",Paramètres!H55))</f>
        <v/>
      </c>
      <c r="D2107" s="18">
        <f>IF($A2107="","",IF(Paramètres!I55="","",Paramètres!I55))</f>
        <v/>
      </c>
      <c r="E2107" s="19">
        <f>IF($A2107="","",IF(Paramètres!J55&amp;Paramètres!L55&amp;Paramètres!N55="",Dossiers!$D$42,MAX(IF(Paramètres!J55="",0,IF(Paramètres!K55="",NA(),IF(LEFT(TRIM(Paramètres!K55),1)="F",INDEX($F$2057:$F$2109,MATCH(Paramètres!J55,Paramètres!$G$5:$G$57,0)),INDEX($E$2057:$E$2109,MATCH(Paramètres!J55,Paramètres!$G$5:$G$57,0)))+IF(RIGHT(TRIM(Paramètres!K55),3)="Fin",1-$H2107,IF(LEFT(TRIM(Paramètres!K55),1)="F",1,0)))),IF(Paramètres!L55="",0,IF(Paramètres!M55="",NA(),IF(LEFT(TRIM(Paramètres!M55),1)="F",INDEX($F$2057:$F$2109,MATCH(Paramètres!L55,Paramètres!$G$5:$G$57,0)),INDEX($E$2057:$E$2109,MATCH(Paramètres!L55,Paramètres!$G$5:$G$57,0)))+IF(RIGHT(TRIM(Paramètres!M55),3)="Fin",1-$H2107,IF(LEFT(TRIM(Paramètres!M55),1)="F",1,0)))),IF(Paramètres!N55="",0,IF(Paramètres!O55="",NA(),IF(LEFT(TRIM(Paramètres!O55),1)="F",INDEX($F$2057:$F$2109,MATCH(Paramètres!N55,Paramètres!$G$5:$G$57,0)),INDEX($E$2057:$E$2109,MATCH(Paramètres!N55,Paramètres!$G$5:$G$57,0)))+IF(RIGHT(TRIM(Paramètres!O55),3)="Fin",1-$H2107,IF(LEFT(TRIM(Paramètres!O55),1)="F",1,0)))))))</f>
        <v/>
      </c>
      <c r="F2107" s="19">
        <f>IF($A2107="","",E2107+$H2107-1)</f>
        <v/>
      </c>
      <c r="G2107" s="18" t="n"/>
      <c r="H2107" s="18">
        <f>IF($A2107="","",IF(I2107&lt;&gt;"",I2107,Paramètres!B55))</f>
        <v/>
      </c>
      <c r="I2107" s="18" t="n"/>
    </row>
    <row r="2108">
      <c r="A2108" s="18">
        <f>IF(ISNUMBER(Dossiers!$D$42),Dossiers!$A$42&amp;" · "&amp;Dossiers!$B$42,"")</f>
        <v/>
      </c>
      <c r="B2108" s="18">
        <f>IF($A2108="","",Paramètres!G56)</f>
        <v/>
      </c>
      <c r="C2108" s="18">
        <f>IF($A2108="","",IF(Paramètres!H56="","",Paramètres!H56))</f>
        <v/>
      </c>
      <c r="D2108" s="18">
        <f>IF($A2108="","",IF(Paramètres!I56="","",Paramètres!I56))</f>
        <v/>
      </c>
      <c r="E2108" s="19">
        <f>IF($A2108="","",MIN(E2109:E2109))</f>
        <v/>
      </c>
      <c r="F2108" s="19">
        <f>IF($A2108="","",MAX(F2109:F2109))</f>
        <v/>
      </c>
      <c r="G2108" s="18" t="n"/>
      <c r="H2108" s="18">
        <f>IF($A2108="","",F2108-E2108+1)</f>
        <v/>
      </c>
      <c r="I2108" s="18" t="n"/>
    </row>
    <row r="2109">
      <c r="A2109" s="18">
        <f>IF(ISNUMBER(Dossiers!$D$42),Dossiers!$A$42&amp;" · "&amp;Dossiers!$B$42,"")</f>
        <v/>
      </c>
      <c r="B2109" s="18">
        <f>IF($A2109="","",Paramètres!G57)</f>
        <v/>
      </c>
      <c r="C2109" s="18">
        <f>IF($A2109="","",IF(Paramètres!H57="","",Paramètres!H57))</f>
        <v/>
      </c>
      <c r="D2109" s="18">
        <f>IF($A2109="","",IF(Paramètres!I57="","",Paramètres!I57))</f>
        <v/>
      </c>
      <c r="E2109" s="19">
        <f>IF($A2109="","",IF(Paramètres!J57&amp;Paramètres!L57&amp;Paramètres!N57="",Dossiers!$D$42,MAX(IF(Paramètres!J57="",0,IF(Paramètres!K57="",NA(),IF(LEFT(TRIM(Paramètres!K57),1)="F",INDEX($F$2057:$F$2109,MATCH(Paramètres!J57,Paramètres!$G$5:$G$57,0)),INDEX($E$2057:$E$2109,MATCH(Paramètres!J57,Paramètres!$G$5:$G$57,0)))+IF(RIGHT(TRIM(Paramètres!K57),3)="Fin",1-$H2109,IF(LEFT(TRIM(Paramètres!K57),1)="F",1,0)))),IF(Paramètres!L57="",0,IF(Paramètres!M57="",NA(),IF(LEFT(TRIM(Paramètres!M57),1)="F",INDEX($F$2057:$F$2109,MATCH(Paramètres!L57,Paramètres!$G$5:$G$57,0)),INDEX($E$2057:$E$2109,MATCH(Paramètres!L57,Paramètres!$G$5:$G$57,0)))+IF(RIGHT(TRIM(Paramètres!M57),3)="Fin",1-$H2109,IF(LEFT(TRIM(Paramètres!M57),1)="F",1,0)))),IF(Paramètres!N57="",0,IF(Paramètres!O57="",NA(),IF(LEFT(TRIM(Paramètres!O57),1)="F",INDEX($F$2057:$F$2109,MATCH(Paramètres!N57,Paramètres!$G$5:$G$57,0)),INDEX($E$2057:$E$2109,MATCH(Paramètres!N57,Paramètres!$G$5:$G$57,0)))+IF(RIGHT(TRIM(Paramètres!O57),3)="Fin",1-$H2109,IF(LEFT(TRIM(Paramètres!O57),1)="F",1,0)))))))</f>
        <v/>
      </c>
      <c r="F2109" s="19">
        <f>IF($A2109="","",E2109+$H2109-1)</f>
        <v/>
      </c>
      <c r="G2109" s="18" t="n"/>
      <c r="H2109" s="18">
        <f>IF($A2109="","",IF(I2109&lt;&gt;"",I2109,Paramètres!B57))</f>
        <v/>
      </c>
      <c r="I2109" s="18" t="n"/>
    </row>
    <row r="2110">
      <c r="A2110" s="16">
        <f>IF(ISNUMBER(Dossiers!$D$43),Dossiers!$E$43,"")</f>
        <v/>
      </c>
      <c r="B2110" s="16">
        <f>IF($A2110="","","Identifiant")</f>
        <v/>
      </c>
      <c r="C2110" s="16">
        <f>IF($A2110="","","Macro Etape")</f>
        <v/>
      </c>
      <c r="D2110" s="16">
        <f>IF($A2110="","","Etape")</f>
        <v/>
      </c>
      <c r="E2110" s="17">
        <f>IF($A2110="","","Début le")</f>
        <v/>
      </c>
      <c r="F2110" s="17">
        <f>IF($A2110="","","Fin prévue le")</f>
        <v/>
      </c>
      <c r="G2110" s="16">
        <f>IF($A2110="","","Statut")</f>
        <v/>
      </c>
      <c r="H2110" s="16">
        <f>IF($A2110="","","Durée (jours)")</f>
        <v/>
      </c>
      <c r="I2110" s="16">
        <f>IF($A2110="","","Durée particulière")</f>
        <v/>
      </c>
      <c r="J2110" s="10">
        <f>IF($A2110="","",HYPERLINK("#'Tableau de bord'!A1","↑ Tableau de bord"))</f>
        <v/>
      </c>
    </row>
    <row r="2111">
      <c r="A2111" s="18">
        <f>IF(ISNUMBER(Dossiers!$D$43),Dossiers!$A$43&amp;" · "&amp;Dossiers!$B$43,"")</f>
        <v/>
      </c>
      <c r="B2111" s="18">
        <f>IF($A2111="","",Paramètres!G5)</f>
        <v/>
      </c>
      <c r="C2111" s="18">
        <f>IF($A2111="","",IF(Paramètres!H5="","",Paramètres!H5))</f>
        <v/>
      </c>
      <c r="D2111" s="18">
        <f>IF($A2111="","",IF(Paramètres!I5="","",Paramètres!I5))</f>
        <v/>
      </c>
      <c r="E2111" s="19">
        <f>IF($A2111="","",MIN(E2112:E2115))</f>
        <v/>
      </c>
      <c r="F2111" s="19">
        <f>IF($A2111="","",MAX(F2112:F2115))</f>
        <v/>
      </c>
      <c r="G2111" s="18" t="n"/>
      <c r="H2111" s="18">
        <f>IF($A2111="","",F2111-E2111+1)</f>
        <v/>
      </c>
      <c r="I2111" s="18" t="n"/>
    </row>
    <row r="2112">
      <c r="A2112" s="18">
        <f>IF(ISNUMBER(Dossiers!$D$43),Dossiers!$A$43&amp;" · "&amp;Dossiers!$B$43,"")</f>
        <v/>
      </c>
      <c r="B2112" s="18">
        <f>IF($A2112="","",Paramètres!G6)</f>
        <v/>
      </c>
      <c r="C2112" s="18">
        <f>IF($A2112="","",IF(Paramètres!H6="","",Paramètres!H6))</f>
        <v/>
      </c>
      <c r="D2112" s="18">
        <f>IF($A2112="","",IF(Paramètres!I6="","",Paramètres!I6))</f>
        <v/>
      </c>
      <c r="E2112" s="19">
        <f>IF($A2112="","",IF(Paramètres!J6&amp;Paramètres!L6&amp;Paramètres!N6="",Dossiers!$D$43,MAX(IF(Paramètres!J6="",0,IF(Paramètres!K6="",NA(),IF(LEFT(TRIM(Paramètres!K6),1)="F",INDEX($F$2111:$F$2163,MATCH(Paramètres!J6,Paramètres!$G$5:$G$57,0)),INDEX($E$2111:$E$2163,MATCH(Paramètres!J6,Paramètres!$G$5:$G$57,0)))+IF(RIGHT(TRIM(Paramètres!K6),3)="Fin",1-$H2112,IF(LEFT(TRIM(Paramètres!K6),1)="F",1,0)))),IF(Paramètres!L6="",0,IF(Paramètres!M6="",NA(),IF(LEFT(TRIM(Paramètres!M6),1)="F",INDEX($F$2111:$F$2163,MATCH(Paramètres!L6,Paramètres!$G$5:$G$57,0)),INDEX($E$2111:$E$2163,MATCH(Paramètres!L6,Paramètres!$G$5:$G$57,0)))+IF(RIGHT(TRIM(Paramètres!M6),3)="Fin",1-$H2112,IF(LEFT(TRIM(Paramètres!M6),1)="F",1,0)))),IF(Paramètres!N6="",0,IF(Paramètres!O6="",NA(),IF(LEFT(TRIM(Paramètres!O6),1)="F",INDEX($F$2111:$F$2163,MATCH(Paramètres!N6,Paramètres!$G$5:$G$57,0)),INDEX($E$2111:$E$2163,MATCH(Paramètres!N6,Paramètres!$G$5:$G$57,0)))+IF(RIGHT(TRIM(Paramètres!O6),3)="Fin",1-$H2112,IF(LEFT(TRIM(Paramètres!O6),1)="F",1,0)))))))</f>
        <v/>
      </c>
      <c r="F2112" s="19">
        <f>IF($A2112="","",E2112+$H2112-1)</f>
        <v/>
      </c>
      <c r="G2112" s="18" t="n"/>
      <c r="H2112" s="18">
        <f>IF($A2112="","",IF(I2112&lt;&gt;"",I2112,Paramètres!B6))</f>
        <v/>
      </c>
      <c r="I2112" s="18" t="n"/>
    </row>
    <row r="2113">
      <c r="A2113" s="18">
        <f>IF(ISNUMBER(Dossiers!$D$43),Dossiers!$A$43&amp;" · "&amp;Dossiers!$B$43,"")</f>
        <v/>
      </c>
      <c r="B2113" s="18">
        <f>IF($A2113="","",Paramètres!G7)</f>
        <v/>
      </c>
      <c r="C2113" s="18">
        <f>IF($A2113="","",IF(Paramètres!H7="","",Paramètres!H7))</f>
        <v/>
      </c>
      <c r="D2113" s="18">
        <f>IF($A2113="","",IF(Paramètres!I7="","",Paramètres!I7))</f>
        <v/>
      </c>
      <c r="E2113" s="19">
        <f>IF($A2113="","",IF(Paramètres!J7&amp;Paramètres!L7&amp;Paramètres!N7="",Dossiers!$D$43,MAX(IF(Paramètres!J7="",0,IF(Paramètres!K7="",NA(),IF(LEFT(TRIM(Paramètres!K7),1)="F",INDEX($F$2111:$F$2163,MATCH(Paramètres!J7,Paramètres!$G$5:$G$57,0)),INDEX($E$2111:$E$2163,MATCH(Paramètres!J7,Paramètres!$G$5:$G$57,0)))+IF(RIGHT(TRIM(Paramètres!K7),3)="Fin",1-$H2113,IF(LEFT(TRIM(Paramètres!K7),1)="F",1,0)))),IF(Paramètres!L7="",0,IF(Paramètres!M7="",NA(),IF(LEFT(TRIM(Paramètres!M7),1)="F",INDEX($F$2111:$F$2163,MATCH(Paramètres!L7,Paramètres!$G$5:$G$57,0)),INDEX($E$2111:$E$2163,MATCH(Paramètres!L7,Paramètres!$G$5:$G$57,0)))+IF(RIGHT(TRIM(Paramètres!M7),3)="Fin",1-$H2113,IF(LEFT(TRIM(Paramètres!M7),1)="F",1,0)))),IF(Paramètres!N7="",0,IF(Paramètres!O7="",NA(),IF(LEFT(TRIM(Paramètres!O7),1)="F",INDEX($F$2111:$F$2163,MATCH(Paramètres!N7,Paramètres!$G$5:$G$57,0)),INDEX($E$2111:$E$2163,MATCH(Paramètres!N7,Paramètres!$G$5:$G$57,0)))+IF(RIGHT(TRIM(Paramètres!O7),3)="Fin",1-$H2113,IF(LEFT(TRIM(Paramètres!O7),1)="F",1,0)))))))</f>
        <v/>
      </c>
      <c r="F2113" s="19">
        <f>IF($A2113="","",E2113+$H2113-1)</f>
        <v/>
      </c>
      <c r="G2113" s="18" t="n"/>
      <c r="H2113" s="18">
        <f>IF($A2113="","",IF(I2113&lt;&gt;"",I2113,Paramètres!B7))</f>
        <v/>
      </c>
      <c r="I2113" s="18" t="n"/>
    </row>
    <row r="2114">
      <c r="A2114" s="18">
        <f>IF(ISNUMBER(Dossiers!$D$43),Dossiers!$A$43&amp;" · "&amp;Dossiers!$B$43,"")</f>
        <v/>
      </c>
      <c r="B2114" s="18">
        <f>IF($A2114="","",Paramètres!G8)</f>
        <v/>
      </c>
      <c r="C2114" s="18">
        <f>IF($A2114="","",IF(Paramètres!H8="","",Paramètres!H8))</f>
        <v/>
      </c>
      <c r="D2114" s="18">
        <f>IF($A2114="","",IF(Paramètres!I8="","",Paramètres!I8))</f>
        <v/>
      </c>
      <c r="E2114" s="19">
        <f>IF($A2114="","",IF(Paramètres!J8&amp;Paramètres!L8&amp;Paramètres!N8="",Dossiers!$D$43,MAX(IF(Paramètres!J8="",0,IF(Paramètres!K8="",NA(),IF(LEFT(TRIM(Paramètres!K8),1)="F",INDEX($F$2111:$F$2163,MATCH(Paramètres!J8,Paramètres!$G$5:$G$57,0)),INDEX($E$2111:$E$2163,MATCH(Paramètres!J8,Paramètres!$G$5:$G$57,0)))+IF(RIGHT(TRIM(Paramètres!K8),3)="Fin",1-$H2114,IF(LEFT(TRIM(Paramètres!K8),1)="F",1,0)))),IF(Paramètres!L8="",0,IF(Paramètres!M8="",NA(),IF(LEFT(TRIM(Paramètres!M8),1)="F",INDEX($F$2111:$F$2163,MATCH(Paramètres!L8,Paramètres!$G$5:$G$57,0)),INDEX($E$2111:$E$2163,MATCH(Paramètres!L8,Paramètres!$G$5:$G$57,0)))+IF(RIGHT(TRIM(Paramètres!M8),3)="Fin",1-$H2114,IF(LEFT(TRIM(Paramètres!M8),1)="F",1,0)))),IF(Paramètres!N8="",0,IF(Paramètres!O8="",NA(),IF(LEFT(TRIM(Paramètres!O8),1)="F",INDEX($F$2111:$F$2163,MATCH(Paramètres!N8,Paramètres!$G$5:$G$57,0)),INDEX($E$2111:$E$2163,MATCH(Paramètres!N8,Paramètres!$G$5:$G$57,0)))+IF(RIGHT(TRIM(Paramètres!O8),3)="Fin",1-$H2114,IF(LEFT(TRIM(Paramètres!O8),1)="F",1,0)))))))</f>
        <v/>
      </c>
      <c r="F2114" s="19">
        <f>IF($A2114="","",E2114+$H2114-1)</f>
        <v/>
      </c>
      <c r="G2114" s="18" t="n"/>
      <c r="H2114" s="18">
        <f>IF($A2114="","",IF(I2114&lt;&gt;"",I2114,Paramètres!B8))</f>
        <v/>
      </c>
      <c r="I2114" s="18" t="n"/>
    </row>
    <row r="2115">
      <c r="A2115" s="18">
        <f>IF(ISNUMBER(Dossiers!$D$43),Dossiers!$A$43&amp;" · "&amp;Dossiers!$B$43,"")</f>
        <v/>
      </c>
      <c r="B2115" s="18">
        <f>IF($A2115="","",Paramètres!G9)</f>
        <v/>
      </c>
      <c r="C2115" s="18">
        <f>IF($A2115="","",IF(Paramètres!H9="","",Paramètres!H9))</f>
        <v/>
      </c>
      <c r="D2115" s="18">
        <f>IF($A2115="","",IF(Paramètres!I9="","",Paramètres!I9))</f>
        <v/>
      </c>
      <c r="E2115" s="19">
        <f>IF($A2115="","",IF(Paramètres!J9&amp;Paramètres!L9&amp;Paramètres!N9="",Dossiers!$D$43,MAX(IF(Paramètres!J9="",0,IF(Paramètres!K9="",NA(),IF(LEFT(TRIM(Paramètres!K9),1)="F",INDEX($F$2111:$F$2163,MATCH(Paramètres!J9,Paramètres!$G$5:$G$57,0)),INDEX($E$2111:$E$2163,MATCH(Paramètres!J9,Paramètres!$G$5:$G$57,0)))+IF(RIGHT(TRIM(Paramètres!K9),3)="Fin",1-$H2115,IF(LEFT(TRIM(Paramètres!K9),1)="F",1,0)))),IF(Paramètres!L9="",0,IF(Paramètres!M9="",NA(),IF(LEFT(TRIM(Paramètres!M9),1)="F",INDEX($F$2111:$F$2163,MATCH(Paramètres!L9,Paramètres!$G$5:$G$57,0)),INDEX($E$2111:$E$2163,MATCH(Paramètres!L9,Paramètres!$G$5:$G$57,0)))+IF(RIGHT(TRIM(Paramètres!M9),3)="Fin",1-$H2115,IF(LEFT(TRIM(Paramètres!M9),1)="F",1,0)))),IF(Paramètres!N9="",0,IF(Paramètres!O9="",NA(),IF(LEFT(TRIM(Paramètres!O9),1)="F",INDEX($F$2111:$F$2163,MATCH(Paramètres!N9,Paramètres!$G$5:$G$57,0)),INDEX($E$2111:$E$2163,MATCH(Paramètres!N9,Paramètres!$G$5:$G$57,0)))+IF(RIGHT(TRIM(Paramètres!O9),3)="Fin",1-$H2115,IF(LEFT(TRIM(Paramètres!O9),1)="F",1,0)))))))</f>
        <v/>
      </c>
      <c r="F2115" s="19">
        <f>IF($A2115="","",E2115+$H2115-1)</f>
        <v/>
      </c>
      <c r="G2115" s="18" t="n"/>
      <c r="H2115" s="18">
        <f>IF($A2115="","",IF(I2115&lt;&gt;"",I2115,Paramètres!B9))</f>
        <v/>
      </c>
      <c r="I2115" s="18" t="n"/>
    </row>
    <row r="2116">
      <c r="A2116" s="18">
        <f>IF(ISNUMBER(Dossiers!$D$43),Dossiers!$A$43&amp;" · "&amp;Dossiers!$B$43,"")</f>
        <v/>
      </c>
      <c r="B2116" s="18">
        <f>IF($A2116="","",Paramètres!G10)</f>
        <v/>
      </c>
      <c r="C2116" s="18">
        <f>IF($A2116="","",IF(Paramètres!H10="","",Paramètres!H10))</f>
        <v/>
      </c>
      <c r="D2116" s="18">
        <f>IF($A2116="","",IF(Paramètres!I10="","",Paramètres!I10))</f>
        <v/>
      </c>
      <c r="E2116" s="19">
        <f>IF($A2116="","",MIN(E2117:E2120))</f>
        <v/>
      </c>
      <c r="F2116" s="19">
        <f>IF($A2116="","",MAX(F2117:F2120))</f>
        <v/>
      </c>
      <c r="G2116" s="18" t="n"/>
      <c r="H2116" s="18">
        <f>IF($A2116="","",F2116-E2116+1)</f>
        <v/>
      </c>
      <c r="I2116" s="18" t="n"/>
    </row>
    <row r="2117">
      <c r="A2117" s="18">
        <f>IF(ISNUMBER(Dossiers!$D$43),Dossiers!$A$43&amp;" · "&amp;Dossiers!$B$43,"")</f>
        <v/>
      </c>
      <c r="B2117" s="18">
        <f>IF($A2117="","",Paramètres!G11)</f>
        <v/>
      </c>
      <c r="C2117" s="18">
        <f>IF($A2117="","",IF(Paramètres!H11="","",Paramètres!H11))</f>
        <v/>
      </c>
      <c r="D2117" s="18">
        <f>IF($A2117="","",IF(Paramètres!I11="","",Paramètres!I11))</f>
        <v/>
      </c>
      <c r="E2117" s="19">
        <f>IF($A2117="","",IF(Paramètres!J11&amp;Paramètres!L11&amp;Paramètres!N11="",Dossiers!$D$43,MAX(IF(Paramètres!J11="",0,IF(Paramètres!K11="",NA(),IF(LEFT(TRIM(Paramètres!K11),1)="F",INDEX($F$2111:$F$2163,MATCH(Paramètres!J11,Paramètres!$G$5:$G$57,0)),INDEX($E$2111:$E$2163,MATCH(Paramètres!J11,Paramètres!$G$5:$G$57,0)))+IF(RIGHT(TRIM(Paramètres!K11),3)="Fin",1-$H2117,IF(LEFT(TRIM(Paramètres!K11),1)="F",1,0)))),IF(Paramètres!L11="",0,IF(Paramètres!M11="",NA(),IF(LEFT(TRIM(Paramètres!M11),1)="F",INDEX($F$2111:$F$2163,MATCH(Paramètres!L11,Paramètres!$G$5:$G$57,0)),INDEX($E$2111:$E$2163,MATCH(Paramètres!L11,Paramètres!$G$5:$G$57,0)))+IF(RIGHT(TRIM(Paramètres!M11),3)="Fin",1-$H2117,IF(LEFT(TRIM(Paramètres!M11),1)="F",1,0)))),IF(Paramètres!N11="",0,IF(Paramètres!O11="",NA(),IF(LEFT(TRIM(Paramètres!O11),1)="F",INDEX($F$2111:$F$2163,MATCH(Paramètres!N11,Paramètres!$G$5:$G$57,0)),INDEX($E$2111:$E$2163,MATCH(Paramètres!N11,Paramètres!$G$5:$G$57,0)))+IF(RIGHT(TRIM(Paramètres!O11),3)="Fin",1-$H2117,IF(LEFT(TRIM(Paramètres!O11),1)="F",1,0)))))))</f>
        <v/>
      </c>
      <c r="F2117" s="19">
        <f>IF($A2117="","",E2117+$H2117-1)</f>
        <v/>
      </c>
      <c r="G2117" s="18" t="n"/>
      <c r="H2117" s="18">
        <f>IF($A2117="","",IF(I2117&lt;&gt;"",I2117,Paramètres!B11))</f>
        <v/>
      </c>
      <c r="I2117" s="18" t="n"/>
    </row>
    <row r="2118">
      <c r="A2118" s="18">
        <f>IF(ISNUMBER(Dossiers!$D$43),Dossiers!$A$43&amp;" · "&amp;Dossiers!$B$43,"")</f>
        <v/>
      </c>
      <c r="B2118" s="18">
        <f>IF($A2118="","",Paramètres!G12)</f>
        <v/>
      </c>
      <c r="C2118" s="18">
        <f>IF($A2118="","",IF(Paramètres!H12="","",Paramètres!H12))</f>
        <v/>
      </c>
      <c r="D2118" s="18">
        <f>IF($A2118="","",IF(Paramètres!I12="","",Paramètres!I12))</f>
        <v/>
      </c>
      <c r="E2118" s="19">
        <f>IF($A2118="","",IF(Paramètres!J12&amp;Paramètres!L12&amp;Paramètres!N12="",Dossiers!$D$43,MAX(IF(Paramètres!J12="",0,IF(Paramètres!K12="",NA(),IF(LEFT(TRIM(Paramètres!K12),1)="F",INDEX($F$2111:$F$2163,MATCH(Paramètres!J12,Paramètres!$G$5:$G$57,0)),INDEX($E$2111:$E$2163,MATCH(Paramètres!J12,Paramètres!$G$5:$G$57,0)))+IF(RIGHT(TRIM(Paramètres!K12),3)="Fin",1-$H2118,IF(LEFT(TRIM(Paramètres!K12),1)="F",1,0)))),IF(Paramètres!L12="",0,IF(Paramètres!M12="",NA(),IF(LEFT(TRIM(Paramètres!M12),1)="F",INDEX($F$2111:$F$2163,MATCH(Paramètres!L12,Paramètres!$G$5:$G$57,0)),INDEX($E$2111:$E$2163,MATCH(Paramètres!L12,Paramètres!$G$5:$G$57,0)))+IF(RIGHT(TRIM(Paramètres!M12),3)="Fin",1-$H2118,IF(LEFT(TRIM(Paramètres!M12),1)="F",1,0)))),IF(Paramètres!N12="",0,IF(Paramètres!O12="",NA(),IF(LEFT(TRIM(Paramètres!O12),1)="F",INDEX($F$2111:$F$2163,MATCH(Paramètres!N12,Paramètres!$G$5:$G$57,0)),INDEX($E$2111:$E$2163,MATCH(Paramètres!N12,Paramètres!$G$5:$G$57,0)))+IF(RIGHT(TRIM(Paramètres!O12),3)="Fin",1-$H2118,IF(LEFT(TRIM(Paramètres!O12),1)="F",1,0)))))))</f>
        <v/>
      </c>
      <c r="F2118" s="19">
        <f>IF($A2118="","",E2118+$H2118-1)</f>
        <v/>
      </c>
      <c r="G2118" s="18" t="n"/>
      <c r="H2118" s="18">
        <f>IF($A2118="","",IF(I2118&lt;&gt;"",I2118,Paramètres!B12))</f>
        <v/>
      </c>
      <c r="I2118" s="18" t="n"/>
    </row>
    <row r="2119">
      <c r="A2119" s="18">
        <f>IF(ISNUMBER(Dossiers!$D$43),Dossiers!$A$43&amp;" · "&amp;Dossiers!$B$43,"")</f>
        <v/>
      </c>
      <c r="B2119" s="18">
        <f>IF($A2119="","",Paramètres!G13)</f>
        <v/>
      </c>
      <c r="C2119" s="18">
        <f>IF($A2119="","",IF(Paramètres!H13="","",Paramètres!H13))</f>
        <v/>
      </c>
      <c r="D2119" s="18">
        <f>IF($A2119="","",IF(Paramètres!I13="","",Paramètres!I13))</f>
        <v/>
      </c>
      <c r="E2119" s="19">
        <f>IF($A2119="","",IF(Paramètres!J13&amp;Paramètres!L13&amp;Paramètres!N13="",Dossiers!$D$43,MAX(IF(Paramètres!J13="",0,IF(Paramètres!K13="",NA(),IF(LEFT(TRIM(Paramètres!K13),1)="F",INDEX($F$2111:$F$2163,MATCH(Paramètres!J13,Paramètres!$G$5:$G$57,0)),INDEX($E$2111:$E$2163,MATCH(Paramètres!J13,Paramètres!$G$5:$G$57,0)))+IF(RIGHT(TRIM(Paramètres!K13),3)="Fin",1-$H2119,IF(LEFT(TRIM(Paramètres!K13),1)="F",1,0)))),IF(Paramètres!L13="",0,IF(Paramètres!M13="",NA(),IF(LEFT(TRIM(Paramètres!M13),1)="F",INDEX($F$2111:$F$2163,MATCH(Paramètres!L13,Paramètres!$G$5:$G$57,0)),INDEX($E$2111:$E$2163,MATCH(Paramètres!L13,Paramètres!$G$5:$G$57,0)))+IF(RIGHT(TRIM(Paramètres!M13),3)="Fin",1-$H2119,IF(LEFT(TRIM(Paramètres!M13),1)="F",1,0)))),IF(Paramètres!N13="",0,IF(Paramètres!O13="",NA(),IF(LEFT(TRIM(Paramètres!O13),1)="F",INDEX($F$2111:$F$2163,MATCH(Paramètres!N13,Paramètres!$G$5:$G$57,0)),INDEX($E$2111:$E$2163,MATCH(Paramètres!N13,Paramètres!$G$5:$G$57,0)))+IF(RIGHT(TRIM(Paramètres!O13),3)="Fin",1-$H2119,IF(LEFT(TRIM(Paramètres!O13),1)="F",1,0)))))))</f>
        <v/>
      </c>
      <c r="F2119" s="19">
        <f>IF($A2119="","",E2119+$H2119-1)</f>
        <v/>
      </c>
      <c r="G2119" s="18" t="n"/>
      <c r="H2119" s="18">
        <f>IF($A2119="","",IF(I2119&lt;&gt;"",I2119,Paramètres!B13))</f>
        <v/>
      </c>
      <c r="I2119" s="18" t="n"/>
    </row>
    <row r="2120">
      <c r="A2120" s="18">
        <f>IF(ISNUMBER(Dossiers!$D$43),Dossiers!$A$43&amp;" · "&amp;Dossiers!$B$43,"")</f>
        <v/>
      </c>
      <c r="B2120" s="18">
        <f>IF($A2120="","",Paramètres!G14)</f>
        <v/>
      </c>
      <c r="C2120" s="18">
        <f>IF($A2120="","",IF(Paramètres!H14="","",Paramètres!H14))</f>
        <v/>
      </c>
      <c r="D2120" s="18">
        <f>IF($A2120="","",IF(Paramètres!I14="","",Paramètres!I14))</f>
        <v/>
      </c>
      <c r="E2120" s="19">
        <f>IF($A2120="","",IF(Paramètres!J14&amp;Paramètres!L14&amp;Paramètres!N14="",Dossiers!$D$43,MAX(IF(Paramètres!J14="",0,IF(Paramètres!K14="",NA(),IF(LEFT(TRIM(Paramètres!K14),1)="F",INDEX($F$2111:$F$2163,MATCH(Paramètres!J14,Paramètres!$G$5:$G$57,0)),INDEX($E$2111:$E$2163,MATCH(Paramètres!J14,Paramètres!$G$5:$G$57,0)))+IF(RIGHT(TRIM(Paramètres!K14),3)="Fin",1-$H2120,IF(LEFT(TRIM(Paramètres!K14),1)="F",1,0)))),IF(Paramètres!L14="",0,IF(Paramètres!M14="",NA(),IF(LEFT(TRIM(Paramètres!M14),1)="F",INDEX($F$2111:$F$2163,MATCH(Paramètres!L14,Paramètres!$G$5:$G$57,0)),INDEX($E$2111:$E$2163,MATCH(Paramètres!L14,Paramètres!$G$5:$G$57,0)))+IF(RIGHT(TRIM(Paramètres!M14),3)="Fin",1-$H2120,IF(LEFT(TRIM(Paramètres!M14),1)="F",1,0)))),IF(Paramètres!N14="",0,IF(Paramètres!O14="",NA(),IF(LEFT(TRIM(Paramètres!O14),1)="F",INDEX($F$2111:$F$2163,MATCH(Paramètres!N14,Paramètres!$G$5:$G$57,0)),INDEX($E$2111:$E$2163,MATCH(Paramètres!N14,Paramètres!$G$5:$G$57,0)))+IF(RIGHT(TRIM(Paramètres!O14),3)="Fin",1-$H2120,IF(LEFT(TRIM(Paramètres!O14),1)="F",1,0)))))))</f>
        <v/>
      </c>
      <c r="F2120" s="19">
        <f>IF($A2120="","",E2120+$H2120-1)</f>
        <v/>
      </c>
      <c r="G2120" s="18" t="n"/>
      <c r="H2120" s="18">
        <f>IF($A2120="","",IF(I2120&lt;&gt;"",I2120,Paramètres!B14))</f>
        <v/>
      </c>
      <c r="I2120" s="18" t="n"/>
    </row>
    <row r="2121">
      <c r="A2121" s="18">
        <f>IF(ISNUMBER(Dossiers!$D$43),Dossiers!$A$43&amp;" · "&amp;Dossiers!$B$43,"")</f>
        <v/>
      </c>
      <c r="B2121" s="18">
        <f>IF($A2121="","",Paramètres!G15)</f>
        <v/>
      </c>
      <c r="C2121" s="18">
        <f>IF($A2121="","",IF(Paramètres!H15="","",Paramètres!H15))</f>
        <v/>
      </c>
      <c r="D2121" s="18">
        <f>IF($A2121="","",IF(Paramètres!I15="","",Paramètres!I15))</f>
        <v/>
      </c>
      <c r="E2121" s="19">
        <f>IF($A2121="","",MIN(E2122:E2137))</f>
        <v/>
      </c>
      <c r="F2121" s="19">
        <f>IF($A2121="","",MAX(F2122:F2137))</f>
        <v/>
      </c>
      <c r="G2121" s="18" t="n"/>
      <c r="H2121" s="18">
        <f>IF($A2121="","",F2121-E2121+1)</f>
        <v/>
      </c>
      <c r="I2121" s="18" t="n"/>
    </row>
    <row r="2122">
      <c r="A2122" s="18">
        <f>IF(ISNUMBER(Dossiers!$D$43),Dossiers!$A$43&amp;" · "&amp;Dossiers!$B$43,"")</f>
        <v/>
      </c>
      <c r="B2122" s="18">
        <f>IF($A2122="","",Paramètres!G16)</f>
        <v/>
      </c>
      <c r="C2122" s="18">
        <f>IF($A2122="","",IF(Paramètres!H16="","",Paramètres!H16))</f>
        <v/>
      </c>
      <c r="D2122" s="18">
        <f>IF($A2122="","",IF(Paramètres!I16="","",Paramètres!I16))</f>
        <v/>
      </c>
      <c r="E2122" s="19">
        <f>IF($A2122="","",IF(Paramètres!J16&amp;Paramètres!L16&amp;Paramètres!N16="",Dossiers!$D$43,MAX(IF(Paramètres!J16="",0,IF(Paramètres!K16="",NA(),IF(LEFT(TRIM(Paramètres!K16),1)="F",INDEX($F$2111:$F$2163,MATCH(Paramètres!J16,Paramètres!$G$5:$G$57,0)),INDEX($E$2111:$E$2163,MATCH(Paramètres!J16,Paramètres!$G$5:$G$57,0)))+IF(RIGHT(TRIM(Paramètres!K16),3)="Fin",1-$H2122,IF(LEFT(TRIM(Paramètres!K16),1)="F",1,0)))),IF(Paramètres!L16="",0,IF(Paramètres!M16="",NA(),IF(LEFT(TRIM(Paramètres!M16),1)="F",INDEX($F$2111:$F$2163,MATCH(Paramètres!L16,Paramètres!$G$5:$G$57,0)),INDEX($E$2111:$E$2163,MATCH(Paramètres!L16,Paramètres!$G$5:$G$57,0)))+IF(RIGHT(TRIM(Paramètres!M16),3)="Fin",1-$H2122,IF(LEFT(TRIM(Paramètres!M16),1)="F",1,0)))),IF(Paramètres!N16="",0,IF(Paramètres!O16="",NA(),IF(LEFT(TRIM(Paramètres!O16),1)="F",INDEX($F$2111:$F$2163,MATCH(Paramètres!N16,Paramètres!$G$5:$G$57,0)),INDEX($E$2111:$E$2163,MATCH(Paramètres!N16,Paramètres!$G$5:$G$57,0)))+IF(RIGHT(TRIM(Paramètres!O16),3)="Fin",1-$H2122,IF(LEFT(TRIM(Paramètres!O16),1)="F",1,0)))))))</f>
        <v/>
      </c>
      <c r="F2122" s="19">
        <f>IF($A2122="","",E2122+$H2122-1)</f>
        <v/>
      </c>
      <c r="G2122" s="18" t="n"/>
      <c r="H2122" s="18">
        <f>IF($A2122="","",IF(I2122&lt;&gt;"",I2122,Paramètres!B16))</f>
        <v/>
      </c>
      <c r="I2122" s="18" t="n"/>
    </row>
    <row r="2123">
      <c r="A2123" s="18">
        <f>IF(ISNUMBER(Dossiers!$D$43),Dossiers!$A$43&amp;" · "&amp;Dossiers!$B$43,"")</f>
        <v/>
      </c>
      <c r="B2123" s="18">
        <f>IF($A2123="","",Paramètres!G17)</f>
        <v/>
      </c>
      <c r="C2123" s="18">
        <f>IF($A2123="","",IF(Paramètres!H17="","",Paramètres!H17))</f>
        <v/>
      </c>
      <c r="D2123" s="18">
        <f>IF($A2123="","",IF(Paramètres!I17="","",Paramètres!I17))</f>
        <v/>
      </c>
      <c r="E2123" s="19">
        <f>IF($A2123="","",IF(Paramètres!J17&amp;Paramètres!L17&amp;Paramètres!N17="",Dossiers!$D$43,MAX(IF(Paramètres!J17="",0,IF(Paramètres!K17="",NA(),IF(LEFT(TRIM(Paramètres!K17),1)="F",INDEX($F$2111:$F$2163,MATCH(Paramètres!J17,Paramètres!$G$5:$G$57,0)),INDEX($E$2111:$E$2163,MATCH(Paramètres!J17,Paramètres!$G$5:$G$57,0)))+IF(RIGHT(TRIM(Paramètres!K17),3)="Fin",1-$H2123,IF(LEFT(TRIM(Paramètres!K17),1)="F",1,0)))),IF(Paramètres!L17="",0,IF(Paramètres!M17="",NA(),IF(LEFT(TRIM(Paramètres!M17),1)="F",INDEX($F$2111:$F$2163,MATCH(Paramètres!L17,Paramètres!$G$5:$G$57,0)),INDEX($E$2111:$E$2163,MATCH(Paramètres!L17,Paramètres!$G$5:$G$57,0)))+IF(RIGHT(TRIM(Paramètres!M17),3)="Fin",1-$H2123,IF(LEFT(TRIM(Paramètres!M17),1)="F",1,0)))),IF(Paramètres!N17="",0,IF(Paramètres!O17="",NA(),IF(LEFT(TRIM(Paramètres!O17),1)="F",INDEX($F$2111:$F$2163,MATCH(Paramètres!N17,Paramètres!$G$5:$G$57,0)),INDEX($E$2111:$E$2163,MATCH(Paramètres!N17,Paramètres!$G$5:$G$57,0)))+IF(RIGHT(TRIM(Paramètres!O17),3)="Fin",1-$H2123,IF(LEFT(TRIM(Paramètres!O17),1)="F",1,0)))))))</f>
        <v/>
      </c>
      <c r="F2123" s="19">
        <f>IF($A2123="","",E2123+$H2123-1)</f>
        <v/>
      </c>
      <c r="G2123" s="18" t="n"/>
      <c r="H2123" s="18">
        <f>IF($A2123="","",IF(I2123&lt;&gt;"",I2123,Paramètres!B17))</f>
        <v/>
      </c>
      <c r="I2123" s="18" t="n"/>
    </row>
    <row r="2124">
      <c r="A2124" s="18">
        <f>IF(ISNUMBER(Dossiers!$D$43),Dossiers!$A$43&amp;" · "&amp;Dossiers!$B$43,"")</f>
        <v/>
      </c>
      <c r="B2124" s="18">
        <f>IF($A2124="","",Paramètres!G18)</f>
        <v/>
      </c>
      <c r="C2124" s="18">
        <f>IF($A2124="","",IF(Paramètres!H18="","",Paramètres!H18))</f>
        <v/>
      </c>
      <c r="D2124" s="18">
        <f>IF($A2124="","",IF(Paramètres!I18="","",Paramètres!I18))</f>
        <v/>
      </c>
      <c r="E2124" s="19">
        <f>IF($A2124="","",IF(Paramètres!J18&amp;Paramètres!L18&amp;Paramètres!N18="",Dossiers!$D$43,MAX(IF(Paramètres!J18="",0,IF(Paramètres!K18="",NA(),IF(LEFT(TRIM(Paramètres!K18),1)="F",INDEX($F$2111:$F$2163,MATCH(Paramètres!J18,Paramètres!$G$5:$G$57,0)),INDEX($E$2111:$E$2163,MATCH(Paramètres!J18,Paramètres!$G$5:$G$57,0)))+IF(RIGHT(TRIM(Paramètres!K18),3)="Fin",1-$H2124,IF(LEFT(TRIM(Paramètres!K18),1)="F",1,0)))),IF(Paramètres!L18="",0,IF(Paramètres!M18="",NA(),IF(LEFT(TRIM(Paramètres!M18),1)="F",INDEX($F$2111:$F$2163,MATCH(Paramètres!L18,Paramètres!$G$5:$G$57,0)),INDEX($E$2111:$E$2163,MATCH(Paramètres!L18,Paramètres!$G$5:$G$57,0)))+IF(RIGHT(TRIM(Paramètres!M18),3)="Fin",1-$H2124,IF(LEFT(TRIM(Paramètres!M18),1)="F",1,0)))),IF(Paramètres!N18="",0,IF(Paramètres!O18="",NA(),IF(LEFT(TRIM(Paramètres!O18),1)="F",INDEX($F$2111:$F$2163,MATCH(Paramètres!N18,Paramètres!$G$5:$G$57,0)),INDEX($E$2111:$E$2163,MATCH(Paramètres!N18,Paramètres!$G$5:$G$57,0)))+IF(RIGHT(TRIM(Paramètres!O18),3)="Fin",1-$H2124,IF(LEFT(TRIM(Paramètres!O18),1)="F",1,0)))))))</f>
        <v/>
      </c>
      <c r="F2124" s="19">
        <f>IF($A2124="","",E2124+$H2124-1)</f>
        <v/>
      </c>
      <c r="G2124" s="18" t="n"/>
      <c r="H2124" s="18">
        <f>IF($A2124="","",IF(I2124&lt;&gt;"",I2124,Paramètres!B18))</f>
        <v/>
      </c>
      <c r="I2124" s="18" t="n"/>
    </row>
    <row r="2125">
      <c r="A2125" s="18">
        <f>IF(ISNUMBER(Dossiers!$D$43),Dossiers!$A$43&amp;" · "&amp;Dossiers!$B$43,"")</f>
        <v/>
      </c>
      <c r="B2125" s="18">
        <f>IF($A2125="","",Paramètres!G19)</f>
        <v/>
      </c>
      <c r="C2125" s="18">
        <f>IF($A2125="","",IF(Paramètres!H19="","",Paramètres!H19))</f>
        <v/>
      </c>
      <c r="D2125" s="18">
        <f>IF($A2125="","",IF(Paramètres!I19="","",Paramètres!I19))</f>
        <v/>
      </c>
      <c r="E2125" s="19">
        <f>IF($A2125="","",IF(Paramètres!J19&amp;Paramètres!L19&amp;Paramètres!N19="",Dossiers!$D$43,MAX(IF(Paramètres!J19="",0,IF(Paramètres!K19="",NA(),IF(LEFT(TRIM(Paramètres!K19),1)="F",INDEX($F$2111:$F$2163,MATCH(Paramètres!J19,Paramètres!$G$5:$G$57,0)),INDEX($E$2111:$E$2163,MATCH(Paramètres!J19,Paramètres!$G$5:$G$57,0)))+IF(RIGHT(TRIM(Paramètres!K19),3)="Fin",1-$H2125,IF(LEFT(TRIM(Paramètres!K19),1)="F",1,0)))),IF(Paramètres!L19="",0,IF(Paramètres!M19="",NA(),IF(LEFT(TRIM(Paramètres!M19),1)="F",INDEX($F$2111:$F$2163,MATCH(Paramètres!L19,Paramètres!$G$5:$G$57,0)),INDEX($E$2111:$E$2163,MATCH(Paramètres!L19,Paramètres!$G$5:$G$57,0)))+IF(RIGHT(TRIM(Paramètres!M19),3)="Fin",1-$H2125,IF(LEFT(TRIM(Paramètres!M19),1)="F",1,0)))),IF(Paramètres!N19="",0,IF(Paramètres!O19="",NA(),IF(LEFT(TRIM(Paramètres!O19),1)="F",INDEX($F$2111:$F$2163,MATCH(Paramètres!N19,Paramètres!$G$5:$G$57,0)),INDEX($E$2111:$E$2163,MATCH(Paramètres!N19,Paramètres!$G$5:$G$57,0)))+IF(RIGHT(TRIM(Paramètres!O19),3)="Fin",1-$H2125,IF(LEFT(TRIM(Paramètres!O19),1)="F",1,0)))))))</f>
        <v/>
      </c>
      <c r="F2125" s="19">
        <f>IF($A2125="","",E2125+$H2125-1)</f>
        <v/>
      </c>
      <c r="G2125" s="18" t="n"/>
      <c r="H2125" s="18">
        <f>IF($A2125="","",IF(I2125&lt;&gt;"",I2125,Paramètres!B19))</f>
        <v/>
      </c>
      <c r="I2125" s="18" t="n"/>
    </row>
    <row r="2126">
      <c r="A2126" s="18">
        <f>IF(ISNUMBER(Dossiers!$D$43),Dossiers!$A$43&amp;" · "&amp;Dossiers!$B$43,"")</f>
        <v/>
      </c>
      <c r="B2126" s="18">
        <f>IF($A2126="","",Paramètres!G20)</f>
        <v/>
      </c>
      <c r="C2126" s="18">
        <f>IF($A2126="","",IF(Paramètres!H20="","",Paramètres!H20))</f>
        <v/>
      </c>
      <c r="D2126" s="18">
        <f>IF($A2126="","",IF(Paramètres!I20="","",Paramètres!I20))</f>
        <v/>
      </c>
      <c r="E2126" s="19">
        <f>IF($A2126="","",IF(Paramètres!J20&amp;Paramètres!L20&amp;Paramètres!N20="",Dossiers!$D$43,MAX(IF(Paramètres!J20="",0,IF(Paramètres!K20="",NA(),IF(LEFT(TRIM(Paramètres!K20),1)="F",INDEX($F$2111:$F$2163,MATCH(Paramètres!J20,Paramètres!$G$5:$G$57,0)),INDEX($E$2111:$E$2163,MATCH(Paramètres!J20,Paramètres!$G$5:$G$57,0)))+IF(RIGHT(TRIM(Paramètres!K20),3)="Fin",1-$H2126,IF(LEFT(TRIM(Paramètres!K20),1)="F",1,0)))),IF(Paramètres!L20="",0,IF(Paramètres!M20="",NA(),IF(LEFT(TRIM(Paramètres!M20),1)="F",INDEX($F$2111:$F$2163,MATCH(Paramètres!L20,Paramètres!$G$5:$G$57,0)),INDEX($E$2111:$E$2163,MATCH(Paramètres!L20,Paramètres!$G$5:$G$57,0)))+IF(RIGHT(TRIM(Paramètres!M20),3)="Fin",1-$H2126,IF(LEFT(TRIM(Paramètres!M20),1)="F",1,0)))),IF(Paramètres!N20="",0,IF(Paramètres!O20="",NA(),IF(LEFT(TRIM(Paramètres!O20),1)="F",INDEX($F$2111:$F$2163,MATCH(Paramètres!N20,Paramètres!$G$5:$G$57,0)),INDEX($E$2111:$E$2163,MATCH(Paramètres!N20,Paramètres!$G$5:$G$57,0)))+IF(RIGHT(TRIM(Paramètres!O20),3)="Fin",1-$H2126,IF(LEFT(TRIM(Paramètres!O20),1)="F",1,0)))))))</f>
        <v/>
      </c>
      <c r="F2126" s="19">
        <f>IF($A2126="","",E2126+$H2126-1)</f>
        <v/>
      </c>
      <c r="G2126" s="18" t="n"/>
      <c r="H2126" s="18">
        <f>IF($A2126="","",IF(I2126&lt;&gt;"",I2126,Paramètres!B20))</f>
        <v/>
      </c>
      <c r="I2126" s="18" t="n"/>
    </row>
    <row r="2127">
      <c r="A2127" s="18">
        <f>IF(ISNUMBER(Dossiers!$D$43),Dossiers!$A$43&amp;" · "&amp;Dossiers!$B$43,"")</f>
        <v/>
      </c>
      <c r="B2127" s="18">
        <f>IF($A2127="","",Paramètres!G21)</f>
        <v/>
      </c>
      <c r="C2127" s="18">
        <f>IF($A2127="","",IF(Paramètres!H21="","",Paramètres!H21))</f>
        <v/>
      </c>
      <c r="D2127" s="18">
        <f>IF($A2127="","",IF(Paramètres!I21="","",Paramètres!I21))</f>
        <v/>
      </c>
      <c r="E2127" s="19">
        <f>IF($A2127="","",IF(Paramètres!J21&amp;Paramètres!L21&amp;Paramètres!N21="",Dossiers!$D$43,MAX(IF(Paramètres!J21="",0,IF(Paramètres!K21="",NA(),IF(LEFT(TRIM(Paramètres!K21),1)="F",INDEX($F$2111:$F$2163,MATCH(Paramètres!J21,Paramètres!$G$5:$G$57,0)),INDEX($E$2111:$E$2163,MATCH(Paramètres!J21,Paramètres!$G$5:$G$57,0)))+IF(RIGHT(TRIM(Paramètres!K21),3)="Fin",1-$H2127,IF(LEFT(TRIM(Paramètres!K21),1)="F",1,0)))),IF(Paramètres!L21="",0,IF(Paramètres!M21="",NA(),IF(LEFT(TRIM(Paramètres!M21),1)="F",INDEX($F$2111:$F$2163,MATCH(Paramètres!L21,Paramètres!$G$5:$G$57,0)),INDEX($E$2111:$E$2163,MATCH(Paramètres!L21,Paramètres!$G$5:$G$57,0)))+IF(RIGHT(TRIM(Paramètres!M21),3)="Fin",1-$H2127,IF(LEFT(TRIM(Paramètres!M21),1)="F",1,0)))),IF(Paramètres!N21="",0,IF(Paramètres!O21="",NA(),IF(LEFT(TRIM(Paramètres!O21),1)="F",INDEX($F$2111:$F$2163,MATCH(Paramètres!N21,Paramètres!$G$5:$G$57,0)),INDEX($E$2111:$E$2163,MATCH(Paramètres!N21,Paramètres!$G$5:$G$57,0)))+IF(RIGHT(TRIM(Paramètres!O21),3)="Fin",1-$H2127,IF(LEFT(TRIM(Paramètres!O21),1)="F",1,0)))))))</f>
        <v/>
      </c>
      <c r="F2127" s="19">
        <f>IF($A2127="","",E2127+$H2127-1)</f>
        <v/>
      </c>
      <c r="G2127" s="18" t="n"/>
      <c r="H2127" s="18">
        <f>IF($A2127="","",IF(I2127&lt;&gt;"",I2127,Paramètres!B21))</f>
        <v/>
      </c>
      <c r="I2127" s="18" t="n"/>
    </row>
    <row r="2128">
      <c r="A2128" s="18">
        <f>IF(ISNUMBER(Dossiers!$D$43),Dossiers!$A$43&amp;" · "&amp;Dossiers!$B$43,"")</f>
        <v/>
      </c>
      <c r="B2128" s="18">
        <f>IF($A2128="","",Paramètres!G22)</f>
        <v/>
      </c>
      <c r="C2128" s="18">
        <f>IF($A2128="","",IF(Paramètres!H22="","",Paramètres!H22))</f>
        <v/>
      </c>
      <c r="D2128" s="18">
        <f>IF($A2128="","",IF(Paramètres!I22="","",Paramètres!I22))</f>
        <v/>
      </c>
      <c r="E2128" s="19">
        <f>IF($A2128="","",IF(Paramètres!J22&amp;Paramètres!L22&amp;Paramètres!N22="",Dossiers!$D$43,MAX(IF(Paramètres!J22="",0,IF(Paramètres!K22="",NA(),IF(LEFT(TRIM(Paramètres!K22),1)="F",INDEX($F$2111:$F$2163,MATCH(Paramètres!J22,Paramètres!$G$5:$G$57,0)),INDEX($E$2111:$E$2163,MATCH(Paramètres!J22,Paramètres!$G$5:$G$57,0)))+IF(RIGHT(TRIM(Paramètres!K22),3)="Fin",1-$H2128,IF(LEFT(TRIM(Paramètres!K22),1)="F",1,0)))),IF(Paramètres!L22="",0,IF(Paramètres!M22="",NA(),IF(LEFT(TRIM(Paramètres!M22),1)="F",INDEX($F$2111:$F$2163,MATCH(Paramètres!L22,Paramètres!$G$5:$G$57,0)),INDEX($E$2111:$E$2163,MATCH(Paramètres!L22,Paramètres!$G$5:$G$57,0)))+IF(RIGHT(TRIM(Paramètres!M22),3)="Fin",1-$H2128,IF(LEFT(TRIM(Paramètres!M22),1)="F",1,0)))),IF(Paramètres!N22="",0,IF(Paramètres!O22="",NA(),IF(LEFT(TRIM(Paramètres!O22),1)="F",INDEX($F$2111:$F$2163,MATCH(Paramètres!N22,Paramètres!$G$5:$G$57,0)),INDEX($E$2111:$E$2163,MATCH(Paramètres!N22,Paramètres!$G$5:$G$57,0)))+IF(RIGHT(TRIM(Paramètres!O22),3)="Fin",1-$H2128,IF(LEFT(TRIM(Paramètres!O22),1)="F",1,0)))))))</f>
        <v/>
      </c>
      <c r="F2128" s="19">
        <f>IF($A2128="","",E2128+$H2128-1)</f>
        <v/>
      </c>
      <c r="G2128" s="18" t="n"/>
      <c r="H2128" s="18">
        <f>IF($A2128="","",IF(I2128&lt;&gt;"",I2128,Paramètres!B22))</f>
        <v/>
      </c>
      <c r="I2128" s="18" t="n"/>
    </row>
    <row r="2129">
      <c r="A2129" s="18">
        <f>IF(ISNUMBER(Dossiers!$D$43),Dossiers!$A$43&amp;" · "&amp;Dossiers!$B$43,"")</f>
        <v/>
      </c>
      <c r="B2129" s="18">
        <f>IF($A2129="","",Paramètres!G23)</f>
        <v/>
      </c>
      <c r="C2129" s="18">
        <f>IF($A2129="","",IF(Paramètres!H23="","",Paramètres!H23))</f>
        <v/>
      </c>
      <c r="D2129" s="18">
        <f>IF($A2129="","",IF(Paramètres!I23="","",Paramètres!I23))</f>
        <v/>
      </c>
      <c r="E2129" s="19">
        <f>IF($A2129="","",IF(Paramètres!J23&amp;Paramètres!L23&amp;Paramètres!N23="",Dossiers!$D$43,MAX(IF(Paramètres!J23="",0,IF(Paramètres!K23="",NA(),IF(LEFT(TRIM(Paramètres!K23),1)="F",INDEX($F$2111:$F$2163,MATCH(Paramètres!J23,Paramètres!$G$5:$G$57,0)),INDEX($E$2111:$E$2163,MATCH(Paramètres!J23,Paramètres!$G$5:$G$57,0)))+IF(RIGHT(TRIM(Paramètres!K23),3)="Fin",1-$H2129,IF(LEFT(TRIM(Paramètres!K23),1)="F",1,0)))),IF(Paramètres!L23="",0,IF(Paramètres!M23="",NA(),IF(LEFT(TRIM(Paramètres!M23),1)="F",INDEX($F$2111:$F$2163,MATCH(Paramètres!L23,Paramètres!$G$5:$G$57,0)),INDEX($E$2111:$E$2163,MATCH(Paramètres!L23,Paramètres!$G$5:$G$57,0)))+IF(RIGHT(TRIM(Paramètres!M23),3)="Fin",1-$H2129,IF(LEFT(TRIM(Paramètres!M23),1)="F",1,0)))),IF(Paramètres!N23="",0,IF(Paramètres!O23="",NA(),IF(LEFT(TRIM(Paramètres!O23),1)="F",INDEX($F$2111:$F$2163,MATCH(Paramètres!N23,Paramètres!$G$5:$G$57,0)),INDEX($E$2111:$E$2163,MATCH(Paramètres!N23,Paramètres!$G$5:$G$57,0)))+IF(RIGHT(TRIM(Paramètres!O23),3)="Fin",1-$H2129,IF(LEFT(TRIM(Paramètres!O23),1)="F",1,0)))))))</f>
        <v/>
      </c>
      <c r="F2129" s="19">
        <f>IF($A2129="","",E2129+$H2129-1)</f>
        <v/>
      </c>
      <c r="G2129" s="18" t="n"/>
      <c r="H2129" s="18">
        <f>IF($A2129="","",IF(I2129&lt;&gt;"",I2129,Paramètres!B23))</f>
        <v/>
      </c>
      <c r="I2129" s="18" t="n"/>
    </row>
    <row r="2130">
      <c r="A2130" s="18">
        <f>IF(ISNUMBER(Dossiers!$D$43),Dossiers!$A$43&amp;" · "&amp;Dossiers!$B$43,"")</f>
        <v/>
      </c>
      <c r="B2130" s="18">
        <f>IF($A2130="","",Paramètres!G24)</f>
        <v/>
      </c>
      <c r="C2130" s="18">
        <f>IF($A2130="","",IF(Paramètres!H24="","",Paramètres!H24))</f>
        <v/>
      </c>
      <c r="D2130" s="18">
        <f>IF($A2130="","",IF(Paramètres!I24="","",Paramètres!I24))</f>
        <v/>
      </c>
      <c r="E2130" s="19">
        <f>IF($A2130="","",IF(Paramètres!J24&amp;Paramètres!L24&amp;Paramètres!N24="",Dossiers!$D$43,MAX(IF(Paramètres!J24="",0,IF(Paramètres!K24="",NA(),IF(LEFT(TRIM(Paramètres!K24),1)="F",INDEX($F$2111:$F$2163,MATCH(Paramètres!J24,Paramètres!$G$5:$G$57,0)),INDEX($E$2111:$E$2163,MATCH(Paramètres!J24,Paramètres!$G$5:$G$57,0)))+IF(RIGHT(TRIM(Paramètres!K24),3)="Fin",1-$H2130,IF(LEFT(TRIM(Paramètres!K24),1)="F",1,0)))),IF(Paramètres!L24="",0,IF(Paramètres!M24="",NA(),IF(LEFT(TRIM(Paramètres!M24),1)="F",INDEX($F$2111:$F$2163,MATCH(Paramètres!L24,Paramètres!$G$5:$G$57,0)),INDEX($E$2111:$E$2163,MATCH(Paramètres!L24,Paramètres!$G$5:$G$57,0)))+IF(RIGHT(TRIM(Paramètres!M24),3)="Fin",1-$H2130,IF(LEFT(TRIM(Paramètres!M24),1)="F",1,0)))),IF(Paramètres!N24="",0,IF(Paramètres!O24="",NA(),IF(LEFT(TRIM(Paramètres!O24),1)="F",INDEX($F$2111:$F$2163,MATCH(Paramètres!N24,Paramètres!$G$5:$G$57,0)),INDEX($E$2111:$E$2163,MATCH(Paramètres!N24,Paramètres!$G$5:$G$57,0)))+IF(RIGHT(TRIM(Paramètres!O24),3)="Fin",1-$H2130,IF(LEFT(TRIM(Paramètres!O24),1)="F",1,0)))))))</f>
        <v/>
      </c>
      <c r="F2130" s="19">
        <f>IF($A2130="","",E2130+$H2130-1)</f>
        <v/>
      </c>
      <c r="G2130" s="18" t="n"/>
      <c r="H2130" s="18">
        <f>IF($A2130="","",IF(I2130&lt;&gt;"",I2130,Paramètres!B24))</f>
        <v/>
      </c>
      <c r="I2130" s="18" t="n"/>
    </row>
    <row r="2131">
      <c r="A2131" s="18">
        <f>IF(ISNUMBER(Dossiers!$D$43),Dossiers!$A$43&amp;" · "&amp;Dossiers!$B$43,"")</f>
        <v/>
      </c>
      <c r="B2131" s="18">
        <f>IF($A2131="","",Paramètres!G25)</f>
        <v/>
      </c>
      <c r="C2131" s="18">
        <f>IF($A2131="","",IF(Paramètres!H25="","",Paramètres!H25))</f>
        <v/>
      </c>
      <c r="D2131" s="18">
        <f>IF($A2131="","",IF(Paramètres!I25="","",Paramètres!I25))</f>
        <v/>
      </c>
      <c r="E2131" s="19">
        <f>IF($A2131="","",IF(Paramètres!J25&amp;Paramètres!L25&amp;Paramètres!N25="",Dossiers!$D$43,MAX(IF(Paramètres!J25="",0,IF(Paramètres!K25="",NA(),IF(LEFT(TRIM(Paramètres!K25),1)="F",INDEX($F$2111:$F$2163,MATCH(Paramètres!J25,Paramètres!$G$5:$G$57,0)),INDEX($E$2111:$E$2163,MATCH(Paramètres!J25,Paramètres!$G$5:$G$57,0)))+IF(RIGHT(TRIM(Paramètres!K25),3)="Fin",1-$H2131,IF(LEFT(TRIM(Paramètres!K25),1)="F",1,0)))),IF(Paramètres!L25="",0,IF(Paramètres!M25="",NA(),IF(LEFT(TRIM(Paramètres!M25),1)="F",INDEX($F$2111:$F$2163,MATCH(Paramètres!L25,Paramètres!$G$5:$G$57,0)),INDEX($E$2111:$E$2163,MATCH(Paramètres!L25,Paramètres!$G$5:$G$57,0)))+IF(RIGHT(TRIM(Paramètres!M25),3)="Fin",1-$H2131,IF(LEFT(TRIM(Paramètres!M25),1)="F",1,0)))),IF(Paramètres!N25="",0,IF(Paramètres!O25="",NA(),IF(LEFT(TRIM(Paramètres!O25),1)="F",INDEX($F$2111:$F$2163,MATCH(Paramètres!N25,Paramètres!$G$5:$G$57,0)),INDEX($E$2111:$E$2163,MATCH(Paramètres!N25,Paramètres!$G$5:$G$57,0)))+IF(RIGHT(TRIM(Paramètres!O25),3)="Fin",1-$H2131,IF(LEFT(TRIM(Paramètres!O25),1)="F",1,0)))))))</f>
        <v/>
      </c>
      <c r="F2131" s="19">
        <f>IF($A2131="","",E2131+$H2131-1)</f>
        <v/>
      </c>
      <c r="G2131" s="18" t="n"/>
      <c r="H2131" s="18">
        <f>IF($A2131="","",IF(I2131&lt;&gt;"",I2131,Paramètres!B25))</f>
        <v/>
      </c>
      <c r="I2131" s="18" t="n"/>
    </row>
    <row r="2132">
      <c r="A2132" s="18">
        <f>IF(ISNUMBER(Dossiers!$D$43),Dossiers!$A$43&amp;" · "&amp;Dossiers!$B$43,"")</f>
        <v/>
      </c>
      <c r="B2132" s="18">
        <f>IF($A2132="","",Paramètres!G26)</f>
        <v/>
      </c>
      <c r="C2132" s="18">
        <f>IF($A2132="","",IF(Paramètres!H26="","",Paramètres!H26))</f>
        <v/>
      </c>
      <c r="D2132" s="18">
        <f>IF($A2132="","",IF(Paramètres!I26="","",Paramètres!I26))</f>
        <v/>
      </c>
      <c r="E2132" s="19">
        <f>IF($A2132="","",IF(Paramètres!J26&amp;Paramètres!L26&amp;Paramètres!N26="",Dossiers!$D$43,MAX(IF(Paramètres!J26="",0,IF(Paramètres!K26="",NA(),IF(LEFT(TRIM(Paramètres!K26),1)="F",INDEX($F$2111:$F$2163,MATCH(Paramètres!J26,Paramètres!$G$5:$G$57,0)),INDEX($E$2111:$E$2163,MATCH(Paramètres!J26,Paramètres!$G$5:$G$57,0)))+IF(RIGHT(TRIM(Paramètres!K26),3)="Fin",1-$H2132,IF(LEFT(TRIM(Paramètres!K26),1)="F",1,0)))),IF(Paramètres!L26="",0,IF(Paramètres!M26="",NA(),IF(LEFT(TRIM(Paramètres!M26),1)="F",INDEX($F$2111:$F$2163,MATCH(Paramètres!L26,Paramètres!$G$5:$G$57,0)),INDEX($E$2111:$E$2163,MATCH(Paramètres!L26,Paramètres!$G$5:$G$57,0)))+IF(RIGHT(TRIM(Paramètres!M26),3)="Fin",1-$H2132,IF(LEFT(TRIM(Paramètres!M26),1)="F",1,0)))),IF(Paramètres!N26="",0,IF(Paramètres!O26="",NA(),IF(LEFT(TRIM(Paramètres!O26),1)="F",INDEX($F$2111:$F$2163,MATCH(Paramètres!N26,Paramètres!$G$5:$G$57,0)),INDEX($E$2111:$E$2163,MATCH(Paramètres!N26,Paramètres!$G$5:$G$57,0)))+IF(RIGHT(TRIM(Paramètres!O26),3)="Fin",1-$H2132,IF(LEFT(TRIM(Paramètres!O26),1)="F",1,0)))))))</f>
        <v/>
      </c>
      <c r="F2132" s="19">
        <f>IF($A2132="","",E2132+$H2132-1)</f>
        <v/>
      </c>
      <c r="G2132" s="18" t="n"/>
      <c r="H2132" s="18">
        <f>IF($A2132="","",IF(I2132&lt;&gt;"",I2132,Paramètres!B26))</f>
        <v/>
      </c>
      <c r="I2132" s="18" t="n"/>
    </row>
    <row r="2133">
      <c r="A2133" s="18">
        <f>IF(ISNUMBER(Dossiers!$D$43),Dossiers!$A$43&amp;" · "&amp;Dossiers!$B$43,"")</f>
        <v/>
      </c>
      <c r="B2133" s="18">
        <f>IF($A2133="","",Paramètres!G27)</f>
        <v/>
      </c>
      <c r="C2133" s="18">
        <f>IF($A2133="","",IF(Paramètres!H27="","",Paramètres!H27))</f>
        <v/>
      </c>
      <c r="D2133" s="18">
        <f>IF($A2133="","",IF(Paramètres!I27="","",Paramètres!I27))</f>
        <v/>
      </c>
      <c r="E2133" s="19">
        <f>IF($A2133="","",IF(Paramètres!J27&amp;Paramètres!L27&amp;Paramètres!N27="",Dossiers!$D$43,MAX(IF(Paramètres!J27="",0,IF(Paramètres!K27="",NA(),IF(LEFT(TRIM(Paramètres!K27),1)="F",INDEX($F$2111:$F$2163,MATCH(Paramètres!J27,Paramètres!$G$5:$G$57,0)),INDEX($E$2111:$E$2163,MATCH(Paramètres!J27,Paramètres!$G$5:$G$57,0)))+IF(RIGHT(TRIM(Paramètres!K27),3)="Fin",1-$H2133,IF(LEFT(TRIM(Paramètres!K27),1)="F",1,0)))),IF(Paramètres!L27="",0,IF(Paramètres!M27="",NA(),IF(LEFT(TRIM(Paramètres!M27),1)="F",INDEX($F$2111:$F$2163,MATCH(Paramètres!L27,Paramètres!$G$5:$G$57,0)),INDEX($E$2111:$E$2163,MATCH(Paramètres!L27,Paramètres!$G$5:$G$57,0)))+IF(RIGHT(TRIM(Paramètres!M27),3)="Fin",1-$H2133,IF(LEFT(TRIM(Paramètres!M27),1)="F",1,0)))),IF(Paramètres!N27="",0,IF(Paramètres!O27="",NA(),IF(LEFT(TRIM(Paramètres!O27),1)="F",INDEX($F$2111:$F$2163,MATCH(Paramètres!N27,Paramètres!$G$5:$G$57,0)),INDEX($E$2111:$E$2163,MATCH(Paramètres!N27,Paramètres!$G$5:$G$57,0)))+IF(RIGHT(TRIM(Paramètres!O27),3)="Fin",1-$H2133,IF(LEFT(TRIM(Paramètres!O27),1)="F",1,0)))))))</f>
        <v/>
      </c>
      <c r="F2133" s="19">
        <f>IF($A2133="","",E2133+$H2133-1)</f>
        <v/>
      </c>
      <c r="G2133" s="18" t="n"/>
      <c r="H2133" s="18">
        <f>IF($A2133="","",IF(I2133&lt;&gt;"",I2133,Paramètres!B27))</f>
        <v/>
      </c>
      <c r="I2133" s="18" t="n"/>
    </row>
    <row r="2134">
      <c r="A2134" s="18">
        <f>IF(ISNUMBER(Dossiers!$D$43),Dossiers!$A$43&amp;" · "&amp;Dossiers!$B$43,"")</f>
        <v/>
      </c>
      <c r="B2134" s="18">
        <f>IF($A2134="","",Paramètres!G28)</f>
        <v/>
      </c>
      <c r="C2134" s="18">
        <f>IF($A2134="","",IF(Paramètres!H28="","",Paramètres!H28))</f>
        <v/>
      </c>
      <c r="D2134" s="18">
        <f>IF($A2134="","",IF(Paramètres!I28="","",Paramètres!I28))</f>
        <v/>
      </c>
      <c r="E2134" s="19">
        <f>IF($A2134="","",IF(Paramètres!J28&amp;Paramètres!L28&amp;Paramètres!N28="",Dossiers!$D$43,MAX(IF(Paramètres!J28="",0,IF(Paramètres!K28="",NA(),IF(LEFT(TRIM(Paramètres!K28),1)="F",INDEX($F$2111:$F$2163,MATCH(Paramètres!J28,Paramètres!$G$5:$G$57,0)),INDEX($E$2111:$E$2163,MATCH(Paramètres!J28,Paramètres!$G$5:$G$57,0)))+IF(RIGHT(TRIM(Paramètres!K28),3)="Fin",1-$H2134,IF(LEFT(TRIM(Paramètres!K28),1)="F",1,0)))),IF(Paramètres!L28="",0,IF(Paramètres!M28="",NA(),IF(LEFT(TRIM(Paramètres!M28),1)="F",INDEX($F$2111:$F$2163,MATCH(Paramètres!L28,Paramètres!$G$5:$G$57,0)),INDEX($E$2111:$E$2163,MATCH(Paramètres!L28,Paramètres!$G$5:$G$57,0)))+IF(RIGHT(TRIM(Paramètres!M28),3)="Fin",1-$H2134,IF(LEFT(TRIM(Paramètres!M28),1)="F",1,0)))),IF(Paramètres!N28="",0,IF(Paramètres!O28="",NA(),IF(LEFT(TRIM(Paramètres!O28),1)="F",INDEX($F$2111:$F$2163,MATCH(Paramètres!N28,Paramètres!$G$5:$G$57,0)),INDEX($E$2111:$E$2163,MATCH(Paramètres!N28,Paramètres!$G$5:$G$57,0)))+IF(RIGHT(TRIM(Paramètres!O28),3)="Fin",1-$H2134,IF(LEFT(TRIM(Paramètres!O28),1)="F",1,0)))))))</f>
        <v/>
      </c>
      <c r="F2134" s="19">
        <f>IF($A2134="","",E2134+$H2134-1)</f>
        <v/>
      </c>
      <c r="G2134" s="18" t="n"/>
      <c r="H2134" s="18">
        <f>IF($A2134="","",IF(I2134&lt;&gt;"",I2134,Paramètres!B28))</f>
        <v/>
      </c>
      <c r="I2134" s="18" t="n"/>
    </row>
    <row r="2135">
      <c r="A2135" s="18">
        <f>IF(ISNUMBER(Dossiers!$D$43),Dossiers!$A$43&amp;" · "&amp;Dossiers!$B$43,"")</f>
        <v/>
      </c>
      <c r="B2135" s="18">
        <f>IF($A2135="","",Paramètres!G29)</f>
        <v/>
      </c>
      <c r="C2135" s="18">
        <f>IF($A2135="","",IF(Paramètres!H29="","",Paramètres!H29))</f>
        <v/>
      </c>
      <c r="D2135" s="18">
        <f>IF($A2135="","",IF(Paramètres!I29="","",Paramètres!I29))</f>
        <v/>
      </c>
      <c r="E2135" s="19">
        <f>IF($A2135="","",IF(Paramètres!J29&amp;Paramètres!L29&amp;Paramètres!N29="",Dossiers!$D$43,MAX(IF(Paramètres!J29="",0,IF(Paramètres!K29="",NA(),IF(LEFT(TRIM(Paramètres!K29),1)="F",INDEX($F$2111:$F$2163,MATCH(Paramètres!J29,Paramètres!$G$5:$G$57,0)),INDEX($E$2111:$E$2163,MATCH(Paramètres!J29,Paramètres!$G$5:$G$57,0)))+IF(RIGHT(TRIM(Paramètres!K29),3)="Fin",1-$H2135,IF(LEFT(TRIM(Paramètres!K29),1)="F",1,0)))),IF(Paramètres!L29="",0,IF(Paramètres!M29="",NA(),IF(LEFT(TRIM(Paramètres!M29),1)="F",INDEX($F$2111:$F$2163,MATCH(Paramètres!L29,Paramètres!$G$5:$G$57,0)),INDEX($E$2111:$E$2163,MATCH(Paramètres!L29,Paramètres!$G$5:$G$57,0)))+IF(RIGHT(TRIM(Paramètres!M29),3)="Fin",1-$H2135,IF(LEFT(TRIM(Paramètres!M29),1)="F",1,0)))),IF(Paramètres!N29="",0,IF(Paramètres!O29="",NA(),IF(LEFT(TRIM(Paramètres!O29),1)="F",INDEX($F$2111:$F$2163,MATCH(Paramètres!N29,Paramètres!$G$5:$G$57,0)),INDEX($E$2111:$E$2163,MATCH(Paramètres!N29,Paramètres!$G$5:$G$57,0)))+IF(RIGHT(TRIM(Paramètres!O29),3)="Fin",1-$H2135,IF(LEFT(TRIM(Paramètres!O29),1)="F",1,0)))))))</f>
        <v/>
      </c>
      <c r="F2135" s="19">
        <f>IF($A2135="","",E2135+$H2135-1)</f>
        <v/>
      </c>
      <c r="G2135" s="18" t="n"/>
      <c r="H2135" s="18">
        <f>IF($A2135="","",IF(I2135&lt;&gt;"",I2135,Paramètres!B29))</f>
        <v/>
      </c>
      <c r="I2135" s="18" t="n"/>
    </row>
    <row r="2136">
      <c r="A2136" s="18">
        <f>IF(ISNUMBER(Dossiers!$D$43),Dossiers!$A$43&amp;" · "&amp;Dossiers!$B$43,"")</f>
        <v/>
      </c>
      <c r="B2136" s="18">
        <f>IF($A2136="","",Paramètres!G30)</f>
        <v/>
      </c>
      <c r="C2136" s="18">
        <f>IF($A2136="","",IF(Paramètres!H30="","",Paramètres!H30))</f>
        <v/>
      </c>
      <c r="D2136" s="18">
        <f>IF($A2136="","",IF(Paramètres!I30="","",Paramètres!I30))</f>
        <v/>
      </c>
      <c r="E2136" s="19">
        <f>IF($A2136="","",IF(Paramètres!J30&amp;Paramètres!L30&amp;Paramètres!N30="",Dossiers!$D$43,MAX(IF(Paramètres!J30="",0,IF(Paramètres!K30="",NA(),IF(LEFT(TRIM(Paramètres!K30),1)="F",INDEX($F$2111:$F$2163,MATCH(Paramètres!J30,Paramètres!$G$5:$G$57,0)),INDEX($E$2111:$E$2163,MATCH(Paramètres!J30,Paramètres!$G$5:$G$57,0)))+IF(RIGHT(TRIM(Paramètres!K30),3)="Fin",1-$H2136,IF(LEFT(TRIM(Paramètres!K30),1)="F",1,0)))),IF(Paramètres!L30="",0,IF(Paramètres!M30="",NA(),IF(LEFT(TRIM(Paramètres!M30),1)="F",INDEX($F$2111:$F$2163,MATCH(Paramètres!L30,Paramètres!$G$5:$G$57,0)),INDEX($E$2111:$E$2163,MATCH(Paramètres!L30,Paramètres!$G$5:$G$57,0)))+IF(RIGHT(TRIM(Paramètres!M30),3)="Fin",1-$H2136,IF(LEFT(TRIM(Paramètres!M30),1)="F",1,0)))),IF(Paramètres!N30="",0,IF(Paramètres!O30="",NA(),IF(LEFT(TRIM(Paramètres!O30),1)="F",INDEX($F$2111:$F$2163,MATCH(Paramètres!N30,Paramètres!$G$5:$G$57,0)),INDEX($E$2111:$E$2163,MATCH(Paramètres!N30,Paramètres!$G$5:$G$57,0)))+IF(RIGHT(TRIM(Paramètres!O30),3)="Fin",1-$H2136,IF(LEFT(TRIM(Paramètres!O30),1)="F",1,0)))))))</f>
        <v/>
      </c>
      <c r="F2136" s="19">
        <f>IF($A2136="","",E2136+$H2136-1)</f>
        <v/>
      </c>
      <c r="G2136" s="18" t="n"/>
      <c r="H2136" s="18">
        <f>IF($A2136="","",IF(I2136&lt;&gt;"",I2136,Paramètres!B30))</f>
        <v/>
      </c>
      <c r="I2136" s="18" t="n"/>
    </row>
    <row r="2137">
      <c r="A2137" s="18">
        <f>IF(ISNUMBER(Dossiers!$D$43),Dossiers!$A$43&amp;" · "&amp;Dossiers!$B$43,"")</f>
        <v/>
      </c>
      <c r="B2137" s="18">
        <f>IF($A2137="","",Paramètres!G31)</f>
        <v/>
      </c>
      <c r="C2137" s="20">
        <f>IF($A2137="","",IF(Dossiers!$F$43="","",Dossiers!$F$43))</f>
        <v/>
      </c>
      <c r="D2137" s="18">
        <f>IF($A2137="","",IF(Paramètres!I31="","",Paramètres!I31))</f>
        <v/>
      </c>
      <c r="E2137" s="19">
        <f>IF($A2137="","",IF(Paramètres!J31&amp;Paramètres!L31&amp;Paramètres!N31="",Dossiers!$D$43,MAX(IF(Paramètres!J31="",0,IF(Paramètres!K31="",NA(),IF(LEFT(TRIM(Paramètres!K31),1)="F",INDEX($F$2111:$F$2163,MATCH(Paramètres!J31,Paramètres!$G$5:$G$57,0)),INDEX($E$2111:$E$2163,MATCH(Paramètres!J31,Paramètres!$G$5:$G$57,0)))+IF(RIGHT(TRIM(Paramètres!K31),3)="Fin",1-$H2137,IF(LEFT(TRIM(Paramètres!K31),1)="F",1,0)))),IF(Paramètres!L31="",0,IF(Paramètres!M31="",NA(),IF(LEFT(TRIM(Paramètres!M31),1)="F",INDEX($F$2111:$F$2163,MATCH(Paramètres!L31,Paramètres!$G$5:$G$57,0)),INDEX($E$2111:$E$2163,MATCH(Paramètres!L31,Paramètres!$G$5:$G$57,0)))+IF(RIGHT(TRIM(Paramètres!M31),3)="Fin",1-$H2137,IF(LEFT(TRIM(Paramètres!M31),1)="F",1,0)))),IF(Paramètres!N31="",0,IF(Paramètres!O31="",NA(),IF(LEFT(TRIM(Paramètres!O31),1)="F",INDEX($F$2111:$F$2163,MATCH(Paramètres!N31,Paramètres!$G$5:$G$57,0)),INDEX($E$2111:$E$2163,MATCH(Paramètres!N31,Paramètres!$G$5:$G$57,0)))+IF(RIGHT(TRIM(Paramètres!O31),3)="Fin",1-$H2137,IF(LEFT(TRIM(Paramètres!O31),1)="F",1,0)))))))</f>
        <v/>
      </c>
      <c r="F2137" s="19">
        <f>IF($A2137="","",E2137+$H2137-1)</f>
        <v/>
      </c>
      <c r="G2137" s="18" t="n"/>
      <c r="H2137" s="18">
        <f>IF($A2137="","",IF(I2137&lt;&gt;"",I2137,Paramètres!B31))</f>
        <v/>
      </c>
      <c r="I2137" s="18" t="n"/>
    </row>
    <row r="2138">
      <c r="A2138" s="18">
        <f>IF(ISNUMBER(Dossiers!$D$43),Dossiers!$A$43&amp;" · "&amp;Dossiers!$B$43,"")</f>
        <v/>
      </c>
      <c r="B2138" s="18">
        <f>IF($A2138="","",Paramètres!G32)</f>
        <v/>
      </c>
      <c r="C2138" s="18">
        <f>IF($A2138="","",IF(Paramètres!H32="","",Paramètres!H32))</f>
        <v/>
      </c>
      <c r="D2138" s="18">
        <f>IF($A2138="","",IF(Paramètres!I32="","",Paramètres!I32))</f>
        <v/>
      </c>
      <c r="E2138" s="19">
        <f>IF($A2138="","",MIN(E2139:E2142))</f>
        <v/>
      </c>
      <c r="F2138" s="19">
        <f>IF($A2138="","",MAX(F2139:F2142))</f>
        <v/>
      </c>
      <c r="G2138" s="18" t="n"/>
      <c r="H2138" s="18">
        <f>IF($A2138="","",F2138-E2138+1)</f>
        <v/>
      </c>
      <c r="I2138" s="18" t="n"/>
    </row>
    <row r="2139">
      <c r="A2139" s="18">
        <f>IF(ISNUMBER(Dossiers!$D$43),Dossiers!$A$43&amp;" · "&amp;Dossiers!$B$43,"")</f>
        <v/>
      </c>
      <c r="B2139" s="18">
        <f>IF($A2139="","",Paramètres!G33)</f>
        <v/>
      </c>
      <c r="C2139" s="18">
        <f>IF($A2139="","",IF(Paramètres!H33="","",Paramètres!H33))</f>
        <v/>
      </c>
      <c r="D2139" s="18">
        <f>IF($A2139="","",IF(Paramètres!I33="","",Paramètres!I33))</f>
        <v/>
      </c>
      <c r="E2139" s="19">
        <f>IF($A2139="","",IF(Paramètres!J33&amp;Paramètres!L33&amp;Paramètres!N33="",Dossiers!$D$43,MAX(IF(Paramètres!J33="",0,IF(Paramètres!K33="",NA(),IF(LEFT(TRIM(Paramètres!K33),1)="F",INDEX($F$2111:$F$2163,MATCH(Paramètres!J33,Paramètres!$G$5:$G$57,0)),INDEX($E$2111:$E$2163,MATCH(Paramètres!J33,Paramètres!$G$5:$G$57,0)))+IF(RIGHT(TRIM(Paramètres!K33),3)="Fin",1-$H2139,IF(LEFT(TRIM(Paramètres!K33),1)="F",1,0)))),IF(Paramètres!L33="",0,IF(Paramètres!M33="",NA(),IF(LEFT(TRIM(Paramètres!M33),1)="F",INDEX($F$2111:$F$2163,MATCH(Paramètres!L33,Paramètres!$G$5:$G$57,0)),INDEX($E$2111:$E$2163,MATCH(Paramètres!L33,Paramètres!$G$5:$G$57,0)))+IF(RIGHT(TRIM(Paramètres!M33),3)="Fin",1-$H2139,IF(LEFT(TRIM(Paramètres!M33),1)="F",1,0)))),IF(Paramètres!N33="",0,IF(Paramètres!O33="",NA(),IF(LEFT(TRIM(Paramètres!O33),1)="F",INDEX($F$2111:$F$2163,MATCH(Paramètres!N33,Paramètres!$G$5:$G$57,0)),INDEX($E$2111:$E$2163,MATCH(Paramètres!N33,Paramètres!$G$5:$G$57,0)))+IF(RIGHT(TRIM(Paramètres!O33),3)="Fin",1-$H2139,IF(LEFT(TRIM(Paramètres!O33),1)="F",1,0)))))))</f>
        <v/>
      </c>
      <c r="F2139" s="19">
        <f>IF($A2139="","",E2139+$H2139-1)</f>
        <v/>
      </c>
      <c r="G2139" s="18" t="n"/>
      <c r="H2139" s="18">
        <f>IF($A2139="","",IF(I2139&lt;&gt;"",I2139,Paramètres!B33))</f>
        <v/>
      </c>
      <c r="I2139" s="18" t="n"/>
    </row>
    <row r="2140">
      <c r="A2140" s="18">
        <f>IF(ISNUMBER(Dossiers!$D$43),Dossiers!$A$43&amp;" · "&amp;Dossiers!$B$43,"")</f>
        <v/>
      </c>
      <c r="B2140" s="18">
        <f>IF($A2140="","",Paramètres!G34)</f>
        <v/>
      </c>
      <c r="C2140" s="18">
        <f>IF($A2140="","",IF(Paramètres!H34="","",Paramètres!H34))</f>
        <v/>
      </c>
      <c r="D2140" s="18">
        <f>IF($A2140="","",IF(Paramètres!I34="","",Paramètres!I34))</f>
        <v/>
      </c>
      <c r="E2140" s="19">
        <f>IF($A2140="","",IF(Paramètres!J34&amp;Paramètres!L34&amp;Paramètres!N34="",Dossiers!$D$43,MAX(IF(Paramètres!J34="",0,IF(Paramètres!K34="",NA(),IF(LEFT(TRIM(Paramètres!K34),1)="F",INDEX($F$2111:$F$2163,MATCH(Paramètres!J34,Paramètres!$G$5:$G$57,0)),INDEX($E$2111:$E$2163,MATCH(Paramètres!J34,Paramètres!$G$5:$G$57,0)))+IF(RIGHT(TRIM(Paramètres!K34),3)="Fin",1-$H2140,IF(LEFT(TRIM(Paramètres!K34),1)="F",1,0)))),IF(Paramètres!L34="",0,IF(Paramètres!M34="",NA(),IF(LEFT(TRIM(Paramètres!M34),1)="F",INDEX($F$2111:$F$2163,MATCH(Paramètres!L34,Paramètres!$G$5:$G$57,0)),INDEX($E$2111:$E$2163,MATCH(Paramètres!L34,Paramètres!$G$5:$G$57,0)))+IF(RIGHT(TRIM(Paramètres!M34),3)="Fin",1-$H2140,IF(LEFT(TRIM(Paramètres!M34),1)="F",1,0)))),IF(Paramètres!N34="",0,IF(Paramètres!O34="",NA(),IF(LEFT(TRIM(Paramètres!O34),1)="F",INDEX($F$2111:$F$2163,MATCH(Paramètres!N34,Paramètres!$G$5:$G$57,0)),INDEX($E$2111:$E$2163,MATCH(Paramètres!N34,Paramètres!$G$5:$G$57,0)))+IF(RIGHT(TRIM(Paramètres!O34),3)="Fin",1-$H2140,IF(LEFT(TRIM(Paramètres!O34),1)="F",1,0)))))))</f>
        <v/>
      </c>
      <c r="F2140" s="19">
        <f>IF($A2140="","",E2140+$H2140-1)</f>
        <v/>
      </c>
      <c r="G2140" s="18" t="n"/>
      <c r="H2140" s="18">
        <f>IF($A2140="","",IF(I2140&lt;&gt;"",I2140,Paramètres!B34))</f>
        <v/>
      </c>
      <c r="I2140" s="18" t="n"/>
    </row>
    <row r="2141">
      <c r="A2141" s="18">
        <f>IF(ISNUMBER(Dossiers!$D$43),Dossiers!$A$43&amp;" · "&amp;Dossiers!$B$43,"")</f>
        <v/>
      </c>
      <c r="B2141" s="18">
        <f>IF($A2141="","",Paramètres!G35)</f>
        <v/>
      </c>
      <c r="C2141" s="18">
        <f>IF($A2141="","",IF(Paramètres!H35="","",Paramètres!H35))</f>
        <v/>
      </c>
      <c r="D2141" s="18">
        <f>IF($A2141="","",IF(Paramètres!I35="","",Paramètres!I35))</f>
        <v/>
      </c>
      <c r="E2141" s="19">
        <f>IF($A2141="","",IF(Paramètres!J35&amp;Paramètres!L35&amp;Paramètres!N35="",Dossiers!$D$43,MAX(IF(Paramètres!J35="",0,IF(Paramètres!K35="",NA(),IF(LEFT(TRIM(Paramètres!K35),1)="F",INDEX($F$2111:$F$2163,MATCH(Paramètres!J35,Paramètres!$G$5:$G$57,0)),INDEX($E$2111:$E$2163,MATCH(Paramètres!J35,Paramètres!$G$5:$G$57,0)))+IF(RIGHT(TRIM(Paramètres!K35),3)="Fin",1-$H2141,IF(LEFT(TRIM(Paramètres!K35),1)="F",1,0)))),IF(Paramètres!L35="",0,IF(Paramètres!M35="",NA(),IF(LEFT(TRIM(Paramètres!M35),1)="F",INDEX($F$2111:$F$2163,MATCH(Paramètres!L35,Paramètres!$G$5:$G$57,0)),INDEX($E$2111:$E$2163,MATCH(Paramètres!L35,Paramètres!$G$5:$G$57,0)))+IF(RIGHT(TRIM(Paramètres!M35),3)="Fin",1-$H2141,IF(LEFT(TRIM(Paramètres!M35),1)="F",1,0)))),IF(Paramètres!N35="",0,IF(Paramètres!O35="",NA(),IF(LEFT(TRIM(Paramètres!O35),1)="F",INDEX($F$2111:$F$2163,MATCH(Paramètres!N35,Paramètres!$G$5:$G$57,0)),INDEX($E$2111:$E$2163,MATCH(Paramètres!N35,Paramètres!$G$5:$G$57,0)))+IF(RIGHT(TRIM(Paramètres!O35),3)="Fin",1-$H2141,IF(LEFT(TRIM(Paramètres!O35),1)="F",1,0)))))))</f>
        <v/>
      </c>
      <c r="F2141" s="19">
        <f>IF($A2141="","",E2141+$H2141-1)</f>
        <v/>
      </c>
      <c r="G2141" s="18" t="n"/>
      <c r="H2141" s="18">
        <f>IF($A2141="","",IF(I2141&lt;&gt;"",I2141,Paramètres!B35))</f>
        <v/>
      </c>
      <c r="I2141" s="18" t="n"/>
    </row>
    <row r="2142">
      <c r="A2142" s="18">
        <f>IF(ISNUMBER(Dossiers!$D$43),Dossiers!$A$43&amp;" · "&amp;Dossiers!$B$43,"")</f>
        <v/>
      </c>
      <c r="B2142" s="18">
        <f>IF($A2142="","",Paramètres!G36)</f>
        <v/>
      </c>
      <c r="C2142" s="18">
        <f>IF($A2142="","",IF(Paramètres!H36="","",Paramètres!H36))</f>
        <v/>
      </c>
      <c r="D2142" s="18">
        <f>IF($A2142="","",IF(Paramètres!I36="","",Paramètres!I36))</f>
        <v/>
      </c>
      <c r="E2142" s="19">
        <f>IF($A2142="","",IF(Paramètres!J36&amp;Paramètres!L36&amp;Paramètres!N36="",Dossiers!$D$43,MAX(IF(Paramètres!J36="",0,IF(Paramètres!K36="",NA(),IF(LEFT(TRIM(Paramètres!K36),1)="F",INDEX($F$2111:$F$2163,MATCH(Paramètres!J36,Paramètres!$G$5:$G$57,0)),INDEX($E$2111:$E$2163,MATCH(Paramètres!J36,Paramètres!$G$5:$G$57,0)))+IF(RIGHT(TRIM(Paramètres!K36),3)="Fin",1-$H2142,IF(LEFT(TRIM(Paramètres!K36),1)="F",1,0)))),IF(Paramètres!L36="",0,IF(Paramètres!M36="",NA(),IF(LEFT(TRIM(Paramètres!M36),1)="F",INDEX($F$2111:$F$2163,MATCH(Paramètres!L36,Paramètres!$G$5:$G$57,0)),INDEX($E$2111:$E$2163,MATCH(Paramètres!L36,Paramètres!$G$5:$G$57,0)))+IF(RIGHT(TRIM(Paramètres!M36),3)="Fin",1-$H2142,IF(LEFT(TRIM(Paramètres!M36),1)="F",1,0)))),IF(Paramètres!N36="",0,IF(Paramètres!O36="",NA(),IF(LEFT(TRIM(Paramètres!O36),1)="F",INDEX($F$2111:$F$2163,MATCH(Paramètres!N36,Paramètres!$G$5:$G$57,0)),INDEX($E$2111:$E$2163,MATCH(Paramètres!N36,Paramètres!$G$5:$G$57,0)))+IF(RIGHT(TRIM(Paramètres!O36),3)="Fin",1-$H2142,IF(LEFT(TRIM(Paramètres!O36),1)="F",1,0)))))))</f>
        <v/>
      </c>
      <c r="F2142" s="19">
        <f>IF($A2142="","",E2142+$H2142-1)</f>
        <v/>
      </c>
      <c r="G2142" s="18" t="n"/>
      <c r="H2142" s="18">
        <f>IF($A2142="","",IF(I2142&lt;&gt;"",I2142,Paramètres!B36))</f>
        <v/>
      </c>
      <c r="I2142" s="18" t="n"/>
    </row>
    <row r="2143">
      <c r="A2143" s="18">
        <f>IF(ISNUMBER(Dossiers!$D$43),Dossiers!$A$43&amp;" · "&amp;Dossiers!$B$43,"")</f>
        <v/>
      </c>
      <c r="B2143" s="18">
        <f>IF($A2143="","",Paramètres!G37)</f>
        <v/>
      </c>
      <c r="C2143" s="18">
        <f>IF($A2143="","",IF(Paramètres!H37="","",Paramètres!H37))</f>
        <v/>
      </c>
      <c r="D2143" s="18">
        <f>IF($A2143="","",IF(Paramètres!I37="","",Paramètres!I37))</f>
        <v/>
      </c>
      <c r="E2143" s="19">
        <f>IF($A2143="","",MIN(E2144:E2161))</f>
        <v/>
      </c>
      <c r="F2143" s="19">
        <f>IF($A2143="","",MAX(F2144:F2161))</f>
        <v/>
      </c>
      <c r="G2143" s="18" t="n"/>
      <c r="H2143" s="18">
        <f>IF($A2143="","",F2143-E2143+1)</f>
        <v/>
      </c>
      <c r="I2143" s="18" t="n"/>
    </row>
    <row r="2144">
      <c r="A2144" s="18">
        <f>IF(ISNUMBER(Dossiers!$D$43),Dossiers!$A$43&amp;" · "&amp;Dossiers!$B$43,"")</f>
        <v/>
      </c>
      <c r="B2144" s="18">
        <f>IF($A2144="","",Paramètres!G38)</f>
        <v/>
      </c>
      <c r="C2144" s="18">
        <f>IF($A2144="","",IF(Paramètres!H38="","",Paramètres!H38))</f>
        <v/>
      </c>
      <c r="D2144" s="18">
        <f>IF($A2144="","",IF(Paramètres!I38="","",Paramètres!I38))</f>
        <v/>
      </c>
      <c r="E2144" s="19">
        <f>IF($A2144="","",IF(Paramètres!J38&amp;Paramètres!L38&amp;Paramètres!N38="",Dossiers!$D$43,MAX(IF(Paramètres!J38="",0,IF(Paramètres!K38="",NA(),IF(LEFT(TRIM(Paramètres!K38),1)="F",INDEX($F$2111:$F$2163,MATCH(Paramètres!J38,Paramètres!$G$5:$G$57,0)),INDEX($E$2111:$E$2163,MATCH(Paramètres!J38,Paramètres!$G$5:$G$57,0)))+IF(RIGHT(TRIM(Paramètres!K38),3)="Fin",1-$H2144,IF(LEFT(TRIM(Paramètres!K38),1)="F",1,0)))),IF(Paramètres!L38="",0,IF(Paramètres!M38="",NA(),IF(LEFT(TRIM(Paramètres!M38),1)="F",INDEX($F$2111:$F$2163,MATCH(Paramètres!L38,Paramètres!$G$5:$G$57,0)),INDEX($E$2111:$E$2163,MATCH(Paramètres!L38,Paramètres!$G$5:$G$57,0)))+IF(RIGHT(TRIM(Paramètres!M38),3)="Fin",1-$H2144,IF(LEFT(TRIM(Paramètres!M38),1)="F",1,0)))),IF(Paramètres!N38="",0,IF(Paramètres!O38="",NA(),IF(LEFT(TRIM(Paramètres!O38),1)="F",INDEX($F$2111:$F$2163,MATCH(Paramètres!N38,Paramètres!$G$5:$G$57,0)),INDEX($E$2111:$E$2163,MATCH(Paramètres!N38,Paramètres!$G$5:$G$57,0)))+IF(RIGHT(TRIM(Paramètres!O38),3)="Fin",1-$H2144,IF(LEFT(TRIM(Paramètres!O38),1)="F",1,0)))))))</f>
        <v/>
      </c>
      <c r="F2144" s="19">
        <f>IF($A2144="","",E2144+$H2144-1)</f>
        <v/>
      </c>
      <c r="G2144" s="18" t="n"/>
      <c r="H2144" s="18">
        <f>IF($A2144="","",IF(I2144&lt;&gt;"",I2144,Paramètres!B38))</f>
        <v/>
      </c>
      <c r="I2144" s="18" t="n"/>
    </row>
    <row r="2145">
      <c r="A2145" s="18">
        <f>IF(ISNUMBER(Dossiers!$D$43),Dossiers!$A$43&amp;" · "&amp;Dossiers!$B$43,"")</f>
        <v/>
      </c>
      <c r="B2145" s="18">
        <f>IF($A2145="","",Paramètres!G39)</f>
        <v/>
      </c>
      <c r="C2145" s="18">
        <f>IF($A2145="","",IF(Paramètres!H39="","",Paramètres!H39))</f>
        <v/>
      </c>
      <c r="D2145" s="18">
        <f>IF($A2145="","",IF(Paramètres!I39="","",Paramètres!I39))</f>
        <v/>
      </c>
      <c r="E2145" s="19">
        <f>IF($A2145="","",IF(Paramètres!J39&amp;Paramètres!L39&amp;Paramètres!N39="",Dossiers!$D$43,MAX(IF(Paramètres!J39="",0,IF(Paramètres!K39="",NA(),IF(LEFT(TRIM(Paramètres!K39),1)="F",INDEX($F$2111:$F$2163,MATCH(Paramètres!J39,Paramètres!$G$5:$G$57,0)),INDEX($E$2111:$E$2163,MATCH(Paramètres!J39,Paramètres!$G$5:$G$57,0)))+IF(RIGHT(TRIM(Paramètres!K39),3)="Fin",1-$H2145,IF(LEFT(TRIM(Paramètres!K39),1)="F",1,0)))),IF(Paramètres!L39="",0,IF(Paramètres!M39="",NA(),IF(LEFT(TRIM(Paramètres!M39),1)="F",INDEX($F$2111:$F$2163,MATCH(Paramètres!L39,Paramètres!$G$5:$G$57,0)),INDEX($E$2111:$E$2163,MATCH(Paramètres!L39,Paramètres!$G$5:$G$57,0)))+IF(RIGHT(TRIM(Paramètres!M39),3)="Fin",1-$H2145,IF(LEFT(TRIM(Paramètres!M39),1)="F",1,0)))),IF(Paramètres!N39="",0,IF(Paramètres!O39="",NA(),IF(LEFT(TRIM(Paramètres!O39),1)="F",INDEX($F$2111:$F$2163,MATCH(Paramètres!N39,Paramètres!$G$5:$G$57,0)),INDEX($E$2111:$E$2163,MATCH(Paramètres!N39,Paramètres!$G$5:$G$57,0)))+IF(RIGHT(TRIM(Paramètres!O39),3)="Fin",1-$H2145,IF(LEFT(TRIM(Paramètres!O39),1)="F",1,0)))))))</f>
        <v/>
      </c>
      <c r="F2145" s="19">
        <f>IF($A2145="","",E2145+$H2145-1)</f>
        <v/>
      </c>
      <c r="G2145" s="18" t="n"/>
      <c r="H2145" s="18">
        <f>IF($A2145="","",IF(I2145&lt;&gt;"",I2145,Paramètres!B39))</f>
        <v/>
      </c>
      <c r="I2145" s="18" t="n"/>
    </row>
    <row r="2146">
      <c r="A2146" s="18">
        <f>IF(ISNUMBER(Dossiers!$D$43),Dossiers!$A$43&amp;" · "&amp;Dossiers!$B$43,"")</f>
        <v/>
      </c>
      <c r="B2146" s="18">
        <f>IF($A2146="","",Paramètres!G40)</f>
        <v/>
      </c>
      <c r="C2146" s="18">
        <f>IF($A2146="","",IF(Paramètres!H40="","",Paramètres!H40))</f>
        <v/>
      </c>
      <c r="D2146" s="18">
        <f>IF($A2146="","",IF(Paramètres!I40="","",Paramètres!I40))</f>
        <v/>
      </c>
      <c r="E2146" s="19">
        <f>IF($A2146="","",IF(Paramètres!J40&amp;Paramètres!L40&amp;Paramètres!N40="",Dossiers!$D$43,MAX(IF(Paramètres!J40="",0,IF(Paramètres!K40="",NA(),IF(LEFT(TRIM(Paramètres!K40),1)="F",INDEX($F$2111:$F$2163,MATCH(Paramètres!J40,Paramètres!$G$5:$G$57,0)),INDEX($E$2111:$E$2163,MATCH(Paramètres!J40,Paramètres!$G$5:$G$57,0)))+IF(RIGHT(TRIM(Paramètres!K40),3)="Fin",1-$H2146,IF(LEFT(TRIM(Paramètres!K40),1)="F",1,0)))),IF(Paramètres!L40="",0,IF(Paramètres!M40="",NA(),IF(LEFT(TRIM(Paramètres!M40),1)="F",INDEX($F$2111:$F$2163,MATCH(Paramètres!L40,Paramètres!$G$5:$G$57,0)),INDEX($E$2111:$E$2163,MATCH(Paramètres!L40,Paramètres!$G$5:$G$57,0)))+IF(RIGHT(TRIM(Paramètres!M40),3)="Fin",1-$H2146,IF(LEFT(TRIM(Paramètres!M40),1)="F",1,0)))),IF(Paramètres!N40="",0,IF(Paramètres!O40="",NA(),IF(LEFT(TRIM(Paramètres!O40),1)="F",INDEX($F$2111:$F$2163,MATCH(Paramètres!N40,Paramètres!$G$5:$G$57,0)),INDEX($E$2111:$E$2163,MATCH(Paramètres!N40,Paramètres!$G$5:$G$57,0)))+IF(RIGHT(TRIM(Paramètres!O40),3)="Fin",1-$H2146,IF(LEFT(TRIM(Paramètres!O40),1)="F",1,0)))))))</f>
        <v/>
      </c>
      <c r="F2146" s="19">
        <f>IF($A2146="","",E2146+$H2146-1)</f>
        <v/>
      </c>
      <c r="G2146" s="18" t="n"/>
      <c r="H2146" s="18">
        <f>IF($A2146="","",IF(I2146&lt;&gt;"",I2146,Paramètres!B40))</f>
        <v/>
      </c>
      <c r="I2146" s="18" t="n"/>
    </row>
    <row r="2147">
      <c r="A2147" s="18">
        <f>IF(ISNUMBER(Dossiers!$D$43),Dossiers!$A$43&amp;" · "&amp;Dossiers!$B$43,"")</f>
        <v/>
      </c>
      <c r="B2147" s="18">
        <f>IF($A2147="","",Paramètres!G41)</f>
        <v/>
      </c>
      <c r="C2147" s="18">
        <f>IF($A2147="","",IF(Paramètres!H41="","",Paramètres!H41))</f>
        <v/>
      </c>
      <c r="D2147" s="18">
        <f>IF($A2147="","",IF(Paramètres!I41="","",Paramètres!I41))</f>
        <v/>
      </c>
      <c r="E2147" s="19">
        <f>IF($A2147="","",IF(Paramètres!J41&amp;Paramètres!L41&amp;Paramètres!N41="",Dossiers!$D$43,MAX(IF(Paramètres!J41="",0,IF(Paramètres!K41="",NA(),IF(LEFT(TRIM(Paramètres!K41),1)="F",INDEX($F$2111:$F$2163,MATCH(Paramètres!J41,Paramètres!$G$5:$G$57,0)),INDEX($E$2111:$E$2163,MATCH(Paramètres!J41,Paramètres!$G$5:$G$57,0)))+IF(RIGHT(TRIM(Paramètres!K41),3)="Fin",1-$H2147,IF(LEFT(TRIM(Paramètres!K41),1)="F",1,0)))),IF(Paramètres!L41="",0,IF(Paramètres!M41="",NA(),IF(LEFT(TRIM(Paramètres!M41),1)="F",INDEX($F$2111:$F$2163,MATCH(Paramètres!L41,Paramètres!$G$5:$G$57,0)),INDEX($E$2111:$E$2163,MATCH(Paramètres!L41,Paramètres!$G$5:$G$57,0)))+IF(RIGHT(TRIM(Paramètres!M41),3)="Fin",1-$H2147,IF(LEFT(TRIM(Paramètres!M41),1)="F",1,0)))),IF(Paramètres!N41="",0,IF(Paramètres!O41="",NA(),IF(LEFT(TRIM(Paramètres!O41),1)="F",INDEX($F$2111:$F$2163,MATCH(Paramètres!N41,Paramètres!$G$5:$G$57,0)),INDEX($E$2111:$E$2163,MATCH(Paramètres!N41,Paramètres!$G$5:$G$57,0)))+IF(RIGHT(TRIM(Paramètres!O41),3)="Fin",1-$H2147,IF(LEFT(TRIM(Paramètres!O41),1)="F",1,0)))))))</f>
        <v/>
      </c>
      <c r="F2147" s="19">
        <f>IF($A2147="","",E2147+$H2147-1)</f>
        <v/>
      </c>
      <c r="G2147" s="18" t="n"/>
      <c r="H2147" s="18">
        <f>IF($A2147="","",IF(I2147&lt;&gt;"",I2147,Paramètres!B41))</f>
        <v/>
      </c>
      <c r="I2147" s="18" t="n"/>
    </row>
    <row r="2148">
      <c r="A2148" s="18">
        <f>IF(ISNUMBER(Dossiers!$D$43),Dossiers!$A$43&amp;" · "&amp;Dossiers!$B$43,"")</f>
        <v/>
      </c>
      <c r="B2148" s="18">
        <f>IF($A2148="","",Paramètres!G42)</f>
        <v/>
      </c>
      <c r="C2148" s="18">
        <f>IF($A2148="","",IF(Paramètres!H42="","",Paramètres!H42))</f>
        <v/>
      </c>
      <c r="D2148" s="18">
        <f>IF($A2148="","",IF(Paramètres!I42="","",Paramètres!I42))</f>
        <v/>
      </c>
      <c r="E2148" s="19">
        <f>IF($A2148="","",IF(Paramètres!J42&amp;Paramètres!L42&amp;Paramètres!N42="",Dossiers!$D$43,MAX(IF(Paramètres!J42="",0,IF(Paramètres!K42="",NA(),IF(LEFT(TRIM(Paramètres!K42),1)="F",INDEX($F$2111:$F$2163,MATCH(Paramètres!J42,Paramètres!$G$5:$G$57,0)),INDEX($E$2111:$E$2163,MATCH(Paramètres!J42,Paramètres!$G$5:$G$57,0)))+IF(RIGHT(TRIM(Paramètres!K42),3)="Fin",1-$H2148,IF(LEFT(TRIM(Paramètres!K42),1)="F",1,0)))),IF(Paramètres!L42="",0,IF(Paramètres!M42="",NA(),IF(LEFT(TRIM(Paramètres!M42),1)="F",INDEX($F$2111:$F$2163,MATCH(Paramètres!L42,Paramètres!$G$5:$G$57,0)),INDEX($E$2111:$E$2163,MATCH(Paramètres!L42,Paramètres!$G$5:$G$57,0)))+IF(RIGHT(TRIM(Paramètres!M42),3)="Fin",1-$H2148,IF(LEFT(TRIM(Paramètres!M42),1)="F",1,0)))),IF(Paramètres!N42="",0,IF(Paramètres!O42="",NA(),IF(LEFT(TRIM(Paramètres!O42),1)="F",INDEX($F$2111:$F$2163,MATCH(Paramètres!N42,Paramètres!$G$5:$G$57,0)),INDEX($E$2111:$E$2163,MATCH(Paramètres!N42,Paramètres!$G$5:$G$57,0)))+IF(RIGHT(TRIM(Paramètres!O42),3)="Fin",1-$H2148,IF(LEFT(TRIM(Paramètres!O42),1)="F",1,0)))))))</f>
        <v/>
      </c>
      <c r="F2148" s="19">
        <f>IF($A2148="","",E2148+$H2148-1)</f>
        <v/>
      </c>
      <c r="G2148" s="18" t="n"/>
      <c r="H2148" s="18">
        <f>IF($A2148="","",IF(I2148&lt;&gt;"",I2148,Paramètres!B42))</f>
        <v/>
      </c>
      <c r="I2148" s="18" t="n"/>
    </row>
    <row r="2149">
      <c r="A2149" s="18">
        <f>IF(ISNUMBER(Dossiers!$D$43),Dossiers!$A$43&amp;" · "&amp;Dossiers!$B$43,"")</f>
        <v/>
      </c>
      <c r="B2149" s="18">
        <f>IF($A2149="","",Paramètres!G43)</f>
        <v/>
      </c>
      <c r="C2149" s="18">
        <f>IF($A2149="","",IF(Paramètres!H43="","",Paramètres!H43))</f>
        <v/>
      </c>
      <c r="D2149" s="18">
        <f>IF($A2149="","",IF(Paramètres!I43="","",Paramètres!I43))</f>
        <v/>
      </c>
      <c r="E2149" s="19">
        <f>IF($A2149="","",IF(Paramètres!J43&amp;Paramètres!L43&amp;Paramètres!N43="",Dossiers!$D$43,MAX(IF(Paramètres!J43="",0,IF(Paramètres!K43="",NA(),IF(LEFT(TRIM(Paramètres!K43),1)="F",INDEX($F$2111:$F$2163,MATCH(Paramètres!J43,Paramètres!$G$5:$G$57,0)),INDEX($E$2111:$E$2163,MATCH(Paramètres!J43,Paramètres!$G$5:$G$57,0)))+IF(RIGHT(TRIM(Paramètres!K43),3)="Fin",1-$H2149,IF(LEFT(TRIM(Paramètres!K43),1)="F",1,0)))),IF(Paramètres!L43="",0,IF(Paramètres!M43="",NA(),IF(LEFT(TRIM(Paramètres!M43),1)="F",INDEX($F$2111:$F$2163,MATCH(Paramètres!L43,Paramètres!$G$5:$G$57,0)),INDEX($E$2111:$E$2163,MATCH(Paramètres!L43,Paramètres!$G$5:$G$57,0)))+IF(RIGHT(TRIM(Paramètres!M43),3)="Fin",1-$H2149,IF(LEFT(TRIM(Paramètres!M43),1)="F",1,0)))),IF(Paramètres!N43="",0,IF(Paramètres!O43="",NA(),IF(LEFT(TRIM(Paramètres!O43),1)="F",INDEX($F$2111:$F$2163,MATCH(Paramètres!N43,Paramètres!$G$5:$G$57,0)),INDEX($E$2111:$E$2163,MATCH(Paramètres!N43,Paramètres!$G$5:$G$57,0)))+IF(RIGHT(TRIM(Paramètres!O43),3)="Fin",1-$H2149,IF(LEFT(TRIM(Paramètres!O43),1)="F",1,0)))))))</f>
        <v/>
      </c>
      <c r="F2149" s="19">
        <f>IF($A2149="","",E2149+$H2149-1)</f>
        <v/>
      </c>
      <c r="G2149" s="18" t="n"/>
      <c r="H2149" s="18">
        <f>IF($A2149="","",IF(I2149&lt;&gt;"",I2149,Paramètres!B43))</f>
        <v/>
      </c>
      <c r="I2149" s="18" t="n"/>
    </row>
    <row r="2150">
      <c r="A2150" s="18">
        <f>IF(ISNUMBER(Dossiers!$D$43),Dossiers!$A$43&amp;" · "&amp;Dossiers!$B$43,"")</f>
        <v/>
      </c>
      <c r="B2150" s="18">
        <f>IF($A2150="","",Paramètres!G44)</f>
        <v/>
      </c>
      <c r="C2150" s="18">
        <f>IF($A2150="","",IF(Paramètres!H44="","",Paramètres!H44))</f>
        <v/>
      </c>
      <c r="D2150" s="18">
        <f>IF($A2150="","",IF(Paramètres!I44="","",Paramètres!I44))</f>
        <v/>
      </c>
      <c r="E2150" s="19">
        <f>IF($A2150="","",IF(Paramètres!J44&amp;Paramètres!L44&amp;Paramètres!N44="",Dossiers!$D$43,MAX(IF(Paramètres!J44="",0,IF(Paramètres!K44="",NA(),IF(LEFT(TRIM(Paramètres!K44),1)="F",INDEX($F$2111:$F$2163,MATCH(Paramètres!J44,Paramètres!$G$5:$G$57,0)),INDEX($E$2111:$E$2163,MATCH(Paramètres!J44,Paramètres!$G$5:$G$57,0)))+IF(RIGHT(TRIM(Paramètres!K44),3)="Fin",1-$H2150,IF(LEFT(TRIM(Paramètres!K44),1)="F",1,0)))),IF(Paramètres!L44="",0,IF(Paramètres!M44="",NA(),IF(LEFT(TRIM(Paramètres!M44),1)="F",INDEX($F$2111:$F$2163,MATCH(Paramètres!L44,Paramètres!$G$5:$G$57,0)),INDEX($E$2111:$E$2163,MATCH(Paramètres!L44,Paramètres!$G$5:$G$57,0)))+IF(RIGHT(TRIM(Paramètres!M44),3)="Fin",1-$H2150,IF(LEFT(TRIM(Paramètres!M44),1)="F",1,0)))),IF(Paramètres!N44="",0,IF(Paramètres!O44="",NA(),IF(LEFT(TRIM(Paramètres!O44),1)="F",INDEX($F$2111:$F$2163,MATCH(Paramètres!N44,Paramètres!$G$5:$G$57,0)),INDEX($E$2111:$E$2163,MATCH(Paramètres!N44,Paramètres!$G$5:$G$57,0)))+IF(RIGHT(TRIM(Paramètres!O44),3)="Fin",1-$H2150,IF(LEFT(TRIM(Paramètres!O44),1)="F",1,0)))))))</f>
        <v/>
      </c>
      <c r="F2150" s="19">
        <f>IF($A2150="","",E2150+$H2150-1)</f>
        <v/>
      </c>
      <c r="G2150" s="18" t="n"/>
      <c r="H2150" s="18">
        <f>IF($A2150="","",IF(I2150&lt;&gt;"",I2150,Paramètres!B44))</f>
        <v/>
      </c>
      <c r="I2150" s="18" t="n"/>
    </row>
    <row r="2151">
      <c r="A2151" s="18">
        <f>IF(ISNUMBER(Dossiers!$D$43),Dossiers!$A$43&amp;" · "&amp;Dossiers!$B$43,"")</f>
        <v/>
      </c>
      <c r="B2151" s="18">
        <f>IF($A2151="","",Paramètres!G45)</f>
        <v/>
      </c>
      <c r="C2151" s="20">
        <f>IF($A2151="","",IF(Dossiers!$G$43="","",Dossiers!$G$43))</f>
        <v/>
      </c>
      <c r="D2151" s="18">
        <f>IF($A2151="","",IF(Paramètres!I45="","",Paramètres!I45))</f>
        <v/>
      </c>
      <c r="E2151" s="19">
        <f>IF($A2151="","",IF(Paramètres!J45&amp;Paramètres!L45&amp;Paramètres!N45="",Dossiers!$D$43,MAX(IF(Paramètres!J45="",0,IF(Paramètres!K45="",NA(),IF(LEFT(TRIM(Paramètres!K45),1)="F",INDEX($F$2111:$F$2163,MATCH(Paramètres!J45,Paramètres!$G$5:$G$57,0)),INDEX($E$2111:$E$2163,MATCH(Paramètres!J45,Paramètres!$G$5:$G$57,0)))+IF(RIGHT(TRIM(Paramètres!K45),3)="Fin",1-$H2151,IF(LEFT(TRIM(Paramètres!K45),1)="F",1,0)))),IF(Paramètres!L45="",0,IF(Paramètres!M45="",NA(),IF(LEFT(TRIM(Paramètres!M45),1)="F",INDEX($F$2111:$F$2163,MATCH(Paramètres!L45,Paramètres!$G$5:$G$57,0)),INDEX($E$2111:$E$2163,MATCH(Paramètres!L45,Paramètres!$G$5:$G$57,0)))+IF(RIGHT(TRIM(Paramètres!M45),3)="Fin",1-$H2151,IF(LEFT(TRIM(Paramètres!M45),1)="F",1,0)))),IF(Paramètres!N45="",0,IF(Paramètres!O45="",NA(),IF(LEFT(TRIM(Paramètres!O45),1)="F",INDEX($F$2111:$F$2163,MATCH(Paramètres!N45,Paramètres!$G$5:$G$57,0)),INDEX($E$2111:$E$2163,MATCH(Paramètres!N45,Paramètres!$G$5:$G$57,0)))+IF(RIGHT(TRIM(Paramètres!O45),3)="Fin",1-$H2151,IF(LEFT(TRIM(Paramètres!O45),1)="F",1,0)))))))</f>
        <v/>
      </c>
      <c r="F2151" s="19">
        <f>IF($A2151="","",E2151+$H2151-1)</f>
        <v/>
      </c>
      <c r="G2151" s="18" t="n"/>
      <c r="H2151" s="18">
        <f>IF($A2151="","",IF(I2151&lt;&gt;"",I2151,Paramètres!B45))</f>
        <v/>
      </c>
      <c r="I2151" s="18" t="n"/>
    </row>
    <row r="2152">
      <c r="A2152" s="18">
        <f>IF(ISNUMBER(Dossiers!$D$43),Dossiers!$A$43&amp;" · "&amp;Dossiers!$B$43,"")</f>
        <v/>
      </c>
      <c r="B2152" s="18">
        <f>IF($A2152="","",Paramètres!G46)</f>
        <v/>
      </c>
      <c r="C2152" s="18">
        <f>IF($A2152="","",IF(Paramètres!H46="","",Paramètres!H46))</f>
        <v/>
      </c>
      <c r="D2152" s="18">
        <f>IF($A2152="","",IF(Paramètres!I46="","",Paramètres!I46))</f>
        <v/>
      </c>
      <c r="E2152" s="19">
        <f>IF($A2152="","",IF(Paramètres!J46&amp;Paramètres!L46&amp;Paramètres!N46="",Dossiers!$D$43,MAX(IF(Paramètres!J46="",0,IF(Paramètres!K46="",NA(),IF(LEFT(TRIM(Paramètres!K46),1)="F",INDEX($F$2111:$F$2163,MATCH(Paramètres!J46,Paramètres!$G$5:$G$57,0)),INDEX($E$2111:$E$2163,MATCH(Paramètres!J46,Paramètres!$G$5:$G$57,0)))+IF(RIGHT(TRIM(Paramètres!K46),3)="Fin",1-$H2152,IF(LEFT(TRIM(Paramètres!K46),1)="F",1,0)))),IF(Paramètres!L46="",0,IF(Paramètres!M46="",NA(),IF(LEFT(TRIM(Paramètres!M46),1)="F",INDEX($F$2111:$F$2163,MATCH(Paramètres!L46,Paramètres!$G$5:$G$57,0)),INDEX($E$2111:$E$2163,MATCH(Paramètres!L46,Paramètres!$G$5:$G$57,0)))+IF(RIGHT(TRIM(Paramètres!M46),3)="Fin",1-$H2152,IF(LEFT(TRIM(Paramètres!M46),1)="F",1,0)))),IF(Paramètres!N46="",0,IF(Paramètres!O46="",NA(),IF(LEFT(TRIM(Paramètres!O46),1)="F",INDEX($F$2111:$F$2163,MATCH(Paramètres!N46,Paramètres!$G$5:$G$57,0)),INDEX($E$2111:$E$2163,MATCH(Paramètres!N46,Paramètres!$G$5:$G$57,0)))+IF(RIGHT(TRIM(Paramètres!O46),3)="Fin",1-$H2152,IF(LEFT(TRIM(Paramètres!O46),1)="F",1,0)))))))</f>
        <v/>
      </c>
      <c r="F2152" s="19">
        <f>IF($A2152="","",E2152+$H2152-1)</f>
        <v/>
      </c>
      <c r="G2152" s="18" t="n"/>
      <c r="H2152" s="18">
        <f>IF($A2152="","",IF(I2152&lt;&gt;"",I2152,Paramètres!B46))</f>
        <v/>
      </c>
      <c r="I2152" s="18" t="n"/>
    </row>
    <row r="2153">
      <c r="A2153" s="18">
        <f>IF(ISNUMBER(Dossiers!$D$43),Dossiers!$A$43&amp;" · "&amp;Dossiers!$B$43,"")</f>
        <v/>
      </c>
      <c r="B2153" s="18">
        <f>IF($A2153="","",Paramètres!G47)</f>
        <v/>
      </c>
      <c r="C2153" s="18">
        <f>IF($A2153="","",IF(Paramètres!H47="","",Paramètres!H47))</f>
        <v/>
      </c>
      <c r="D2153" s="18">
        <f>IF($A2153="","",IF(Paramètres!I47="","",Paramètres!I47))</f>
        <v/>
      </c>
      <c r="E2153" s="19">
        <f>IF($A2153="","",IF(Paramètres!J47&amp;Paramètres!L47&amp;Paramètres!N47="",Dossiers!$D$43,MAX(IF(Paramètres!J47="",0,IF(Paramètres!K47="",NA(),IF(LEFT(TRIM(Paramètres!K47),1)="F",INDEX($F$2111:$F$2163,MATCH(Paramètres!J47,Paramètres!$G$5:$G$57,0)),INDEX($E$2111:$E$2163,MATCH(Paramètres!J47,Paramètres!$G$5:$G$57,0)))+IF(RIGHT(TRIM(Paramètres!K47),3)="Fin",1-$H2153,IF(LEFT(TRIM(Paramètres!K47),1)="F",1,0)))),IF(Paramètres!L47="",0,IF(Paramètres!M47="",NA(),IF(LEFT(TRIM(Paramètres!M47),1)="F",INDEX($F$2111:$F$2163,MATCH(Paramètres!L47,Paramètres!$G$5:$G$57,0)),INDEX($E$2111:$E$2163,MATCH(Paramètres!L47,Paramètres!$G$5:$G$57,0)))+IF(RIGHT(TRIM(Paramètres!M47),3)="Fin",1-$H2153,IF(LEFT(TRIM(Paramètres!M47),1)="F",1,0)))),IF(Paramètres!N47="",0,IF(Paramètres!O47="",NA(),IF(LEFT(TRIM(Paramètres!O47),1)="F",INDEX($F$2111:$F$2163,MATCH(Paramètres!N47,Paramètres!$G$5:$G$57,0)),INDEX($E$2111:$E$2163,MATCH(Paramètres!N47,Paramètres!$G$5:$G$57,0)))+IF(RIGHT(TRIM(Paramètres!O47),3)="Fin",1-$H2153,IF(LEFT(TRIM(Paramètres!O47),1)="F",1,0)))))))</f>
        <v/>
      </c>
      <c r="F2153" s="19">
        <f>IF($A2153="","",E2153+$H2153-1)</f>
        <v/>
      </c>
      <c r="G2153" s="18" t="n"/>
      <c r="H2153" s="18">
        <f>IF($A2153="","",IF(I2153&lt;&gt;"",I2153,Paramètres!B47))</f>
        <v/>
      </c>
      <c r="I2153" s="18" t="n"/>
    </row>
    <row r="2154">
      <c r="A2154" s="18">
        <f>IF(ISNUMBER(Dossiers!$D$43),Dossiers!$A$43&amp;" · "&amp;Dossiers!$B$43,"")</f>
        <v/>
      </c>
      <c r="B2154" s="18">
        <f>IF($A2154="","",Paramètres!G48)</f>
        <v/>
      </c>
      <c r="C2154" s="18">
        <f>IF($A2154="","",IF(Paramètres!H48="","",Paramètres!H48))</f>
        <v/>
      </c>
      <c r="D2154" s="18">
        <f>IF($A2154="","",IF(Paramètres!I48="","",Paramètres!I48))</f>
        <v/>
      </c>
      <c r="E2154" s="19">
        <f>IF($A2154="","",IF(Paramètres!J48&amp;Paramètres!L48&amp;Paramètres!N48="",Dossiers!$D$43,MAX(IF(Paramètres!J48="",0,IF(Paramètres!K48="",NA(),IF(LEFT(TRIM(Paramètres!K48),1)="F",INDEX($F$2111:$F$2163,MATCH(Paramètres!J48,Paramètres!$G$5:$G$57,0)),INDEX($E$2111:$E$2163,MATCH(Paramètres!J48,Paramètres!$G$5:$G$57,0)))+IF(RIGHT(TRIM(Paramètres!K48),3)="Fin",1-$H2154,IF(LEFT(TRIM(Paramètres!K48),1)="F",1,0)))),IF(Paramètres!L48="",0,IF(Paramètres!M48="",NA(),IF(LEFT(TRIM(Paramètres!M48),1)="F",INDEX($F$2111:$F$2163,MATCH(Paramètres!L48,Paramètres!$G$5:$G$57,0)),INDEX($E$2111:$E$2163,MATCH(Paramètres!L48,Paramètres!$G$5:$G$57,0)))+IF(RIGHT(TRIM(Paramètres!M48),3)="Fin",1-$H2154,IF(LEFT(TRIM(Paramètres!M48),1)="F",1,0)))),IF(Paramètres!N48="",0,IF(Paramètres!O48="",NA(),IF(LEFT(TRIM(Paramètres!O48),1)="F",INDEX($F$2111:$F$2163,MATCH(Paramètres!N48,Paramètres!$G$5:$G$57,0)),INDEX($E$2111:$E$2163,MATCH(Paramètres!N48,Paramètres!$G$5:$G$57,0)))+IF(RIGHT(TRIM(Paramètres!O48),3)="Fin",1-$H2154,IF(LEFT(TRIM(Paramètres!O48),1)="F",1,0)))))))</f>
        <v/>
      </c>
      <c r="F2154" s="19">
        <f>IF($A2154="","",E2154+$H2154-1)</f>
        <v/>
      </c>
      <c r="G2154" s="18" t="n"/>
      <c r="H2154" s="18">
        <f>IF($A2154="","",IF(I2154&lt;&gt;"",I2154,Paramètres!B48))</f>
        <v/>
      </c>
      <c r="I2154" s="18" t="n"/>
    </row>
    <row r="2155">
      <c r="A2155" s="18">
        <f>IF(ISNUMBER(Dossiers!$D$43),Dossiers!$A$43&amp;" · "&amp;Dossiers!$B$43,"")</f>
        <v/>
      </c>
      <c r="B2155" s="18">
        <f>IF($A2155="","",Paramètres!G49)</f>
        <v/>
      </c>
      <c r="C2155" s="18">
        <f>IF($A2155="","",IF(Paramètres!H49="","",Paramètres!H49))</f>
        <v/>
      </c>
      <c r="D2155" s="18">
        <f>IF($A2155="","",IF(Paramètres!I49="","",Paramètres!I49))</f>
        <v/>
      </c>
      <c r="E2155" s="19">
        <f>IF($A2155="","",IF(Paramètres!J49&amp;Paramètres!L49&amp;Paramètres!N49="",Dossiers!$D$43,MAX(IF(Paramètres!J49="",0,IF(Paramètres!K49="",NA(),IF(LEFT(TRIM(Paramètres!K49),1)="F",INDEX($F$2111:$F$2163,MATCH(Paramètres!J49,Paramètres!$G$5:$G$57,0)),INDEX($E$2111:$E$2163,MATCH(Paramètres!J49,Paramètres!$G$5:$G$57,0)))+IF(RIGHT(TRIM(Paramètres!K49),3)="Fin",1-$H2155,IF(LEFT(TRIM(Paramètres!K49),1)="F",1,0)))),IF(Paramètres!L49="",0,IF(Paramètres!M49="",NA(),IF(LEFT(TRIM(Paramètres!M49),1)="F",INDEX($F$2111:$F$2163,MATCH(Paramètres!L49,Paramètres!$G$5:$G$57,0)),INDEX($E$2111:$E$2163,MATCH(Paramètres!L49,Paramètres!$G$5:$G$57,0)))+IF(RIGHT(TRIM(Paramètres!M49),3)="Fin",1-$H2155,IF(LEFT(TRIM(Paramètres!M49),1)="F",1,0)))),IF(Paramètres!N49="",0,IF(Paramètres!O49="",NA(),IF(LEFT(TRIM(Paramètres!O49),1)="F",INDEX($F$2111:$F$2163,MATCH(Paramètres!N49,Paramètres!$G$5:$G$57,0)),INDEX($E$2111:$E$2163,MATCH(Paramètres!N49,Paramètres!$G$5:$G$57,0)))+IF(RIGHT(TRIM(Paramètres!O49),3)="Fin",1-$H2155,IF(LEFT(TRIM(Paramètres!O49),1)="F",1,0)))))))</f>
        <v/>
      </c>
      <c r="F2155" s="19">
        <f>IF($A2155="","",E2155+$H2155-1)</f>
        <v/>
      </c>
      <c r="G2155" s="18" t="n"/>
      <c r="H2155" s="18">
        <f>IF($A2155="","",IF(I2155&lt;&gt;"",I2155,Paramètres!B49))</f>
        <v/>
      </c>
      <c r="I2155" s="18" t="n"/>
    </row>
    <row r="2156">
      <c r="A2156" s="18">
        <f>IF(ISNUMBER(Dossiers!$D$43),Dossiers!$A$43&amp;" · "&amp;Dossiers!$B$43,"")</f>
        <v/>
      </c>
      <c r="B2156" s="18">
        <f>IF($A2156="","",Paramètres!G50)</f>
        <v/>
      </c>
      <c r="C2156" s="18">
        <f>IF($A2156="","",IF(Paramètres!H50="","",Paramètres!H50))</f>
        <v/>
      </c>
      <c r="D2156" s="18">
        <f>IF($A2156="","",IF(Paramètres!I50="","",Paramètres!I50))</f>
        <v/>
      </c>
      <c r="E2156" s="19">
        <f>IF($A2156="","",IF(Paramètres!J50&amp;Paramètres!L50&amp;Paramètres!N50="",Dossiers!$D$43,MAX(IF(Paramètres!J50="",0,IF(Paramètres!K50="",NA(),IF(LEFT(TRIM(Paramètres!K50),1)="F",INDEX($F$2111:$F$2163,MATCH(Paramètres!J50,Paramètres!$G$5:$G$57,0)),INDEX($E$2111:$E$2163,MATCH(Paramètres!J50,Paramètres!$G$5:$G$57,0)))+IF(RIGHT(TRIM(Paramètres!K50),3)="Fin",1-$H2156,IF(LEFT(TRIM(Paramètres!K50),1)="F",1,0)))),IF(Paramètres!L50="",0,IF(Paramètres!M50="",NA(),IF(LEFT(TRIM(Paramètres!M50),1)="F",INDEX($F$2111:$F$2163,MATCH(Paramètres!L50,Paramètres!$G$5:$G$57,0)),INDEX($E$2111:$E$2163,MATCH(Paramètres!L50,Paramètres!$G$5:$G$57,0)))+IF(RIGHT(TRIM(Paramètres!M50),3)="Fin",1-$H2156,IF(LEFT(TRIM(Paramètres!M50),1)="F",1,0)))),IF(Paramètres!N50="",0,IF(Paramètres!O50="",NA(),IF(LEFT(TRIM(Paramètres!O50),1)="F",INDEX($F$2111:$F$2163,MATCH(Paramètres!N50,Paramètres!$G$5:$G$57,0)),INDEX($E$2111:$E$2163,MATCH(Paramètres!N50,Paramètres!$G$5:$G$57,0)))+IF(RIGHT(TRIM(Paramètres!O50),3)="Fin",1-$H2156,IF(LEFT(TRIM(Paramètres!O50),1)="F",1,0)))))))</f>
        <v/>
      </c>
      <c r="F2156" s="19">
        <f>IF($A2156="","",E2156+$H2156-1)</f>
        <v/>
      </c>
      <c r="G2156" s="18" t="n"/>
      <c r="H2156" s="18">
        <f>IF($A2156="","",IF(I2156&lt;&gt;"",I2156,Paramètres!B50))</f>
        <v/>
      </c>
      <c r="I2156" s="18" t="n"/>
    </row>
    <row r="2157">
      <c r="A2157" s="18">
        <f>IF(ISNUMBER(Dossiers!$D$43),Dossiers!$A$43&amp;" · "&amp;Dossiers!$B$43,"")</f>
        <v/>
      </c>
      <c r="B2157" s="18">
        <f>IF($A2157="","",Paramètres!G51)</f>
        <v/>
      </c>
      <c r="C2157" s="18">
        <f>IF($A2157="","",IF(Paramètres!H51="","",Paramètres!H51))</f>
        <v/>
      </c>
      <c r="D2157" s="18">
        <f>IF($A2157="","",IF(Paramètres!I51="","",Paramètres!I51))</f>
        <v/>
      </c>
      <c r="E2157" s="19">
        <f>IF($A2157="","",IF(Paramètres!J51&amp;Paramètres!L51&amp;Paramètres!N51="",Dossiers!$D$43,MAX(IF(Paramètres!J51="",0,IF(Paramètres!K51="",NA(),IF(LEFT(TRIM(Paramètres!K51),1)="F",INDEX($F$2111:$F$2163,MATCH(Paramètres!J51,Paramètres!$G$5:$G$57,0)),INDEX($E$2111:$E$2163,MATCH(Paramètres!J51,Paramètres!$G$5:$G$57,0)))+IF(RIGHT(TRIM(Paramètres!K51),3)="Fin",1-$H2157,IF(LEFT(TRIM(Paramètres!K51),1)="F",1,0)))),IF(Paramètres!L51="",0,IF(Paramètres!M51="",NA(),IF(LEFT(TRIM(Paramètres!M51),1)="F",INDEX($F$2111:$F$2163,MATCH(Paramètres!L51,Paramètres!$G$5:$G$57,0)),INDEX($E$2111:$E$2163,MATCH(Paramètres!L51,Paramètres!$G$5:$G$57,0)))+IF(RIGHT(TRIM(Paramètres!M51),3)="Fin",1-$H2157,IF(LEFT(TRIM(Paramètres!M51),1)="F",1,0)))),IF(Paramètres!N51="",0,IF(Paramètres!O51="",NA(),IF(LEFT(TRIM(Paramètres!O51),1)="F",INDEX($F$2111:$F$2163,MATCH(Paramètres!N51,Paramètres!$G$5:$G$57,0)),INDEX($E$2111:$E$2163,MATCH(Paramètres!N51,Paramètres!$G$5:$G$57,0)))+IF(RIGHT(TRIM(Paramètres!O51),3)="Fin",1-$H2157,IF(LEFT(TRIM(Paramètres!O51),1)="F",1,0)))))))</f>
        <v/>
      </c>
      <c r="F2157" s="19">
        <f>IF($A2157="","",E2157+$H2157-1)</f>
        <v/>
      </c>
      <c r="G2157" s="18" t="n"/>
      <c r="H2157" s="18">
        <f>IF($A2157="","",IF(I2157&lt;&gt;"",I2157,Paramètres!B51))</f>
        <v/>
      </c>
      <c r="I2157" s="18" t="n"/>
    </row>
    <row r="2158">
      <c r="A2158" s="18">
        <f>IF(ISNUMBER(Dossiers!$D$43),Dossiers!$A$43&amp;" · "&amp;Dossiers!$B$43,"")</f>
        <v/>
      </c>
      <c r="B2158" s="18">
        <f>IF($A2158="","",Paramètres!G52)</f>
        <v/>
      </c>
      <c r="C2158" s="18">
        <f>IF($A2158="","",IF(Paramètres!H52="","",Paramètres!H52))</f>
        <v/>
      </c>
      <c r="D2158" s="18">
        <f>IF($A2158="","",IF(Paramètres!I52="","",Paramètres!I52))</f>
        <v/>
      </c>
      <c r="E2158" s="19">
        <f>IF($A2158="","",IF(Paramètres!J52&amp;Paramètres!L52&amp;Paramètres!N52="",Dossiers!$D$43,MAX(IF(Paramètres!J52="",0,IF(Paramètres!K52="",NA(),IF(LEFT(TRIM(Paramètres!K52),1)="F",INDEX($F$2111:$F$2163,MATCH(Paramètres!J52,Paramètres!$G$5:$G$57,0)),INDEX($E$2111:$E$2163,MATCH(Paramètres!J52,Paramètres!$G$5:$G$57,0)))+IF(RIGHT(TRIM(Paramètres!K52),3)="Fin",1-$H2158,IF(LEFT(TRIM(Paramètres!K52),1)="F",1,0)))),IF(Paramètres!L52="",0,IF(Paramètres!M52="",NA(),IF(LEFT(TRIM(Paramètres!M52),1)="F",INDEX($F$2111:$F$2163,MATCH(Paramètres!L52,Paramètres!$G$5:$G$57,0)),INDEX($E$2111:$E$2163,MATCH(Paramètres!L52,Paramètres!$G$5:$G$57,0)))+IF(RIGHT(TRIM(Paramètres!M52),3)="Fin",1-$H2158,IF(LEFT(TRIM(Paramètres!M52),1)="F",1,0)))),IF(Paramètres!N52="",0,IF(Paramètres!O52="",NA(),IF(LEFT(TRIM(Paramètres!O52),1)="F",INDEX($F$2111:$F$2163,MATCH(Paramètres!N52,Paramètres!$G$5:$G$57,0)),INDEX($E$2111:$E$2163,MATCH(Paramètres!N52,Paramètres!$G$5:$G$57,0)))+IF(RIGHT(TRIM(Paramètres!O52),3)="Fin",1-$H2158,IF(LEFT(TRIM(Paramètres!O52),1)="F",1,0)))))))</f>
        <v/>
      </c>
      <c r="F2158" s="19">
        <f>IF($A2158="","",E2158+$H2158-1)</f>
        <v/>
      </c>
      <c r="G2158" s="18" t="n"/>
      <c r="H2158" s="18">
        <f>IF($A2158="","",IF(I2158&lt;&gt;"",I2158,Paramètres!B52))</f>
        <v/>
      </c>
      <c r="I2158" s="18" t="n"/>
    </row>
    <row r="2159">
      <c r="A2159" s="18">
        <f>IF(ISNUMBER(Dossiers!$D$43),Dossiers!$A$43&amp;" · "&amp;Dossiers!$B$43,"")</f>
        <v/>
      </c>
      <c r="B2159" s="18">
        <f>IF($A2159="","",Paramètres!G53)</f>
        <v/>
      </c>
      <c r="C2159" s="18">
        <f>IF($A2159="","",IF(Paramètres!H53="","",Paramètres!H53))</f>
        <v/>
      </c>
      <c r="D2159" s="18">
        <f>IF($A2159="","",IF(Paramètres!I53="","",Paramètres!I53))</f>
        <v/>
      </c>
      <c r="E2159" s="19">
        <f>IF($A2159="","",IF(Paramètres!J53&amp;Paramètres!L53&amp;Paramètres!N53="",Dossiers!$D$43,MAX(IF(Paramètres!J53="",0,IF(Paramètres!K53="",NA(),IF(LEFT(TRIM(Paramètres!K53),1)="F",INDEX($F$2111:$F$2163,MATCH(Paramètres!J53,Paramètres!$G$5:$G$57,0)),INDEX($E$2111:$E$2163,MATCH(Paramètres!J53,Paramètres!$G$5:$G$57,0)))+IF(RIGHT(TRIM(Paramètres!K53),3)="Fin",1-$H2159,IF(LEFT(TRIM(Paramètres!K53),1)="F",1,0)))),IF(Paramètres!L53="",0,IF(Paramètres!M53="",NA(),IF(LEFT(TRIM(Paramètres!M53),1)="F",INDEX($F$2111:$F$2163,MATCH(Paramètres!L53,Paramètres!$G$5:$G$57,0)),INDEX($E$2111:$E$2163,MATCH(Paramètres!L53,Paramètres!$G$5:$G$57,0)))+IF(RIGHT(TRIM(Paramètres!M53),3)="Fin",1-$H2159,IF(LEFT(TRIM(Paramètres!M53),1)="F",1,0)))),IF(Paramètres!N53="",0,IF(Paramètres!O53="",NA(),IF(LEFT(TRIM(Paramètres!O53),1)="F",INDEX($F$2111:$F$2163,MATCH(Paramètres!N53,Paramètres!$G$5:$G$57,0)),INDEX($E$2111:$E$2163,MATCH(Paramètres!N53,Paramètres!$G$5:$G$57,0)))+IF(RIGHT(TRIM(Paramètres!O53),3)="Fin",1-$H2159,IF(LEFT(TRIM(Paramètres!O53),1)="F",1,0)))))))</f>
        <v/>
      </c>
      <c r="F2159" s="19">
        <f>IF($A2159="","",E2159+$H2159-1)</f>
        <v/>
      </c>
      <c r="G2159" s="18" t="n"/>
      <c r="H2159" s="18">
        <f>IF($A2159="","",IF(I2159&lt;&gt;"",I2159,Paramètres!B53))</f>
        <v/>
      </c>
      <c r="I2159" s="18" t="n"/>
    </row>
    <row r="2160">
      <c r="A2160" s="18">
        <f>IF(ISNUMBER(Dossiers!$D$43),Dossiers!$A$43&amp;" · "&amp;Dossiers!$B$43,"")</f>
        <v/>
      </c>
      <c r="B2160" s="18">
        <f>IF($A2160="","",Paramètres!G54)</f>
        <v/>
      </c>
      <c r="C2160" s="18">
        <f>IF($A2160="","",IF(Paramètres!H54="","",Paramètres!H54))</f>
        <v/>
      </c>
      <c r="D2160" s="18">
        <f>IF($A2160="","",IF(Paramètres!I54="","",Paramètres!I54))</f>
        <v/>
      </c>
      <c r="E2160" s="19">
        <f>IF($A2160="","",IF(Paramètres!J54&amp;Paramètres!L54&amp;Paramètres!N54="",Dossiers!$D$43,MAX(IF(Paramètres!J54="",0,IF(Paramètres!K54="",NA(),IF(LEFT(TRIM(Paramètres!K54),1)="F",INDEX($F$2111:$F$2163,MATCH(Paramètres!J54,Paramètres!$G$5:$G$57,0)),INDEX($E$2111:$E$2163,MATCH(Paramètres!J54,Paramètres!$G$5:$G$57,0)))+IF(RIGHT(TRIM(Paramètres!K54),3)="Fin",1-$H2160,IF(LEFT(TRIM(Paramètres!K54),1)="F",1,0)))),IF(Paramètres!L54="",0,IF(Paramètres!M54="",NA(),IF(LEFT(TRIM(Paramètres!M54),1)="F",INDEX($F$2111:$F$2163,MATCH(Paramètres!L54,Paramètres!$G$5:$G$57,0)),INDEX($E$2111:$E$2163,MATCH(Paramètres!L54,Paramètres!$G$5:$G$57,0)))+IF(RIGHT(TRIM(Paramètres!M54),3)="Fin",1-$H2160,IF(LEFT(TRIM(Paramètres!M54),1)="F",1,0)))),IF(Paramètres!N54="",0,IF(Paramètres!O54="",NA(),IF(LEFT(TRIM(Paramètres!O54),1)="F",INDEX($F$2111:$F$2163,MATCH(Paramètres!N54,Paramètres!$G$5:$G$57,0)),INDEX($E$2111:$E$2163,MATCH(Paramètres!N54,Paramètres!$G$5:$G$57,0)))+IF(RIGHT(TRIM(Paramètres!O54),3)="Fin",1-$H2160,IF(LEFT(TRIM(Paramètres!O54),1)="F",1,0)))))))</f>
        <v/>
      </c>
      <c r="F2160" s="19">
        <f>IF($A2160="","",E2160+$H2160-1)</f>
        <v/>
      </c>
      <c r="G2160" s="18" t="n"/>
      <c r="H2160" s="18">
        <f>IF($A2160="","",IF(I2160&lt;&gt;"",I2160,Paramètres!B54))</f>
        <v/>
      </c>
      <c r="I2160" s="18" t="n"/>
    </row>
    <row r="2161">
      <c r="A2161" s="18">
        <f>IF(ISNUMBER(Dossiers!$D$43),Dossiers!$A$43&amp;" · "&amp;Dossiers!$B$43,"")</f>
        <v/>
      </c>
      <c r="B2161" s="18">
        <f>IF($A2161="","",Paramètres!G55)</f>
        <v/>
      </c>
      <c r="C2161" s="18">
        <f>IF($A2161="","",IF(Paramètres!H55="","",Paramètres!H55))</f>
        <v/>
      </c>
      <c r="D2161" s="18">
        <f>IF($A2161="","",IF(Paramètres!I55="","",Paramètres!I55))</f>
        <v/>
      </c>
      <c r="E2161" s="19">
        <f>IF($A2161="","",IF(Paramètres!J55&amp;Paramètres!L55&amp;Paramètres!N55="",Dossiers!$D$43,MAX(IF(Paramètres!J55="",0,IF(Paramètres!K55="",NA(),IF(LEFT(TRIM(Paramètres!K55),1)="F",INDEX($F$2111:$F$2163,MATCH(Paramètres!J55,Paramètres!$G$5:$G$57,0)),INDEX($E$2111:$E$2163,MATCH(Paramètres!J55,Paramètres!$G$5:$G$57,0)))+IF(RIGHT(TRIM(Paramètres!K55),3)="Fin",1-$H2161,IF(LEFT(TRIM(Paramètres!K55),1)="F",1,0)))),IF(Paramètres!L55="",0,IF(Paramètres!M55="",NA(),IF(LEFT(TRIM(Paramètres!M55),1)="F",INDEX($F$2111:$F$2163,MATCH(Paramètres!L55,Paramètres!$G$5:$G$57,0)),INDEX($E$2111:$E$2163,MATCH(Paramètres!L55,Paramètres!$G$5:$G$57,0)))+IF(RIGHT(TRIM(Paramètres!M55),3)="Fin",1-$H2161,IF(LEFT(TRIM(Paramètres!M55),1)="F",1,0)))),IF(Paramètres!N55="",0,IF(Paramètres!O55="",NA(),IF(LEFT(TRIM(Paramètres!O55),1)="F",INDEX($F$2111:$F$2163,MATCH(Paramètres!N55,Paramètres!$G$5:$G$57,0)),INDEX($E$2111:$E$2163,MATCH(Paramètres!N55,Paramètres!$G$5:$G$57,0)))+IF(RIGHT(TRIM(Paramètres!O55),3)="Fin",1-$H2161,IF(LEFT(TRIM(Paramètres!O55),1)="F",1,0)))))))</f>
        <v/>
      </c>
      <c r="F2161" s="19">
        <f>IF($A2161="","",E2161+$H2161-1)</f>
        <v/>
      </c>
      <c r="G2161" s="18" t="n"/>
      <c r="H2161" s="18">
        <f>IF($A2161="","",IF(I2161&lt;&gt;"",I2161,Paramètres!B55))</f>
        <v/>
      </c>
      <c r="I2161" s="18" t="n"/>
    </row>
    <row r="2162">
      <c r="A2162" s="18">
        <f>IF(ISNUMBER(Dossiers!$D$43),Dossiers!$A$43&amp;" · "&amp;Dossiers!$B$43,"")</f>
        <v/>
      </c>
      <c r="B2162" s="18">
        <f>IF($A2162="","",Paramètres!G56)</f>
        <v/>
      </c>
      <c r="C2162" s="18">
        <f>IF($A2162="","",IF(Paramètres!H56="","",Paramètres!H56))</f>
        <v/>
      </c>
      <c r="D2162" s="18">
        <f>IF($A2162="","",IF(Paramètres!I56="","",Paramètres!I56))</f>
        <v/>
      </c>
      <c r="E2162" s="19">
        <f>IF($A2162="","",MIN(E2163:E2163))</f>
        <v/>
      </c>
      <c r="F2162" s="19">
        <f>IF($A2162="","",MAX(F2163:F2163))</f>
        <v/>
      </c>
      <c r="G2162" s="18" t="n"/>
      <c r="H2162" s="18">
        <f>IF($A2162="","",F2162-E2162+1)</f>
        <v/>
      </c>
      <c r="I2162" s="18" t="n"/>
    </row>
    <row r="2163">
      <c r="A2163" s="18">
        <f>IF(ISNUMBER(Dossiers!$D$43),Dossiers!$A$43&amp;" · "&amp;Dossiers!$B$43,"")</f>
        <v/>
      </c>
      <c r="B2163" s="18">
        <f>IF($A2163="","",Paramètres!G57)</f>
        <v/>
      </c>
      <c r="C2163" s="18">
        <f>IF($A2163="","",IF(Paramètres!H57="","",Paramètres!H57))</f>
        <v/>
      </c>
      <c r="D2163" s="18">
        <f>IF($A2163="","",IF(Paramètres!I57="","",Paramètres!I57))</f>
        <v/>
      </c>
      <c r="E2163" s="19">
        <f>IF($A2163="","",IF(Paramètres!J57&amp;Paramètres!L57&amp;Paramètres!N57="",Dossiers!$D$43,MAX(IF(Paramètres!J57="",0,IF(Paramètres!K57="",NA(),IF(LEFT(TRIM(Paramètres!K57),1)="F",INDEX($F$2111:$F$2163,MATCH(Paramètres!J57,Paramètres!$G$5:$G$57,0)),INDEX($E$2111:$E$2163,MATCH(Paramètres!J57,Paramètres!$G$5:$G$57,0)))+IF(RIGHT(TRIM(Paramètres!K57),3)="Fin",1-$H2163,IF(LEFT(TRIM(Paramètres!K57),1)="F",1,0)))),IF(Paramètres!L57="",0,IF(Paramètres!M57="",NA(),IF(LEFT(TRIM(Paramètres!M57),1)="F",INDEX($F$2111:$F$2163,MATCH(Paramètres!L57,Paramètres!$G$5:$G$57,0)),INDEX($E$2111:$E$2163,MATCH(Paramètres!L57,Paramètres!$G$5:$G$57,0)))+IF(RIGHT(TRIM(Paramètres!M57),3)="Fin",1-$H2163,IF(LEFT(TRIM(Paramètres!M57),1)="F",1,0)))),IF(Paramètres!N57="",0,IF(Paramètres!O57="",NA(),IF(LEFT(TRIM(Paramètres!O57),1)="F",INDEX($F$2111:$F$2163,MATCH(Paramètres!N57,Paramètres!$G$5:$G$57,0)),INDEX($E$2111:$E$2163,MATCH(Paramètres!N57,Paramètres!$G$5:$G$57,0)))+IF(RIGHT(TRIM(Paramètres!O57),3)="Fin",1-$H2163,IF(LEFT(TRIM(Paramètres!O57),1)="F",1,0)))))))</f>
        <v/>
      </c>
      <c r="F2163" s="19">
        <f>IF($A2163="","",E2163+$H2163-1)</f>
        <v/>
      </c>
      <c r="G2163" s="18" t="n"/>
      <c r="H2163" s="18">
        <f>IF($A2163="","",IF(I2163&lt;&gt;"",I2163,Paramètres!B57))</f>
        <v/>
      </c>
      <c r="I2163" s="18" t="n"/>
    </row>
    <row r="2164">
      <c r="A2164" s="16">
        <f>IF(ISNUMBER(Dossiers!$D$44),Dossiers!$E$44,"")</f>
        <v/>
      </c>
      <c r="B2164" s="16">
        <f>IF($A2164="","","Identifiant")</f>
        <v/>
      </c>
      <c r="C2164" s="16">
        <f>IF($A2164="","","Macro Etape")</f>
        <v/>
      </c>
      <c r="D2164" s="16">
        <f>IF($A2164="","","Etape")</f>
        <v/>
      </c>
      <c r="E2164" s="17">
        <f>IF($A2164="","","Début le")</f>
        <v/>
      </c>
      <c r="F2164" s="17">
        <f>IF($A2164="","","Fin prévue le")</f>
        <v/>
      </c>
      <c r="G2164" s="16">
        <f>IF($A2164="","","Statut")</f>
        <v/>
      </c>
      <c r="H2164" s="16">
        <f>IF($A2164="","","Durée (jours)")</f>
        <v/>
      </c>
      <c r="I2164" s="16">
        <f>IF($A2164="","","Durée particulière")</f>
        <v/>
      </c>
      <c r="J2164" s="10">
        <f>IF($A2164="","",HYPERLINK("#'Tableau de bord'!A1","↑ Tableau de bord"))</f>
        <v/>
      </c>
    </row>
    <row r="2165">
      <c r="A2165" s="18">
        <f>IF(ISNUMBER(Dossiers!$D$44),Dossiers!$A$44&amp;" · "&amp;Dossiers!$B$44,"")</f>
        <v/>
      </c>
      <c r="B2165" s="18">
        <f>IF($A2165="","",Paramètres!G5)</f>
        <v/>
      </c>
      <c r="C2165" s="18">
        <f>IF($A2165="","",IF(Paramètres!H5="","",Paramètres!H5))</f>
        <v/>
      </c>
      <c r="D2165" s="18">
        <f>IF($A2165="","",IF(Paramètres!I5="","",Paramètres!I5))</f>
        <v/>
      </c>
      <c r="E2165" s="19">
        <f>IF($A2165="","",MIN(E2166:E2169))</f>
        <v/>
      </c>
      <c r="F2165" s="19">
        <f>IF($A2165="","",MAX(F2166:F2169))</f>
        <v/>
      </c>
      <c r="G2165" s="18" t="n"/>
      <c r="H2165" s="18">
        <f>IF($A2165="","",F2165-E2165+1)</f>
        <v/>
      </c>
      <c r="I2165" s="18" t="n"/>
    </row>
    <row r="2166">
      <c r="A2166" s="18">
        <f>IF(ISNUMBER(Dossiers!$D$44),Dossiers!$A$44&amp;" · "&amp;Dossiers!$B$44,"")</f>
        <v/>
      </c>
      <c r="B2166" s="18">
        <f>IF($A2166="","",Paramètres!G6)</f>
        <v/>
      </c>
      <c r="C2166" s="18">
        <f>IF($A2166="","",IF(Paramètres!H6="","",Paramètres!H6))</f>
        <v/>
      </c>
      <c r="D2166" s="18">
        <f>IF($A2166="","",IF(Paramètres!I6="","",Paramètres!I6))</f>
        <v/>
      </c>
      <c r="E2166" s="19">
        <f>IF($A2166="","",IF(Paramètres!J6&amp;Paramètres!L6&amp;Paramètres!N6="",Dossiers!$D$44,MAX(IF(Paramètres!J6="",0,IF(Paramètres!K6="",NA(),IF(LEFT(TRIM(Paramètres!K6),1)="F",INDEX($F$2165:$F$2217,MATCH(Paramètres!J6,Paramètres!$G$5:$G$57,0)),INDEX($E$2165:$E$2217,MATCH(Paramètres!J6,Paramètres!$G$5:$G$57,0)))+IF(RIGHT(TRIM(Paramètres!K6),3)="Fin",1-$H2166,IF(LEFT(TRIM(Paramètres!K6),1)="F",1,0)))),IF(Paramètres!L6="",0,IF(Paramètres!M6="",NA(),IF(LEFT(TRIM(Paramètres!M6),1)="F",INDEX($F$2165:$F$2217,MATCH(Paramètres!L6,Paramètres!$G$5:$G$57,0)),INDEX($E$2165:$E$2217,MATCH(Paramètres!L6,Paramètres!$G$5:$G$57,0)))+IF(RIGHT(TRIM(Paramètres!M6),3)="Fin",1-$H2166,IF(LEFT(TRIM(Paramètres!M6),1)="F",1,0)))),IF(Paramètres!N6="",0,IF(Paramètres!O6="",NA(),IF(LEFT(TRIM(Paramètres!O6),1)="F",INDEX($F$2165:$F$2217,MATCH(Paramètres!N6,Paramètres!$G$5:$G$57,0)),INDEX($E$2165:$E$2217,MATCH(Paramètres!N6,Paramètres!$G$5:$G$57,0)))+IF(RIGHT(TRIM(Paramètres!O6),3)="Fin",1-$H2166,IF(LEFT(TRIM(Paramètres!O6),1)="F",1,0)))))))</f>
        <v/>
      </c>
      <c r="F2166" s="19">
        <f>IF($A2166="","",E2166+$H2166-1)</f>
        <v/>
      </c>
      <c r="G2166" s="18" t="n"/>
      <c r="H2166" s="18">
        <f>IF($A2166="","",IF(I2166&lt;&gt;"",I2166,Paramètres!B6))</f>
        <v/>
      </c>
      <c r="I2166" s="18" t="n"/>
    </row>
    <row r="2167">
      <c r="A2167" s="18">
        <f>IF(ISNUMBER(Dossiers!$D$44),Dossiers!$A$44&amp;" · "&amp;Dossiers!$B$44,"")</f>
        <v/>
      </c>
      <c r="B2167" s="18">
        <f>IF($A2167="","",Paramètres!G7)</f>
        <v/>
      </c>
      <c r="C2167" s="18">
        <f>IF($A2167="","",IF(Paramètres!H7="","",Paramètres!H7))</f>
        <v/>
      </c>
      <c r="D2167" s="18">
        <f>IF($A2167="","",IF(Paramètres!I7="","",Paramètres!I7))</f>
        <v/>
      </c>
      <c r="E2167" s="19">
        <f>IF($A2167="","",IF(Paramètres!J7&amp;Paramètres!L7&amp;Paramètres!N7="",Dossiers!$D$44,MAX(IF(Paramètres!J7="",0,IF(Paramètres!K7="",NA(),IF(LEFT(TRIM(Paramètres!K7),1)="F",INDEX($F$2165:$F$2217,MATCH(Paramètres!J7,Paramètres!$G$5:$G$57,0)),INDEX($E$2165:$E$2217,MATCH(Paramètres!J7,Paramètres!$G$5:$G$57,0)))+IF(RIGHT(TRIM(Paramètres!K7),3)="Fin",1-$H2167,IF(LEFT(TRIM(Paramètres!K7),1)="F",1,0)))),IF(Paramètres!L7="",0,IF(Paramètres!M7="",NA(),IF(LEFT(TRIM(Paramètres!M7),1)="F",INDEX($F$2165:$F$2217,MATCH(Paramètres!L7,Paramètres!$G$5:$G$57,0)),INDEX($E$2165:$E$2217,MATCH(Paramètres!L7,Paramètres!$G$5:$G$57,0)))+IF(RIGHT(TRIM(Paramètres!M7),3)="Fin",1-$H2167,IF(LEFT(TRIM(Paramètres!M7),1)="F",1,0)))),IF(Paramètres!N7="",0,IF(Paramètres!O7="",NA(),IF(LEFT(TRIM(Paramètres!O7),1)="F",INDEX($F$2165:$F$2217,MATCH(Paramètres!N7,Paramètres!$G$5:$G$57,0)),INDEX($E$2165:$E$2217,MATCH(Paramètres!N7,Paramètres!$G$5:$G$57,0)))+IF(RIGHT(TRIM(Paramètres!O7),3)="Fin",1-$H2167,IF(LEFT(TRIM(Paramètres!O7),1)="F",1,0)))))))</f>
        <v/>
      </c>
      <c r="F2167" s="19">
        <f>IF($A2167="","",E2167+$H2167-1)</f>
        <v/>
      </c>
      <c r="G2167" s="18" t="n"/>
      <c r="H2167" s="18">
        <f>IF($A2167="","",IF(I2167&lt;&gt;"",I2167,Paramètres!B7))</f>
        <v/>
      </c>
      <c r="I2167" s="18" t="n"/>
    </row>
    <row r="2168">
      <c r="A2168" s="18">
        <f>IF(ISNUMBER(Dossiers!$D$44),Dossiers!$A$44&amp;" · "&amp;Dossiers!$B$44,"")</f>
        <v/>
      </c>
      <c r="B2168" s="18">
        <f>IF($A2168="","",Paramètres!G8)</f>
        <v/>
      </c>
      <c r="C2168" s="18">
        <f>IF($A2168="","",IF(Paramètres!H8="","",Paramètres!H8))</f>
        <v/>
      </c>
      <c r="D2168" s="18">
        <f>IF($A2168="","",IF(Paramètres!I8="","",Paramètres!I8))</f>
        <v/>
      </c>
      <c r="E2168" s="19">
        <f>IF($A2168="","",IF(Paramètres!J8&amp;Paramètres!L8&amp;Paramètres!N8="",Dossiers!$D$44,MAX(IF(Paramètres!J8="",0,IF(Paramètres!K8="",NA(),IF(LEFT(TRIM(Paramètres!K8),1)="F",INDEX($F$2165:$F$2217,MATCH(Paramètres!J8,Paramètres!$G$5:$G$57,0)),INDEX($E$2165:$E$2217,MATCH(Paramètres!J8,Paramètres!$G$5:$G$57,0)))+IF(RIGHT(TRIM(Paramètres!K8),3)="Fin",1-$H2168,IF(LEFT(TRIM(Paramètres!K8),1)="F",1,0)))),IF(Paramètres!L8="",0,IF(Paramètres!M8="",NA(),IF(LEFT(TRIM(Paramètres!M8),1)="F",INDEX($F$2165:$F$2217,MATCH(Paramètres!L8,Paramètres!$G$5:$G$57,0)),INDEX($E$2165:$E$2217,MATCH(Paramètres!L8,Paramètres!$G$5:$G$57,0)))+IF(RIGHT(TRIM(Paramètres!M8),3)="Fin",1-$H2168,IF(LEFT(TRIM(Paramètres!M8),1)="F",1,0)))),IF(Paramètres!N8="",0,IF(Paramètres!O8="",NA(),IF(LEFT(TRIM(Paramètres!O8),1)="F",INDEX($F$2165:$F$2217,MATCH(Paramètres!N8,Paramètres!$G$5:$G$57,0)),INDEX($E$2165:$E$2217,MATCH(Paramètres!N8,Paramètres!$G$5:$G$57,0)))+IF(RIGHT(TRIM(Paramètres!O8),3)="Fin",1-$H2168,IF(LEFT(TRIM(Paramètres!O8),1)="F",1,0)))))))</f>
        <v/>
      </c>
      <c r="F2168" s="19">
        <f>IF($A2168="","",E2168+$H2168-1)</f>
        <v/>
      </c>
      <c r="G2168" s="18" t="n"/>
      <c r="H2168" s="18">
        <f>IF($A2168="","",IF(I2168&lt;&gt;"",I2168,Paramètres!B8))</f>
        <v/>
      </c>
      <c r="I2168" s="18" t="n"/>
    </row>
    <row r="2169">
      <c r="A2169" s="18">
        <f>IF(ISNUMBER(Dossiers!$D$44),Dossiers!$A$44&amp;" · "&amp;Dossiers!$B$44,"")</f>
        <v/>
      </c>
      <c r="B2169" s="18">
        <f>IF($A2169="","",Paramètres!G9)</f>
        <v/>
      </c>
      <c r="C2169" s="18">
        <f>IF($A2169="","",IF(Paramètres!H9="","",Paramètres!H9))</f>
        <v/>
      </c>
      <c r="D2169" s="18">
        <f>IF($A2169="","",IF(Paramètres!I9="","",Paramètres!I9))</f>
        <v/>
      </c>
      <c r="E2169" s="19">
        <f>IF($A2169="","",IF(Paramètres!J9&amp;Paramètres!L9&amp;Paramètres!N9="",Dossiers!$D$44,MAX(IF(Paramètres!J9="",0,IF(Paramètres!K9="",NA(),IF(LEFT(TRIM(Paramètres!K9),1)="F",INDEX($F$2165:$F$2217,MATCH(Paramètres!J9,Paramètres!$G$5:$G$57,0)),INDEX($E$2165:$E$2217,MATCH(Paramètres!J9,Paramètres!$G$5:$G$57,0)))+IF(RIGHT(TRIM(Paramètres!K9),3)="Fin",1-$H2169,IF(LEFT(TRIM(Paramètres!K9),1)="F",1,0)))),IF(Paramètres!L9="",0,IF(Paramètres!M9="",NA(),IF(LEFT(TRIM(Paramètres!M9),1)="F",INDEX($F$2165:$F$2217,MATCH(Paramètres!L9,Paramètres!$G$5:$G$57,0)),INDEX($E$2165:$E$2217,MATCH(Paramètres!L9,Paramètres!$G$5:$G$57,0)))+IF(RIGHT(TRIM(Paramètres!M9),3)="Fin",1-$H2169,IF(LEFT(TRIM(Paramètres!M9),1)="F",1,0)))),IF(Paramètres!N9="",0,IF(Paramètres!O9="",NA(),IF(LEFT(TRIM(Paramètres!O9),1)="F",INDEX($F$2165:$F$2217,MATCH(Paramètres!N9,Paramètres!$G$5:$G$57,0)),INDEX($E$2165:$E$2217,MATCH(Paramètres!N9,Paramètres!$G$5:$G$57,0)))+IF(RIGHT(TRIM(Paramètres!O9),3)="Fin",1-$H2169,IF(LEFT(TRIM(Paramètres!O9),1)="F",1,0)))))))</f>
        <v/>
      </c>
      <c r="F2169" s="19">
        <f>IF($A2169="","",E2169+$H2169-1)</f>
        <v/>
      </c>
      <c r="G2169" s="18" t="n"/>
      <c r="H2169" s="18">
        <f>IF($A2169="","",IF(I2169&lt;&gt;"",I2169,Paramètres!B9))</f>
        <v/>
      </c>
      <c r="I2169" s="18" t="n"/>
    </row>
    <row r="2170">
      <c r="A2170" s="18">
        <f>IF(ISNUMBER(Dossiers!$D$44),Dossiers!$A$44&amp;" · "&amp;Dossiers!$B$44,"")</f>
        <v/>
      </c>
      <c r="B2170" s="18">
        <f>IF($A2170="","",Paramètres!G10)</f>
        <v/>
      </c>
      <c r="C2170" s="18">
        <f>IF($A2170="","",IF(Paramètres!H10="","",Paramètres!H10))</f>
        <v/>
      </c>
      <c r="D2170" s="18">
        <f>IF($A2170="","",IF(Paramètres!I10="","",Paramètres!I10))</f>
        <v/>
      </c>
      <c r="E2170" s="19">
        <f>IF($A2170="","",MIN(E2171:E2174))</f>
        <v/>
      </c>
      <c r="F2170" s="19">
        <f>IF($A2170="","",MAX(F2171:F2174))</f>
        <v/>
      </c>
      <c r="G2170" s="18" t="n"/>
      <c r="H2170" s="18">
        <f>IF($A2170="","",F2170-E2170+1)</f>
        <v/>
      </c>
      <c r="I2170" s="18" t="n"/>
    </row>
    <row r="2171">
      <c r="A2171" s="18">
        <f>IF(ISNUMBER(Dossiers!$D$44),Dossiers!$A$44&amp;" · "&amp;Dossiers!$B$44,"")</f>
        <v/>
      </c>
      <c r="B2171" s="18">
        <f>IF($A2171="","",Paramètres!G11)</f>
        <v/>
      </c>
      <c r="C2171" s="18">
        <f>IF($A2171="","",IF(Paramètres!H11="","",Paramètres!H11))</f>
        <v/>
      </c>
      <c r="D2171" s="18">
        <f>IF($A2171="","",IF(Paramètres!I11="","",Paramètres!I11))</f>
        <v/>
      </c>
      <c r="E2171" s="19">
        <f>IF($A2171="","",IF(Paramètres!J11&amp;Paramètres!L11&amp;Paramètres!N11="",Dossiers!$D$44,MAX(IF(Paramètres!J11="",0,IF(Paramètres!K11="",NA(),IF(LEFT(TRIM(Paramètres!K11),1)="F",INDEX($F$2165:$F$2217,MATCH(Paramètres!J11,Paramètres!$G$5:$G$57,0)),INDEX($E$2165:$E$2217,MATCH(Paramètres!J11,Paramètres!$G$5:$G$57,0)))+IF(RIGHT(TRIM(Paramètres!K11),3)="Fin",1-$H2171,IF(LEFT(TRIM(Paramètres!K11),1)="F",1,0)))),IF(Paramètres!L11="",0,IF(Paramètres!M11="",NA(),IF(LEFT(TRIM(Paramètres!M11),1)="F",INDEX($F$2165:$F$2217,MATCH(Paramètres!L11,Paramètres!$G$5:$G$57,0)),INDEX($E$2165:$E$2217,MATCH(Paramètres!L11,Paramètres!$G$5:$G$57,0)))+IF(RIGHT(TRIM(Paramètres!M11),3)="Fin",1-$H2171,IF(LEFT(TRIM(Paramètres!M11),1)="F",1,0)))),IF(Paramètres!N11="",0,IF(Paramètres!O11="",NA(),IF(LEFT(TRIM(Paramètres!O11),1)="F",INDEX($F$2165:$F$2217,MATCH(Paramètres!N11,Paramètres!$G$5:$G$57,0)),INDEX($E$2165:$E$2217,MATCH(Paramètres!N11,Paramètres!$G$5:$G$57,0)))+IF(RIGHT(TRIM(Paramètres!O11),3)="Fin",1-$H2171,IF(LEFT(TRIM(Paramètres!O11),1)="F",1,0)))))))</f>
        <v/>
      </c>
      <c r="F2171" s="19">
        <f>IF($A2171="","",E2171+$H2171-1)</f>
        <v/>
      </c>
      <c r="G2171" s="18" t="n"/>
      <c r="H2171" s="18">
        <f>IF($A2171="","",IF(I2171&lt;&gt;"",I2171,Paramètres!B11))</f>
        <v/>
      </c>
      <c r="I2171" s="18" t="n"/>
    </row>
    <row r="2172">
      <c r="A2172" s="18">
        <f>IF(ISNUMBER(Dossiers!$D$44),Dossiers!$A$44&amp;" · "&amp;Dossiers!$B$44,"")</f>
        <v/>
      </c>
      <c r="B2172" s="18">
        <f>IF($A2172="","",Paramètres!G12)</f>
        <v/>
      </c>
      <c r="C2172" s="18">
        <f>IF($A2172="","",IF(Paramètres!H12="","",Paramètres!H12))</f>
        <v/>
      </c>
      <c r="D2172" s="18">
        <f>IF($A2172="","",IF(Paramètres!I12="","",Paramètres!I12))</f>
        <v/>
      </c>
      <c r="E2172" s="19">
        <f>IF($A2172="","",IF(Paramètres!J12&amp;Paramètres!L12&amp;Paramètres!N12="",Dossiers!$D$44,MAX(IF(Paramètres!J12="",0,IF(Paramètres!K12="",NA(),IF(LEFT(TRIM(Paramètres!K12),1)="F",INDEX($F$2165:$F$2217,MATCH(Paramètres!J12,Paramètres!$G$5:$G$57,0)),INDEX($E$2165:$E$2217,MATCH(Paramètres!J12,Paramètres!$G$5:$G$57,0)))+IF(RIGHT(TRIM(Paramètres!K12),3)="Fin",1-$H2172,IF(LEFT(TRIM(Paramètres!K12),1)="F",1,0)))),IF(Paramètres!L12="",0,IF(Paramètres!M12="",NA(),IF(LEFT(TRIM(Paramètres!M12),1)="F",INDEX($F$2165:$F$2217,MATCH(Paramètres!L12,Paramètres!$G$5:$G$57,0)),INDEX($E$2165:$E$2217,MATCH(Paramètres!L12,Paramètres!$G$5:$G$57,0)))+IF(RIGHT(TRIM(Paramètres!M12),3)="Fin",1-$H2172,IF(LEFT(TRIM(Paramètres!M12),1)="F",1,0)))),IF(Paramètres!N12="",0,IF(Paramètres!O12="",NA(),IF(LEFT(TRIM(Paramètres!O12),1)="F",INDEX($F$2165:$F$2217,MATCH(Paramètres!N12,Paramètres!$G$5:$G$57,0)),INDEX($E$2165:$E$2217,MATCH(Paramètres!N12,Paramètres!$G$5:$G$57,0)))+IF(RIGHT(TRIM(Paramètres!O12),3)="Fin",1-$H2172,IF(LEFT(TRIM(Paramètres!O12),1)="F",1,0)))))))</f>
        <v/>
      </c>
      <c r="F2172" s="19">
        <f>IF($A2172="","",E2172+$H2172-1)</f>
        <v/>
      </c>
      <c r="G2172" s="18" t="n"/>
      <c r="H2172" s="18">
        <f>IF($A2172="","",IF(I2172&lt;&gt;"",I2172,Paramètres!B12))</f>
        <v/>
      </c>
      <c r="I2172" s="18" t="n"/>
    </row>
    <row r="2173">
      <c r="A2173" s="18">
        <f>IF(ISNUMBER(Dossiers!$D$44),Dossiers!$A$44&amp;" · "&amp;Dossiers!$B$44,"")</f>
        <v/>
      </c>
      <c r="B2173" s="18">
        <f>IF($A2173="","",Paramètres!G13)</f>
        <v/>
      </c>
      <c r="C2173" s="18">
        <f>IF($A2173="","",IF(Paramètres!H13="","",Paramètres!H13))</f>
        <v/>
      </c>
      <c r="D2173" s="18">
        <f>IF($A2173="","",IF(Paramètres!I13="","",Paramètres!I13))</f>
        <v/>
      </c>
      <c r="E2173" s="19">
        <f>IF($A2173="","",IF(Paramètres!J13&amp;Paramètres!L13&amp;Paramètres!N13="",Dossiers!$D$44,MAX(IF(Paramètres!J13="",0,IF(Paramètres!K13="",NA(),IF(LEFT(TRIM(Paramètres!K13),1)="F",INDEX($F$2165:$F$2217,MATCH(Paramètres!J13,Paramètres!$G$5:$G$57,0)),INDEX($E$2165:$E$2217,MATCH(Paramètres!J13,Paramètres!$G$5:$G$57,0)))+IF(RIGHT(TRIM(Paramètres!K13),3)="Fin",1-$H2173,IF(LEFT(TRIM(Paramètres!K13),1)="F",1,0)))),IF(Paramètres!L13="",0,IF(Paramètres!M13="",NA(),IF(LEFT(TRIM(Paramètres!M13),1)="F",INDEX($F$2165:$F$2217,MATCH(Paramètres!L13,Paramètres!$G$5:$G$57,0)),INDEX($E$2165:$E$2217,MATCH(Paramètres!L13,Paramètres!$G$5:$G$57,0)))+IF(RIGHT(TRIM(Paramètres!M13),3)="Fin",1-$H2173,IF(LEFT(TRIM(Paramètres!M13),1)="F",1,0)))),IF(Paramètres!N13="",0,IF(Paramètres!O13="",NA(),IF(LEFT(TRIM(Paramètres!O13),1)="F",INDEX($F$2165:$F$2217,MATCH(Paramètres!N13,Paramètres!$G$5:$G$57,0)),INDEX($E$2165:$E$2217,MATCH(Paramètres!N13,Paramètres!$G$5:$G$57,0)))+IF(RIGHT(TRIM(Paramètres!O13),3)="Fin",1-$H2173,IF(LEFT(TRIM(Paramètres!O13),1)="F",1,0)))))))</f>
        <v/>
      </c>
      <c r="F2173" s="19">
        <f>IF($A2173="","",E2173+$H2173-1)</f>
        <v/>
      </c>
      <c r="G2173" s="18" t="n"/>
      <c r="H2173" s="18">
        <f>IF($A2173="","",IF(I2173&lt;&gt;"",I2173,Paramètres!B13))</f>
        <v/>
      </c>
      <c r="I2173" s="18" t="n"/>
    </row>
    <row r="2174">
      <c r="A2174" s="18">
        <f>IF(ISNUMBER(Dossiers!$D$44),Dossiers!$A$44&amp;" · "&amp;Dossiers!$B$44,"")</f>
        <v/>
      </c>
      <c r="B2174" s="18">
        <f>IF($A2174="","",Paramètres!G14)</f>
        <v/>
      </c>
      <c r="C2174" s="18">
        <f>IF($A2174="","",IF(Paramètres!H14="","",Paramètres!H14))</f>
        <v/>
      </c>
      <c r="D2174" s="18">
        <f>IF($A2174="","",IF(Paramètres!I14="","",Paramètres!I14))</f>
        <v/>
      </c>
      <c r="E2174" s="19">
        <f>IF($A2174="","",IF(Paramètres!J14&amp;Paramètres!L14&amp;Paramètres!N14="",Dossiers!$D$44,MAX(IF(Paramètres!J14="",0,IF(Paramètres!K14="",NA(),IF(LEFT(TRIM(Paramètres!K14),1)="F",INDEX($F$2165:$F$2217,MATCH(Paramètres!J14,Paramètres!$G$5:$G$57,0)),INDEX($E$2165:$E$2217,MATCH(Paramètres!J14,Paramètres!$G$5:$G$57,0)))+IF(RIGHT(TRIM(Paramètres!K14),3)="Fin",1-$H2174,IF(LEFT(TRIM(Paramètres!K14),1)="F",1,0)))),IF(Paramètres!L14="",0,IF(Paramètres!M14="",NA(),IF(LEFT(TRIM(Paramètres!M14),1)="F",INDEX($F$2165:$F$2217,MATCH(Paramètres!L14,Paramètres!$G$5:$G$57,0)),INDEX($E$2165:$E$2217,MATCH(Paramètres!L14,Paramètres!$G$5:$G$57,0)))+IF(RIGHT(TRIM(Paramètres!M14),3)="Fin",1-$H2174,IF(LEFT(TRIM(Paramètres!M14),1)="F",1,0)))),IF(Paramètres!N14="",0,IF(Paramètres!O14="",NA(),IF(LEFT(TRIM(Paramètres!O14),1)="F",INDEX($F$2165:$F$2217,MATCH(Paramètres!N14,Paramètres!$G$5:$G$57,0)),INDEX($E$2165:$E$2217,MATCH(Paramètres!N14,Paramètres!$G$5:$G$57,0)))+IF(RIGHT(TRIM(Paramètres!O14),3)="Fin",1-$H2174,IF(LEFT(TRIM(Paramètres!O14),1)="F",1,0)))))))</f>
        <v/>
      </c>
      <c r="F2174" s="19">
        <f>IF($A2174="","",E2174+$H2174-1)</f>
        <v/>
      </c>
      <c r="G2174" s="18" t="n"/>
      <c r="H2174" s="18">
        <f>IF($A2174="","",IF(I2174&lt;&gt;"",I2174,Paramètres!B14))</f>
        <v/>
      </c>
      <c r="I2174" s="18" t="n"/>
    </row>
    <row r="2175">
      <c r="A2175" s="18">
        <f>IF(ISNUMBER(Dossiers!$D$44),Dossiers!$A$44&amp;" · "&amp;Dossiers!$B$44,"")</f>
        <v/>
      </c>
      <c r="B2175" s="18">
        <f>IF($A2175="","",Paramètres!G15)</f>
        <v/>
      </c>
      <c r="C2175" s="18">
        <f>IF($A2175="","",IF(Paramètres!H15="","",Paramètres!H15))</f>
        <v/>
      </c>
      <c r="D2175" s="18">
        <f>IF($A2175="","",IF(Paramètres!I15="","",Paramètres!I15))</f>
        <v/>
      </c>
      <c r="E2175" s="19">
        <f>IF($A2175="","",MIN(E2176:E2191))</f>
        <v/>
      </c>
      <c r="F2175" s="19">
        <f>IF($A2175="","",MAX(F2176:F2191))</f>
        <v/>
      </c>
      <c r="G2175" s="18" t="n"/>
      <c r="H2175" s="18">
        <f>IF($A2175="","",F2175-E2175+1)</f>
        <v/>
      </c>
      <c r="I2175" s="18" t="n"/>
    </row>
    <row r="2176">
      <c r="A2176" s="18">
        <f>IF(ISNUMBER(Dossiers!$D$44),Dossiers!$A$44&amp;" · "&amp;Dossiers!$B$44,"")</f>
        <v/>
      </c>
      <c r="B2176" s="18">
        <f>IF($A2176="","",Paramètres!G16)</f>
        <v/>
      </c>
      <c r="C2176" s="18">
        <f>IF($A2176="","",IF(Paramètres!H16="","",Paramètres!H16))</f>
        <v/>
      </c>
      <c r="D2176" s="18">
        <f>IF($A2176="","",IF(Paramètres!I16="","",Paramètres!I16))</f>
        <v/>
      </c>
      <c r="E2176" s="19">
        <f>IF($A2176="","",IF(Paramètres!J16&amp;Paramètres!L16&amp;Paramètres!N16="",Dossiers!$D$44,MAX(IF(Paramètres!J16="",0,IF(Paramètres!K16="",NA(),IF(LEFT(TRIM(Paramètres!K16),1)="F",INDEX($F$2165:$F$2217,MATCH(Paramètres!J16,Paramètres!$G$5:$G$57,0)),INDEX($E$2165:$E$2217,MATCH(Paramètres!J16,Paramètres!$G$5:$G$57,0)))+IF(RIGHT(TRIM(Paramètres!K16),3)="Fin",1-$H2176,IF(LEFT(TRIM(Paramètres!K16),1)="F",1,0)))),IF(Paramètres!L16="",0,IF(Paramètres!M16="",NA(),IF(LEFT(TRIM(Paramètres!M16),1)="F",INDEX($F$2165:$F$2217,MATCH(Paramètres!L16,Paramètres!$G$5:$G$57,0)),INDEX($E$2165:$E$2217,MATCH(Paramètres!L16,Paramètres!$G$5:$G$57,0)))+IF(RIGHT(TRIM(Paramètres!M16),3)="Fin",1-$H2176,IF(LEFT(TRIM(Paramètres!M16),1)="F",1,0)))),IF(Paramètres!N16="",0,IF(Paramètres!O16="",NA(),IF(LEFT(TRIM(Paramètres!O16),1)="F",INDEX($F$2165:$F$2217,MATCH(Paramètres!N16,Paramètres!$G$5:$G$57,0)),INDEX($E$2165:$E$2217,MATCH(Paramètres!N16,Paramètres!$G$5:$G$57,0)))+IF(RIGHT(TRIM(Paramètres!O16),3)="Fin",1-$H2176,IF(LEFT(TRIM(Paramètres!O16),1)="F",1,0)))))))</f>
        <v/>
      </c>
      <c r="F2176" s="19">
        <f>IF($A2176="","",E2176+$H2176-1)</f>
        <v/>
      </c>
      <c r="G2176" s="18" t="n"/>
      <c r="H2176" s="18">
        <f>IF($A2176="","",IF(I2176&lt;&gt;"",I2176,Paramètres!B16))</f>
        <v/>
      </c>
      <c r="I2176" s="18" t="n"/>
    </row>
    <row r="2177">
      <c r="A2177" s="18">
        <f>IF(ISNUMBER(Dossiers!$D$44),Dossiers!$A$44&amp;" · "&amp;Dossiers!$B$44,"")</f>
        <v/>
      </c>
      <c r="B2177" s="18">
        <f>IF($A2177="","",Paramètres!G17)</f>
        <v/>
      </c>
      <c r="C2177" s="18">
        <f>IF($A2177="","",IF(Paramètres!H17="","",Paramètres!H17))</f>
        <v/>
      </c>
      <c r="D2177" s="18">
        <f>IF($A2177="","",IF(Paramètres!I17="","",Paramètres!I17))</f>
        <v/>
      </c>
      <c r="E2177" s="19">
        <f>IF($A2177="","",IF(Paramètres!J17&amp;Paramètres!L17&amp;Paramètres!N17="",Dossiers!$D$44,MAX(IF(Paramètres!J17="",0,IF(Paramètres!K17="",NA(),IF(LEFT(TRIM(Paramètres!K17),1)="F",INDEX($F$2165:$F$2217,MATCH(Paramètres!J17,Paramètres!$G$5:$G$57,0)),INDEX($E$2165:$E$2217,MATCH(Paramètres!J17,Paramètres!$G$5:$G$57,0)))+IF(RIGHT(TRIM(Paramètres!K17),3)="Fin",1-$H2177,IF(LEFT(TRIM(Paramètres!K17),1)="F",1,0)))),IF(Paramètres!L17="",0,IF(Paramètres!M17="",NA(),IF(LEFT(TRIM(Paramètres!M17),1)="F",INDEX($F$2165:$F$2217,MATCH(Paramètres!L17,Paramètres!$G$5:$G$57,0)),INDEX($E$2165:$E$2217,MATCH(Paramètres!L17,Paramètres!$G$5:$G$57,0)))+IF(RIGHT(TRIM(Paramètres!M17),3)="Fin",1-$H2177,IF(LEFT(TRIM(Paramètres!M17),1)="F",1,0)))),IF(Paramètres!N17="",0,IF(Paramètres!O17="",NA(),IF(LEFT(TRIM(Paramètres!O17),1)="F",INDEX($F$2165:$F$2217,MATCH(Paramètres!N17,Paramètres!$G$5:$G$57,0)),INDEX($E$2165:$E$2217,MATCH(Paramètres!N17,Paramètres!$G$5:$G$57,0)))+IF(RIGHT(TRIM(Paramètres!O17),3)="Fin",1-$H2177,IF(LEFT(TRIM(Paramètres!O17),1)="F",1,0)))))))</f>
        <v/>
      </c>
      <c r="F2177" s="19">
        <f>IF($A2177="","",E2177+$H2177-1)</f>
        <v/>
      </c>
      <c r="G2177" s="18" t="n"/>
      <c r="H2177" s="18">
        <f>IF($A2177="","",IF(I2177&lt;&gt;"",I2177,Paramètres!B17))</f>
        <v/>
      </c>
      <c r="I2177" s="18" t="n"/>
    </row>
    <row r="2178">
      <c r="A2178" s="18">
        <f>IF(ISNUMBER(Dossiers!$D$44),Dossiers!$A$44&amp;" · "&amp;Dossiers!$B$44,"")</f>
        <v/>
      </c>
      <c r="B2178" s="18">
        <f>IF($A2178="","",Paramètres!G18)</f>
        <v/>
      </c>
      <c r="C2178" s="18">
        <f>IF($A2178="","",IF(Paramètres!H18="","",Paramètres!H18))</f>
        <v/>
      </c>
      <c r="D2178" s="18">
        <f>IF($A2178="","",IF(Paramètres!I18="","",Paramètres!I18))</f>
        <v/>
      </c>
      <c r="E2178" s="19">
        <f>IF($A2178="","",IF(Paramètres!J18&amp;Paramètres!L18&amp;Paramètres!N18="",Dossiers!$D$44,MAX(IF(Paramètres!J18="",0,IF(Paramètres!K18="",NA(),IF(LEFT(TRIM(Paramètres!K18),1)="F",INDEX($F$2165:$F$2217,MATCH(Paramètres!J18,Paramètres!$G$5:$G$57,0)),INDEX($E$2165:$E$2217,MATCH(Paramètres!J18,Paramètres!$G$5:$G$57,0)))+IF(RIGHT(TRIM(Paramètres!K18),3)="Fin",1-$H2178,IF(LEFT(TRIM(Paramètres!K18),1)="F",1,0)))),IF(Paramètres!L18="",0,IF(Paramètres!M18="",NA(),IF(LEFT(TRIM(Paramètres!M18),1)="F",INDEX($F$2165:$F$2217,MATCH(Paramètres!L18,Paramètres!$G$5:$G$57,0)),INDEX($E$2165:$E$2217,MATCH(Paramètres!L18,Paramètres!$G$5:$G$57,0)))+IF(RIGHT(TRIM(Paramètres!M18),3)="Fin",1-$H2178,IF(LEFT(TRIM(Paramètres!M18),1)="F",1,0)))),IF(Paramètres!N18="",0,IF(Paramètres!O18="",NA(),IF(LEFT(TRIM(Paramètres!O18),1)="F",INDEX($F$2165:$F$2217,MATCH(Paramètres!N18,Paramètres!$G$5:$G$57,0)),INDEX($E$2165:$E$2217,MATCH(Paramètres!N18,Paramètres!$G$5:$G$57,0)))+IF(RIGHT(TRIM(Paramètres!O18),3)="Fin",1-$H2178,IF(LEFT(TRIM(Paramètres!O18),1)="F",1,0)))))))</f>
        <v/>
      </c>
      <c r="F2178" s="19">
        <f>IF($A2178="","",E2178+$H2178-1)</f>
        <v/>
      </c>
      <c r="G2178" s="18" t="n"/>
      <c r="H2178" s="18">
        <f>IF($A2178="","",IF(I2178&lt;&gt;"",I2178,Paramètres!B18))</f>
        <v/>
      </c>
      <c r="I2178" s="18" t="n"/>
    </row>
    <row r="2179">
      <c r="A2179" s="18">
        <f>IF(ISNUMBER(Dossiers!$D$44),Dossiers!$A$44&amp;" · "&amp;Dossiers!$B$44,"")</f>
        <v/>
      </c>
      <c r="B2179" s="18">
        <f>IF($A2179="","",Paramètres!G19)</f>
        <v/>
      </c>
      <c r="C2179" s="18">
        <f>IF($A2179="","",IF(Paramètres!H19="","",Paramètres!H19))</f>
        <v/>
      </c>
      <c r="D2179" s="18">
        <f>IF($A2179="","",IF(Paramètres!I19="","",Paramètres!I19))</f>
        <v/>
      </c>
      <c r="E2179" s="19">
        <f>IF($A2179="","",IF(Paramètres!J19&amp;Paramètres!L19&amp;Paramètres!N19="",Dossiers!$D$44,MAX(IF(Paramètres!J19="",0,IF(Paramètres!K19="",NA(),IF(LEFT(TRIM(Paramètres!K19),1)="F",INDEX($F$2165:$F$2217,MATCH(Paramètres!J19,Paramètres!$G$5:$G$57,0)),INDEX($E$2165:$E$2217,MATCH(Paramètres!J19,Paramètres!$G$5:$G$57,0)))+IF(RIGHT(TRIM(Paramètres!K19),3)="Fin",1-$H2179,IF(LEFT(TRIM(Paramètres!K19),1)="F",1,0)))),IF(Paramètres!L19="",0,IF(Paramètres!M19="",NA(),IF(LEFT(TRIM(Paramètres!M19),1)="F",INDEX($F$2165:$F$2217,MATCH(Paramètres!L19,Paramètres!$G$5:$G$57,0)),INDEX($E$2165:$E$2217,MATCH(Paramètres!L19,Paramètres!$G$5:$G$57,0)))+IF(RIGHT(TRIM(Paramètres!M19),3)="Fin",1-$H2179,IF(LEFT(TRIM(Paramètres!M19),1)="F",1,0)))),IF(Paramètres!N19="",0,IF(Paramètres!O19="",NA(),IF(LEFT(TRIM(Paramètres!O19),1)="F",INDEX($F$2165:$F$2217,MATCH(Paramètres!N19,Paramètres!$G$5:$G$57,0)),INDEX($E$2165:$E$2217,MATCH(Paramètres!N19,Paramètres!$G$5:$G$57,0)))+IF(RIGHT(TRIM(Paramètres!O19),3)="Fin",1-$H2179,IF(LEFT(TRIM(Paramètres!O19),1)="F",1,0)))))))</f>
        <v/>
      </c>
      <c r="F2179" s="19">
        <f>IF($A2179="","",E2179+$H2179-1)</f>
        <v/>
      </c>
      <c r="G2179" s="18" t="n"/>
      <c r="H2179" s="18">
        <f>IF($A2179="","",IF(I2179&lt;&gt;"",I2179,Paramètres!B19))</f>
        <v/>
      </c>
      <c r="I2179" s="18" t="n"/>
    </row>
    <row r="2180">
      <c r="A2180" s="18">
        <f>IF(ISNUMBER(Dossiers!$D$44),Dossiers!$A$44&amp;" · "&amp;Dossiers!$B$44,"")</f>
        <v/>
      </c>
      <c r="B2180" s="18">
        <f>IF($A2180="","",Paramètres!G20)</f>
        <v/>
      </c>
      <c r="C2180" s="18">
        <f>IF($A2180="","",IF(Paramètres!H20="","",Paramètres!H20))</f>
        <v/>
      </c>
      <c r="D2180" s="18">
        <f>IF($A2180="","",IF(Paramètres!I20="","",Paramètres!I20))</f>
        <v/>
      </c>
      <c r="E2180" s="19">
        <f>IF($A2180="","",IF(Paramètres!J20&amp;Paramètres!L20&amp;Paramètres!N20="",Dossiers!$D$44,MAX(IF(Paramètres!J20="",0,IF(Paramètres!K20="",NA(),IF(LEFT(TRIM(Paramètres!K20),1)="F",INDEX($F$2165:$F$2217,MATCH(Paramètres!J20,Paramètres!$G$5:$G$57,0)),INDEX($E$2165:$E$2217,MATCH(Paramètres!J20,Paramètres!$G$5:$G$57,0)))+IF(RIGHT(TRIM(Paramètres!K20),3)="Fin",1-$H2180,IF(LEFT(TRIM(Paramètres!K20),1)="F",1,0)))),IF(Paramètres!L20="",0,IF(Paramètres!M20="",NA(),IF(LEFT(TRIM(Paramètres!M20),1)="F",INDEX($F$2165:$F$2217,MATCH(Paramètres!L20,Paramètres!$G$5:$G$57,0)),INDEX($E$2165:$E$2217,MATCH(Paramètres!L20,Paramètres!$G$5:$G$57,0)))+IF(RIGHT(TRIM(Paramètres!M20),3)="Fin",1-$H2180,IF(LEFT(TRIM(Paramètres!M20),1)="F",1,0)))),IF(Paramètres!N20="",0,IF(Paramètres!O20="",NA(),IF(LEFT(TRIM(Paramètres!O20),1)="F",INDEX($F$2165:$F$2217,MATCH(Paramètres!N20,Paramètres!$G$5:$G$57,0)),INDEX($E$2165:$E$2217,MATCH(Paramètres!N20,Paramètres!$G$5:$G$57,0)))+IF(RIGHT(TRIM(Paramètres!O20),3)="Fin",1-$H2180,IF(LEFT(TRIM(Paramètres!O20),1)="F",1,0)))))))</f>
        <v/>
      </c>
      <c r="F2180" s="19">
        <f>IF($A2180="","",E2180+$H2180-1)</f>
        <v/>
      </c>
      <c r="G2180" s="18" t="n"/>
      <c r="H2180" s="18">
        <f>IF($A2180="","",IF(I2180&lt;&gt;"",I2180,Paramètres!B20))</f>
        <v/>
      </c>
      <c r="I2180" s="18" t="n"/>
    </row>
    <row r="2181">
      <c r="A2181" s="18">
        <f>IF(ISNUMBER(Dossiers!$D$44),Dossiers!$A$44&amp;" · "&amp;Dossiers!$B$44,"")</f>
        <v/>
      </c>
      <c r="B2181" s="18">
        <f>IF($A2181="","",Paramètres!G21)</f>
        <v/>
      </c>
      <c r="C2181" s="18">
        <f>IF($A2181="","",IF(Paramètres!H21="","",Paramètres!H21))</f>
        <v/>
      </c>
      <c r="D2181" s="18">
        <f>IF($A2181="","",IF(Paramètres!I21="","",Paramètres!I21))</f>
        <v/>
      </c>
      <c r="E2181" s="19">
        <f>IF($A2181="","",IF(Paramètres!J21&amp;Paramètres!L21&amp;Paramètres!N21="",Dossiers!$D$44,MAX(IF(Paramètres!J21="",0,IF(Paramètres!K21="",NA(),IF(LEFT(TRIM(Paramètres!K21),1)="F",INDEX($F$2165:$F$2217,MATCH(Paramètres!J21,Paramètres!$G$5:$G$57,0)),INDEX($E$2165:$E$2217,MATCH(Paramètres!J21,Paramètres!$G$5:$G$57,0)))+IF(RIGHT(TRIM(Paramètres!K21),3)="Fin",1-$H2181,IF(LEFT(TRIM(Paramètres!K21),1)="F",1,0)))),IF(Paramètres!L21="",0,IF(Paramètres!M21="",NA(),IF(LEFT(TRIM(Paramètres!M21),1)="F",INDEX($F$2165:$F$2217,MATCH(Paramètres!L21,Paramètres!$G$5:$G$57,0)),INDEX($E$2165:$E$2217,MATCH(Paramètres!L21,Paramètres!$G$5:$G$57,0)))+IF(RIGHT(TRIM(Paramètres!M21),3)="Fin",1-$H2181,IF(LEFT(TRIM(Paramètres!M21),1)="F",1,0)))),IF(Paramètres!N21="",0,IF(Paramètres!O21="",NA(),IF(LEFT(TRIM(Paramètres!O21),1)="F",INDEX($F$2165:$F$2217,MATCH(Paramètres!N21,Paramètres!$G$5:$G$57,0)),INDEX($E$2165:$E$2217,MATCH(Paramètres!N21,Paramètres!$G$5:$G$57,0)))+IF(RIGHT(TRIM(Paramètres!O21),3)="Fin",1-$H2181,IF(LEFT(TRIM(Paramètres!O21),1)="F",1,0)))))))</f>
        <v/>
      </c>
      <c r="F2181" s="19">
        <f>IF($A2181="","",E2181+$H2181-1)</f>
        <v/>
      </c>
      <c r="G2181" s="18" t="n"/>
      <c r="H2181" s="18">
        <f>IF($A2181="","",IF(I2181&lt;&gt;"",I2181,Paramètres!B21))</f>
        <v/>
      </c>
      <c r="I2181" s="18" t="n"/>
    </row>
    <row r="2182">
      <c r="A2182" s="18">
        <f>IF(ISNUMBER(Dossiers!$D$44),Dossiers!$A$44&amp;" · "&amp;Dossiers!$B$44,"")</f>
        <v/>
      </c>
      <c r="B2182" s="18">
        <f>IF($A2182="","",Paramètres!G22)</f>
        <v/>
      </c>
      <c r="C2182" s="18">
        <f>IF($A2182="","",IF(Paramètres!H22="","",Paramètres!H22))</f>
        <v/>
      </c>
      <c r="D2182" s="18">
        <f>IF($A2182="","",IF(Paramètres!I22="","",Paramètres!I22))</f>
        <v/>
      </c>
      <c r="E2182" s="19">
        <f>IF($A2182="","",IF(Paramètres!J22&amp;Paramètres!L22&amp;Paramètres!N22="",Dossiers!$D$44,MAX(IF(Paramètres!J22="",0,IF(Paramètres!K22="",NA(),IF(LEFT(TRIM(Paramètres!K22),1)="F",INDEX($F$2165:$F$2217,MATCH(Paramètres!J22,Paramètres!$G$5:$G$57,0)),INDEX($E$2165:$E$2217,MATCH(Paramètres!J22,Paramètres!$G$5:$G$57,0)))+IF(RIGHT(TRIM(Paramètres!K22),3)="Fin",1-$H2182,IF(LEFT(TRIM(Paramètres!K22),1)="F",1,0)))),IF(Paramètres!L22="",0,IF(Paramètres!M22="",NA(),IF(LEFT(TRIM(Paramètres!M22),1)="F",INDEX($F$2165:$F$2217,MATCH(Paramètres!L22,Paramètres!$G$5:$G$57,0)),INDEX($E$2165:$E$2217,MATCH(Paramètres!L22,Paramètres!$G$5:$G$57,0)))+IF(RIGHT(TRIM(Paramètres!M22),3)="Fin",1-$H2182,IF(LEFT(TRIM(Paramètres!M22),1)="F",1,0)))),IF(Paramètres!N22="",0,IF(Paramètres!O22="",NA(),IF(LEFT(TRIM(Paramètres!O22),1)="F",INDEX($F$2165:$F$2217,MATCH(Paramètres!N22,Paramètres!$G$5:$G$57,0)),INDEX($E$2165:$E$2217,MATCH(Paramètres!N22,Paramètres!$G$5:$G$57,0)))+IF(RIGHT(TRIM(Paramètres!O22),3)="Fin",1-$H2182,IF(LEFT(TRIM(Paramètres!O22),1)="F",1,0)))))))</f>
        <v/>
      </c>
      <c r="F2182" s="19">
        <f>IF($A2182="","",E2182+$H2182-1)</f>
        <v/>
      </c>
      <c r="G2182" s="18" t="n"/>
      <c r="H2182" s="18">
        <f>IF($A2182="","",IF(I2182&lt;&gt;"",I2182,Paramètres!B22))</f>
        <v/>
      </c>
      <c r="I2182" s="18" t="n"/>
    </row>
    <row r="2183">
      <c r="A2183" s="18">
        <f>IF(ISNUMBER(Dossiers!$D$44),Dossiers!$A$44&amp;" · "&amp;Dossiers!$B$44,"")</f>
        <v/>
      </c>
      <c r="B2183" s="18">
        <f>IF($A2183="","",Paramètres!G23)</f>
        <v/>
      </c>
      <c r="C2183" s="18">
        <f>IF($A2183="","",IF(Paramètres!H23="","",Paramètres!H23))</f>
        <v/>
      </c>
      <c r="D2183" s="18">
        <f>IF($A2183="","",IF(Paramètres!I23="","",Paramètres!I23))</f>
        <v/>
      </c>
      <c r="E2183" s="19">
        <f>IF($A2183="","",IF(Paramètres!J23&amp;Paramètres!L23&amp;Paramètres!N23="",Dossiers!$D$44,MAX(IF(Paramètres!J23="",0,IF(Paramètres!K23="",NA(),IF(LEFT(TRIM(Paramètres!K23),1)="F",INDEX($F$2165:$F$2217,MATCH(Paramètres!J23,Paramètres!$G$5:$G$57,0)),INDEX($E$2165:$E$2217,MATCH(Paramètres!J23,Paramètres!$G$5:$G$57,0)))+IF(RIGHT(TRIM(Paramètres!K23),3)="Fin",1-$H2183,IF(LEFT(TRIM(Paramètres!K23),1)="F",1,0)))),IF(Paramètres!L23="",0,IF(Paramètres!M23="",NA(),IF(LEFT(TRIM(Paramètres!M23),1)="F",INDEX($F$2165:$F$2217,MATCH(Paramètres!L23,Paramètres!$G$5:$G$57,0)),INDEX($E$2165:$E$2217,MATCH(Paramètres!L23,Paramètres!$G$5:$G$57,0)))+IF(RIGHT(TRIM(Paramètres!M23),3)="Fin",1-$H2183,IF(LEFT(TRIM(Paramètres!M23),1)="F",1,0)))),IF(Paramètres!N23="",0,IF(Paramètres!O23="",NA(),IF(LEFT(TRIM(Paramètres!O23),1)="F",INDEX($F$2165:$F$2217,MATCH(Paramètres!N23,Paramètres!$G$5:$G$57,0)),INDEX($E$2165:$E$2217,MATCH(Paramètres!N23,Paramètres!$G$5:$G$57,0)))+IF(RIGHT(TRIM(Paramètres!O23),3)="Fin",1-$H2183,IF(LEFT(TRIM(Paramètres!O23),1)="F",1,0)))))))</f>
        <v/>
      </c>
      <c r="F2183" s="19">
        <f>IF($A2183="","",E2183+$H2183-1)</f>
        <v/>
      </c>
      <c r="G2183" s="18" t="n"/>
      <c r="H2183" s="18">
        <f>IF($A2183="","",IF(I2183&lt;&gt;"",I2183,Paramètres!B23))</f>
        <v/>
      </c>
      <c r="I2183" s="18" t="n"/>
    </row>
    <row r="2184">
      <c r="A2184" s="18">
        <f>IF(ISNUMBER(Dossiers!$D$44),Dossiers!$A$44&amp;" · "&amp;Dossiers!$B$44,"")</f>
        <v/>
      </c>
      <c r="B2184" s="18">
        <f>IF($A2184="","",Paramètres!G24)</f>
        <v/>
      </c>
      <c r="C2184" s="18">
        <f>IF($A2184="","",IF(Paramètres!H24="","",Paramètres!H24))</f>
        <v/>
      </c>
      <c r="D2184" s="18">
        <f>IF($A2184="","",IF(Paramètres!I24="","",Paramètres!I24))</f>
        <v/>
      </c>
      <c r="E2184" s="19">
        <f>IF($A2184="","",IF(Paramètres!J24&amp;Paramètres!L24&amp;Paramètres!N24="",Dossiers!$D$44,MAX(IF(Paramètres!J24="",0,IF(Paramètres!K24="",NA(),IF(LEFT(TRIM(Paramètres!K24),1)="F",INDEX($F$2165:$F$2217,MATCH(Paramètres!J24,Paramètres!$G$5:$G$57,0)),INDEX($E$2165:$E$2217,MATCH(Paramètres!J24,Paramètres!$G$5:$G$57,0)))+IF(RIGHT(TRIM(Paramètres!K24),3)="Fin",1-$H2184,IF(LEFT(TRIM(Paramètres!K24),1)="F",1,0)))),IF(Paramètres!L24="",0,IF(Paramètres!M24="",NA(),IF(LEFT(TRIM(Paramètres!M24),1)="F",INDEX($F$2165:$F$2217,MATCH(Paramètres!L24,Paramètres!$G$5:$G$57,0)),INDEX($E$2165:$E$2217,MATCH(Paramètres!L24,Paramètres!$G$5:$G$57,0)))+IF(RIGHT(TRIM(Paramètres!M24),3)="Fin",1-$H2184,IF(LEFT(TRIM(Paramètres!M24),1)="F",1,0)))),IF(Paramètres!N24="",0,IF(Paramètres!O24="",NA(),IF(LEFT(TRIM(Paramètres!O24),1)="F",INDEX($F$2165:$F$2217,MATCH(Paramètres!N24,Paramètres!$G$5:$G$57,0)),INDEX($E$2165:$E$2217,MATCH(Paramètres!N24,Paramètres!$G$5:$G$57,0)))+IF(RIGHT(TRIM(Paramètres!O24),3)="Fin",1-$H2184,IF(LEFT(TRIM(Paramètres!O24),1)="F",1,0)))))))</f>
        <v/>
      </c>
      <c r="F2184" s="19">
        <f>IF($A2184="","",E2184+$H2184-1)</f>
        <v/>
      </c>
      <c r="G2184" s="18" t="n"/>
      <c r="H2184" s="18">
        <f>IF($A2184="","",IF(I2184&lt;&gt;"",I2184,Paramètres!B24))</f>
        <v/>
      </c>
      <c r="I2184" s="18" t="n"/>
    </row>
    <row r="2185">
      <c r="A2185" s="18">
        <f>IF(ISNUMBER(Dossiers!$D$44),Dossiers!$A$44&amp;" · "&amp;Dossiers!$B$44,"")</f>
        <v/>
      </c>
      <c r="B2185" s="18">
        <f>IF($A2185="","",Paramètres!G25)</f>
        <v/>
      </c>
      <c r="C2185" s="18">
        <f>IF($A2185="","",IF(Paramètres!H25="","",Paramètres!H25))</f>
        <v/>
      </c>
      <c r="D2185" s="18">
        <f>IF($A2185="","",IF(Paramètres!I25="","",Paramètres!I25))</f>
        <v/>
      </c>
      <c r="E2185" s="19">
        <f>IF($A2185="","",IF(Paramètres!J25&amp;Paramètres!L25&amp;Paramètres!N25="",Dossiers!$D$44,MAX(IF(Paramètres!J25="",0,IF(Paramètres!K25="",NA(),IF(LEFT(TRIM(Paramètres!K25),1)="F",INDEX($F$2165:$F$2217,MATCH(Paramètres!J25,Paramètres!$G$5:$G$57,0)),INDEX($E$2165:$E$2217,MATCH(Paramètres!J25,Paramètres!$G$5:$G$57,0)))+IF(RIGHT(TRIM(Paramètres!K25),3)="Fin",1-$H2185,IF(LEFT(TRIM(Paramètres!K25),1)="F",1,0)))),IF(Paramètres!L25="",0,IF(Paramètres!M25="",NA(),IF(LEFT(TRIM(Paramètres!M25),1)="F",INDEX($F$2165:$F$2217,MATCH(Paramètres!L25,Paramètres!$G$5:$G$57,0)),INDEX($E$2165:$E$2217,MATCH(Paramètres!L25,Paramètres!$G$5:$G$57,0)))+IF(RIGHT(TRIM(Paramètres!M25),3)="Fin",1-$H2185,IF(LEFT(TRIM(Paramètres!M25),1)="F",1,0)))),IF(Paramètres!N25="",0,IF(Paramètres!O25="",NA(),IF(LEFT(TRIM(Paramètres!O25),1)="F",INDEX($F$2165:$F$2217,MATCH(Paramètres!N25,Paramètres!$G$5:$G$57,0)),INDEX($E$2165:$E$2217,MATCH(Paramètres!N25,Paramètres!$G$5:$G$57,0)))+IF(RIGHT(TRIM(Paramètres!O25),3)="Fin",1-$H2185,IF(LEFT(TRIM(Paramètres!O25),1)="F",1,0)))))))</f>
        <v/>
      </c>
      <c r="F2185" s="19">
        <f>IF($A2185="","",E2185+$H2185-1)</f>
        <v/>
      </c>
      <c r="G2185" s="18" t="n"/>
      <c r="H2185" s="18">
        <f>IF($A2185="","",IF(I2185&lt;&gt;"",I2185,Paramètres!B25))</f>
        <v/>
      </c>
      <c r="I2185" s="18" t="n"/>
    </row>
    <row r="2186">
      <c r="A2186" s="18">
        <f>IF(ISNUMBER(Dossiers!$D$44),Dossiers!$A$44&amp;" · "&amp;Dossiers!$B$44,"")</f>
        <v/>
      </c>
      <c r="B2186" s="18">
        <f>IF($A2186="","",Paramètres!G26)</f>
        <v/>
      </c>
      <c r="C2186" s="18">
        <f>IF($A2186="","",IF(Paramètres!H26="","",Paramètres!H26))</f>
        <v/>
      </c>
      <c r="D2186" s="18">
        <f>IF($A2186="","",IF(Paramètres!I26="","",Paramètres!I26))</f>
        <v/>
      </c>
      <c r="E2186" s="19">
        <f>IF($A2186="","",IF(Paramètres!J26&amp;Paramètres!L26&amp;Paramètres!N26="",Dossiers!$D$44,MAX(IF(Paramètres!J26="",0,IF(Paramètres!K26="",NA(),IF(LEFT(TRIM(Paramètres!K26),1)="F",INDEX($F$2165:$F$2217,MATCH(Paramètres!J26,Paramètres!$G$5:$G$57,0)),INDEX($E$2165:$E$2217,MATCH(Paramètres!J26,Paramètres!$G$5:$G$57,0)))+IF(RIGHT(TRIM(Paramètres!K26),3)="Fin",1-$H2186,IF(LEFT(TRIM(Paramètres!K26),1)="F",1,0)))),IF(Paramètres!L26="",0,IF(Paramètres!M26="",NA(),IF(LEFT(TRIM(Paramètres!M26),1)="F",INDEX($F$2165:$F$2217,MATCH(Paramètres!L26,Paramètres!$G$5:$G$57,0)),INDEX($E$2165:$E$2217,MATCH(Paramètres!L26,Paramètres!$G$5:$G$57,0)))+IF(RIGHT(TRIM(Paramètres!M26),3)="Fin",1-$H2186,IF(LEFT(TRIM(Paramètres!M26),1)="F",1,0)))),IF(Paramètres!N26="",0,IF(Paramètres!O26="",NA(),IF(LEFT(TRIM(Paramètres!O26),1)="F",INDEX($F$2165:$F$2217,MATCH(Paramètres!N26,Paramètres!$G$5:$G$57,0)),INDEX($E$2165:$E$2217,MATCH(Paramètres!N26,Paramètres!$G$5:$G$57,0)))+IF(RIGHT(TRIM(Paramètres!O26),3)="Fin",1-$H2186,IF(LEFT(TRIM(Paramètres!O26),1)="F",1,0)))))))</f>
        <v/>
      </c>
      <c r="F2186" s="19">
        <f>IF($A2186="","",E2186+$H2186-1)</f>
        <v/>
      </c>
      <c r="G2186" s="18" t="n"/>
      <c r="H2186" s="18">
        <f>IF($A2186="","",IF(I2186&lt;&gt;"",I2186,Paramètres!B26))</f>
        <v/>
      </c>
      <c r="I2186" s="18" t="n"/>
    </row>
    <row r="2187">
      <c r="A2187" s="18">
        <f>IF(ISNUMBER(Dossiers!$D$44),Dossiers!$A$44&amp;" · "&amp;Dossiers!$B$44,"")</f>
        <v/>
      </c>
      <c r="B2187" s="18">
        <f>IF($A2187="","",Paramètres!G27)</f>
        <v/>
      </c>
      <c r="C2187" s="18">
        <f>IF($A2187="","",IF(Paramètres!H27="","",Paramètres!H27))</f>
        <v/>
      </c>
      <c r="D2187" s="18">
        <f>IF($A2187="","",IF(Paramètres!I27="","",Paramètres!I27))</f>
        <v/>
      </c>
      <c r="E2187" s="19">
        <f>IF($A2187="","",IF(Paramètres!J27&amp;Paramètres!L27&amp;Paramètres!N27="",Dossiers!$D$44,MAX(IF(Paramètres!J27="",0,IF(Paramètres!K27="",NA(),IF(LEFT(TRIM(Paramètres!K27),1)="F",INDEX($F$2165:$F$2217,MATCH(Paramètres!J27,Paramètres!$G$5:$G$57,0)),INDEX($E$2165:$E$2217,MATCH(Paramètres!J27,Paramètres!$G$5:$G$57,0)))+IF(RIGHT(TRIM(Paramètres!K27),3)="Fin",1-$H2187,IF(LEFT(TRIM(Paramètres!K27),1)="F",1,0)))),IF(Paramètres!L27="",0,IF(Paramètres!M27="",NA(),IF(LEFT(TRIM(Paramètres!M27),1)="F",INDEX($F$2165:$F$2217,MATCH(Paramètres!L27,Paramètres!$G$5:$G$57,0)),INDEX($E$2165:$E$2217,MATCH(Paramètres!L27,Paramètres!$G$5:$G$57,0)))+IF(RIGHT(TRIM(Paramètres!M27),3)="Fin",1-$H2187,IF(LEFT(TRIM(Paramètres!M27),1)="F",1,0)))),IF(Paramètres!N27="",0,IF(Paramètres!O27="",NA(),IF(LEFT(TRIM(Paramètres!O27),1)="F",INDEX($F$2165:$F$2217,MATCH(Paramètres!N27,Paramètres!$G$5:$G$57,0)),INDEX($E$2165:$E$2217,MATCH(Paramètres!N27,Paramètres!$G$5:$G$57,0)))+IF(RIGHT(TRIM(Paramètres!O27),3)="Fin",1-$H2187,IF(LEFT(TRIM(Paramètres!O27),1)="F",1,0)))))))</f>
        <v/>
      </c>
      <c r="F2187" s="19">
        <f>IF($A2187="","",E2187+$H2187-1)</f>
        <v/>
      </c>
      <c r="G2187" s="18" t="n"/>
      <c r="H2187" s="18">
        <f>IF($A2187="","",IF(I2187&lt;&gt;"",I2187,Paramètres!B27))</f>
        <v/>
      </c>
      <c r="I2187" s="18" t="n"/>
    </row>
    <row r="2188">
      <c r="A2188" s="18">
        <f>IF(ISNUMBER(Dossiers!$D$44),Dossiers!$A$44&amp;" · "&amp;Dossiers!$B$44,"")</f>
        <v/>
      </c>
      <c r="B2188" s="18">
        <f>IF($A2188="","",Paramètres!G28)</f>
        <v/>
      </c>
      <c r="C2188" s="18">
        <f>IF($A2188="","",IF(Paramètres!H28="","",Paramètres!H28))</f>
        <v/>
      </c>
      <c r="D2188" s="18">
        <f>IF($A2188="","",IF(Paramètres!I28="","",Paramètres!I28))</f>
        <v/>
      </c>
      <c r="E2188" s="19">
        <f>IF($A2188="","",IF(Paramètres!J28&amp;Paramètres!L28&amp;Paramètres!N28="",Dossiers!$D$44,MAX(IF(Paramètres!J28="",0,IF(Paramètres!K28="",NA(),IF(LEFT(TRIM(Paramètres!K28),1)="F",INDEX($F$2165:$F$2217,MATCH(Paramètres!J28,Paramètres!$G$5:$G$57,0)),INDEX($E$2165:$E$2217,MATCH(Paramètres!J28,Paramètres!$G$5:$G$57,0)))+IF(RIGHT(TRIM(Paramètres!K28),3)="Fin",1-$H2188,IF(LEFT(TRIM(Paramètres!K28),1)="F",1,0)))),IF(Paramètres!L28="",0,IF(Paramètres!M28="",NA(),IF(LEFT(TRIM(Paramètres!M28),1)="F",INDEX($F$2165:$F$2217,MATCH(Paramètres!L28,Paramètres!$G$5:$G$57,0)),INDEX($E$2165:$E$2217,MATCH(Paramètres!L28,Paramètres!$G$5:$G$57,0)))+IF(RIGHT(TRIM(Paramètres!M28),3)="Fin",1-$H2188,IF(LEFT(TRIM(Paramètres!M28),1)="F",1,0)))),IF(Paramètres!N28="",0,IF(Paramètres!O28="",NA(),IF(LEFT(TRIM(Paramètres!O28),1)="F",INDEX($F$2165:$F$2217,MATCH(Paramètres!N28,Paramètres!$G$5:$G$57,0)),INDEX($E$2165:$E$2217,MATCH(Paramètres!N28,Paramètres!$G$5:$G$57,0)))+IF(RIGHT(TRIM(Paramètres!O28),3)="Fin",1-$H2188,IF(LEFT(TRIM(Paramètres!O28),1)="F",1,0)))))))</f>
        <v/>
      </c>
      <c r="F2188" s="19">
        <f>IF($A2188="","",E2188+$H2188-1)</f>
        <v/>
      </c>
      <c r="G2188" s="18" t="n"/>
      <c r="H2188" s="18">
        <f>IF($A2188="","",IF(I2188&lt;&gt;"",I2188,Paramètres!B28))</f>
        <v/>
      </c>
      <c r="I2188" s="18" t="n"/>
    </row>
    <row r="2189">
      <c r="A2189" s="18">
        <f>IF(ISNUMBER(Dossiers!$D$44),Dossiers!$A$44&amp;" · "&amp;Dossiers!$B$44,"")</f>
        <v/>
      </c>
      <c r="B2189" s="18">
        <f>IF($A2189="","",Paramètres!G29)</f>
        <v/>
      </c>
      <c r="C2189" s="18">
        <f>IF($A2189="","",IF(Paramètres!H29="","",Paramètres!H29))</f>
        <v/>
      </c>
      <c r="D2189" s="18">
        <f>IF($A2189="","",IF(Paramètres!I29="","",Paramètres!I29))</f>
        <v/>
      </c>
      <c r="E2189" s="19">
        <f>IF($A2189="","",IF(Paramètres!J29&amp;Paramètres!L29&amp;Paramètres!N29="",Dossiers!$D$44,MAX(IF(Paramètres!J29="",0,IF(Paramètres!K29="",NA(),IF(LEFT(TRIM(Paramètres!K29),1)="F",INDEX($F$2165:$F$2217,MATCH(Paramètres!J29,Paramètres!$G$5:$G$57,0)),INDEX($E$2165:$E$2217,MATCH(Paramètres!J29,Paramètres!$G$5:$G$57,0)))+IF(RIGHT(TRIM(Paramètres!K29),3)="Fin",1-$H2189,IF(LEFT(TRIM(Paramètres!K29),1)="F",1,0)))),IF(Paramètres!L29="",0,IF(Paramètres!M29="",NA(),IF(LEFT(TRIM(Paramètres!M29),1)="F",INDEX($F$2165:$F$2217,MATCH(Paramètres!L29,Paramètres!$G$5:$G$57,0)),INDEX($E$2165:$E$2217,MATCH(Paramètres!L29,Paramètres!$G$5:$G$57,0)))+IF(RIGHT(TRIM(Paramètres!M29),3)="Fin",1-$H2189,IF(LEFT(TRIM(Paramètres!M29),1)="F",1,0)))),IF(Paramètres!N29="",0,IF(Paramètres!O29="",NA(),IF(LEFT(TRIM(Paramètres!O29),1)="F",INDEX($F$2165:$F$2217,MATCH(Paramètres!N29,Paramètres!$G$5:$G$57,0)),INDEX($E$2165:$E$2217,MATCH(Paramètres!N29,Paramètres!$G$5:$G$57,0)))+IF(RIGHT(TRIM(Paramètres!O29),3)="Fin",1-$H2189,IF(LEFT(TRIM(Paramètres!O29),1)="F",1,0)))))))</f>
        <v/>
      </c>
      <c r="F2189" s="19">
        <f>IF($A2189="","",E2189+$H2189-1)</f>
        <v/>
      </c>
      <c r="G2189" s="18" t="n"/>
      <c r="H2189" s="18">
        <f>IF($A2189="","",IF(I2189&lt;&gt;"",I2189,Paramètres!B29))</f>
        <v/>
      </c>
      <c r="I2189" s="18" t="n"/>
    </row>
    <row r="2190">
      <c r="A2190" s="18">
        <f>IF(ISNUMBER(Dossiers!$D$44),Dossiers!$A$44&amp;" · "&amp;Dossiers!$B$44,"")</f>
        <v/>
      </c>
      <c r="B2190" s="18">
        <f>IF($A2190="","",Paramètres!G30)</f>
        <v/>
      </c>
      <c r="C2190" s="18">
        <f>IF($A2190="","",IF(Paramètres!H30="","",Paramètres!H30))</f>
        <v/>
      </c>
      <c r="D2190" s="18">
        <f>IF($A2190="","",IF(Paramètres!I30="","",Paramètres!I30))</f>
        <v/>
      </c>
      <c r="E2190" s="19">
        <f>IF($A2190="","",IF(Paramètres!J30&amp;Paramètres!L30&amp;Paramètres!N30="",Dossiers!$D$44,MAX(IF(Paramètres!J30="",0,IF(Paramètres!K30="",NA(),IF(LEFT(TRIM(Paramètres!K30),1)="F",INDEX($F$2165:$F$2217,MATCH(Paramètres!J30,Paramètres!$G$5:$G$57,0)),INDEX($E$2165:$E$2217,MATCH(Paramètres!J30,Paramètres!$G$5:$G$57,0)))+IF(RIGHT(TRIM(Paramètres!K30),3)="Fin",1-$H2190,IF(LEFT(TRIM(Paramètres!K30),1)="F",1,0)))),IF(Paramètres!L30="",0,IF(Paramètres!M30="",NA(),IF(LEFT(TRIM(Paramètres!M30),1)="F",INDEX($F$2165:$F$2217,MATCH(Paramètres!L30,Paramètres!$G$5:$G$57,0)),INDEX($E$2165:$E$2217,MATCH(Paramètres!L30,Paramètres!$G$5:$G$57,0)))+IF(RIGHT(TRIM(Paramètres!M30),3)="Fin",1-$H2190,IF(LEFT(TRIM(Paramètres!M30),1)="F",1,0)))),IF(Paramètres!N30="",0,IF(Paramètres!O30="",NA(),IF(LEFT(TRIM(Paramètres!O30),1)="F",INDEX($F$2165:$F$2217,MATCH(Paramètres!N30,Paramètres!$G$5:$G$57,0)),INDEX($E$2165:$E$2217,MATCH(Paramètres!N30,Paramètres!$G$5:$G$57,0)))+IF(RIGHT(TRIM(Paramètres!O30),3)="Fin",1-$H2190,IF(LEFT(TRIM(Paramètres!O30),1)="F",1,0)))))))</f>
        <v/>
      </c>
      <c r="F2190" s="19">
        <f>IF($A2190="","",E2190+$H2190-1)</f>
        <v/>
      </c>
      <c r="G2190" s="18" t="n"/>
      <c r="H2190" s="18">
        <f>IF($A2190="","",IF(I2190&lt;&gt;"",I2190,Paramètres!B30))</f>
        <v/>
      </c>
      <c r="I2190" s="18" t="n"/>
    </row>
    <row r="2191">
      <c r="A2191" s="18">
        <f>IF(ISNUMBER(Dossiers!$D$44),Dossiers!$A$44&amp;" · "&amp;Dossiers!$B$44,"")</f>
        <v/>
      </c>
      <c r="B2191" s="18">
        <f>IF($A2191="","",Paramètres!G31)</f>
        <v/>
      </c>
      <c r="C2191" s="20">
        <f>IF($A2191="","",IF(Dossiers!$F$44="","",Dossiers!$F$44))</f>
        <v/>
      </c>
      <c r="D2191" s="18">
        <f>IF($A2191="","",IF(Paramètres!I31="","",Paramètres!I31))</f>
        <v/>
      </c>
      <c r="E2191" s="19">
        <f>IF($A2191="","",IF(Paramètres!J31&amp;Paramètres!L31&amp;Paramètres!N31="",Dossiers!$D$44,MAX(IF(Paramètres!J31="",0,IF(Paramètres!K31="",NA(),IF(LEFT(TRIM(Paramètres!K31),1)="F",INDEX($F$2165:$F$2217,MATCH(Paramètres!J31,Paramètres!$G$5:$G$57,0)),INDEX($E$2165:$E$2217,MATCH(Paramètres!J31,Paramètres!$G$5:$G$57,0)))+IF(RIGHT(TRIM(Paramètres!K31),3)="Fin",1-$H2191,IF(LEFT(TRIM(Paramètres!K31),1)="F",1,0)))),IF(Paramètres!L31="",0,IF(Paramètres!M31="",NA(),IF(LEFT(TRIM(Paramètres!M31),1)="F",INDEX($F$2165:$F$2217,MATCH(Paramètres!L31,Paramètres!$G$5:$G$57,0)),INDEX($E$2165:$E$2217,MATCH(Paramètres!L31,Paramètres!$G$5:$G$57,0)))+IF(RIGHT(TRIM(Paramètres!M31),3)="Fin",1-$H2191,IF(LEFT(TRIM(Paramètres!M31),1)="F",1,0)))),IF(Paramètres!N31="",0,IF(Paramètres!O31="",NA(),IF(LEFT(TRIM(Paramètres!O31),1)="F",INDEX($F$2165:$F$2217,MATCH(Paramètres!N31,Paramètres!$G$5:$G$57,0)),INDEX($E$2165:$E$2217,MATCH(Paramètres!N31,Paramètres!$G$5:$G$57,0)))+IF(RIGHT(TRIM(Paramètres!O31),3)="Fin",1-$H2191,IF(LEFT(TRIM(Paramètres!O31),1)="F",1,0)))))))</f>
        <v/>
      </c>
      <c r="F2191" s="19">
        <f>IF($A2191="","",E2191+$H2191-1)</f>
        <v/>
      </c>
      <c r="G2191" s="18" t="n"/>
      <c r="H2191" s="18">
        <f>IF($A2191="","",IF(I2191&lt;&gt;"",I2191,Paramètres!B31))</f>
        <v/>
      </c>
      <c r="I2191" s="18" t="n"/>
    </row>
    <row r="2192">
      <c r="A2192" s="18">
        <f>IF(ISNUMBER(Dossiers!$D$44),Dossiers!$A$44&amp;" · "&amp;Dossiers!$B$44,"")</f>
        <v/>
      </c>
      <c r="B2192" s="18">
        <f>IF($A2192="","",Paramètres!G32)</f>
        <v/>
      </c>
      <c r="C2192" s="18">
        <f>IF($A2192="","",IF(Paramètres!H32="","",Paramètres!H32))</f>
        <v/>
      </c>
      <c r="D2192" s="18">
        <f>IF($A2192="","",IF(Paramètres!I32="","",Paramètres!I32))</f>
        <v/>
      </c>
      <c r="E2192" s="19">
        <f>IF($A2192="","",MIN(E2193:E2196))</f>
        <v/>
      </c>
      <c r="F2192" s="19">
        <f>IF($A2192="","",MAX(F2193:F2196))</f>
        <v/>
      </c>
      <c r="G2192" s="18" t="n"/>
      <c r="H2192" s="18">
        <f>IF($A2192="","",F2192-E2192+1)</f>
        <v/>
      </c>
      <c r="I2192" s="18" t="n"/>
    </row>
    <row r="2193">
      <c r="A2193" s="18">
        <f>IF(ISNUMBER(Dossiers!$D$44),Dossiers!$A$44&amp;" · "&amp;Dossiers!$B$44,"")</f>
        <v/>
      </c>
      <c r="B2193" s="18">
        <f>IF($A2193="","",Paramètres!G33)</f>
        <v/>
      </c>
      <c r="C2193" s="18">
        <f>IF($A2193="","",IF(Paramètres!H33="","",Paramètres!H33))</f>
        <v/>
      </c>
      <c r="D2193" s="18">
        <f>IF($A2193="","",IF(Paramètres!I33="","",Paramètres!I33))</f>
        <v/>
      </c>
      <c r="E2193" s="19">
        <f>IF($A2193="","",IF(Paramètres!J33&amp;Paramètres!L33&amp;Paramètres!N33="",Dossiers!$D$44,MAX(IF(Paramètres!J33="",0,IF(Paramètres!K33="",NA(),IF(LEFT(TRIM(Paramètres!K33),1)="F",INDEX($F$2165:$F$2217,MATCH(Paramètres!J33,Paramètres!$G$5:$G$57,0)),INDEX($E$2165:$E$2217,MATCH(Paramètres!J33,Paramètres!$G$5:$G$57,0)))+IF(RIGHT(TRIM(Paramètres!K33),3)="Fin",1-$H2193,IF(LEFT(TRIM(Paramètres!K33),1)="F",1,0)))),IF(Paramètres!L33="",0,IF(Paramètres!M33="",NA(),IF(LEFT(TRIM(Paramètres!M33),1)="F",INDEX($F$2165:$F$2217,MATCH(Paramètres!L33,Paramètres!$G$5:$G$57,0)),INDEX($E$2165:$E$2217,MATCH(Paramètres!L33,Paramètres!$G$5:$G$57,0)))+IF(RIGHT(TRIM(Paramètres!M33),3)="Fin",1-$H2193,IF(LEFT(TRIM(Paramètres!M33),1)="F",1,0)))),IF(Paramètres!N33="",0,IF(Paramètres!O33="",NA(),IF(LEFT(TRIM(Paramètres!O33),1)="F",INDEX($F$2165:$F$2217,MATCH(Paramètres!N33,Paramètres!$G$5:$G$57,0)),INDEX($E$2165:$E$2217,MATCH(Paramètres!N33,Paramètres!$G$5:$G$57,0)))+IF(RIGHT(TRIM(Paramètres!O33),3)="Fin",1-$H2193,IF(LEFT(TRIM(Paramètres!O33),1)="F",1,0)))))))</f>
        <v/>
      </c>
      <c r="F2193" s="19">
        <f>IF($A2193="","",E2193+$H2193-1)</f>
        <v/>
      </c>
      <c r="G2193" s="18" t="n"/>
      <c r="H2193" s="18">
        <f>IF($A2193="","",IF(I2193&lt;&gt;"",I2193,Paramètres!B33))</f>
        <v/>
      </c>
      <c r="I2193" s="18" t="n"/>
    </row>
    <row r="2194">
      <c r="A2194" s="18">
        <f>IF(ISNUMBER(Dossiers!$D$44),Dossiers!$A$44&amp;" · "&amp;Dossiers!$B$44,"")</f>
        <v/>
      </c>
      <c r="B2194" s="18">
        <f>IF($A2194="","",Paramètres!G34)</f>
        <v/>
      </c>
      <c r="C2194" s="18">
        <f>IF($A2194="","",IF(Paramètres!H34="","",Paramètres!H34))</f>
        <v/>
      </c>
      <c r="D2194" s="18">
        <f>IF($A2194="","",IF(Paramètres!I34="","",Paramètres!I34))</f>
        <v/>
      </c>
      <c r="E2194" s="19">
        <f>IF($A2194="","",IF(Paramètres!J34&amp;Paramètres!L34&amp;Paramètres!N34="",Dossiers!$D$44,MAX(IF(Paramètres!J34="",0,IF(Paramètres!K34="",NA(),IF(LEFT(TRIM(Paramètres!K34),1)="F",INDEX($F$2165:$F$2217,MATCH(Paramètres!J34,Paramètres!$G$5:$G$57,0)),INDEX($E$2165:$E$2217,MATCH(Paramètres!J34,Paramètres!$G$5:$G$57,0)))+IF(RIGHT(TRIM(Paramètres!K34),3)="Fin",1-$H2194,IF(LEFT(TRIM(Paramètres!K34),1)="F",1,0)))),IF(Paramètres!L34="",0,IF(Paramètres!M34="",NA(),IF(LEFT(TRIM(Paramètres!M34),1)="F",INDEX($F$2165:$F$2217,MATCH(Paramètres!L34,Paramètres!$G$5:$G$57,0)),INDEX($E$2165:$E$2217,MATCH(Paramètres!L34,Paramètres!$G$5:$G$57,0)))+IF(RIGHT(TRIM(Paramètres!M34),3)="Fin",1-$H2194,IF(LEFT(TRIM(Paramètres!M34),1)="F",1,0)))),IF(Paramètres!N34="",0,IF(Paramètres!O34="",NA(),IF(LEFT(TRIM(Paramètres!O34),1)="F",INDEX($F$2165:$F$2217,MATCH(Paramètres!N34,Paramètres!$G$5:$G$57,0)),INDEX($E$2165:$E$2217,MATCH(Paramètres!N34,Paramètres!$G$5:$G$57,0)))+IF(RIGHT(TRIM(Paramètres!O34),3)="Fin",1-$H2194,IF(LEFT(TRIM(Paramètres!O34),1)="F",1,0)))))))</f>
        <v/>
      </c>
      <c r="F2194" s="19">
        <f>IF($A2194="","",E2194+$H2194-1)</f>
        <v/>
      </c>
      <c r="G2194" s="18" t="n"/>
      <c r="H2194" s="18">
        <f>IF($A2194="","",IF(I2194&lt;&gt;"",I2194,Paramètres!B34))</f>
        <v/>
      </c>
      <c r="I2194" s="18" t="n"/>
    </row>
    <row r="2195">
      <c r="A2195" s="18">
        <f>IF(ISNUMBER(Dossiers!$D$44),Dossiers!$A$44&amp;" · "&amp;Dossiers!$B$44,"")</f>
        <v/>
      </c>
      <c r="B2195" s="18">
        <f>IF($A2195="","",Paramètres!G35)</f>
        <v/>
      </c>
      <c r="C2195" s="18">
        <f>IF($A2195="","",IF(Paramètres!H35="","",Paramètres!H35))</f>
        <v/>
      </c>
      <c r="D2195" s="18">
        <f>IF($A2195="","",IF(Paramètres!I35="","",Paramètres!I35))</f>
        <v/>
      </c>
      <c r="E2195" s="19">
        <f>IF($A2195="","",IF(Paramètres!J35&amp;Paramètres!L35&amp;Paramètres!N35="",Dossiers!$D$44,MAX(IF(Paramètres!J35="",0,IF(Paramètres!K35="",NA(),IF(LEFT(TRIM(Paramètres!K35),1)="F",INDEX($F$2165:$F$2217,MATCH(Paramètres!J35,Paramètres!$G$5:$G$57,0)),INDEX($E$2165:$E$2217,MATCH(Paramètres!J35,Paramètres!$G$5:$G$57,0)))+IF(RIGHT(TRIM(Paramètres!K35),3)="Fin",1-$H2195,IF(LEFT(TRIM(Paramètres!K35),1)="F",1,0)))),IF(Paramètres!L35="",0,IF(Paramètres!M35="",NA(),IF(LEFT(TRIM(Paramètres!M35),1)="F",INDEX($F$2165:$F$2217,MATCH(Paramètres!L35,Paramètres!$G$5:$G$57,0)),INDEX($E$2165:$E$2217,MATCH(Paramètres!L35,Paramètres!$G$5:$G$57,0)))+IF(RIGHT(TRIM(Paramètres!M35),3)="Fin",1-$H2195,IF(LEFT(TRIM(Paramètres!M35),1)="F",1,0)))),IF(Paramètres!N35="",0,IF(Paramètres!O35="",NA(),IF(LEFT(TRIM(Paramètres!O35),1)="F",INDEX($F$2165:$F$2217,MATCH(Paramètres!N35,Paramètres!$G$5:$G$57,0)),INDEX($E$2165:$E$2217,MATCH(Paramètres!N35,Paramètres!$G$5:$G$57,0)))+IF(RIGHT(TRIM(Paramètres!O35),3)="Fin",1-$H2195,IF(LEFT(TRIM(Paramètres!O35),1)="F",1,0)))))))</f>
        <v/>
      </c>
      <c r="F2195" s="19">
        <f>IF($A2195="","",E2195+$H2195-1)</f>
        <v/>
      </c>
      <c r="G2195" s="18" t="n"/>
      <c r="H2195" s="18">
        <f>IF($A2195="","",IF(I2195&lt;&gt;"",I2195,Paramètres!B35))</f>
        <v/>
      </c>
      <c r="I2195" s="18" t="n"/>
    </row>
    <row r="2196">
      <c r="A2196" s="18">
        <f>IF(ISNUMBER(Dossiers!$D$44),Dossiers!$A$44&amp;" · "&amp;Dossiers!$B$44,"")</f>
        <v/>
      </c>
      <c r="B2196" s="18">
        <f>IF($A2196="","",Paramètres!G36)</f>
        <v/>
      </c>
      <c r="C2196" s="18">
        <f>IF($A2196="","",IF(Paramètres!H36="","",Paramètres!H36))</f>
        <v/>
      </c>
      <c r="D2196" s="18">
        <f>IF($A2196="","",IF(Paramètres!I36="","",Paramètres!I36))</f>
        <v/>
      </c>
      <c r="E2196" s="19">
        <f>IF($A2196="","",IF(Paramètres!J36&amp;Paramètres!L36&amp;Paramètres!N36="",Dossiers!$D$44,MAX(IF(Paramètres!J36="",0,IF(Paramètres!K36="",NA(),IF(LEFT(TRIM(Paramètres!K36),1)="F",INDEX($F$2165:$F$2217,MATCH(Paramètres!J36,Paramètres!$G$5:$G$57,0)),INDEX($E$2165:$E$2217,MATCH(Paramètres!J36,Paramètres!$G$5:$G$57,0)))+IF(RIGHT(TRIM(Paramètres!K36),3)="Fin",1-$H2196,IF(LEFT(TRIM(Paramètres!K36),1)="F",1,0)))),IF(Paramètres!L36="",0,IF(Paramètres!M36="",NA(),IF(LEFT(TRIM(Paramètres!M36),1)="F",INDEX($F$2165:$F$2217,MATCH(Paramètres!L36,Paramètres!$G$5:$G$57,0)),INDEX($E$2165:$E$2217,MATCH(Paramètres!L36,Paramètres!$G$5:$G$57,0)))+IF(RIGHT(TRIM(Paramètres!M36),3)="Fin",1-$H2196,IF(LEFT(TRIM(Paramètres!M36),1)="F",1,0)))),IF(Paramètres!N36="",0,IF(Paramètres!O36="",NA(),IF(LEFT(TRIM(Paramètres!O36),1)="F",INDEX($F$2165:$F$2217,MATCH(Paramètres!N36,Paramètres!$G$5:$G$57,0)),INDEX($E$2165:$E$2217,MATCH(Paramètres!N36,Paramètres!$G$5:$G$57,0)))+IF(RIGHT(TRIM(Paramètres!O36),3)="Fin",1-$H2196,IF(LEFT(TRIM(Paramètres!O36),1)="F",1,0)))))))</f>
        <v/>
      </c>
      <c r="F2196" s="19">
        <f>IF($A2196="","",E2196+$H2196-1)</f>
        <v/>
      </c>
      <c r="G2196" s="18" t="n"/>
      <c r="H2196" s="18">
        <f>IF($A2196="","",IF(I2196&lt;&gt;"",I2196,Paramètres!B36))</f>
        <v/>
      </c>
      <c r="I2196" s="18" t="n"/>
    </row>
    <row r="2197">
      <c r="A2197" s="18">
        <f>IF(ISNUMBER(Dossiers!$D$44),Dossiers!$A$44&amp;" · "&amp;Dossiers!$B$44,"")</f>
        <v/>
      </c>
      <c r="B2197" s="18">
        <f>IF($A2197="","",Paramètres!G37)</f>
        <v/>
      </c>
      <c r="C2197" s="18">
        <f>IF($A2197="","",IF(Paramètres!H37="","",Paramètres!H37))</f>
        <v/>
      </c>
      <c r="D2197" s="18">
        <f>IF($A2197="","",IF(Paramètres!I37="","",Paramètres!I37))</f>
        <v/>
      </c>
      <c r="E2197" s="19">
        <f>IF($A2197="","",MIN(E2198:E2215))</f>
        <v/>
      </c>
      <c r="F2197" s="19">
        <f>IF($A2197="","",MAX(F2198:F2215))</f>
        <v/>
      </c>
      <c r="G2197" s="18" t="n"/>
      <c r="H2197" s="18">
        <f>IF($A2197="","",F2197-E2197+1)</f>
        <v/>
      </c>
      <c r="I2197" s="18" t="n"/>
    </row>
    <row r="2198">
      <c r="A2198" s="18">
        <f>IF(ISNUMBER(Dossiers!$D$44),Dossiers!$A$44&amp;" · "&amp;Dossiers!$B$44,"")</f>
        <v/>
      </c>
      <c r="B2198" s="18">
        <f>IF($A2198="","",Paramètres!G38)</f>
        <v/>
      </c>
      <c r="C2198" s="18">
        <f>IF($A2198="","",IF(Paramètres!H38="","",Paramètres!H38))</f>
        <v/>
      </c>
      <c r="D2198" s="18">
        <f>IF($A2198="","",IF(Paramètres!I38="","",Paramètres!I38))</f>
        <v/>
      </c>
      <c r="E2198" s="19">
        <f>IF($A2198="","",IF(Paramètres!J38&amp;Paramètres!L38&amp;Paramètres!N38="",Dossiers!$D$44,MAX(IF(Paramètres!J38="",0,IF(Paramètres!K38="",NA(),IF(LEFT(TRIM(Paramètres!K38),1)="F",INDEX($F$2165:$F$2217,MATCH(Paramètres!J38,Paramètres!$G$5:$G$57,0)),INDEX($E$2165:$E$2217,MATCH(Paramètres!J38,Paramètres!$G$5:$G$57,0)))+IF(RIGHT(TRIM(Paramètres!K38),3)="Fin",1-$H2198,IF(LEFT(TRIM(Paramètres!K38),1)="F",1,0)))),IF(Paramètres!L38="",0,IF(Paramètres!M38="",NA(),IF(LEFT(TRIM(Paramètres!M38),1)="F",INDEX($F$2165:$F$2217,MATCH(Paramètres!L38,Paramètres!$G$5:$G$57,0)),INDEX($E$2165:$E$2217,MATCH(Paramètres!L38,Paramètres!$G$5:$G$57,0)))+IF(RIGHT(TRIM(Paramètres!M38),3)="Fin",1-$H2198,IF(LEFT(TRIM(Paramètres!M38),1)="F",1,0)))),IF(Paramètres!N38="",0,IF(Paramètres!O38="",NA(),IF(LEFT(TRIM(Paramètres!O38),1)="F",INDEX($F$2165:$F$2217,MATCH(Paramètres!N38,Paramètres!$G$5:$G$57,0)),INDEX($E$2165:$E$2217,MATCH(Paramètres!N38,Paramètres!$G$5:$G$57,0)))+IF(RIGHT(TRIM(Paramètres!O38),3)="Fin",1-$H2198,IF(LEFT(TRIM(Paramètres!O38),1)="F",1,0)))))))</f>
        <v/>
      </c>
      <c r="F2198" s="19">
        <f>IF($A2198="","",E2198+$H2198-1)</f>
        <v/>
      </c>
      <c r="G2198" s="18" t="n"/>
      <c r="H2198" s="18">
        <f>IF($A2198="","",IF(I2198&lt;&gt;"",I2198,Paramètres!B38))</f>
        <v/>
      </c>
      <c r="I2198" s="18" t="n"/>
    </row>
    <row r="2199">
      <c r="A2199" s="18">
        <f>IF(ISNUMBER(Dossiers!$D$44),Dossiers!$A$44&amp;" · "&amp;Dossiers!$B$44,"")</f>
        <v/>
      </c>
      <c r="B2199" s="18">
        <f>IF($A2199="","",Paramètres!G39)</f>
        <v/>
      </c>
      <c r="C2199" s="18">
        <f>IF($A2199="","",IF(Paramètres!H39="","",Paramètres!H39))</f>
        <v/>
      </c>
      <c r="D2199" s="18">
        <f>IF($A2199="","",IF(Paramètres!I39="","",Paramètres!I39))</f>
        <v/>
      </c>
      <c r="E2199" s="19">
        <f>IF($A2199="","",IF(Paramètres!J39&amp;Paramètres!L39&amp;Paramètres!N39="",Dossiers!$D$44,MAX(IF(Paramètres!J39="",0,IF(Paramètres!K39="",NA(),IF(LEFT(TRIM(Paramètres!K39),1)="F",INDEX($F$2165:$F$2217,MATCH(Paramètres!J39,Paramètres!$G$5:$G$57,0)),INDEX($E$2165:$E$2217,MATCH(Paramètres!J39,Paramètres!$G$5:$G$57,0)))+IF(RIGHT(TRIM(Paramètres!K39),3)="Fin",1-$H2199,IF(LEFT(TRIM(Paramètres!K39),1)="F",1,0)))),IF(Paramètres!L39="",0,IF(Paramètres!M39="",NA(),IF(LEFT(TRIM(Paramètres!M39),1)="F",INDEX($F$2165:$F$2217,MATCH(Paramètres!L39,Paramètres!$G$5:$G$57,0)),INDEX($E$2165:$E$2217,MATCH(Paramètres!L39,Paramètres!$G$5:$G$57,0)))+IF(RIGHT(TRIM(Paramètres!M39),3)="Fin",1-$H2199,IF(LEFT(TRIM(Paramètres!M39),1)="F",1,0)))),IF(Paramètres!N39="",0,IF(Paramètres!O39="",NA(),IF(LEFT(TRIM(Paramètres!O39),1)="F",INDEX($F$2165:$F$2217,MATCH(Paramètres!N39,Paramètres!$G$5:$G$57,0)),INDEX($E$2165:$E$2217,MATCH(Paramètres!N39,Paramètres!$G$5:$G$57,0)))+IF(RIGHT(TRIM(Paramètres!O39),3)="Fin",1-$H2199,IF(LEFT(TRIM(Paramètres!O39),1)="F",1,0)))))))</f>
        <v/>
      </c>
      <c r="F2199" s="19">
        <f>IF($A2199="","",E2199+$H2199-1)</f>
        <v/>
      </c>
      <c r="G2199" s="18" t="n"/>
      <c r="H2199" s="18">
        <f>IF($A2199="","",IF(I2199&lt;&gt;"",I2199,Paramètres!B39))</f>
        <v/>
      </c>
      <c r="I2199" s="18" t="n"/>
    </row>
    <row r="2200">
      <c r="A2200" s="18">
        <f>IF(ISNUMBER(Dossiers!$D$44),Dossiers!$A$44&amp;" · "&amp;Dossiers!$B$44,"")</f>
        <v/>
      </c>
      <c r="B2200" s="18">
        <f>IF($A2200="","",Paramètres!G40)</f>
        <v/>
      </c>
      <c r="C2200" s="18">
        <f>IF($A2200="","",IF(Paramètres!H40="","",Paramètres!H40))</f>
        <v/>
      </c>
      <c r="D2200" s="18">
        <f>IF($A2200="","",IF(Paramètres!I40="","",Paramètres!I40))</f>
        <v/>
      </c>
      <c r="E2200" s="19">
        <f>IF($A2200="","",IF(Paramètres!J40&amp;Paramètres!L40&amp;Paramètres!N40="",Dossiers!$D$44,MAX(IF(Paramètres!J40="",0,IF(Paramètres!K40="",NA(),IF(LEFT(TRIM(Paramètres!K40),1)="F",INDEX($F$2165:$F$2217,MATCH(Paramètres!J40,Paramètres!$G$5:$G$57,0)),INDEX($E$2165:$E$2217,MATCH(Paramètres!J40,Paramètres!$G$5:$G$57,0)))+IF(RIGHT(TRIM(Paramètres!K40),3)="Fin",1-$H2200,IF(LEFT(TRIM(Paramètres!K40),1)="F",1,0)))),IF(Paramètres!L40="",0,IF(Paramètres!M40="",NA(),IF(LEFT(TRIM(Paramètres!M40),1)="F",INDEX($F$2165:$F$2217,MATCH(Paramètres!L40,Paramètres!$G$5:$G$57,0)),INDEX($E$2165:$E$2217,MATCH(Paramètres!L40,Paramètres!$G$5:$G$57,0)))+IF(RIGHT(TRIM(Paramètres!M40),3)="Fin",1-$H2200,IF(LEFT(TRIM(Paramètres!M40),1)="F",1,0)))),IF(Paramètres!N40="",0,IF(Paramètres!O40="",NA(),IF(LEFT(TRIM(Paramètres!O40),1)="F",INDEX($F$2165:$F$2217,MATCH(Paramètres!N40,Paramètres!$G$5:$G$57,0)),INDEX($E$2165:$E$2217,MATCH(Paramètres!N40,Paramètres!$G$5:$G$57,0)))+IF(RIGHT(TRIM(Paramètres!O40),3)="Fin",1-$H2200,IF(LEFT(TRIM(Paramètres!O40),1)="F",1,0)))))))</f>
        <v/>
      </c>
      <c r="F2200" s="19">
        <f>IF($A2200="","",E2200+$H2200-1)</f>
        <v/>
      </c>
      <c r="G2200" s="18" t="n"/>
      <c r="H2200" s="18">
        <f>IF($A2200="","",IF(I2200&lt;&gt;"",I2200,Paramètres!B40))</f>
        <v/>
      </c>
      <c r="I2200" s="18" t="n"/>
    </row>
    <row r="2201">
      <c r="A2201" s="18">
        <f>IF(ISNUMBER(Dossiers!$D$44),Dossiers!$A$44&amp;" · "&amp;Dossiers!$B$44,"")</f>
        <v/>
      </c>
      <c r="B2201" s="18">
        <f>IF($A2201="","",Paramètres!G41)</f>
        <v/>
      </c>
      <c r="C2201" s="18">
        <f>IF($A2201="","",IF(Paramètres!H41="","",Paramètres!H41))</f>
        <v/>
      </c>
      <c r="D2201" s="18">
        <f>IF($A2201="","",IF(Paramètres!I41="","",Paramètres!I41))</f>
        <v/>
      </c>
      <c r="E2201" s="19">
        <f>IF($A2201="","",IF(Paramètres!J41&amp;Paramètres!L41&amp;Paramètres!N41="",Dossiers!$D$44,MAX(IF(Paramètres!J41="",0,IF(Paramètres!K41="",NA(),IF(LEFT(TRIM(Paramètres!K41),1)="F",INDEX($F$2165:$F$2217,MATCH(Paramètres!J41,Paramètres!$G$5:$G$57,0)),INDEX($E$2165:$E$2217,MATCH(Paramètres!J41,Paramètres!$G$5:$G$57,0)))+IF(RIGHT(TRIM(Paramètres!K41),3)="Fin",1-$H2201,IF(LEFT(TRIM(Paramètres!K41),1)="F",1,0)))),IF(Paramètres!L41="",0,IF(Paramètres!M41="",NA(),IF(LEFT(TRIM(Paramètres!M41),1)="F",INDEX($F$2165:$F$2217,MATCH(Paramètres!L41,Paramètres!$G$5:$G$57,0)),INDEX($E$2165:$E$2217,MATCH(Paramètres!L41,Paramètres!$G$5:$G$57,0)))+IF(RIGHT(TRIM(Paramètres!M41),3)="Fin",1-$H2201,IF(LEFT(TRIM(Paramètres!M41),1)="F",1,0)))),IF(Paramètres!N41="",0,IF(Paramètres!O41="",NA(),IF(LEFT(TRIM(Paramètres!O41),1)="F",INDEX($F$2165:$F$2217,MATCH(Paramètres!N41,Paramètres!$G$5:$G$57,0)),INDEX($E$2165:$E$2217,MATCH(Paramètres!N41,Paramètres!$G$5:$G$57,0)))+IF(RIGHT(TRIM(Paramètres!O41),3)="Fin",1-$H2201,IF(LEFT(TRIM(Paramètres!O41),1)="F",1,0)))))))</f>
        <v/>
      </c>
      <c r="F2201" s="19">
        <f>IF($A2201="","",E2201+$H2201-1)</f>
        <v/>
      </c>
      <c r="G2201" s="18" t="n"/>
      <c r="H2201" s="18">
        <f>IF($A2201="","",IF(I2201&lt;&gt;"",I2201,Paramètres!B41))</f>
        <v/>
      </c>
      <c r="I2201" s="18" t="n"/>
    </row>
    <row r="2202">
      <c r="A2202" s="18">
        <f>IF(ISNUMBER(Dossiers!$D$44),Dossiers!$A$44&amp;" · "&amp;Dossiers!$B$44,"")</f>
        <v/>
      </c>
      <c r="B2202" s="18">
        <f>IF($A2202="","",Paramètres!G42)</f>
        <v/>
      </c>
      <c r="C2202" s="18">
        <f>IF($A2202="","",IF(Paramètres!H42="","",Paramètres!H42))</f>
        <v/>
      </c>
      <c r="D2202" s="18">
        <f>IF($A2202="","",IF(Paramètres!I42="","",Paramètres!I42))</f>
        <v/>
      </c>
      <c r="E2202" s="19">
        <f>IF($A2202="","",IF(Paramètres!J42&amp;Paramètres!L42&amp;Paramètres!N42="",Dossiers!$D$44,MAX(IF(Paramètres!J42="",0,IF(Paramètres!K42="",NA(),IF(LEFT(TRIM(Paramètres!K42),1)="F",INDEX($F$2165:$F$2217,MATCH(Paramètres!J42,Paramètres!$G$5:$G$57,0)),INDEX($E$2165:$E$2217,MATCH(Paramètres!J42,Paramètres!$G$5:$G$57,0)))+IF(RIGHT(TRIM(Paramètres!K42),3)="Fin",1-$H2202,IF(LEFT(TRIM(Paramètres!K42),1)="F",1,0)))),IF(Paramètres!L42="",0,IF(Paramètres!M42="",NA(),IF(LEFT(TRIM(Paramètres!M42),1)="F",INDEX($F$2165:$F$2217,MATCH(Paramètres!L42,Paramètres!$G$5:$G$57,0)),INDEX($E$2165:$E$2217,MATCH(Paramètres!L42,Paramètres!$G$5:$G$57,0)))+IF(RIGHT(TRIM(Paramètres!M42),3)="Fin",1-$H2202,IF(LEFT(TRIM(Paramètres!M42),1)="F",1,0)))),IF(Paramètres!N42="",0,IF(Paramètres!O42="",NA(),IF(LEFT(TRIM(Paramètres!O42),1)="F",INDEX($F$2165:$F$2217,MATCH(Paramètres!N42,Paramètres!$G$5:$G$57,0)),INDEX($E$2165:$E$2217,MATCH(Paramètres!N42,Paramètres!$G$5:$G$57,0)))+IF(RIGHT(TRIM(Paramètres!O42),3)="Fin",1-$H2202,IF(LEFT(TRIM(Paramètres!O42),1)="F",1,0)))))))</f>
        <v/>
      </c>
      <c r="F2202" s="19">
        <f>IF($A2202="","",E2202+$H2202-1)</f>
        <v/>
      </c>
      <c r="G2202" s="18" t="n"/>
      <c r="H2202" s="18">
        <f>IF($A2202="","",IF(I2202&lt;&gt;"",I2202,Paramètres!B42))</f>
        <v/>
      </c>
      <c r="I2202" s="18" t="n"/>
    </row>
    <row r="2203">
      <c r="A2203" s="18">
        <f>IF(ISNUMBER(Dossiers!$D$44),Dossiers!$A$44&amp;" · "&amp;Dossiers!$B$44,"")</f>
        <v/>
      </c>
      <c r="B2203" s="18">
        <f>IF($A2203="","",Paramètres!G43)</f>
        <v/>
      </c>
      <c r="C2203" s="18">
        <f>IF($A2203="","",IF(Paramètres!H43="","",Paramètres!H43))</f>
        <v/>
      </c>
      <c r="D2203" s="18">
        <f>IF($A2203="","",IF(Paramètres!I43="","",Paramètres!I43))</f>
        <v/>
      </c>
      <c r="E2203" s="19">
        <f>IF($A2203="","",IF(Paramètres!J43&amp;Paramètres!L43&amp;Paramètres!N43="",Dossiers!$D$44,MAX(IF(Paramètres!J43="",0,IF(Paramètres!K43="",NA(),IF(LEFT(TRIM(Paramètres!K43),1)="F",INDEX($F$2165:$F$2217,MATCH(Paramètres!J43,Paramètres!$G$5:$G$57,0)),INDEX($E$2165:$E$2217,MATCH(Paramètres!J43,Paramètres!$G$5:$G$57,0)))+IF(RIGHT(TRIM(Paramètres!K43),3)="Fin",1-$H2203,IF(LEFT(TRIM(Paramètres!K43),1)="F",1,0)))),IF(Paramètres!L43="",0,IF(Paramètres!M43="",NA(),IF(LEFT(TRIM(Paramètres!M43),1)="F",INDEX($F$2165:$F$2217,MATCH(Paramètres!L43,Paramètres!$G$5:$G$57,0)),INDEX($E$2165:$E$2217,MATCH(Paramètres!L43,Paramètres!$G$5:$G$57,0)))+IF(RIGHT(TRIM(Paramètres!M43),3)="Fin",1-$H2203,IF(LEFT(TRIM(Paramètres!M43),1)="F",1,0)))),IF(Paramètres!N43="",0,IF(Paramètres!O43="",NA(),IF(LEFT(TRIM(Paramètres!O43),1)="F",INDEX($F$2165:$F$2217,MATCH(Paramètres!N43,Paramètres!$G$5:$G$57,0)),INDEX($E$2165:$E$2217,MATCH(Paramètres!N43,Paramètres!$G$5:$G$57,0)))+IF(RIGHT(TRIM(Paramètres!O43),3)="Fin",1-$H2203,IF(LEFT(TRIM(Paramètres!O43),1)="F",1,0)))))))</f>
        <v/>
      </c>
      <c r="F2203" s="19">
        <f>IF($A2203="","",E2203+$H2203-1)</f>
        <v/>
      </c>
      <c r="G2203" s="18" t="n"/>
      <c r="H2203" s="18">
        <f>IF($A2203="","",IF(I2203&lt;&gt;"",I2203,Paramètres!B43))</f>
        <v/>
      </c>
      <c r="I2203" s="18" t="n"/>
    </row>
    <row r="2204">
      <c r="A2204" s="18">
        <f>IF(ISNUMBER(Dossiers!$D$44),Dossiers!$A$44&amp;" · "&amp;Dossiers!$B$44,"")</f>
        <v/>
      </c>
      <c r="B2204" s="18">
        <f>IF($A2204="","",Paramètres!G44)</f>
        <v/>
      </c>
      <c r="C2204" s="18">
        <f>IF($A2204="","",IF(Paramètres!H44="","",Paramètres!H44))</f>
        <v/>
      </c>
      <c r="D2204" s="18">
        <f>IF($A2204="","",IF(Paramètres!I44="","",Paramètres!I44))</f>
        <v/>
      </c>
      <c r="E2204" s="19">
        <f>IF($A2204="","",IF(Paramètres!J44&amp;Paramètres!L44&amp;Paramètres!N44="",Dossiers!$D$44,MAX(IF(Paramètres!J44="",0,IF(Paramètres!K44="",NA(),IF(LEFT(TRIM(Paramètres!K44),1)="F",INDEX($F$2165:$F$2217,MATCH(Paramètres!J44,Paramètres!$G$5:$G$57,0)),INDEX($E$2165:$E$2217,MATCH(Paramètres!J44,Paramètres!$G$5:$G$57,0)))+IF(RIGHT(TRIM(Paramètres!K44),3)="Fin",1-$H2204,IF(LEFT(TRIM(Paramètres!K44),1)="F",1,0)))),IF(Paramètres!L44="",0,IF(Paramètres!M44="",NA(),IF(LEFT(TRIM(Paramètres!M44),1)="F",INDEX($F$2165:$F$2217,MATCH(Paramètres!L44,Paramètres!$G$5:$G$57,0)),INDEX($E$2165:$E$2217,MATCH(Paramètres!L44,Paramètres!$G$5:$G$57,0)))+IF(RIGHT(TRIM(Paramètres!M44),3)="Fin",1-$H2204,IF(LEFT(TRIM(Paramètres!M44),1)="F",1,0)))),IF(Paramètres!N44="",0,IF(Paramètres!O44="",NA(),IF(LEFT(TRIM(Paramètres!O44),1)="F",INDEX($F$2165:$F$2217,MATCH(Paramètres!N44,Paramètres!$G$5:$G$57,0)),INDEX($E$2165:$E$2217,MATCH(Paramètres!N44,Paramètres!$G$5:$G$57,0)))+IF(RIGHT(TRIM(Paramètres!O44),3)="Fin",1-$H2204,IF(LEFT(TRIM(Paramètres!O44),1)="F",1,0)))))))</f>
        <v/>
      </c>
      <c r="F2204" s="19">
        <f>IF($A2204="","",E2204+$H2204-1)</f>
        <v/>
      </c>
      <c r="G2204" s="18" t="n"/>
      <c r="H2204" s="18">
        <f>IF($A2204="","",IF(I2204&lt;&gt;"",I2204,Paramètres!B44))</f>
        <v/>
      </c>
      <c r="I2204" s="18" t="n"/>
    </row>
    <row r="2205">
      <c r="A2205" s="18">
        <f>IF(ISNUMBER(Dossiers!$D$44),Dossiers!$A$44&amp;" · "&amp;Dossiers!$B$44,"")</f>
        <v/>
      </c>
      <c r="B2205" s="18">
        <f>IF($A2205="","",Paramètres!G45)</f>
        <v/>
      </c>
      <c r="C2205" s="20">
        <f>IF($A2205="","",IF(Dossiers!$G$44="","",Dossiers!$G$44))</f>
        <v/>
      </c>
      <c r="D2205" s="18">
        <f>IF($A2205="","",IF(Paramètres!I45="","",Paramètres!I45))</f>
        <v/>
      </c>
      <c r="E2205" s="19">
        <f>IF($A2205="","",IF(Paramètres!J45&amp;Paramètres!L45&amp;Paramètres!N45="",Dossiers!$D$44,MAX(IF(Paramètres!J45="",0,IF(Paramètres!K45="",NA(),IF(LEFT(TRIM(Paramètres!K45),1)="F",INDEX($F$2165:$F$2217,MATCH(Paramètres!J45,Paramètres!$G$5:$G$57,0)),INDEX($E$2165:$E$2217,MATCH(Paramètres!J45,Paramètres!$G$5:$G$57,0)))+IF(RIGHT(TRIM(Paramètres!K45),3)="Fin",1-$H2205,IF(LEFT(TRIM(Paramètres!K45),1)="F",1,0)))),IF(Paramètres!L45="",0,IF(Paramètres!M45="",NA(),IF(LEFT(TRIM(Paramètres!M45),1)="F",INDEX($F$2165:$F$2217,MATCH(Paramètres!L45,Paramètres!$G$5:$G$57,0)),INDEX($E$2165:$E$2217,MATCH(Paramètres!L45,Paramètres!$G$5:$G$57,0)))+IF(RIGHT(TRIM(Paramètres!M45),3)="Fin",1-$H2205,IF(LEFT(TRIM(Paramètres!M45),1)="F",1,0)))),IF(Paramètres!N45="",0,IF(Paramètres!O45="",NA(),IF(LEFT(TRIM(Paramètres!O45),1)="F",INDEX($F$2165:$F$2217,MATCH(Paramètres!N45,Paramètres!$G$5:$G$57,0)),INDEX($E$2165:$E$2217,MATCH(Paramètres!N45,Paramètres!$G$5:$G$57,0)))+IF(RIGHT(TRIM(Paramètres!O45),3)="Fin",1-$H2205,IF(LEFT(TRIM(Paramètres!O45),1)="F",1,0)))))))</f>
        <v/>
      </c>
      <c r="F2205" s="19">
        <f>IF($A2205="","",E2205+$H2205-1)</f>
        <v/>
      </c>
      <c r="G2205" s="18" t="n"/>
      <c r="H2205" s="18">
        <f>IF($A2205="","",IF(I2205&lt;&gt;"",I2205,Paramètres!B45))</f>
        <v/>
      </c>
      <c r="I2205" s="18" t="n"/>
    </row>
    <row r="2206">
      <c r="A2206" s="18">
        <f>IF(ISNUMBER(Dossiers!$D$44),Dossiers!$A$44&amp;" · "&amp;Dossiers!$B$44,"")</f>
        <v/>
      </c>
      <c r="B2206" s="18">
        <f>IF($A2206="","",Paramètres!G46)</f>
        <v/>
      </c>
      <c r="C2206" s="18">
        <f>IF($A2206="","",IF(Paramètres!H46="","",Paramètres!H46))</f>
        <v/>
      </c>
      <c r="D2206" s="18">
        <f>IF($A2206="","",IF(Paramètres!I46="","",Paramètres!I46))</f>
        <v/>
      </c>
      <c r="E2206" s="19">
        <f>IF($A2206="","",IF(Paramètres!J46&amp;Paramètres!L46&amp;Paramètres!N46="",Dossiers!$D$44,MAX(IF(Paramètres!J46="",0,IF(Paramètres!K46="",NA(),IF(LEFT(TRIM(Paramètres!K46),1)="F",INDEX($F$2165:$F$2217,MATCH(Paramètres!J46,Paramètres!$G$5:$G$57,0)),INDEX($E$2165:$E$2217,MATCH(Paramètres!J46,Paramètres!$G$5:$G$57,0)))+IF(RIGHT(TRIM(Paramètres!K46),3)="Fin",1-$H2206,IF(LEFT(TRIM(Paramètres!K46),1)="F",1,0)))),IF(Paramètres!L46="",0,IF(Paramètres!M46="",NA(),IF(LEFT(TRIM(Paramètres!M46),1)="F",INDEX($F$2165:$F$2217,MATCH(Paramètres!L46,Paramètres!$G$5:$G$57,0)),INDEX($E$2165:$E$2217,MATCH(Paramètres!L46,Paramètres!$G$5:$G$57,0)))+IF(RIGHT(TRIM(Paramètres!M46),3)="Fin",1-$H2206,IF(LEFT(TRIM(Paramètres!M46),1)="F",1,0)))),IF(Paramètres!N46="",0,IF(Paramètres!O46="",NA(),IF(LEFT(TRIM(Paramètres!O46),1)="F",INDEX($F$2165:$F$2217,MATCH(Paramètres!N46,Paramètres!$G$5:$G$57,0)),INDEX($E$2165:$E$2217,MATCH(Paramètres!N46,Paramètres!$G$5:$G$57,0)))+IF(RIGHT(TRIM(Paramètres!O46),3)="Fin",1-$H2206,IF(LEFT(TRIM(Paramètres!O46),1)="F",1,0)))))))</f>
        <v/>
      </c>
      <c r="F2206" s="19">
        <f>IF($A2206="","",E2206+$H2206-1)</f>
        <v/>
      </c>
      <c r="G2206" s="18" t="n"/>
      <c r="H2206" s="18">
        <f>IF($A2206="","",IF(I2206&lt;&gt;"",I2206,Paramètres!B46))</f>
        <v/>
      </c>
      <c r="I2206" s="18" t="n"/>
    </row>
    <row r="2207">
      <c r="A2207" s="18">
        <f>IF(ISNUMBER(Dossiers!$D$44),Dossiers!$A$44&amp;" · "&amp;Dossiers!$B$44,"")</f>
        <v/>
      </c>
      <c r="B2207" s="18">
        <f>IF($A2207="","",Paramètres!G47)</f>
        <v/>
      </c>
      <c r="C2207" s="18">
        <f>IF($A2207="","",IF(Paramètres!H47="","",Paramètres!H47))</f>
        <v/>
      </c>
      <c r="D2207" s="18">
        <f>IF($A2207="","",IF(Paramètres!I47="","",Paramètres!I47))</f>
        <v/>
      </c>
      <c r="E2207" s="19">
        <f>IF($A2207="","",IF(Paramètres!J47&amp;Paramètres!L47&amp;Paramètres!N47="",Dossiers!$D$44,MAX(IF(Paramètres!J47="",0,IF(Paramètres!K47="",NA(),IF(LEFT(TRIM(Paramètres!K47),1)="F",INDEX($F$2165:$F$2217,MATCH(Paramètres!J47,Paramètres!$G$5:$G$57,0)),INDEX($E$2165:$E$2217,MATCH(Paramètres!J47,Paramètres!$G$5:$G$57,0)))+IF(RIGHT(TRIM(Paramètres!K47),3)="Fin",1-$H2207,IF(LEFT(TRIM(Paramètres!K47),1)="F",1,0)))),IF(Paramètres!L47="",0,IF(Paramètres!M47="",NA(),IF(LEFT(TRIM(Paramètres!M47),1)="F",INDEX($F$2165:$F$2217,MATCH(Paramètres!L47,Paramètres!$G$5:$G$57,0)),INDEX($E$2165:$E$2217,MATCH(Paramètres!L47,Paramètres!$G$5:$G$57,0)))+IF(RIGHT(TRIM(Paramètres!M47),3)="Fin",1-$H2207,IF(LEFT(TRIM(Paramètres!M47),1)="F",1,0)))),IF(Paramètres!N47="",0,IF(Paramètres!O47="",NA(),IF(LEFT(TRIM(Paramètres!O47),1)="F",INDEX($F$2165:$F$2217,MATCH(Paramètres!N47,Paramètres!$G$5:$G$57,0)),INDEX($E$2165:$E$2217,MATCH(Paramètres!N47,Paramètres!$G$5:$G$57,0)))+IF(RIGHT(TRIM(Paramètres!O47),3)="Fin",1-$H2207,IF(LEFT(TRIM(Paramètres!O47),1)="F",1,0)))))))</f>
        <v/>
      </c>
      <c r="F2207" s="19">
        <f>IF($A2207="","",E2207+$H2207-1)</f>
        <v/>
      </c>
      <c r="G2207" s="18" t="n"/>
      <c r="H2207" s="18">
        <f>IF($A2207="","",IF(I2207&lt;&gt;"",I2207,Paramètres!B47))</f>
        <v/>
      </c>
      <c r="I2207" s="18" t="n"/>
    </row>
    <row r="2208">
      <c r="A2208" s="18">
        <f>IF(ISNUMBER(Dossiers!$D$44),Dossiers!$A$44&amp;" · "&amp;Dossiers!$B$44,"")</f>
        <v/>
      </c>
      <c r="B2208" s="18">
        <f>IF($A2208="","",Paramètres!G48)</f>
        <v/>
      </c>
      <c r="C2208" s="18">
        <f>IF($A2208="","",IF(Paramètres!H48="","",Paramètres!H48))</f>
        <v/>
      </c>
      <c r="D2208" s="18">
        <f>IF($A2208="","",IF(Paramètres!I48="","",Paramètres!I48))</f>
        <v/>
      </c>
      <c r="E2208" s="19">
        <f>IF($A2208="","",IF(Paramètres!J48&amp;Paramètres!L48&amp;Paramètres!N48="",Dossiers!$D$44,MAX(IF(Paramètres!J48="",0,IF(Paramètres!K48="",NA(),IF(LEFT(TRIM(Paramètres!K48),1)="F",INDEX($F$2165:$F$2217,MATCH(Paramètres!J48,Paramètres!$G$5:$G$57,0)),INDEX($E$2165:$E$2217,MATCH(Paramètres!J48,Paramètres!$G$5:$G$57,0)))+IF(RIGHT(TRIM(Paramètres!K48),3)="Fin",1-$H2208,IF(LEFT(TRIM(Paramètres!K48),1)="F",1,0)))),IF(Paramètres!L48="",0,IF(Paramètres!M48="",NA(),IF(LEFT(TRIM(Paramètres!M48),1)="F",INDEX($F$2165:$F$2217,MATCH(Paramètres!L48,Paramètres!$G$5:$G$57,0)),INDEX($E$2165:$E$2217,MATCH(Paramètres!L48,Paramètres!$G$5:$G$57,0)))+IF(RIGHT(TRIM(Paramètres!M48),3)="Fin",1-$H2208,IF(LEFT(TRIM(Paramètres!M48),1)="F",1,0)))),IF(Paramètres!N48="",0,IF(Paramètres!O48="",NA(),IF(LEFT(TRIM(Paramètres!O48),1)="F",INDEX($F$2165:$F$2217,MATCH(Paramètres!N48,Paramètres!$G$5:$G$57,0)),INDEX($E$2165:$E$2217,MATCH(Paramètres!N48,Paramètres!$G$5:$G$57,0)))+IF(RIGHT(TRIM(Paramètres!O48),3)="Fin",1-$H2208,IF(LEFT(TRIM(Paramètres!O48),1)="F",1,0)))))))</f>
        <v/>
      </c>
      <c r="F2208" s="19">
        <f>IF($A2208="","",E2208+$H2208-1)</f>
        <v/>
      </c>
      <c r="G2208" s="18" t="n"/>
      <c r="H2208" s="18">
        <f>IF($A2208="","",IF(I2208&lt;&gt;"",I2208,Paramètres!B48))</f>
        <v/>
      </c>
      <c r="I2208" s="18" t="n"/>
    </row>
    <row r="2209">
      <c r="A2209" s="18">
        <f>IF(ISNUMBER(Dossiers!$D$44),Dossiers!$A$44&amp;" · "&amp;Dossiers!$B$44,"")</f>
        <v/>
      </c>
      <c r="B2209" s="18">
        <f>IF($A2209="","",Paramètres!G49)</f>
        <v/>
      </c>
      <c r="C2209" s="18">
        <f>IF($A2209="","",IF(Paramètres!H49="","",Paramètres!H49))</f>
        <v/>
      </c>
      <c r="D2209" s="18">
        <f>IF($A2209="","",IF(Paramètres!I49="","",Paramètres!I49))</f>
        <v/>
      </c>
      <c r="E2209" s="19">
        <f>IF($A2209="","",IF(Paramètres!J49&amp;Paramètres!L49&amp;Paramètres!N49="",Dossiers!$D$44,MAX(IF(Paramètres!J49="",0,IF(Paramètres!K49="",NA(),IF(LEFT(TRIM(Paramètres!K49),1)="F",INDEX($F$2165:$F$2217,MATCH(Paramètres!J49,Paramètres!$G$5:$G$57,0)),INDEX($E$2165:$E$2217,MATCH(Paramètres!J49,Paramètres!$G$5:$G$57,0)))+IF(RIGHT(TRIM(Paramètres!K49),3)="Fin",1-$H2209,IF(LEFT(TRIM(Paramètres!K49),1)="F",1,0)))),IF(Paramètres!L49="",0,IF(Paramètres!M49="",NA(),IF(LEFT(TRIM(Paramètres!M49),1)="F",INDEX($F$2165:$F$2217,MATCH(Paramètres!L49,Paramètres!$G$5:$G$57,0)),INDEX($E$2165:$E$2217,MATCH(Paramètres!L49,Paramètres!$G$5:$G$57,0)))+IF(RIGHT(TRIM(Paramètres!M49),3)="Fin",1-$H2209,IF(LEFT(TRIM(Paramètres!M49),1)="F",1,0)))),IF(Paramètres!N49="",0,IF(Paramètres!O49="",NA(),IF(LEFT(TRIM(Paramètres!O49),1)="F",INDEX($F$2165:$F$2217,MATCH(Paramètres!N49,Paramètres!$G$5:$G$57,0)),INDEX($E$2165:$E$2217,MATCH(Paramètres!N49,Paramètres!$G$5:$G$57,0)))+IF(RIGHT(TRIM(Paramètres!O49),3)="Fin",1-$H2209,IF(LEFT(TRIM(Paramètres!O49),1)="F",1,0)))))))</f>
        <v/>
      </c>
      <c r="F2209" s="19">
        <f>IF($A2209="","",E2209+$H2209-1)</f>
        <v/>
      </c>
      <c r="G2209" s="18" t="n"/>
      <c r="H2209" s="18">
        <f>IF($A2209="","",IF(I2209&lt;&gt;"",I2209,Paramètres!B49))</f>
        <v/>
      </c>
      <c r="I2209" s="18" t="n"/>
    </row>
    <row r="2210">
      <c r="A2210" s="18">
        <f>IF(ISNUMBER(Dossiers!$D$44),Dossiers!$A$44&amp;" · "&amp;Dossiers!$B$44,"")</f>
        <v/>
      </c>
      <c r="B2210" s="18">
        <f>IF($A2210="","",Paramètres!G50)</f>
        <v/>
      </c>
      <c r="C2210" s="18">
        <f>IF($A2210="","",IF(Paramètres!H50="","",Paramètres!H50))</f>
        <v/>
      </c>
      <c r="D2210" s="18">
        <f>IF($A2210="","",IF(Paramètres!I50="","",Paramètres!I50))</f>
        <v/>
      </c>
      <c r="E2210" s="19">
        <f>IF($A2210="","",IF(Paramètres!J50&amp;Paramètres!L50&amp;Paramètres!N50="",Dossiers!$D$44,MAX(IF(Paramètres!J50="",0,IF(Paramètres!K50="",NA(),IF(LEFT(TRIM(Paramètres!K50),1)="F",INDEX($F$2165:$F$2217,MATCH(Paramètres!J50,Paramètres!$G$5:$G$57,0)),INDEX($E$2165:$E$2217,MATCH(Paramètres!J50,Paramètres!$G$5:$G$57,0)))+IF(RIGHT(TRIM(Paramètres!K50),3)="Fin",1-$H2210,IF(LEFT(TRIM(Paramètres!K50),1)="F",1,0)))),IF(Paramètres!L50="",0,IF(Paramètres!M50="",NA(),IF(LEFT(TRIM(Paramètres!M50),1)="F",INDEX($F$2165:$F$2217,MATCH(Paramètres!L50,Paramètres!$G$5:$G$57,0)),INDEX($E$2165:$E$2217,MATCH(Paramètres!L50,Paramètres!$G$5:$G$57,0)))+IF(RIGHT(TRIM(Paramètres!M50),3)="Fin",1-$H2210,IF(LEFT(TRIM(Paramètres!M50),1)="F",1,0)))),IF(Paramètres!N50="",0,IF(Paramètres!O50="",NA(),IF(LEFT(TRIM(Paramètres!O50),1)="F",INDEX($F$2165:$F$2217,MATCH(Paramètres!N50,Paramètres!$G$5:$G$57,0)),INDEX($E$2165:$E$2217,MATCH(Paramètres!N50,Paramètres!$G$5:$G$57,0)))+IF(RIGHT(TRIM(Paramètres!O50),3)="Fin",1-$H2210,IF(LEFT(TRIM(Paramètres!O50),1)="F",1,0)))))))</f>
        <v/>
      </c>
      <c r="F2210" s="19">
        <f>IF($A2210="","",E2210+$H2210-1)</f>
        <v/>
      </c>
      <c r="G2210" s="18" t="n"/>
      <c r="H2210" s="18">
        <f>IF($A2210="","",IF(I2210&lt;&gt;"",I2210,Paramètres!B50))</f>
        <v/>
      </c>
      <c r="I2210" s="18" t="n"/>
    </row>
    <row r="2211">
      <c r="A2211" s="18">
        <f>IF(ISNUMBER(Dossiers!$D$44),Dossiers!$A$44&amp;" · "&amp;Dossiers!$B$44,"")</f>
        <v/>
      </c>
      <c r="B2211" s="18">
        <f>IF($A2211="","",Paramètres!G51)</f>
        <v/>
      </c>
      <c r="C2211" s="18">
        <f>IF($A2211="","",IF(Paramètres!H51="","",Paramètres!H51))</f>
        <v/>
      </c>
      <c r="D2211" s="18">
        <f>IF($A2211="","",IF(Paramètres!I51="","",Paramètres!I51))</f>
        <v/>
      </c>
      <c r="E2211" s="19">
        <f>IF($A2211="","",IF(Paramètres!J51&amp;Paramètres!L51&amp;Paramètres!N51="",Dossiers!$D$44,MAX(IF(Paramètres!J51="",0,IF(Paramètres!K51="",NA(),IF(LEFT(TRIM(Paramètres!K51),1)="F",INDEX($F$2165:$F$2217,MATCH(Paramètres!J51,Paramètres!$G$5:$G$57,0)),INDEX($E$2165:$E$2217,MATCH(Paramètres!J51,Paramètres!$G$5:$G$57,0)))+IF(RIGHT(TRIM(Paramètres!K51),3)="Fin",1-$H2211,IF(LEFT(TRIM(Paramètres!K51),1)="F",1,0)))),IF(Paramètres!L51="",0,IF(Paramètres!M51="",NA(),IF(LEFT(TRIM(Paramètres!M51),1)="F",INDEX($F$2165:$F$2217,MATCH(Paramètres!L51,Paramètres!$G$5:$G$57,0)),INDEX($E$2165:$E$2217,MATCH(Paramètres!L51,Paramètres!$G$5:$G$57,0)))+IF(RIGHT(TRIM(Paramètres!M51),3)="Fin",1-$H2211,IF(LEFT(TRIM(Paramètres!M51),1)="F",1,0)))),IF(Paramètres!N51="",0,IF(Paramètres!O51="",NA(),IF(LEFT(TRIM(Paramètres!O51),1)="F",INDEX($F$2165:$F$2217,MATCH(Paramètres!N51,Paramètres!$G$5:$G$57,0)),INDEX($E$2165:$E$2217,MATCH(Paramètres!N51,Paramètres!$G$5:$G$57,0)))+IF(RIGHT(TRIM(Paramètres!O51),3)="Fin",1-$H2211,IF(LEFT(TRIM(Paramètres!O51),1)="F",1,0)))))))</f>
        <v/>
      </c>
      <c r="F2211" s="19">
        <f>IF($A2211="","",E2211+$H2211-1)</f>
        <v/>
      </c>
      <c r="G2211" s="18" t="n"/>
      <c r="H2211" s="18">
        <f>IF($A2211="","",IF(I2211&lt;&gt;"",I2211,Paramètres!B51))</f>
        <v/>
      </c>
      <c r="I2211" s="18" t="n"/>
    </row>
    <row r="2212">
      <c r="A2212" s="18">
        <f>IF(ISNUMBER(Dossiers!$D$44),Dossiers!$A$44&amp;" · "&amp;Dossiers!$B$44,"")</f>
        <v/>
      </c>
      <c r="B2212" s="18">
        <f>IF($A2212="","",Paramètres!G52)</f>
        <v/>
      </c>
      <c r="C2212" s="18">
        <f>IF($A2212="","",IF(Paramètres!H52="","",Paramètres!H52))</f>
        <v/>
      </c>
      <c r="D2212" s="18">
        <f>IF($A2212="","",IF(Paramètres!I52="","",Paramètres!I52))</f>
        <v/>
      </c>
      <c r="E2212" s="19">
        <f>IF($A2212="","",IF(Paramètres!J52&amp;Paramètres!L52&amp;Paramètres!N52="",Dossiers!$D$44,MAX(IF(Paramètres!J52="",0,IF(Paramètres!K52="",NA(),IF(LEFT(TRIM(Paramètres!K52),1)="F",INDEX($F$2165:$F$2217,MATCH(Paramètres!J52,Paramètres!$G$5:$G$57,0)),INDEX($E$2165:$E$2217,MATCH(Paramètres!J52,Paramètres!$G$5:$G$57,0)))+IF(RIGHT(TRIM(Paramètres!K52),3)="Fin",1-$H2212,IF(LEFT(TRIM(Paramètres!K52),1)="F",1,0)))),IF(Paramètres!L52="",0,IF(Paramètres!M52="",NA(),IF(LEFT(TRIM(Paramètres!M52),1)="F",INDEX($F$2165:$F$2217,MATCH(Paramètres!L52,Paramètres!$G$5:$G$57,0)),INDEX($E$2165:$E$2217,MATCH(Paramètres!L52,Paramètres!$G$5:$G$57,0)))+IF(RIGHT(TRIM(Paramètres!M52),3)="Fin",1-$H2212,IF(LEFT(TRIM(Paramètres!M52),1)="F",1,0)))),IF(Paramètres!N52="",0,IF(Paramètres!O52="",NA(),IF(LEFT(TRIM(Paramètres!O52),1)="F",INDEX($F$2165:$F$2217,MATCH(Paramètres!N52,Paramètres!$G$5:$G$57,0)),INDEX($E$2165:$E$2217,MATCH(Paramètres!N52,Paramètres!$G$5:$G$57,0)))+IF(RIGHT(TRIM(Paramètres!O52),3)="Fin",1-$H2212,IF(LEFT(TRIM(Paramètres!O52),1)="F",1,0)))))))</f>
        <v/>
      </c>
      <c r="F2212" s="19">
        <f>IF($A2212="","",E2212+$H2212-1)</f>
        <v/>
      </c>
      <c r="G2212" s="18" t="n"/>
      <c r="H2212" s="18">
        <f>IF($A2212="","",IF(I2212&lt;&gt;"",I2212,Paramètres!B52))</f>
        <v/>
      </c>
      <c r="I2212" s="18" t="n"/>
    </row>
    <row r="2213">
      <c r="A2213" s="18">
        <f>IF(ISNUMBER(Dossiers!$D$44),Dossiers!$A$44&amp;" · "&amp;Dossiers!$B$44,"")</f>
        <v/>
      </c>
      <c r="B2213" s="18">
        <f>IF($A2213="","",Paramètres!G53)</f>
        <v/>
      </c>
      <c r="C2213" s="18">
        <f>IF($A2213="","",IF(Paramètres!H53="","",Paramètres!H53))</f>
        <v/>
      </c>
      <c r="D2213" s="18">
        <f>IF($A2213="","",IF(Paramètres!I53="","",Paramètres!I53))</f>
        <v/>
      </c>
      <c r="E2213" s="19">
        <f>IF($A2213="","",IF(Paramètres!J53&amp;Paramètres!L53&amp;Paramètres!N53="",Dossiers!$D$44,MAX(IF(Paramètres!J53="",0,IF(Paramètres!K53="",NA(),IF(LEFT(TRIM(Paramètres!K53),1)="F",INDEX($F$2165:$F$2217,MATCH(Paramètres!J53,Paramètres!$G$5:$G$57,0)),INDEX($E$2165:$E$2217,MATCH(Paramètres!J53,Paramètres!$G$5:$G$57,0)))+IF(RIGHT(TRIM(Paramètres!K53),3)="Fin",1-$H2213,IF(LEFT(TRIM(Paramètres!K53),1)="F",1,0)))),IF(Paramètres!L53="",0,IF(Paramètres!M53="",NA(),IF(LEFT(TRIM(Paramètres!M53),1)="F",INDEX($F$2165:$F$2217,MATCH(Paramètres!L53,Paramètres!$G$5:$G$57,0)),INDEX($E$2165:$E$2217,MATCH(Paramètres!L53,Paramètres!$G$5:$G$57,0)))+IF(RIGHT(TRIM(Paramètres!M53),3)="Fin",1-$H2213,IF(LEFT(TRIM(Paramètres!M53),1)="F",1,0)))),IF(Paramètres!N53="",0,IF(Paramètres!O53="",NA(),IF(LEFT(TRIM(Paramètres!O53),1)="F",INDEX($F$2165:$F$2217,MATCH(Paramètres!N53,Paramètres!$G$5:$G$57,0)),INDEX($E$2165:$E$2217,MATCH(Paramètres!N53,Paramètres!$G$5:$G$57,0)))+IF(RIGHT(TRIM(Paramètres!O53),3)="Fin",1-$H2213,IF(LEFT(TRIM(Paramètres!O53),1)="F",1,0)))))))</f>
        <v/>
      </c>
      <c r="F2213" s="19">
        <f>IF($A2213="","",E2213+$H2213-1)</f>
        <v/>
      </c>
      <c r="G2213" s="18" t="n"/>
      <c r="H2213" s="18">
        <f>IF($A2213="","",IF(I2213&lt;&gt;"",I2213,Paramètres!B53))</f>
        <v/>
      </c>
      <c r="I2213" s="18" t="n"/>
    </row>
    <row r="2214">
      <c r="A2214" s="18">
        <f>IF(ISNUMBER(Dossiers!$D$44),Dossiers!$A$44&amp;" · "&amp;Dossiers!$B$44,"")</f>
        <v/>
      </c>
      <c r="B2214" s="18">
        <f>IF($A2214="","",Paramètres!G54)</f>
        <v/>
      </c>
      <c r="C2214" s="18">
        <f>IF($A2214="","",IF(Paramètres!H54="","",Paramètres!H54))</f>
        <v/>
      </c>
      <c r="D2214" s="18">
        <f>IF($A2214="","",IF(Paramètres!I54="","",Paramètres!I54))</f>
        <v/>
      </c>
      <c r="E2214" s="19">
        <f>IF($A2214="","",IF(Paramètres!J54&amp;Paramètres!L54&amp;Paramètres!N54="",Dossiers!$D$44,MAX(IF(Paramètres!J54="",0,IF(Paramètres!K54="",NA(),IF(LEFT(TRIM(Paramètres!K54),1)="F",INDEX($F$2165:$F$2217,MATCH(Paramètres!J54,Paramètres!$G$5:$G$57,0)),INDEX($E$2165:$E$2217,MATCH(Paramètres!J54,Paramètres!$G$5:$G$57,0)))+IF(RIGHT(TRIM(Paramètres!K54),3)="Fin",1-$H2214,IF(LEFT(TRIM(Paramètres!K54),1)="F",1,0)))),IF(Paramètres!L54="",0,IF(Paramètres!M54="",NA(),IF(LEFT(TRIM(Paramètres!M54),1)="F",INDEX($F$2165:$F$2217,MATCH(Paramètres!L54,Paramètres!$G$5:$G$57,0)),INDEX($E$2165:$E$2217,MATCH(Paramètres!L54,Paramètres!$G$5:$G$57,0)))+IF(RIGHT(TRIM(Paramètres!M54),3)="Fin",1-$H2214,IF(LEFT(TRIM(Paramètres!M54),1)="F",1,0)))),IF(Paramètres!N54="",0,IF(Paramètres!O54="",NA(),IF(LEFT(TRIM(Paramètres!O54),1)="F",INDEX($F$2165:$F$2217,MATCH(Paramètres!N54,Paramètres!$G$5:$G$57,0)),INDEX($E$2165:$E$2217,MATCH(Paramètres!N54,Paramètres!$G$5:$G$57,0)))+IF(RIGHT(TRIM(Paramètres!O54),3)="Fin",1-$H2214,IF(LEFT(TRIM(Paramètres!O54),1)="F",1,0)))))))</f>
        <v/>
      </c>
      <c r="F2214" s="19">
        <f>IF($A2214="","",E2214+$H2214-1)</f>
        <v/>
      </c>
      <c r="G2214" s="18" t="n"/>
      <c r="H2214" s="18">
        <f>IF($A2214="","",IF(I2214&lt;&gt;"",I2214,Paramètres!B54))</f>
        <v/>
      </c>
      <c r="I2214" s="18" t="n"/>
    </row>
    <row r="2215">
      <c r="A2215" s="18">
        <f>IF(ISNUMBER(Dossiers!$D$44),Dossiers!$A$44&amp;" · "&amp;Dossiers!$B$44,"")</f>
        <v/>
      </c>
      <c r="B2215" s="18">
        <f>IF($A2215="","",Paramètres!G55)</f>
        <v/>
      </c>
      <c r="C2215" s="18">
        <f>IF($A2215="","",IF(Paramètres!H55="","",Paramètres!H55))</f>
        <v/>
      </c>
      <c r="D2215" s="18">
        <f>IF($A2215="","",IF(Paramètres!I55="","",Paramètres!I55))</f>
        <v/>
      </c>
      <c r="E2215" s="19">
        <f>IF($A2215="","",IF(Paramètres!J55&amp;Paramètres!L55&amp;Paramètres!N55="",Dossiers!$D$44,MAX(IF(Paramètres!J55="",0,IF(Paramètres!K55="",NA(),IF(LEFT(TRIM(Paramètres!K55),1)="F",INDEX($F$2165:$F$2217,MATCH(Paramètres!J55,Paramètres!$G$5:$G$57,0)),INDEX($E$2165:$E$2217,MATCH(Paramètres!J55,Paramètres!$G$5:$G$57,0)))+IF(RIGHT(TRIM(Paramètres!K55),3)="Fin",1-$H2215,IF(LEFT(TRIM(Paramètres!K55),1)="F",1,0)))),IF(Paramètres!L55="",0,IF(Paramètres!M55="",NA(),IF(LEFT(TRIM(Paramètres!M55),1)="F",INDEX($F$2165:$F$2217,MATCH(Paramètres!L55,Paramètres!$G$5:$G$57,0)),INDEX($E$2165:$E$2217,MATCH(Paramètres!L55,Paramètres!$G$5:$G$57,0)))+IF(RIGHT(TRIM(Paramètres!M55),3)="Fin",1-$H2215,IF(LEFT(TRIM(Paramètres!M55),1)="F",1,0)))),IF(Paramètres!N55="",0,IF(Paramètres!O55="",NA(),IF(LEFT(TRIM(Paramètres!O55),1)="F",INDEX($F$2165:$F$2217,MATCH(Paramètres!N55,Paramètres!$G$5:$G$57,0)),INDEX($E$2165:$E$2217,MATCH(Paramètres!N55,Paramètres!$G$5:$G$57,0)))+IF(RIGHT(TRIM(Paramètres!O55),3)="Fin",1-$H2215,IF(LEFT(TRIM(Paramètres!O55),1)="F",1,0)))))))</f>
        <v/>
      </c>
      <c r="F2215" s="19">
        <f>IF($A2215="","",E2215+$H2215-1)</f>
        <v/>
      </c>
      <c r="G2215" s="18" t="n"/>
      <c r="H2215" s="18">
        <f>IF($A2215="","",IF(I2215&lt;&gt;"",I2215,Paramètres!B55))</f>
        <v/>
      </c>
      <c r="I2215" s="18" t="n"/>
    </row>
    <row r="2216">
      <c r="A2216" s="18">
        <f>IF(ISNUMBER(Dossiers!$D$44),Dossiers!$A$44&amp;" · "&amp;Dossiers!$B$44,"")</f>
        <v/>
      </c>
      <c r="B2216" s="18">
        <f>IF($A2216="","",Paramètres!G56)</f>
        <v/>
      </c>
      <c r="C2216" s="18">
        <f>IF($A2216="","",IF(Paramètres!H56="","",Paramètres!H56))</f>
        <v/>
      </c>
      <c r="D2216" s="18">
        <f>IF($A2216="","",IF(Paramètres!I56="","",Paramètres!I56))</f>
        <v/>
      </c>
      <c r="E2216" s="19">
        <f>IF($A2216="","",MIN(E2217:E2217))</f>
        <v/>
      </c>
      <c r="F2216" s="19">
        <f>IF($A2216="","",MAX(F2217:F2217))</f>
        <v/>
      </c>
      <c r="G2216" s="18" t="n"/>
      <c r="H2216" s="18">
        <f>IF($A2216="","",F2216-E2216+1)</f>
        <v/>
      </c>
      <c r="I2216" s="18" t="n"/>
    </row>
    <row r="2217">
      <c r="A2217" s="18">
        <f>IF(ISNUMBER(Dossiers!$D$44),Dossiers!$A$44&amp;" · "&amp;Dossiers!$B$44,"")</f>
        <v/>
      </c>
      <c r="B2217" s="18">
        <f>IF($A2217="","",Paramètres!G57)</f>
        <v/>
      </c>
      <c r="C2217" s="18">
        <f>IF($A2217="","",IF(Paramètres!H57="","",Paramètres!H57))</f>
        <v/>
      </c>
      <c r="D2217" s="18">
        <f>IF($A2217="","",IF(Paramètres!I57="","",Paramètres!I57))</f>
        <v/>
      </c>
      <c r="E2217" s="19">
        <f>IF($A2217="","",IF(Paramètres!J57&amp;Paramètres!L57&amp;Paramètres!N57="",Dossiers!$D$44,MAX(IF(Paramètres!J57="",0,IF(Paramètres!K57="",NA(),IF(LEFT(TRIM(Paramètres!K57),1)="F",INDEX($F$2165:$F$2217,MATCH(Paramètres!J57,Paramètres!$G$5:$G$57,0)),INDEX($E$2165:$E$2217,MATCH(Paramètres!J57,Paramètres!$G$5:$G$57,0)))+IF(RIGHT(TRIM(Paramètres!K57),3)="Fin",1-$H2217,IF(LEFT(TRIM(Paramètres!K57),1)="F",1,0)))),IF(Paramètres!L57="",0,IF(Paramètres!M57="",NA(),IF(LEFT(TRIM(Paramètres!M57),1)="F",INDEX($F$2165:$F$2217,MATCH(Paramètres!L57,Paramètres!$G$5:$G$57,0)),INDEX($E$2165:$E$2217,MATCH(Paramètres!L57,Paramètres!$G$5:$G$57,0)))+IF(RIGHT(TRIM(Paramètres!M57),3)="Fin",1-$H2217,IF(LEFT(TRIM(Paramètres!M57),1)="F",1,0)))),IF(Paramètres!N57="",0,IF(Paramètres!O57="",NA(),IF(LEFT(TRIM(Paramètres!O57),1)="F",INDEX($F$2165:$F$2217,MATCH(Paramètres!N57,Paramètres!$G$5:$G$57,0)),INDEX($E$2165:$E$2217,MATCH(Paramètres!N57,Paramètres!$G$5:$G$57,0)))+IF(RIGHT(TRIM(Paramètres!O57),3)="Fin",1-$H2217,IF(LEFT(TRIM(Paramètres!O57),1)="F",1,0)))))))</f>
        <v/>
      </c>
      <c r="F2217" s="19">
        <f>IF($A2217="","",E2217+$H2217-1)</f>
        <v/>
      </c>
      <c r="G2217" s="18" t="n"/>
      <c r="H2217" s="18">
        <f>IF($A2217="","",IF(I2217&lt;&gt;"",I2217,Paramètres!B57))</f>
        <v/>
      </c>
      <c r="I2217" s="18" t="n"/>
    </row>
    <row r="2218">
      <c r="A2218" s="16">
        <f>IF(ISNUMBER(Dossiers!$D$45),Dossiers!$E$45,"")</f>
        <v/>
      </c>
      <c r="B2218" s="16">
        <f>IF($A2218="","","Identifiant")</f>
        <v/>
      </c>
      <c r="C2218" s="16">
        <f>IF($A2218="","","Macro Etape")</f>
        <v/>
      </c>
      <c r="D2218" s="16">
        <f>IF($A2218="","","Etape")</f>
        <v/>
      </c>
      <c r="E2218" s="17">
        <f>IF($A2218="","","Début le")</f>
        <v/>
      </c>
      <c r="F2218" s="17">
        <f>IF($A2218="","","Fin prévue le")</f>
        <v/>
      </c>
      <c r="G2218" s="16">
        <f>IF($A2218="","","Statut")</f>
        <v/>
      </c>
      <c r="H2218" s="16">
        <f>IF($A2218="","","Durée (jours)")</f>
        <v/>
      </c>
      <c r="I2218" s="16">
        <f>IF($A2218="","","Durée particulière")</f>
        <v/>
      </c>
      <c r="J2218" s="10">
        <f>IF($A2218="","",HYPERLINK("#'Tableau de bord'!A1","↑ Tableau de bord"))</f>
        <v/>
      </c>
    </row>
    <row r="2219">
      <c r="A2219" s="18">
        <f>IF(ISNUMBER(Dossiers!$D$45),Dossiers!$A$45&amp;" · "&amp;Dossiers!$B$45,"")</f>
        <v/>
      </c>
      <c r="B2219" s="18">
        <f>IF($A2219="","",Paramètres!G5)</f>
        <v/>
      </c>
      <c r="C2219" s="18">
        <f>IF($A2219="","",IF(Paramètres!H5="","",Paramètres!H5))</f>
        <v/>
      </c>
      <c r="D2219" s="18">
        <f>IF($A2219="","",IF(Paramètres!I5="","",Paramètres!I5))</f>
        <v/>
      </c>
      <c r="E2219" s="19">
        <f>IF($A2219="","",MIN(E2220:E2223))</f>
        <v/>
      </c>
      <c r="F2219" s="19">
        <f>IF($A2219="","",MAX(F2220:F2223))</f>
        <v/>
      </c>
      <c r="G2219" s="18" t="n"/>
      <c r="H2219" s="18">
        <f>IF($A2219="","",F2219-E2219+1)</f>
        <v/>
      </c>
      <c r="I2219" s="18" t="n"/>
    </row>
    <row r="2220">
      <c r="A2220" s="18">
        <f>IF(ISNUMBER(Dossiers!$D$45),Dossiers!$A$45&amp;" · "&amp;Dossiers!$B$45,"")</f>
        <v/>
      </c>
      <c r="B2220" s="18">
        <f>IF($A2220="","",Paramètres!G6)</f>
        <v/>
      </c>
      <c r="C2220" s="18">
        <f>IF($A2220="","",IF(Paramètres!H6="","",Paramètres!H6))</f>
        <v/>
      </c>
      <c r="D2220" s="18">
        <f>IF($A2220="","",IF(Paramètres!I6="","",Paramètres!I6))</f>
        <v/>
      </c>
      <c r="E2220" s="19">
        <f>IF($A2220="","",IF(Paramètres!J6&amp;Paramètres!L6&amp;Paramètres!N6="",Dossiers!$D$45,MAX(IF(Paramètres!J6="",0,IF(Paramètres!K6="",NA(),IF(LEFT(TRIM(Paramètres!K6),1)="F",INDEX($F$2219:$F$2271,MATCH(Paramètres!J6,Paramètres!$G$5:$G$57,0)),INDEX($E$2219:$E$2271,MATCH(Paramètres!J6,Paramètres!$G$5:$G$57,0)))+IF(RIGHT(TRIM(Paramètres!K6),3)="Fin",1-$H2220,IF(LEFT(TRIM(Paramètres!K6),1)="F",1,0)))),IF(Paramètres!L6="",0,IF(Paramètres!M6="",NA(),IF(LEFT(TRIM(Paramètres!M6),1)="F",INDEX($F$2219:$F$2271,MATCH(Paramètres!L6,Paramètres!$G$5:$G$57,0)),INDEX($E$2219:$E$2271,MATCH(Paramètres!L6,Paramètres!$G$5:$G$57,0)))+IF(RIGHT(TRIM(Paramètres!M6),3)="Fin",1-$H2220,IF(LEFT(TRIM(Paramètres!M6),1)="F",1,0)))),IF(Paramètres!N6="",0,IF(Paramètres!O6="",NA(),IF(LEFT(TRIM(Paramètres!O6),1)="F",INDEX($F$2219:$F$2271,MATCH(Paramètres!N6,Paramètres!$G$5:$G$57,0)),INDEX($E$2219:$E$2271,MATCH(Paramètres!N6,Paramètres!$G$5:$G$57,0)))+IF(RIGHT(TRIM(Paramètres!O6),3)="Fin",1-$H2220,IF(LEFT(TRIM(Paramètres!O6),1)="F",1,0)))))))</f>
        <v/>
      </c>
      <c r="F2220" s="19">
        <f>IF($A2220="","",E2220+$H2220-1)</f>
        <v/>
      </c>
      <c r="G2220" s="18" t="n"/>
      <c r="H2220" s="18">
        <f>IF($A2220="","",IF(I2220&lt;&gt;"",I2220,Paramètres!B6))</f>
        <v/>
      </c>
      <c r="I2220" s="18" t="n"/>
    </row>
    <row r="2221">
      <c r="A2221" s="18">
        <f>IF(ISNUMBER(Dossiers!$D$45),Dossiers!$A$45&amp;" · "&amp;Dossiers!$B$45,"")</f>
        <v/>
      </c>
      <c r="B2221" s="18">
        <f>IF($A2221="","",Paramètres!G7)</f>
        <v/>
      </c>
      <c r="C2221" s="18">
        <f>IF($A2221="","",IF(Paramètres!H7="","",Paramètres!H7))</f>
        <v/>
      </c>
      <c r="D2221" s="18">
        <f>IF($A2221="","",IF(Paramètres!I7="","",Paramètres!I7))</f>
        <v/>
      </c>
      <c r="E2221" s="19">
        <f>IF($A2221="","",IF(Paramètres!J7&amp;Paramètres!L7&amp;Paramètres!N7="",Dossiers!$D$45,MAX(IF(Paramètres!J7="",0,IF(Paramètres!K7="",NA(),IF(LEFT(TRIM(Paramètres!K7),1)="F",INDEX($F$2219:$F$2271,MATCH(Paramètres!J7,Paramètres!$G$5:$G$57,0)),INDEX($E$2219:$E$2271,MATCH(Paramètres!J7,Paramètres!$G$5:$G$57,0)))+IF(RIGHT(TRIM(Paramètres!K7),3)="Fin",1-$H2221,IF(LEFT(TRIM(Paramètres!K7),1)="F",1,0)))),IF(Paramètres!L7="",0,IF(Paramètres!M7="",NA(),IF(LEFT(TRIM(Paramètres!M7),1)="F",INDEX($F$2219:$F$2271,MATCH(Paramètres!L7,Paramètres!$G$5:$G$57,0)),INDEX($E$2219:$E$2271,MATCH(Paramètres!L7,Paramètres!$G$5:$G$57,0)))+IF(RIGHT(TRIM(Paramètres!M7),3)="Fin",1-$H2221,IF(LEFT(TRIM(Paramètres!M7),1)="F",1,0)))),IF(Paramètres!N7="",0,IF(Paramètres!O7="",NA(),IF(LEFT(TRIM(Paramètres!O7),1)="F",INDEX($F$2219:$F$2271,MATCH(Paramètres!N7,Paramètres!$G$5:$G$57,0)),INDEX($E$2219:$E$2271,MATCH(Paramètres!N7,Paramètres!$G$5:$G$57,0)))+IF(RIGHT(TRIM(Paramètres!O7),3)="Fin",1-$H2221,IF(LEFT(TRIM(Paramètres!O7),1)="F",1,0)))))))</f>
        <v/>
      </c>
      <c r="F2221" s="19">
        <f>IF($A2221="","",E2221+$H2221-1)</f>
        <v/>
      </c>
      <c r="G2221" s="18" t="n"/>
      <c r="H2221" s="18">
        <f>IF($A2221="","",IF(I2221&lt;&gt;"",I2221,Paramètres!B7))</f>
        <v/>
      </c>
      <c r="I2221" s="18" t="n"/>
    </row>
    <row r="2222">
      <c r="A2222" s="18">
        <f>IF(ISNUMBER(Dossiers!$D$45),Dossiers!$A$45&amp;" · "&amp;Dossiers!$B$45,"")</f>
        <v/>
      </c>
      <c r="B2222" s="18">
        <f>IF($A2222="","",Paramètres!G8)</f>
        <v/>
      </c>
      <c r="C2222" s="18">
        <f>IF($A2222="","",IF(Paramètres!H8="","",Paramètres!H8))</f>
        <v/>
      </c>
      <c r="D2222" s="18">
        <f>IF($A2222="","",IF(Paramètres!I8="","",Paramètres!I8))</f>
        <v/>
      </c>
      <c r="E2222" s="19">
        <f>IF($A2222="","",IF(Paramètres!J8&amp;Paramètres!L8&amp;Paramètres!N8="",Dossiers!$D$45,MAX(IF(Paramètres!J8="",0,IF(Paramètres!K8="",NA(),IF(LEFT(TRIM(Paramètres!K8),1)="F",INDEX($F$2219:$F$2271,MATCH(Paramètres!J8,Paramètres!$G$5:$G$57,0)),INDEX($E$2219:$E$2271,MATCH(Paramètres!J8,Paramètres!$G$5:$G$57,0)))+IF(RIGHT(TRIM(Paramètres!K8),3)="Fin",1-$H2222,IF(LEFT(TRIM(Paramètres!K8),1)="F",1,0)))),IF(Paramètres!L8="",0,IF(Paramètres!M8="",NA(),IF(LEFT(TRIM(Paramètres!M8),1)="F",INDEX($F$2219:$F$2271,MATCH(Paramètres!L8,Paramètres!$G$5:$G$57,0)),INDEX($E$2219:$E$2271,MATCH(Paramètres!L8,Paramètres!$G$5:$G$57,0)))+IF(RIGHT(TRIM(Paramètres!M8),3)="Fin",1-$H2222,IF(LEFT(TRIM(Paramètres!M8),1)="F",1,0)))),IF(Paramètres!N8="",0,IF(Paramètres!O8="",NA(),IF(LEFT(TRIM(Paramètres!O8),1)="F",INDEX($F$2219:$F$2271,MATCH(Paramètres!N8,Paramètres!$G$5:$G$57,0)),INDEX($E$2219:$E$2271,MATCH(Paramètres!N8,Paramètres!$G$5:$G$57,0)))+IF(RIGHT(TRIM(Paramètres!O8),3)="Fin",1-$H2222,IF(LEFT(TRIM(Paramètres!O8),1)="F",1,0)))))))</f>
        <v/>
      </c>
      <c r="F2222" s="19">
        <f>IF($A2222="","",E2222+$H2222-1)</f>
        <v/>
      </c>
      <c r="G2222" s="18" t="n"/>
      <c r="H2222" s="18">
        <f>IF($A2222="","",IF(I2222&lt;&gt;"",I2222,Paramètres!B8))</f>
        <v/>
      </c>
      <c r="I2222" s="18" t="n"/>
    </row>
    <row r="2223">
      <c r="A2223" s="18">
        <f>IF(ISNUMBER(Dossiers!$D$45),Dossiers!$A$45&amp;" · "&amp;Dossiers!$B$45,"")</f>
        <v/>
      </c>
      <c r="B2223" s="18">
        <f>IF($A2223="","",Paramètres!G9)</f>
        <v/>
      </c>
      <c r="C2223" s="18">
        <f>IF($A2223="","",IF(Paramètres!H9="","",Paramètres!H9))</f>
        <v/>
      </c>
      <c r="D2223" s="18">
        <f>IF($A2223="","",IF(Paramètres!I9="","",Paramètres!I9))</f>
        <v/>
      </c>
      <c r="E2223" s="19">
        <f>IF($A2223="","",IF(Paramètres!J9&amp;Paramètres!L9&amp;Paramètres!N9="",Dossiers!$D$45,MAX(IF(Paramètres!J9="",0,IF(Paramètres!K9="",NA(),IF(LEFT(TRIM(Paramètres!K9),1)="F",INDEX($F$2219:$F$2271,MATCH(Paramètres!J9,Paramètres!$G$5:$G$57,0)),INDEX($E$2219:$E$2271,MATCH(Paramètres!J9,Paramètres!$G$5:$G$57,0)))+IF(RIGHT(TRIM(Paramètres!K9),3)="Fin",1-$H2223,IF(LEFT(TRIM(Paramètres!K9),1)="F",1,0)))),IF(Paramètres!L9="",0,IF(Paramètres!M9="",NA(),IF(LEFT(TRIM(Paramètres!M9),1)="F",INDEX($F$2219:$F$2271,MATCH(Paramètres!L9,Paramètres!$G$5:$G$57,0)),INDEX($E$2219:$E$2271,MATCH(Paramètres!L9,Paramètres!$G$5:$G$57,0)))+IF(RIGHT(TRIM(Paramètres!M9),3)="Fin",1-$H2223,IF(LEFT(TRIM(Paramètres!M9),1)="F",1,0)))),IF(Paramètres!N9="",0,IF(Paramètres!O9="",NA(),IF(LEFT(TRIM(Paramètres!O9),1)="F",INDEX($F$2219:$F$2271,MATCH(Paramètres!N9,Paramètres!$G$5:$G$57,0)),INDEX($E$2219:$E$2271,MATCH(Paramètres!N9,Paramètres!$G$5:$G$57,0)))+IF(RIGHT(TRIM(Paramètres!O9),3)="Fin",1-$H2223,IF(LEFT(TRIM(Paramètres!O9),1)="F",1,0)))))))</f>
        <v/>
      </c>
      <c r="F2223" s="19">
        <f>IF($A2223="","",E2223+$H2223-1)</f>
        <v/>
      </c>
      <c r="G2223" s="18" t="n"/>
      <c r="H2223" s="18">
        <f>IF($A2223="","",IF(I2223&lt;&gt;"",I2223,Paramètres!B9))</f>
        <v/>
      </c>
      <c r="I2223" s="18" t="n"/>
    </row>
    <row r="2224">
      <c r="A2224" s="18">
        <f>IF(ISNUMBER(Dossiers!$D$45),Dossiers!$A$45&amp;" · "&amp;Dossiers!$B$45,"")</f>
        <v/>
      </c>
      <c r="B2224" s="18">
        <f>IF($A2224="","",Paramètres!G10)</f>
        <v/>
      </c>
      <c r="C2224" s="18">
        <f>IF($A2224="","",IF(Paramètres!H10="","",Paramètres!H10))</f>
        <v/>
      </c>
      <c r="D2224" s="18">
        <f>IF($A2224="","",IF(Paramètres!I10="","",Paramètres!I10))</f>
        <v/>
      </c>
      <c r="E2224" s="19">
        <f>IF($A2224="","",MIN(E2225:E2228))</f>
        <v/>
      </c>
      <c r="F2224" s="19">
        <f>IF($A2224="","",MAX(F2225:F2228))</f>
        <v/>
      </c>
      <c r="G2224" s="18" t="n"/>
      <c r="H2224" s="18">
        <f>IF($A2224="","",F2224-E2224+1)</f>
        <v/>
      </c>
      <c r="I2224" s="18" t="n"/>
    </row>
    <row r="2225">
      <c r="A2225" s="18">
        <f>IF(ISNUMBER(Dossiers!$D$45),Dossiers!$A$45&amp;" · "&amp;Dossiers!$B$45,"")</f>
        <v/>
      </c>
      <c r="B2225" s="18">
        <f>IF($A2225="","",Paramètres!G11)</f>
        <v/>
      </c>
      <c r="C2225" s="18">
        <f>IF($A2225="","",IF(Paramètres!H11="","",Paramètres!H11))</f>
        <v/>
      </c>
      <c r="D2225" s="18">
        <f>IF($A2225="","",IF(Paramètres!I11="","",Paramètres!I11))</f>
        <v/>
      </c>
      <c r="E2225" s="19">
        <f>IF($A2225="","",IF(Paramètres!J11&amp;Paramètres!L11&amp;Paramètres!N11="",Dossiers!$D$45,MAX(IF(Paramètres!J11="",0,IF(Paramètres!K11="",NA(),IF(LEFT(TRIM(Paramètres!K11),1)="F",INDEX($F$2219:$F$2271,MATCH(Paramètres!J11,Paramètres!$G$5:$G$57,0)),INDEX($E$2219:$E$2271,MATCH(Paramètres!J11,Paramètres!$G$5:$G$57,0)))+IF(RIGHT(TRIM(Paramètres!K11),3)="Fin",1-$H2225,IF(LEFT(TRIM(Paramètres!K11),1)="F",1,0)))),IF(Paramètres!L11="",0,IF(Paramètres!M11="",NA(),IF(LEFT(TRIM(Paramètres!M11),1)="F",INDEX($F$2219:$F$2271,MATCH(Paramètres!L11,Paramètres!$G$5:$G$57,0)),INDEX($E$2219:$E$2271,MATCH(Paramètres!L11,Paramètres!$G$5:$G$57,0)))+IF(RIGHT(TRIM(Paramètres!M11),3)="Fin",1-$H2225,IF(LEFT(TRIM(Paramètres!M11),1)="F",1,0)))),IF(Paramètres!N11="",0,IF(Paramètres!O11="",NA(),IF(LEFT(TRIM(Paramètres!O11),1)="F",INDEX($F$2219:$F$2271,MATCH(Paramètres!N11,Paramètres!$G$5:$G$57,0)),INDEX($E$2219:$E$2271,MATCH(Paramètres!N11,Paramètres!$G$5:$G$57,0)))+IF(RIGHT(TRIM(Paramètres!O11),3)="Fin",1-$H2225,IF(LEFT(TRIM(Paramètres!O11),1)="F",1,0)))))))</f>
        <v/>
      </c>
      <c r="F2225" s="19">
        <f>IF($A2225="","",E2225+$H2225-1)</f>
        <v/>
      </c>
      <c r="G2225" s="18" t="n"/>
      <c r="H2225" s="18">
        <f>IF($A2225="","",IF(I2225&lt;&gt;"",I2225,Paramètres!B11))</f>
        <v/>
      </c>
      <c r="I2225" s="18" t="n"/>
    </row>
    <row r="2226">
      <c r="A2226" s="18">
        <f>IF(ISNUMBER(Dossiers!$D$45),Dossiers!$A$45&amp;" · "&amp;Dossiers!$B$45,"")</f>
        <v/>
      </c>
      <c r="B2226" s="18">
        <f>IF($A2226="","",Paramètres!G12)</f>
        <v/>
      </c>
      <c r="C2226" s="18">
        <f>IF($A2226="","",IF(Paramètres!H12="","",Paramètres!H12))</f>
        <v/>
      </c>
      <c r="D2226" s="18">
        <f>IF($A2226="","",IF(Paramètres!I12="","",Paramètres!I12))</f>
        <v/>
      </c>
      <c r="E2226" s="19">
        <f>IF($A2226="","",IF(Paramètres!J12&amp;Paramètres!L12&amp;Paramètres!N12="",Dossiers!$D$45,MAX(IF(Paramètres!J12="",0,IF(Paramètres!K12="",NA(),IF(LEFT(TRIM(Paramètres!K12),1)="F",INDEX($F$2219:$F$2271,MATCH(Paramètres!J12,Paramètres!$G$5:$G$57,0)),INDEX($E$2219:$E$2271,MATCH(Paramètres!J12,Paramètres!$G$5:$G$57,0)))+IF(RIGHT(TRIM(Paramètres!K12),3)="Fin",1-$H2226,IF(LEFT(TRIM(Paramètres!K12),1)="F",1,0)))),IF(Paramètres!L12="",0,IF(Paramètres!M12="",NA(),IF(LEFT(TRIM(Paramètres!M12),1)="F",INDEX($F$2219:$F$2271,MATCH(Paramètres!L12,Paramètres!$G$5:$G$57,0)),INDEX($E$2219:$E$2271,MATCH(Paramètres!L12,Paramètres!$G$5:$G$57,0)))+IF(RIGHT(TRIM(Paramètres!M12),3)="Fin",1-$H2226,IF(LEFT(TRIM(Paramètres!M12),1)="F",1,0)))),IF(Paramètres!N12="",0,IF(Paramètres!O12="",NA(),IF(LEFT(TRIM(Paramètres!O12),1)="F",INDEX($F$2219:$F$2271,MATCH(Paramètres!N12,Paramètres!$G$5:$G$57,0)),INDEX($E$2219:$E$2271,MATCH(Paramètres!N12,Paramètres!$G$5:$G$57,0)))+IF(RIGHT(TRIM(Paramètres!O12),3)="Fin",1-$H2226,IF(LEFT(TRIM(Paramètres!O12),1)="F",1,0)))))))</f>
        <v/>
      </c>
      <c r="F2226" s="19">
        <f>IF($A2226="","",E2226+$H2226-1)</f>
        <v/>
      </c>
      <c r="G2226" s="18" t="n"/>
      <c r="H2226" s="18">
        <f>IF($A2226="","",IF(I2226&lt;&gt;"",I2226,Paramètres!B12))</f>
        <v/>
      </c>
      <c r="I2226" s="18" t="n"/>
    </row>
    <row r="2227">
      <c r="A2227" s="18">
        <f>IF(ISNUMBER(Dossiers!$D$45),Dossiers!$A$45&amp;" · "&amp;Dossiers!$B$45,"")</f>
        <v/>
      </c>
      <c r="B2227" s="18">
        <f>IF($A2227="","",Paramètres!G13)</f>
        <v/>
      </c>
      <c r="C2227" s="18">
        <f>IF($A2227="","",IF(Paramètres!H13="","",Paramètres!H13))</f>
        <v/>
      </c>
      <c r="D2227" s="18">
        <f>IF($A2227="","",IF(Paramètres!I13="","",Paramètres!I13))</f>
        <v/>
      </c>
      <c r="E2227" s="19">
        <f>IF($A2227="","",IF(Paramètres!J13&amp;Paramètres!L13&amp;Paramètres!N13="",Dossiers!$D$45,MAX(IF(Paramètres!J13="",0,IF(Paramètres!K13="",NA(),IF(LEFT(TRIM(Paramètres!K13),1)="F",INDEX($F$2219:$F$2271,MATCH(Paramètres!J13,Paramètres!$G$5:$G$57,0)),INDEX($E$2219:$E$2271,MATCH(Paramètres!J13,Paramètres!$G$5:$G$57,0)))+IF(RIGHT(TRIM(Paramètres!K13),3)="Fin",1-$H2227,IF(LEFT(TRIM(Paramètres!K13),1)="F",1,0)))),IF(Paramètres!L13="",0,IF(Paramètres!M13="",NA(),IF(LEFT(TRIM(Paramètres!M13),1)="F",INDEX($F$2219:$F$2271,MATCH(Paramètres!L13,Paramètres!$G$5:$G$57,0)),INDEX($E$2219:$E$2271,MATCH(Paramètres!L13,Paramètres!$G$5:$G$57,0)))+IF(RIGHT(TRIM(Paramètres!M13),3)="Fin",1-$H2227,IF(LEFT(TRIM(Paramètres!M13),1)="F",1,0)))),IF(Paramètres!N13="",0,IF(Paramètres!O13="",NA(),IF(LEFT(TRIM(Paramètres!O13),1)="F",INDEX($F$2219:$F$2271,MATCH(Paramètres!N13,Paramètres!$G$5:$G$57,0)),INDEX($E$2219:$E$2271,MATCH(Paramètres!N13,Paramètres!$G$5:$G$57,0)))+IF(RIGHT(TRIM(Paramètres!O13),3)="Fin",1-$H2227,IF(LEFT(TRIM(Paramètres!O13),1)="F",1,0)))))))</f>
        <v/>
      </c>
      <c r="F2227" s="19">
        <f>IF($A2227="","",E2227+$H2227-1)</f>
        <v/>
      </c>
      <c r="G2227" s="18" t="n"/>
      <c r="H2227" s="18">
        <f>IF($A2227="","",IF(I2227&lt;&gt;"",I2227,Paramètres!B13))</f>
        <v/>
      </c>
      <c r="I2227" s="18" t="n"/>
    </row>
    <row r="2228">
      <c r="A2228" s="18">
        <f>IF(ISNUMBER(Dossiers!$D$45),Dossiers!$A$45&amp;" · "&amp;Dossiers!$B$45,"")</f>
        <v/>
      </c>
      <c r="B2228" s="18">
        <f>IF($A2228="","",Paramètres!G14)</f>
        <v/>
      </c>
      <c r="C2228" s="18">
        <f>IF($A2228="","",IF(Paramètres!H14="","",Paramètres!H14))</f>
        <v/>
      </c>
      <c r="D2228" s="18">
        <f>IF($A2228="","",IF(Paramètres!I14="","",Paramètres!I14))</f>
        <v/>
      </c>
      <c r="E2228" s="19">
        <f>IF($A2228="","",IF(Paramètres!J14&amp;Paramètres!L14&amp;Paramètres!N14="",Dossiers!$D$45,MAX(IF(Paramètres!J14="",0,IF(Paramètres!K14="",NA(),IF(LEFT(TRIM(Paramètres!K14),1)="F",INDEX($F$2219:$F$2271,MATCH(Paramètres!J14,Paramètres!$G$5:$G$57,0)),INDEX($E$2219:$E$2271,MATCH(Paramètres!J14,Paramètres!$G$5:$G$57,0)))+IF(RIGHT(TRIM(Paramètres!K14),3)="Fin",1-$H2228,IF(LEFT(TRIM(Paramètres!K14),1)="F",1,0)))),IF(Paramètres!L14="",0,IF(Paramètres!M14="",NA(),IF(LEFT(TRIM(Paramètres!M14),1)="F",INDEX($F$2219:$F$2271,MATCH(Paramètres!L14,Paramètres!$G$5:$G$57,0)),INDEX($E$2219:$E$2271,MATCH(Paramètres!L14,Paramètres!$G$5:$G$57,0)))+IF(RIGHT(TRIM(Paramètres!M14),3)="Fin",1-$H2228,IF(LEFT(TRIM(Paramètres!M14),1)="F",1,0)))),IF(Paramètres!N14="",0,IF(Paramètres!O14="",NA(),IF(LEFT(TRIM(Paramètres!O14),1)="F",INDEX($F$2219:$F$2271,MATCH(Paramètres!N14,Paramètres!$G$5:$G$57,0)),INDEX($E$2219:$E$2271,MATCH(Paramètres!N14,Paramètres!$G$5:$G$57,0)))+IF(RIGHT(TRIM(Paramètres!O14),3)="Fin",1-$H2228,IF(LEFT(TRIM(Paramètres!O14),1)="F",1,0)))))))</f>
        <v/>
      </c>
      <c r="F2228" s="19">
        <f>IF($A2228="","",E2228+$H2228-1)</f>
        <v/>
      </c>
      <c r="G2228" s="18" t="n"/>
      <c r="H2228" s="18">
        <f>IF($A2228="","",IF(I2228&lt;&gt;"",I2228,Paramètres!B14))</f>
        <v/>
      </c>
      <c r="I2228" s="18" t="n"/>
    </row>
    <row r="2229">
      <c r="A2229" s="18">
        <f>IF(ISNUMBER(Dossiers!$D$45),Dossiers!$A$45&amp;" · "&amp;Dossiers!$B$45,"")</f>
        <v/>
      </c>
      <c r="B2229" s="18">
        <f>IF($A2229="","",Paramètres!G15)</f>
        <v/>
      </c>
      <c r="C2229" s="18">
        <f>IF($A2229="","",IF(Paramètres!H15="","",Paramètres!H15))</f>
        <v/>
      </c>
      <c r="D2229" s="18">
        <f>IF($A2229="","",IF(Paramètres!I15="","",Paramètres!I15))</f>
        <v/>
      </c>
      <c r="E2229" s="19">
        <f>IF($A2229="","",MIN(E2230:E2245))</f>
        <v/>
      </c>
      <c r="F2229" s="19">
        <f>IF($A2229="","",MAX(F2230:F2245))</f>
        <v/>
      </c>
      <c r="G2229" s="18" t="n"/>
      <c r="H2229" s="18">
        <f>IF($A2229="","",F2229-E2229+1)</f>
        <v/>
      </c>
      <c r="I2229" s="18" t="n"/>
    </row>
    <row r="2230">
      <c r="A2230" s="18">
        <f>IF(ISNUMBER(Dossiers!$D$45),Dossiers!$A$45&amp;" · "&amp;Dossiers!$B$45,"")</f>
        <v/>
      </c>
      <c r="B2230" s="18">
        <f>IF($A2230="","",Paramètres!G16)</f>
        <v/>
      </c>
      <c r="C2230" s="18">
        <f>IF($A2230="","",IF(Paramètres!H16="","",Paramètres!H16))</f>
        <v/>
      </c>
      <c r="D2230" s="18">
        <f>IF($A2230="","",IF(Paramètres!I16="","",Paramètres!I16))</f>
        <v/>
      </c>
      <c r="E2230" s="19">
        <f>IF($A2230="","",IF(Paramètres!J16&amp;Paramètres!L16&amp;Paramètres!N16="",Dossiers!$D$45,MAX(IF(Paramètres!J16="",0,IF(Paramètres!K16="",NA(),IF(LEFT(TRIM(Paramètres!K16),1)="F",INDEX($F$2219:$F$2271,MATCH(Paramètres!J16,Paramètres!$G$5:$G$57,0)),INDEX($E$2219:$E$2271,MATCH(Paramètres!J16,Paramètres!$G$5:$G$57,0)))+IF(RIGHT(TRIM(Paramètres!K16),3)="Fin",1-$H2230,IF(LEFT(TRIM(Paramètres!K16),1)="F",1,0)))),IF(Paramètres!L16="",0,IF(Paramètres!M16="",NA(),IF(LEFT(TRIM(Paramètres!M16),1)="F",INDEX($F$2219:$F$2271,MATCH(Paramètres!L16,Paramètres!$G$5:$G$57,0)),INDEX($E$2219:$E$2271,MATCH(Paramètres!L16,Paramètres!$G$5:$G$57,0)))+IF(RIGHT(TRIM(Paramètres!M16),3)="Fin",1-$H2230,IF(LEFT(TRIM(Paramètres!M16),1)="F",1,0)))),IF(Paramètres!N16="",0,IF(Paramètres!O16="",NA(),IF(LEFT(TRIM(Paramètres!O16),1)="F",INDEX($F$2219:$F$2271,MATCH(Paramètres!N16,Paramètres!$G$5:$G$57,0)),INDEX($E$2219:$E$2271,MATCH(Paramètres!N16,Paramètres!$G$5:$G$57,0)))+IF(RIGHT(TRIM(Paramètres!O16),3)="Fin",1-$H2230,IF(LEFT(TRIM(Paramètres!O16),1)="F",1,0)))))))</f>
        <v/>
      </c>
      <c r="F2230" s="19">
        <f>IF($A2230="","",E2230+$H2230-1)</f>
        <v/>
      </c>
      <c r="G2230" s="18" t="n"/>
      <c r="H2230" s="18">
        <f>IF($A2230="","",IF(I2230&lt;&gt;"",I2230,Paramètres!B16))</f>
        <v/>
      </c>
      <c r="I2230" s="18" t="n"/>
    </row>
    <row r="2231">
      <c r="A2231" s="18">
        <f>IF(ISNUMBER(Dossiers!$D$45),Dossiers!$A$45&amp;" · "&amp;Dossiers!$B$45,"")</f>
        <v/>
      </c>
      <c r="B2231" s="18">
        <f>IF($A2231="","",Paramètres!G17)</f>
        <v/>
      </c>
      <c r="C2231" s="18">
        <f>IF($A2231="","",IF(Paramètres!H17="","",Paramètres!H17))</f>
        <v/>
      </c>
      <c r="D2231" s="18">
        <f>IF($A2231="","",IF(Paramètres!I17="","",Paramètres!I17))</f>
        <v/>
      </c>
      <c r="E2231" s="19">
        <f>IF($A2231="","",IF(Paramètres!J17&amp;Paramètres!L17&amp;Paramètres!N17="",Dossiers!$D$45,MAX(IF(Paramètres!J17="",0,IF(Paramètres!K17="",NA(),IF(LEFT(TRIM(Paramètres!K17),1)="F",INDEX($F$2219:$F$2271,MATCH(Paramètres!J17,Paramètres!$G$5:$G$57,0)),INDEX($E$2219:$E$2271,MATCH(Paramètres!J17,Paramètres!$G$5:$G$57,0)))+IF(RIGHT(TRIM(Paramètres!K17),3)="Fin",1-$H2231,IF(LEFT(TRIM(Paramètres!K17),1)="F",1,0)))),IF(Paramètres!L17="",0,IF(Paramètres!M17="",NA(),IF(LEFT(TRIM(Paramètres!M17),1)="F",INDEX($F$2219:$F$2271,MATCH(Paramètres!L17,Paramètres!$G$5:$G$57,0)),INDEX($E$2219:$E$2271,MATCH(Paramètres!L17,Paramètres!$G$5:$G$57,0)))+IF(RIGHT(TRIM(Paramètres!M17),3)="Fin",1-$H2231,IF(LEFT(TRIM(Paramètres!M17),1)="F",1,0)))),IF(Paramètres!N17="",0,IF(Paramètres!O17="",NA(),IF(LEFT(TRIM(Paramètres!O17),1)="F",INDEX($F$2219:$F$2271,MATCH(Paramètres!N17,Paramètres!$G$5:$G$57,0)),INDEX($E$2219:$E$2271,MATCH(Paramètres!N17,Paramètres!$G$5:$G$57,0)))+IF(RIGHT(TRIM(Paramètres!O17),3)="Fin",1-$H2231,IF(LEFT(TRIM(Paramètres!O17),1)="F",1,0)))))))</f>
        <v/>
      </c>
      <c r="F2231" s="19">
        <f>IF($A2231="","",E2231+$H2231-1)</f>
        <v/>
      </c>
      <c r="G2231" s="18" t="n"/>
      <c r="H2231" s="18">
        <f>IF($A2231="","",IF(I2231&lt;&gt;"",I2231,Paramètres!B17))</f>
        <v/>
      </c>
      <c r="I2231" s="18" t="n"/>
    </row>
    <row r="2232">
      <c r="A2232" s="18">
        <f>IF(ISNUMBER(Dossiers!$D$45),Dossiers!$A$45&amp;" · "&amp;Dossiers!$B$45,"")</f>
        <v/>
      </c>
      <c r="B2232" s="18">
        <f>IF($A2232="","",Paramètres!G18)</f>
        <v/>
      </c>
      <c r="C2232" s="18">
        <f>IF($A2232="","",IF(Paramètres!H18="","",Paramètres!H18))</f>
        <v/>
      </c>
      <c r="D2232" s="18">
        <f>IF($A2232="","",IF(Paramètres!I18="","",Paramètres!I18))</f>
        <v/>
      </c>
      <c r="E2232" s="19">
        <f>IF($A2232="","",IF(Paramètres!J18&amp;Paramètres!L18&amp;Paramètres!N18="",Dossiers!$D$45,MAX(IF(Paramètres!J18="",0,IF(Paramètres!K18="",NA(),IF(LEFT(TRIM(Paramètres!K18),1)="F",INDEX($F$2219:$F$2271,MATCH(Paramètres!J18,Paramètres!$G$5:$G$57,0)),INDEX($E$2219:$E$2271,MATCH(Paramètres!J18,Paramètres!$G$5:$G$57,0)))+IF(RIGHT(TRIM(Paramètres!K18),3)="Fin",1-$H2232,IF(LEFT(TRIM(Paramètres!K18),1)="F",1,0)))),IF(Paramètres!L18="",0,IF(Paramètres!M18="",NA(),IF(LEFT(TRIM(Paramètres!M18),1)="F",INDEX($F$2219:$F$2271,MATCH(Paramètres!L18,Paramètres!$G$5:$G$57,0)),INDEX($E$2219:$E$2271,MATCH(Paramètres!L18,Paramètres!$G$5:$G$57,0)))+IF(RIGHT(TRIM(Paramètres!M18),3)="Fin",1-$H2232,IF(LEFT(TRIM(Paramètres!M18),1)="F",1,0)))),IF(Paramètres!N18="",0,IF(Paramètres!O18="",NA(),IF(LEFT(TRIM(Paramètres!O18),1)="F",INDEX($F$2219:$F$2271,MATCH(Paramètres!N18,Paramètres!$G$5:$G$57,0)),INDEX($E$2219:$E$2271,MATCH(Paramètres!N18,Paramètres!$G$5:$G$57,0)))+IF(RIGHT(TRIM(Paramètres!O18),3)="Fin",1-$H2232,IF(LEFT(TRIM(Paramètres!O18),1)="F",1,0)))))))</f>
        <v/>
      </c>
      <c r="F2232" s="19">
        <f>IF($A2232="","",E2232+$H2232-1)</f>
        <v/>
      </c>
      <c r="G2232" s="18" t="n"/>
      <c r="H2232" s="18">
        <f>IF($A2232="","",IF(I2232&lt;&gt;"",I2232,Paramètres!B18))</f>
        <v/>
      </c>
      <c r="I2232" s="18" t="n"/>
    </row>
    <row r="2233">
      <c r="A2233" s="18">
        <f>IF(ISNUMBER(Dossiers!$D$45),Dossiers!$A$45&amp;" · "&amp;Dossiers!$B$45,"")</f>
        <v/>
      </c>
      <c r="B2233" s="18">
        <f>IF($A2233="","",Paramètres!G19)</f>
        <v/>
      </c>
      <c r="C2233" s="18">
        <f>IF($A2233="","",IF(Paramètres!H19="","",Paramètres!H19))</f>
        <v/>
      </c>
      <c r="D2233" s="18">
        <f>IF($A2233="","",IF(Paramètres!I19="","",Paramètres!I19))</f>
        <v/>
      </c>
      <c r="E2233" s="19">
        <f>IF($A2233="","",IF(Paramètres!J19&amp;Paramètres!L19&amp;Paramètres!N19="",Dossiers!$D$45,MAX(IF(Paramètres!J19="",0,IF(Paramètres!K19="",NA(),IF(LEFT(TRIM(Paramètres!K19),1)="F",INDEX($F$2219:$F$2271,MATCH(Paramètres!J19,Paramètres!$G$5:$G$57,0)),INDEX($E$2219:$E$2271,MATCH(Paramètres!J19,Paramètres!$G$5:$G$57,0)))+IF(RIGHT(TRIM(Paramètres!K19),3)="Fin",1-$H2233,IF(LEFT(TRIM(Paramètres!K19),1)="F",1,0)))),IF(Paramètres!L19="",0,IF(Paramètres!M19="",NA(),IF(LEFT(TRIM(Paramètres!M19),1)="F",INDEX($F$2219:$F$2271,MATCH(Paramètres!L19,Paramètres!$G$5:$G$57,0)),INDEX($E$2219:$E$2271,MATCH(Paramètres!L19,Paramètres!$G$5:$G$57,0)))+IF(RIGHT(TRIM(Paramètres!M19),3)="Fin",1-$H2233,IF(LEFT(TRIM(Paramètres!M19),1)="F",1,0)))),IF(Paramètres!N19="",0,IF(Paramètres!O19="",NA(),IF(LEFT(TRIM(Paramètres!O19),1)="F",INDEX($F$2219:$F$2271,MATCH(Paramètres!N19,Paramètres!$G$5:$G$57,0)),INDEX($E$2219:$E$2271,MATCH(Paramètres!N19,Paramètres!$G$5:$G$57,0)))+IF(RIGHT(TRIM(Paramètres!O19),3)="Fin",1-$H2233,IF(LEFT(TRIM(Paramètres!O19),1)="F",1,0)))))))</f>
        <v/>
      </c>
      <c r="F2233" s="19">
        <f>IF($A2233="","",E2233+$H2233-1)</f>
        <v/>
      </c>
      <c r="G2233" s="18" t="n"/>
      <c r="H2233" s="18">
        <f>IF($A2233="","",IF(I2233&lt;&gt;"",I2233,Paramètres!B19))</f>
        <v/>
      </c>
      <c r="I2233" s="18" t="n"/>
    </row>
    <row r="2234">
      <c r="A2234" s="18">
        <f>IF(ISNUMBER(Dossiers!$D$45),Dossiers!$A$45&amp;" · "&amp;Dossiers!$B$45,"")</f>
        <v/>
      </c>
      <c r="B2234" s="18">
        <f>IF($A2234="","",Paramètres!G20)</f>
        <v/>
      </c>
      <c r="C2234" s="18">
        <f>IF($A2234="","",IF(Paramètres!H20="","",Paramètres!H20))</f>
        <v/>
      </c>
      <c r="D2234" s="18">
        <f>IF($A2234="","",IF(Paramètres!I20="","",Paramètres!I20))</f>
        <v/>
      </c>
      <c r="E2234" s="19">
        <f>IF($A2234="","",IF(Paramètres!J20&amp;Paramètres!L20&amp;Paramètres!N20="",Dossiers!$D$45,MAX(IF(Paramètres!J20="",0,IF(Paramètres!K20="",NA(),IF(LEFT(TRIM(Paramètres!K20),1)="F",INDEX($F$2219:$F$2271,MATCH(Paramètres!J20,Paramètres!$G$5:$G$57,0)),INDEX($E$2219:$E$2271,MATCH(Paramètres!J20,Paramètres!$G$5:$G$57,0)))+IF(RIGHT(TRIM(Paramètres!K20),3)="Fin",1-$H2234,IF(LEFT(TRIM(Paramètres!K20),1)="F",1,0)))),IF(Paramètres!L20="",0,IF(Paramètres!M20="",NA(),IF(LEFT(TRIM(Paramètres!M20),1)="F",INDEX($F$2219:$F$2271,MATCH(Paramètres!L20,Paramètres!$G$5:$G$57,0)),INDEX($E$2219:$E$2271,MATCH(Paramètres!L20,Paramètres!$G$5:$G$57,0)))+IF(RIGHT(TRIM(Paramètres!M20),3)="Fin",1-$H2234,IF(LEFT(TRIM(Paramètres!M20),1)="F",1,0)))),IF(Paramètres!N20="",0,IF(Paramètres!O20="",NA(),IF(LEFT(TRIM(Paramètres!O20),1)="F",INDEX($F$2219:$F$2271,MATCH(Paramètres!N20,Paramètres!$G$5:$G$57,0)),INDEX($E$2219:$E$2271,MATCH(Paramètres!N20,Paramètres!$G$5:$G$57,0)))+IF(RIGHT(TRIM(Paramètres!O20),3)="Fin",1-$H2234,IF(LEFT(TRIM(Paramètres!O20),1)="F",1,0)))))))</f>
        <v/>
      </c>
      <c r="F2234" s="19">
        <f>IF($A2234="","",E2234+$H2234-1)</f>
        <v/>
      </c>
      <c r="G2234" s="18" t="n"/>
      <c r="H2234" s="18">
        <f>IF($A2234="","",IF(I2234&lt;&gt;"",I2234,Paramètres!B20))</f>
        <v/>
      </c>
      <c r="I2234" s="18" t="n"/>
    </row>
    <row r="2235">
      <c r="A2235" s="18">
        <f>IF(ISNUMBER(Dossiers!$D$45),Dossiers!$A$45&amp;" · "&amp;Dossiers!$B$45,"")</f>
        <v/>
      </c>
      <c r="B2235" s="18">
        <f>IF($A2235="","",Paramètres!G21)</f>
        <v/>
      </c>
      <c r="C2235" s="18">
        <f>IF($A2235="","",IF(Paramètres!H21="","",Paramètres!H21))</f>
        <v/>
      </c>
      <c r="D2235" s="18">
        <f>IF($A2235="","",IF(Paramètres!I21="","",Paramètres!I21))</f>
        <v/>
      </c>
      <c r="E2235" s="19">
        <f>IF($A2235="","",IF(Paramètres!J21&amp;Paramètres!L21&amp;Paramètres!N21="",Dossiers!$D$45,MAX(IF(Paramètres!J21="",0,IF(Paramètres!K21="",NA(),IF(LEFT(TRIM(Paramètres!K21),1)="F",INDEX($F$2219:$F$2271,MATCH(Paramètres!J21,Paramètres!$G$5:$G$57,0)),INDEX($E$2219:$E$2271,MATCH(Paramètres!J21,Paramètres!$G$5:$G$57,0)))+IF(RIGHT(TRIM(Paramètres!K21),3)="Fin",1-$H2235,IF(LEFT(TRIM(Paramètres!K21),1)="F",1,0)))),IF(Paramètres!L21="",0,IF(Paramètres!M21="",NA(),IF(LEFT(TRIM(Paramètres!M21),1)="F",INDEX($F$2219:$F$2271,MATCH(Paramètres!L21,Paramètres!$G$5:$G$57,0)),INDEX($E$2219:$E$2271,MATCH(Paramètres!L21,Paramètres!$G$5:$G$57,0)))+IF(RIGHT(TRIM(Paramètres!M21),3)="Fin",1-$H2235,IF(LEFT(TRIM(Paramètres!M21),1)="F",1,0)))),IF(Paramètres!N21="",0,IF(Paramètres!O21="",NA(),IF(LEFT(TRIM(Paramètres!O21),1)="F",INDEX($F$2219:$F$2271,MATCH(Paramètres!N21,Paramètres!$G$5:$G$57,0)),INDEX($E$2219:$E$2271,MATCH(Paramètres!N21,Paramètres!$G$5:$G$57,0)))+IF(RIGHT(TRIM(Paramètres!O21),3)="Fin",1-$H2235,IF(LEFT(TRIM(Paramètres!O21),1)="F",1,0)))))))</f>
        <v/>
      </c>
      <c r="F2235" s="19">
        <f>IF($A2235="","",E2235+$H2235-1)</f>
        <v/>
      </c>
      <c r="G2235" s="18" t="n"/>
      <c r="H2235" s="18">
        <f>IF($A2235="","",IF(I2235&lt;&gt;"",I2235,Paramètres!B21))</f>
        <v/>
      </c>
      <c r="I2235" s="18" t="n"/>
    </row>
    <row r="2236">
      <c r="A2236" s="18">
        <f>IF(ISNUMBER(Dossiers!$D$45),Dossiers!$A$45&amp;" · "&amp;Dossiers!$B$45,"")</f>
        <v/>
      </c>
      <c r="B2236" s="18">
        <f>IF($A2236="","",Paramètres!G22)</f>
        <v/>
      </c>
      <c r="C2236" s="18">
        <f>IF($A2236="","",IF(Paramètres!H22="","",Paramètres!H22))</f>
        <v/>
      </c>
      <c r="D2236" s="18">
        <f>IF($A2236="","",IF(Paramètres!I22="","",Paramètres!I22))</f>
        <v/>
      </c>
      <c r="E2236" s="19">
        <f>IF($A2236="","",IF(Paramètres!J22&amp;Paramètres!L22&amp;Paramètres!N22="",Dossiers!$D$45,MAX(IF(Paramètres!J22="",0,IF(Paramètres!K22="",NA(),IF(LEFT(TRIM(Paramètres!K22),1)="F",INDEX($F$2219:$F$2271,MATCH(Paramètres!J22,Paramètres!$G$5:$G$57,0)),INDEX($E$2219:$E$2271,MATCH(Paramètres!J22,Paramètres!$G$5:$G$57,0)))+IF(RIGHT(TRIM(Paramètres!K22),3)="Fin",1-$H2236,IF(LEFT(TRIM(Paramètres!K22),1)="F",1,0)))),IF(Paramètres!L22="",0,IF(Paramètres!M22="",NA(),IF(LEFT(TRIM(Paramètres!M22),1)="F",INDEX($F$2219:$F$2271,MATCH(Paramètres!L22,Paramètres!$G$5:$G$57,0)),INDEX($E$2219:$E$2271,MATCH(Paramètres!L22,Paramètres!$G$5:$G$57,0)))+IF(RIGHT(TRIM(Paramètres!M22),3)="Fin",1-$H2236,IF(LEFT(TRIM(Paramètres!M22),1)="F",1,0)))),IF(Paramètres!N22="",0,IF(Paramètres!O22="",NA(),IF(LEFT(TRIM(Paramètres!O22),1)="F",INDEX($F$2219:$F$2271,MATCH(Paramètres!N22,Paramètres!$G$5:$G$57,0)),INDEX($E$2219:$E$2271,MATCH(Paramètres!N22,Paramètres!$G$5:$G$57,0)))+IF(RIGHT(TRIM(Paramètres!O22),3)="Fin",1-$H2236,IF(LEFT(TRIM(Paramètres!O22),1)="F",1,0)))))))</f>
        <v/>
      </c>
      <c r="F2236" s="19">
        <f>IF($A2236="","",E2236+$H2236-1)</f>
        <v/>
      </c>
      <c r="G2236" s="18" t="n"/>
      <c r="H2236" s="18">
        <f>IF($A2236="","",IF(I2236&lt;&gt;"",I2236,Paramètres!B22))</f>
        <v/>
      </c>
      <c r="I2236" s="18" t="n"/>
    </row>
    <row r="2237">
      <c r="A2237" s="18">
        <f>IF(ISNUMBER(Dossiers!$D$45),Dossiers!$A$45&amp;" · "&amp;Dossiers!$B$45,"")</f>
        <v/>
      </c>
      <c r="B2237" s="18">
        <f>IF($A2237="","",Paramètres!G23)</f>
        <v/>
      </c>
      <c r="C2237" s="18">
        <f>IF($A2237="","",IF(Paramètres!H23="","",Paramètres!H23))</f>
        <v/>
      </c>
      <c r="D2237" s="18">
        <f>IF($A2237="","",IF(Paramètres!I23="","",Paramètres!I23))</f>
        <v/>
      </c>
      <c r="E2237" s="19">
        <f>IF($A2237="","",IF(Paramètres!J23&amp;Paramètres!L23&amp;Paramètres!N23="",Dossiers!$D$45,MAX(IF(Paramètres!J23="",0,IF(Paramètres!K23="",NA(),IF(LEFT(TRIM(Paramètres!K23),1)="F",INDEX($F$2219:$F$2271,MATCH(Paramètres!J23,Paramètres!$G$5:$G$57,0)),INDEX($E$2219:$E$2271,MATCH(Paramètres!J23,Paramètres!$G$5:$G$57,0)))+IF(RIGHT(TRIM(Paramètres!K23),3)="Fin",1-$H2237,IF(LEFT(TRIM(Paramètres!K23),1)="F",1,0)))),IF(Paramètres!L23="",0,IF(Paramètres!M23="",NA(),IF(LEFT(TRIM(Paramètres!M23),1)="F",INDEX($F$2219:$F$2271,MATCH(Paramètres!L23,Paramètres!$G$5:$G$57,0)),INDEX($E$2219:$E$2271,MATCH(Paramètres!L23,Paramètres!$G$5:$G$57,0)))+IF(RIGHT(TRIM(Paramètres!M23),3)="Fin",1-$H2237,IF(LEFT(TRIM(Paramètres!M23),1)="F",1,0)))),IF(Paramètres!N23="",0,IF(Paramètres!O23="",NA(),IF(LEFT(TRIM(Paramètres!O23),1)="F",INDEX($F$2219:$F$2271,MATCH(Paramètres!N23,Paramètres!$G$5:$G$57,0)),INDEX($E$2219:$E$2271,MATCH(Paramètres!N23,Paramètres!$G$5:$G$57,0)))+IF(RIGHT(TRIM(Paramètres!O23),3)="Fin",1-$H2237,IF(LEFT(TRIM(Paramètres!O23),1)="F",1,0)))))))</f>
        <v/>
      </c>
      <c r="F2237" s="19">
        <f>IF($A2237="","",E2237+$H2237-1)</f>
        <v/>
      </c>
      <c r="G2237" s="18" t="n"/>
      <c r="H2237" s="18">
        <f>IF($A2237="","",IF(I2237&lt;&gt;"",I2237,Paramètres!B23))</f>
        <v/>
      </c>
      <c r="I2237" s="18" t="n"/>
    </row>
    <row r="2238">
      <c r="A2238" s="18">
        <f>IF(ISNUMBER(Dossiers!$D$45),Dossiers!$A$45&amp;" · "&amp;Dossiers!$B$45,"")</f>
        <v/>
      </c>
      <c r="B2238" s="18">
        <f>IF($A2238="","",Paramètres!G24)</f>
        <v/>
      </c>
      <c r="C2238" s="18">
        <f>IF($A2238="","",IF(Paramètres!H24="","",Paramètres!H24))</f>
        <v/>
      </c>
      <c r="D2238" s="18">
        <f>IF($A2238="","",IF(Paramètres!I24="","",Paramètres!I24))</f>
        <v/>
      </c>
      <c r="E2238" s="19">
        <f>IF($A2238="","",IF(Paramètres!J24&amp;Paramètres!L24&amp;Paramètres!N24="",Dossiers!$D$45,MAX(IF(Paramètres!J24="",0,IF(Paramètres!K24="",NA(),IF(LEFT(TRIM(Paramètres!K24),1)="F",INDEX($F$2219:$F$2271,MATCH(Paramètres!J24,Paramètres!$G$5:$G$57,0)),INDEX($E$2219:$E$2271,MATCH(Paramètres!J24,Paramètres!$G$5:$G$57,0)))+IF(RIGHT(TRIM(Paramètres!K24),3)="Fin",1-$H2238,IF(LEFT(TRIM(Paramètres!K24),1)="F",1,0)))),IF(Paramètres!L24="",0,IF(Paramètres!M24="",NA(),IF(LEFT(TRIM(Paramètres!M24),1)="F",INDEX($F$2219:$F$2271,MATCH(Paramètres!L24,Paramètres!$G$5:$G$57,0)),INDEX($E$2219:$E$2271,MATCH(Paramètres!L24,Paramètres!$G$5:$G$57,0)))+IF(RIGHT(TRIM(Paramètres!M24),3)="Fin",1-$H2238,IF(LEFT(TRIM(Paramètres!M24),1)="F",1,0)))),IF(Paramètres!N24="",0,IF(Paramètres!O24="",NA(),IF(LEFT(TRIM(Paramètres!O24),1)="F",INDEX($F$2219:$F$2271,MATCH(Paramètres!N24,Paramètres!$G$5:$G$57,0)),INDEX($E$2219:$E$2271,MATCH(Paramètres!N24,Paramètres!$G$5:$G$57,0)))+IF(RIGHT(TRIM(Paramètres!O24),3)="Fin",1-$H2238,IF(LEFT(TRIM(Paramètres!O24),1)="F",1,0)))))))</f>
        <v/>
      </c>
      <c r="F2238" s="19">
        <f>IF($A2238="","",E2238+$H2238-1)</f>
        <v/>
      </c>
      <c r="G2238" s="18" t="n"/>
      <c r="H2238" s="18">
        <f>IF($A2238="","",IF(I2238&lt;&gt;"",I2238,Paramètres!B24))</f>
        <v/>
      </c>
      <c r="I2238" s="18" t="n"/>
    </row>
    <row r="2239">
      <c r="A2239" s="18">
        <f>IF(ISNUMBER(Dossiers!$D$45),Dossiers!$A$45&amp;" · "&amp;Dossiers!$B$45,"")</f>
        <v/>
      </c>
      <c r="B2239" s="18">
        <f>IF($A2239="","",Paramètres!G25)</f>
        <v/>
      </c>
      <c r="C2239" s="18">
        <f>IF($A2239="","",IF(Paramètres!H25="","",Paramètres!H25))</f>
        <v/>
      </c>
      <c r="D2239" s="18">
        <f>IF($A2239="","",IF(Paramètres!I25="","",Paramètres!I25))</f>
        <v/>
      </c>
      <c r="E2239" s="19">
        <f>IF($A2239="","",IF(Paramètres!J25&amp;Paramètres!L25&amp;Paramètres!N25="",Dossiers!$D$45,MAX(IF(Paramètres!J25="",0,IF(Paramètres!K25="",NA(),IF(LEFT(TRIM(Paramètres!K25),1)="F",INDEX($F$2219:$F$2271,MATCH(Paramètres!J25,Paramètres!$G$5:$G$57,0)),INDEX($E$2219:$E$2271,MATCH(Paramètres!J25,Paramètres!$G$5:$G$57,0)))+IF(RIGHT(TRIM(Paramètres!K25),3)="Fin",1-$H2239,IF(LEFT(TRIM(Paramètres!K25),1)="F",1,0)))),IF(Paramètres!L25="",0,IF(Paramètres!M25="",NA(),IF(LEFT(TRIM(Paramètres!M25),1)="F",INDEX($F$2219:$F$2271,MATCH(Paramètres!L25,Paramètres!$G$5:$G$57,0)),INDEX($E$2219:$E$2271,MATCH(Paramètres!L25,Paramètres!$G$5:$G$57,0)))+IF(RIGHT(TRIM(Paramètres!M25),3)="Fin",1-$H2239,IF(LEFT(TRIM(Paramètres!M25),1)="F",1,0)))),IF(Paramètres!N25="",0,IF(Paramètres!O25="",NA(),IF(LEFT(TRIM(Paramètres!O25),1)="F",INDEX($F$2219:$F$2271,MATCH(Paramètres!N25,Paramètres!$G$5:$G$57,0)),INDEX($E$2219:$E$2271,MATCH(Paramètres!N25,Paramètres!$G$5:$G$57,0)))+IF(RIGHT(TRIM(Paramètres!O25),3)="Fin",1-$H2239,IF(LEFT(TRIM(Paramètres!O25),1)="F",1,0)))))))</f>
        <v/>
      </c>
      <c r="F2239" s="19">
        <f>IF($A2239="","",E2239+$H2239-1)</f>
        <v/>
      </c>
      <c r="G2239" s="18" t="n"/>
      <c r="H2239" s="18">
        <f>IF($A2239="","",IF(I2239&lt;&gt;"",I2239,Paramètres!B25))</f>
        <v/>
      </c>
      <c r="I2239" s="18" t="n"/>
    </row>
    <row r="2240">
      <c r="A2240" s="18">
        <f>IF(ISNUMBER(Dossiers!$D$45),Dossiers!$A$45&amp;" · "&amp;Dossiers!$B$45,"")</f>
        <v/>
      </c>
      <c r="B2240" s="18">
        <f>IF($A2240="","",Paramètres!G26)</f>
        <v/>
      </c>
      <c r="C2240" s="18">
        <f>IF($A2240="","",IF(Paramètres!H26="","",Paramètres!H26))</f>
        <v/>
      </c>
      <c r="D2240" s="18">
        <f>IF($A2240="","",IF(Paramètres!I26="","",Paramètres!I26))</f>
        <v/>
      </c>
      <c r="E2240" s="19">
        <f>IF($A2240="","",IF(Paramètres!J26&amp;Paramètres!L26&amp;Paramètres!N26="",Dossiers!$D$45,MAX(IF(Paramètres!J26="",0,IF(Paramètres!K26="",NA(),IF(LEFT(TRIM(Paramètres!K26),1)="F",INDEX($F$2219:$F$2271,MATCH(Paramètres!J26,Paramètres!$G$5:$G$57,0)),INDEX($E$2219:$E$2271,MATCH(Paramètres!J26,Paramètres!$G$5:$G$57,0)))+IF(RIGHT(TRIM(Paramètres!K26),3)="Fin",1-$H2240,IF(LEFT(TRIM(Paramètres!K26),1)="F",1,0)))),IF(Paramètres!L26="",0,IF(Paramètres!M26="",NA(),IF(LEFT(TRIM(Paramètres!M26),1)="F",INDEX($F$2219:$F$2271,MATCH(Paramètres!L26,Paramètres!$G$5:$G$57,0)),INDEX($E$2219:$E$2271,MATCH(Paramètres!L26,Paramètres!$G$5:$G$57,0)))+IF(RIGHT(TRIM(Paramètres!M26),3)="Fin",1-$H2240,IF(LEFT(TRIM(Paramètres!M26),1)="F",1,0)))),IF(Paramètres!N26="",0,IF(Paramètres!O26="",NA(),IF(LEFT(TRIM(Paramètres!O26),1)="F",INDEX($F$2219:$F$2271,MATCH(Paramètres!N26,Paramètres!$G$5:$G$57,0)),INDEX($E$2219:$E$2271,MATCH(Paramètres!N26,Paramètres!$G$5:$G$57,0)))+IF(RIGHT(TRIM(Paramètres!O26),3)="Fin",1-$H2240,IF(LEFT(TRIM(Paramètres!O26),1)="F",1,0)))))))</f>
        <v/>
      </c>
      <c r="F2240" s="19">
        <f>IF($A2240="","",E2240+$H2240-1)</f>
        <v/>
      </c>
      <c r="G2240" s="18" t="n"/>
      <c r="H2240" s="18">
        <f>IF($A2240="","",IF(I2240&lt;&gt;"",I2240,Paramètres!B26))</f>
        <v/>
      </c>
      <c r="I2240" s="18" t="n"/>
    </row>
    <row r="2241">
      <c r="A2241" s="18">
        <f>IF(ISNUMBER(Dossiers!$D$45),Dossiers!$A$45&amp;" · "&amp;Dossiers!$B$45,"")</f>
        <v/>
      </c>
      <c r="B2241" s="18">
        <f>IF($A2241="","",Paramètres!G27)</f>
        <v/>
      </c>
      <c r="C2241" s="18">
        <f>IF($A2241="","",IF(Paramètres!H27="","",Paramètres!H27))</f>
        <v/>
      </c>
      <c r="D2241" s="18">
        <f>IF($A2241="","",IF(Paramètres!I27="","",Paramètres!I27))</f>
        <v/>
      </c>
      <c r="E2241" s="19">
        <f>IF($A2241="","",IF(Paramètres!J27&amp;Paramètres!L27&amp;Paramètres!N27="",Dossiers!$D$45,MAX(IF(Paramètres!J27="",0,IF(Paramètres!K27="",NA(),IF(LEFT(TRIM(Paramètres!K27),1)="F",INDEX($F$2219:$F$2271,MATCH(Paramètres!J27,Paramètres!$G$5:$G$57,0)),INDEX($E$2219:$E$2271,MATCH(Paramètres!J27,Paramètres!$G$5:$G$57,0)))+IF(RIGHT(TRIM(Paramètres!K27),3)="Fin",1-$H2241,IF(LEFT(TRIM(Paramètres!K27),1)="F",1,0)))),IF(Paramètres!L27="",0,IF(Paramètres!M27="",NA(),IF(LEFT(TRIM(Paramètres!M27),1)="F",INDEX($F$2219:$F$2271,MATCH(Paramètres!L27,Paramètres!$G$5:$G$57,0)),INDEX($E$2219:$E$2271,MATCH(Paramètres!L27,Paramètres!$G$5:$G$57,0)))+IF(RIGHT(TRIM(Paramètres!M27),3)="Fin",1-$H2241,IF(LEFT(TRIM(Paramètres!M27),1)="F",1,0)))),IF(Paramètres!N27="",0,IF(Paramètres!O27="",NA(),IF(LEFT(TRIM(Paramètres!O27),1)="F",INDEX($F$2219:$F$2271,MATCH(Paramètres!N27,Paramètres!$G$5:$G$57,0)),INDEX($E$2219:$E$2271,MATCH(Paramètres!N27,Paramètres!$G$5:$G$57,0)))+IF(RIGHT(TRIM(Paramètres!O27),3)="Fin",1-$H2241,IF(LEFT(TRIM(Paramètres!O27),1)="F",1,0)))))))</f>
        <v/>
      </c>
      <c r="F2241" s="19">
        <f>IF($A2241="","",E2241+$H2241-1)</f>
        <v/>
      </c>
      <c r="G2241" s="18" t="n"/>
      <c r="H2241" s="18">
        <f>IF($A2241="","",IF(I2241&lt;&gt;"",I2241,Paramètres!B27))</f>
        <v/>
      </c>
      <c r="I2241" s="18" t="n"/>
    </row>
    <row r="2242">
      <c r="A2242" s="18">
        <f>IF(ISNUMBER(Dossiers!$D$45),Dossiers!$A$45&amp;" · "&amp;Dossiers!$B$45,"")</f>
        <v/>
      </c>
      <c r="B2242" s="18">
        <f>IF($A2242="","",Paramètres!G28)</f>
        <v/>
      </c>
      <c r="C2242" s="18">
        <f>IF($A2242="","",IF(Paramètres!H28="","",Paramètres!H28))</f>
        <v/>
      </c>
      <c r="D2242" s="18">
        <f>IF($A2242="","",IF(Paramètres!I28="","",Paramètres!I28))</f>
        <v/>
      </c>
      <c r="E2242" s="19">
        <f>IF($A2242="","",IF(Paramètres!J28&amp;Paramètres!L28&amp;Paramètres!N28="",Dossiers!$D$45,MAX(IF(Paramètres!J28="",0,IF(Paramètres!K28="",NA(),IF(LEFT(TRIM(Paramètres!K28),1)="F",INDEX($F$2219:$F$2271,MATCH(Paramètres!J28,Paramètres!$G$5:$G$57,0)),INDEX($E$2219:$E$2271,MATCH(Paramètres!J28,Paramètres!$G$5:$G$57,0)))+IF(RIGHT(TRIM(Paramètres!K28),3)="Fin",1-$H2242,IF(LEFT(TRIM(Paramètres!K28),1)="F",1,0)))),IF(Paramètres!L28="",0,IF(Paramètres!M28="",NA(),IF(LEFT(TRIM(Paramètres!M28),1)="F",INDEX($F$2219:$F$2271,MATCH(Paramètres!L28,Paramètres!$G$5:$G$57,0)),INDEX($E$2219:$E$2271,MATCH(Paramètres!L28,Paramètres!$G$5:$G$57,0)))+IF(RIGHT(TRIM(Paramètres!M28),3)="Fin",1-$H2242,IF(LEFT(TRIM(Paramètres!M28),1)="F",1,0)))),IF(Paramètres!N28="",0,IF(Paramètres!O28="",NA(),IF(LEFT(TRIM(Paramètres!O28),1)="F",INDEX($F$2219:$F$2271,MATCH(Paramètres!N28,Paramètres!$G$5:$G$57,0)),INDEX($E$2219:$E$2271,MATCH(Paramètres!N28,Paramètres!$G$5:$G$57,0)))+IF(RIGHT(TRIM(Paramètres!O28),3)="Fin",1-$H2242,IF(LEFT(TRIM(Paramètres!O28),1)="F",1,0)))))))</f>
        <v/>
      </c>
      <c r="F2242" s="19">
        <f>IF($A2242="","",E2242+$H2242-1)</f>
        <v/>
      </c>
      <c r="G2242" s="18" t="n"/>
      <c r="H2242" s="18">
        <f>IF($A2242="","",IF(I2242&lt;&gt;"",I2242,Paramètres!B28))</f>
        <v/>
      </c>
      <c r="I2242" s="18" t="n"/>
    </row>
    <row r="2243">
      <c r="A2243" s="18">
        <f>IF(ISNUMBER(Dossiers!$D$45),Dossiers!$A$45&amp;" · "&amp;Dossiers!$B$45,"")</f>
        <v/>
      </c>
      <c r="B2243" s="18">
        <f>IF($A2243="","",Paramètres!G29)</f>
        <v/>
      </c>
      <c r="C2243" s="18">
        <f>IF($A2243="","",IF(Paramètres!H29="","",Paramètres!H29))</f>
        <v/>
      </c>
      <c r="D2243" s="18">
        <f>IF($A2243="","",IF(Paramètres!I29="","",Paramètres!I29))</f>
        <v/>
      </c>
      <c r="E2243" s="19">
        <f>IF($A2243="","",IF(Paramètres!J29&amp;Paramètres!L29&amp;Paramètres!N29="",Dossiers!$D$45,MAX(IF(Paramètres!J29="",0,IF(Paramètres!K29="",NA(),IF(LEFT(TRIM(Paramètres!K29),1)="F",INDEX($F$2219:$F$2271,MATCH(Paramètres!J29,Paramètres!$G$5:$G$57,0)),INDEX($E$2219:$E$2271,MATCH(Paramètres!J29,Paramètres!$G$5:$G$57,0)))+IF(RIGHT(TRIM(Paramètres!K29),3)="Fin",1-$H2243,IF(LEFT(TRIM(Paramètres!K29),1)="F",1,0)))),IF(Paramètres!L29="",0,IF(Paramètres!M29="",NA(),IF(LEFT(TRIM(Paramètres!M29),1)="F",INDEX($F$2219:$F$2271,MATCH(Paramètres!L29,Paramètres!$G$5:$G$57,0)),INDEX($E$2219:$E$2271,MATCH(Paramètres!L29,Paramètres!$G$5:$G$57,0)))+IF(RIGHT(TRIM(Paramètres!M29),3)="Fin",1-$H2243,IF(LEFT(TRIM(Paramètres!M29),1)="F",1,0)))),IF(Paramètres!N29="",0,IF(Paramètres!O29="",NA(),IF(LEFT(TRIM(Paramètres!O29),1)="F",INDEX($F$2219:$F$2271,MATCH(Paramètres!N29,Paramètres!$G$5:$G$57,0)),INDEX($E$2219:$E$2271,MATCH(Paramètres!N29,Paramètres!$G$5:$G$57,0)))+IF(RIGHT(TRIM(Paramètres!O29),3)="Fin",1-$H2243,IF(LEFT(TRIM(Paramètres!O29),1)="F",1,0)))))))</f>
        <v/>
      </c>
      <c r="F2243" s="19">
        <f>IF($A2243="","",E2243+$H2243-1)</f>
        <v/>
      </c>
      <c r="G2243" s="18" t="n"/>
      <c r="H2243" s="18">
        <f>IF($A2243="","",IF(I2243&lt;&gt;"",I2243,Paramètres!B29))</f>
        <v/>
      </c>
      <c r="I2243" s="18" t="n"/>
    </row>
    <row r="2244">
      <c r="A2244" s="18">
        <f>IF(ISNUMBER(Dossiers!$D$45),Dossiers!$A$45&amp;" · "&amp;Dossiers!$B$45,"")</f>
        <v/>
      </c>
      <c r="B2244" s="18">
        <f>IF($A2244="","",Paramètres!G30)</f>
        <v/>
      </c>
      <c r="C2244" s="18">
        <f>IF($A2244="","",IF(Paramètres!H30="","",Paramètres!H30))</f>
        <v/>
      </c>
      <c r="D2244" s="18">
        <f>IF($A2244="","",IF(Paramètres!I30="","",Paramètres!I30))</f>
        <v/>
      </c>
      <c r="E2244" s="19">
        <f>IF($A2244="","",IF(Paramètres!J30&amp;Paramètres!L30&amp;Paramètres!N30="",Dossiers!$D$45,MAX(IF(Paramètres!J30="",0,IF(Paramètres!K30="",NA(),IF(LEFT(TRIM(Paramètres!K30),1)="F",INDEX($F$2219:$F$2271,MATCH(Paramètres!J30,Paramètres!$G$5:$G$57,0)),INDEX($E$2219:$E$2271,MATCH(Paramètres!J30,Paramètres!$G$5:$G$57,0)))+IF(RIGHT(TRIM(Paramètres!K30),3)="Fin",1-$H2244,IF(LEFT(TRIM(Paramètres!K30),1)="F",1,0)))),IF(Paramètres!L30="",0,IF(Paramètres!M30="",NA(),IF(LEFT(TRIM(Paramètres!M30),1)="F",INDEX($F$2219:$F$2271,MATCH(Paramètres!L30,Paramètres!$G$5:$G$57,0)),INDEX($E$2219:$E$2271,MATCH(Paramètres!L30,Paramètres!$G$5:$G$57,0)))+IF(RIGHT(TRIM(Paramètres!M30),3)="Fin",1-$H2244,IF(LEFT(TRIM(Paramètres!M30),1)="F",1,0)))),IF(Paramètres!N30="",0,IF(Paramètres!O30="",NA(),IF(LEFT(TRIM(Paramètres!O30),1)="F",INDEX($F$2219:$F$2271,MATCH(Paramètres!N30,Paramètres!$G$5:$G$57,0)),INDEX($E$2219:$E$2271,MATCH(Paramètres!N30,Paramètres!$G$5:$G$57,0)))+IF(RIGHT(TRIM(Paramètres!O30),3)="Fin",1-$H2244,IF(LEFT(TRIM(Paramètres!O30),1)="F",1,0)))))))</f>
        <v/>
      </c>
      <c r="F2244" s="19">
        <f>IF($A2244="","",E2244+$H2244-1)</f>
        <v/>
      </c>
      <c r="G2244" s="18" t="n"/>
      <c r="H2244" s="18">
        <f>IF($A2244="","",IF(I2244&lt;&gt;"",I2244,Paramètres!B30))</f>
        <v/>
      </c>
      <c r="I2244" s="18" t="n"/>
    </row>
    <row r="2245">
      <c r="A2245" s="18">
        <f>IF(ISNUMBER(Dossiers!$D$45),Dossiers!$A$45&amp;" · "&amp;Dossiers!$B$45,"")</f>
        <v/>
      </c>
      <c r="B2245" s="18">
        <f>IF($A2245="","",Paramètres!G31)</f>
        <v/>
      </c>
      <c r="C2245" s="20">
        <f>IF($A2245="","",IF(Dossiers!$F$45="","",Dossiers!$F$45))</f>
        <v/>
      </c>
      <c r="D2245" s="18">
        <f>IF($A2245="","",IF(Paramètres!I31="","",Paramètres!I31))</f>
        <v/>
      </c>
      <c r="E2245" s="19">
        <f>IF($A2245="","",IF(Paramètres!J31&amp;Paramètres!L31&amp;Paramètres!N31="",Dossiers!$D$45,MAX(IF(Paramètres!J31="",0,IF(Paramètres!K31="",NA(),IF(LEFT(TRIM(Paramètres!K31),1)="F",INDEX($F$2219:$F$2271,MATCH(Paramètres!J31,Paramètres!$G$5:$G$57,0)),INDEX($E$2219:$E$2271,MATCH(Paramètres!J31,Paramètres!$G$5:$G$57,0)))+IF(RIGHT(TRIM(Paramètres!K31),3)="Fin",1-$H2245,IF(LEFT(TRIM(Paramètres!K31),1)="F",1,0)))),IF(Paramètres!L31="",0,IF(Paramètres!M31="",NA(),IF(LEFT(TRIM(Paramètres!M31),1)="F",INDEX($F$2219:$F$2271,MATCH(Paramètres!L31,Paramètres!$G$5:$G$57,0)),INDEX($E$2219:$E$2271,MATCH(Paramètres!L31,Paramètres!$G$5:$G$57,0)))+IF(RIGHT(TRIM(Paramètres!M31),3)="Fin",1-$H2245,IF(LEFT(TRIM(Paramètres!M31),1)="F",1,0)))),IF(Paramètres!N31="",0,IF(Paramètres!O31="",NA(),IF(LEFT(TRIM(Paramètres!O31),1)="F",INDEX($F$2219:$F$2271,MATCH(Paramètres!N31,Paramètres!$G$5:$G$57,0)),INDEX($E$2219:$E$2271,MATCH(Paramètres!N31,Paramètres!$G$5:$G$57,0)))+IF(RIGHT(TRIM(Paramètres!O31),3)="Fin",1-$H2245,IF(LEFT(TRIM(Paramètres!O31),1)="F",1,0)))))))</f>
        <v/>
      </c>
      <c r="F2245" s="19">
        <f>IF($A2245="","",E2245+$H2245-1)</f>
        <v/>
      </c>
      <c r="G2245" s="18" t="n"/>
      <c r="H2245" s="18">
        <f>IF($A2245="","",IF(I2245&lt;&gt;"",I2245,Paramètres!B31))</f>
        <v/>
      </c>
      <c r="I2245" s="18" t="n"/>
    </row>
    <row r="2246">
      <c r="A2246" s="18">
        <f>IF(ISNUMBER(Dossiers!$D$45),Dossiers!$A$45&amp;" · "&amp;Dossiers!$B$45,"")</f>
        <v/>
      </c>
      <c r="B2246" s="18">
        <f>IF($A2246="","",Paramètres!G32)</f>
        <v/>
      </c>
      <c r="C2246" s="18">
        <f>IF($A2246="","",IF(Paramètres!H32="","",Paramètres!H32))</f>
        <v/>
      </c>
      <c r="D2246" s="18">
        <f>IF($A2246="","",IF(Paramètres!I32="","",Paramètres!I32))</f>
        <v/>
      </c>
      <c r="E2246" s="19">
        <f>IF($A2246="","",MIN(E2247:E2250))</f>
        <v/>
      </c>
      <c r="F2246" s="19">
        <f>IF($A2246="","",MAX(F2247:F2250))</f>
        <v/>
      </c>
      <c r="G2246" s="18" t="n"/>
      <c r="H2246" s="18">
        <f>IF($A2246="","",F2246-E2246+1)</f>
        <v/>
      </c>
      <c r="I2246" s="18" t="n"/>
    </row>
    <row r="2247">
      <c r="A2247" s="18">
        <f>IF(ISNUMBER(Dossiers!$D$45),Dossiers!$A$45&amp;" · "&amp;Dossiers!$B$45,"")</f>
        <v/>
      </c>
      <c r="B2247" s="18">
        <f>IF($A2247="","",Paramètres!G33)</f>
        <v/>
      </c>
      <c r="C2247" s="18">
        <f>IF($A2247="","",IF(Paramètres!H33="","",Paramètres!H33))</f>
        <v/>
      </c>
      <c r="D2247" s="18">
        <f>IF($A2247="","",IF(Paramètres!I33="","",Paramètres!I33))</f>
        <v/>
      </c>
      <c r="E2247" s="19">
        <f>IF($A2247="","",IF(Paramètres!J33&amp;Paramètres!L33&amp;Paramètres!N33="",Dossiers!$D$45,MAX(IF(Paramètres!J33="",0,IF(Paramètres!K33="",NA(),IF(LEFT(TRIM(Paramètres!K33),1)="F",INDEX($F$2219:$F$2271,MATCH(Paramètres!J33,Paramètres!$G$5:$G$57,0)),INDEX($E$2219:$E$2271,MATCH(Paramètres!J33,Paramètres!$G$5:$G$57,0)))+IF(RIGHT(TRIM(Paramètres!K33),3)="Fin",1-$H2247,IF(LEFT(TRIM(Paramètres!K33),1)="F",1,0)))),IF(Paramètres!L33="",0,IF(Paramètres!M33="",NA(),IF(LEFT(TRIM(Paramètres!M33),1)="F",INDEX($F$2219:$F$2271,MATCH(Paramètres!L33,Paramètres!$G$5:$G$57,0)),INDEX($E$2219:$E$2271,MATCH(Paramètres!L33,Paramètres!$G$5:$G$57,0)))+IF(RIGHT(TRIM(Paramètres!M33),3)="Fin",1-$H2247,IF(LEFT(TRIM(Paramètres!M33),1)="F",1,0)))),IF(Paramètres!N33="",0,IF(Paramètres!O33="",NA(),IF(LEFT(TRIM(Paramètres!O33),1)="F",INDEX($F$2219:$F$2271,MATCH(Paramètres!N33,Paramètres!$G$5:$G$57,0)),INDEX($E$2219:$E$2271,MATCH(Paramètres!N33,Paramètres!$G$5:$G$57,0)))+IF(RIGHT(TRIM(Paramètres!O33),3)="Fin",1-$H2247,IF(LEFT(TRIM(Paramètres!O33),1)="F",1,0)))))))</f>
        <v/>
      </c>
      <c r="F2247" s="19">
        <f>IF($A2247="","",E2247+$H2247-1)</f>
        <v/>
      </c>
      <c r="G2247" s="18" t="n"/>
      <c r="H2247" s="18">
        <f>IF($A2247="","",IF(I2247&lt;&gt;"",I2247,Paramètres!B33))</f>
        <v/>
      </c>
      <c r="I2247" s="18" t="n"/>
    </row>
    <row r="2248">
      <c r="A2248" s="18">
        <f>IF(ISNUMBER(Dossiers!$D$45),Dossiers!$A$45&amp;" · "&amp;Dossiers!$B$45,"")</f>
        <v/>
      </c>
      <c r="B2248" s="18">
        <f>IF($A2248="","",Paramètres!G34)</f>
        <v/>
      </c>
      <c r="C2248" s="18">
        <f>IF($A2248="","",IF(Paramètres!H34="","",Paramètres!H34))</f>
        <v/>
      </c>
      <c r="D2248" s="18">
        <f>IF($A2248="","",IF(Paramètres!I34="","",Paramètres!I34))</f>
        <v/>
      </c>
      <c r="E2248" s="19">
        <f>IF($A2248="","",IF(Paramètres!J34&amp;Paramètres!L34&amp;Paramètres!N34="",Dossiers!$D$45,MAX(IF(Paramètres!J34="",0,IF(Paramètres!K34="",NA(),IF(LEFT(TRIM(Paramètres!K34),1)="F",INDEX($F$2219:$F$2271,MATCH(Paramètres!J34,Paramètres!$G$5:$G$57,0)),INDEX($E$2219:$E$2271,MATCH(Paramètres!J34,Paramètres!$G$5:$G$57,0)))+IF(RIGHT(TRIM(Paramètres!K34),3)="Fin",1-$H2248,IF(LEFT(TRIM(Paramètres!K34),1)="F",1,0)))),IF(Paramètres!L34="",0,IF(Paramètres!M34="",NA(),IF(LEFT(TRIM(Paramètres!M34),1)="F",INDEX($F$2219:$F$2271,MATCH(Paramètres!L34,Paramètres!$G$5:$G$57,0)),INDEX($E$2219:$E$2271,MATCH(Paramètres!L34,Paramètres!$G$5:$G$57,0)))+IF(RIGHT(TRIM(Paramètres!M34),3)="Fin",1-$H2248,IF(LEFT(TRIM(Paramètres!M34),1)="F",1,0)))),IF(Paramètres!N34="",0,IF(Paramètres!O34="",NA(),IF(LEFT(TRIM(Paramètres!O34),1)="F",INDEX($F$2219:$F$2271,MATCH(Paramètres!N34,Paramètres!$G$5:$G$57,0)),INDEX($E$2219:$E$2271,MATCH(Paramètres!N34,Paramètres!$G$5:$G$57,0)))+IF(RIGHT(TRIM(Paramètres!O34),3)="Fin",1-$H2248,IF(LEFT(TRIM(Paramètres!O34),1)="F",1,0)))))))</f>
        <v/>
      </c>
      <c r="F2248" s="19">
        <f>IF($A2248="","",E2248+$H2248-1)</f>
        <v/>
      </c>
      <c r="G2248" s="18" t="n"/>
      <c r="H2248" s="18">
        <f>IF($A2248="","",IF(I2248&lt;&gt;"",I2248,Paramètres!B34))</f>
        <v/>
      </c>
      <c r="I2248" s="18" t="n"/>
    </row>
    <row r="2249">
      <c r="A2249" s="18">
        <f>IF(ISNUMBER(Dossiers!$D$45),Dossiers!$A$45&amp;" · "&amp;Dossiers!$B$45,"")</f>
        <v/>
      </c>
      <c r="B2249" s="18">
        <f>IF($A2249="","",Paramètres!G35)</f>
        <v/>
      </c>
      <c r="C2249" s="18">
        <f>IF($A2249="","",IF(Paramètres!H35="","",Paramètres!H35))</f>
        <v/>
      </c>
      <c r="D2249" s="18">
        <f>IF($A2249="","",IF(Paramètres!I35="","",Paramètres!I35))</f>
        <v/>
      </c>
      <c r="E2249" s="19">
        <f>IF($A2249="","",IF(Paramètres!J35&amp;Paramètres!L35&amp;Paramètres!N35="",Dossiers!$D$45,MAX(IF(Paramètres!J35="",0,IF(Paramètres!K35="",NA(),IF(LEFT(TRIM(Paramètres!K35),1)="F",INDEX($F$2219:$F$2271,MATCH(Paramètres!J35,Paramètres!$G$5:$G$57,0)),INDEX($E$2219:$E$2271,MATCH(Paramètres!J35,Paramètres!$G$5:$G$57,0)))+IF(RIGHT(TRIM(Paramètres!K35),3)="Fin",1-$H2249,IF(LEFT(TRIM(Paramètres!K35),1)="F",1,0)))),IF(Paramètres!L35="",0,IF(Paramètres!M35="",NA(),IF(LEFT(TRIM(Paramètres!M35),1)="F",INDEX($F$2219:$F$2271,MATCH(Paramètres!L35,Paramètres!$G$5:$G$57,0)),INDEX($E$2219:$E$2271,MATCH(Paramètres!L35,Paramètres!$G$5:$G$57,0)))+IF(RIGHT(TRIM(Paramètres!M35),3)="Fin",1-$H2249,IF(LEFT(TRIM(Paramètres!M35),1)="F",1,0)))),IF(Paramètres!N35="",0,IF(Paramètres!O35="",NA(),IF(LEFT(TRIM(Paramètres!O35),1)="F",INDEX($F$2219:$F$2271,MATCH(Paramètres!N35,Paramètres!$G$5:$G$57,0)),INDEX($E$2219:$E$2271,MATCH(Paramètres!N35,Paramètres!$G$5:$G$57,0)))+IF(RIGHT(TRIM(Paramètres!O35),3)="Fin",1-$H2249,IF(LEFT(TRIM(Paramètres!O35),1)="F",1,0)))))))</f>
        <v/>
      </c>
      <c r="F2249" s="19">
        <f>IF($A2249="","",E2249+$H2249-1)</f>
        <v/>
      </c>
      <c r="G2249" s="18" t="n"/>
      <c r="H2249" s="18">
        <f>IF($A2249="","",IF(I2249&lt;&gt;"",I2249,Paramètres!B35))</f>
        <v/>
      </c>
      <c r="I2249" s="18" t="n"/>
    </row>
    <row r="2250">
      <c r="A2250" s="18">
        <f>IF(ISNUMBER(Dossiers!$D$45),Dossiers!$A$45&amp;" · "&amp;Dossiers!$B$45,"")</f>
        <v/>
      </c>
      <c r="B2250" s="18">
        <f>IF($A2250="","",Paramètres!G36)</f>
        <v/>
      </c>
      <c r="C2250" s="18">
        <f>IF($A2250="","",IF(Paramètres!H36="","",Paramètres!H36))</f>
        <v/>
      </c>
      <c r="D2250" s="18">
        <f>IF($A2250="","",IF(Paramètres!I36="","",Paramètres!I36))</f>
        <v/>
      </c>
      <c r="E2250" s="19">
        <f>IF($A2250="","",IF(Paramètres!J36&amp;Paramètres!L36&amp;Paramètres!N36="",Dossiers!$D$45,MAX(IF(Paramètres!J36="",0,IF(Paramètres!K36="",NA(),IF(LEFT(TRIM(Paramètres!K36),1)="F",INDEX($F$2219:$F$2271,MATCH(Paramètres!J36,Paramètres!$G$5:$G$57,0)),INDEX($E$2219:$E$2271,MATCH(Paramètres!J36,Paramètres!$G$5:$G$57,0)))+IF(RIGHT(TRIM(Paramètres!K36),3)="Fin",1-$H2250,IF(LEFT(TRIM(Paramètres!K36),1)="F",1,0)))),IF(Paramètres!L36="",0,IF(Paramètres!M36="",NA(),IF(LEFT(TRIM(Paramètres!M36),1)="F",INDEX($F$2219:$F$2271,MATCH(Paramètres!L36,Paramètres!$G$5:$G$57,0)),INDEX($E$2219:$E$2271,MATCH(Paramètres!L36,Paramètres!$G$5:$G$57,0)))+IF(RIGHT(TRIM(Paramètres!M36),3)="Fin",1-$H2250,IF(LEFT(TRIM(Paramètres!M36),1)="F",1,0)))),IF(Paramètres!N36="",0,IF(Paramètres!O36="",NA(),IF(LEFT(TRIM(Paramètres!O36),1)="F",INDEX($F$2219:$F$2271,MATCH(Paramètres!N36,Paramètres!$G$5:$G$57,0)),INDEX($E$2219:$E$2271,MATCH(Paramètres!N36,Paramètres!$G$5:$G$57,0)))+IF(RIGHT(TRIM(Paramètres!O36),3)="Fin",1-$H2250,IF(LEFT(TRIM(Paramètres!O36),1)="F",1,0)))))))</f>
        <v/>
      </c>
      <c r="F2250" s="19">
        <f>IF($A2250="","",E2250+$H2250-1)</f>
        <v/>
      </c>
      <c r="G2250" s="18" t="n"/>
      <c r="H2250" s="18">
        <f>IF($A2250="","",IF(I2250&lt;&gt;"",I2250,Paramètres!B36))</f>
        <v/>
      </c>
      <c r="I2250" s="18" t="n"/>
    </row>
    <row r="2251">
      <c r="A2251" s="18">
        <f>IF(ISNUMBER(Dossiers!$D$45),Dossiers!$A$45&amp;" · "&amp;Dossiers!$B$45,"")</f>
        <v/>
      </c>
      <c r="B2251" s="18">
        <f>IF($A2251="","",Paramètres!G37)</f>
        <v/>
      </c>
      <c r="C2251" s="18">
        <f>IF($A2251="","",IF(Paramètres!H37="","",Paramètres!H37))</f>
        <v/>
      </c>
      <c r="D2251" s="18">
        <f>IF($A2251="","",IF(Paramètres!I37="","",Paramètres!I37))</f>
        <v/>
      </c>
      <c r="E2251" s="19">
        <f>IF($A2251="","",MIN(E2252:E2269))</f>
        <v/>
      </c>
      <c r="F2251" s="19">
        <f>IF($A2251="","",MAX(F2252:F2269))</f>
        <v/>
      </c>
      <c r="G2251" s="18" t="n"/>
      <c r="H2251" s="18">
        <f>IF($A2251="","",F2251-E2251+1)</f>
        <v/>
      </c>
      <c r="I2251" s="18" t="n"/>
    </row>
    <row r="2252">
      <c r="A2252" s="18">
        <f>IF(ISNUMBER(Dossiers!$D$45),Dossiers!$A$45&amp;" · "&amp;Dossiers!$B$45,"")</f>
        <v/>
      </c>
      <c r="B2252" s="18">
        <f>IF($A2252="","",Paramètres!G38)</f>
        <v/>
      </c>
      <c r="C2252" s="18">
        <f>IF($A2252="","",IF(Paramètres!H38="","",Paramètres!H38))</f>
        <v/>
      </c>
      <c r="D2252" s="18">
        <f>IF($A2252="","",IF(Paramètres!I38="","",Paramètres!I38))</f>
        <v/>
      </c>
      <c r="E2252" s="19">
        <f>IF($A2252="","",IF(Paramètres!J38&amp;Paramètres!L38&amp;Paramètres!N38="",Dossiers!$D$45,MAX(IF(Paramètres!J38="",0,IF(Paramètres!K38="",NA(),IF(LEFT(TRIM(Paramètres!K38),1)="F",INDEX($F$2219:$F$2271,MATCH(Paramètres!J38,Paramètres!$G$5:$G$57,0)),INDEX($E$2219:$E$2271,MATCH(Paramètres!J38,Paramètres!$G$5:$G$57,0)))+IF(RIGHT(TRIM(Paramètres!K38),3)="Fin",1-$H2252,IF(LEFT(TRIM(Paramètres!K38),1)="F",1,0)))),IF(Paramètres!L38="",0,IF(Paramètres!M38="",NA(),IF(LEFT(TRIM(Paramètres!M38),1)="F",INDEX($F$2219:$F$2271,MATCH(Paramètres!L38,Paramètres!$G$5:$G$57,0)),INDEX($E$2219:$E$2271,MATCH(Paramètres!L38,Paramètres!$G$5:$G$57,0)))+IF(RIGHT(TRIM(Paramètres!M38),3)="Fin",1-$H2252,IF(LEFT(TRIM(Paramètres!M38),1)="F",1,0)))),IF(Paramètres!N38="",0,IF(Paramètres!O38="",NA(),IF(LEFT(TRIM(Paramètres!O38),1)="F",INDEX($F$2219:$F$2271,MATCH(Paramètres!N38,Paramètres!$G$5:$G$57,0)),INDEX($E$2219:$E$2271,MATCH(Paramètres!N38,Paramètres!$G$5:$G$57,0)))+IF(RIGHT(TRIM(Paramètres!O38),3)="Fin",1-$H2252,IF(LEFT(TRIM(Paramètres!O38),1)="F",1,0)))))))</f>
        <v/>
      </c>
      <c r="F2252" s="19">
        <f>IF($A2252="","",E2252+$H2252-1)</f>
        <v/>
      </c>
      <c r="G2252" s="18" t="n"/>
      <c r="H2252" s="18">
        <f>IF($A2252="","",IF(I2252&lt;&gt;"",I2252,Paramètres!B38))</f>
        <v/>
      </c>
      <c r="I2252" s="18" t="n"/>
    </row>
    <row r="2253">
      <c r="A2253" s="18">
        <f>IF(ISNUMBER(Dossiers!$D$45),Dossiers!$A$45&amp;" · "&amp;Dossiers!$B$45,"")</f>
        <v/>
      </c>
      <c r="B2253" s="18">
        <f>IF($A2253="","",Paramètres!G39)</f>
        <v/>
      </c>
      <c r="C2253" s="18">
        <f>IF($A2253="","",IF(Paramètres!H39="","",Paramètres!H39))</f>
        <v/>
      </c>
      <c r="D2253" s="18">
        <f>IF($A2253="","",IF(Paramètres!I39="","",Paramètres!I39))</f>
        <v/>
      </c>
      <c r="E2253" s="19">
        <f>IF($A2253="","",IF(Paramètres!J39&amp;Paramètres!L39&amp;Paramètres!N39="",Dossiers!$D$45,MAX(IF(Paramètres!J39="",0,IF(Paramètres!K39="",NA(),IF(LEFT(TRIM(Paramètres!K39),1)="F",INDEX($F$2219:$F$2271,MATCH(Paramètres!J39,Paramètres!$G$5:$G$57,0)),INDEX($E$2219:$E$2271,MATCH(Paramètres!J39,Paramètres!$G$5:$G$57,0)))+IF(RIGHT(TRIM(Paramètres!K39),3)="Fin",1-$H2253,IF(LEFT(TRIM(Paramètres!K39),1)="F",1,0)))),IF(Paramètres!L39="",0,IF(Paramètres!M39="",NA(),IF(LEFT(TRIM(Paramètres!M39),1)="F",INDEX($F$2219:$F$2271,MATCH(Paramètres!L39,Paramètres!$G$5:$G$57,0)),INDEX($E$2219:$E$2271,MATCH(Paramètres!L39,Paramètres!$G$5:$G$57,0)))+IF(RIGHT(TRIM(Paramètres!M39),3)="Fin",1-$H2253,IF(LEFT(TRIM(Paramètres!M39),1)="F",1,0)))),IF(Paramètres!N39="",0,IF(Paramètres!O39="",NA(),IF(LEFT(TRIM(Paramètres!O39),1)="F",INDEX($F$2219:$F$2271,MATCH(Paramètres!N39,Paramètres!$G$5:$G$57,0)),INDEX($E$2219:$E$2271,MATCH(Paramètres!N39,Paramètres!$G$5:$G$57,0)))+IF(RIGHT(TRIM(Paramètres!O39),3)="Fin",1-$H2253,IF(LEFT(TRIM(Paramètres!O39),1)="F",1,0)))))))</f>
        <v/>
      </c>
      <c r="F2253" s="19">
        <f>IF($A2253="","",E2253+$H2253-1)</f>
        <v/>
      </c>
      <c r="G2253" s="18" t="n"/>
      <c r="H2253" s="18">
        <f>IF($A2253="","",IF(I2253&lt;&gt;"",I2253,Paramètres!B39))</f>
        <v/>
      </c>
      <c r="I2253" s="18" t="n"/>
    </row>
    <row r="2254">
      <c r="A2254" s="18">
        <f>IF(ISNUMBER(Dossiers!$D$45),Dossiers!$A$45&amp;" · "&amp;Dossiers!$B$45,"")</f>
        <v/>
      </c>
      <c r="B2254" s="18">
        <f>IF($A2254="","",Paramètres!G40)</f>
        <v/>
      </c>
      <c r="C2254" s="18">
        <f>IF($A2254="","",IF(Paramètres!H40="","",Paramètres!H40))</f>
        <v/>
      </c>
      <c r="D2254" s="18">
        <f>IF($A2254="","",IF(Paramètres!I40="","",Paramètres!I40))</f>
        <v/>
      </c>
      <c r="E2254" s="19">
        <f>IF($A2254="","",IF(Paramètres!J40&amp;Paramètres!L40&amp;Paramètres!N40="",Dossiers!$D$45,MAX(IF(Paramètres!J40="",0,IF(Paramètres!K40="",NA(),IF(LEFT(TRIM(Paramètres!K40),1)="F",INDEX($F$2219:$F$2271,MATCH(Paramètres!J40,Paramètres!$G$5:$G$57,0)),INDEX($E$2219:$E$2271,MATCH(Paramètres!J40,Paramètres!$G$5:$G$57,0)))+IF(RIGHT(TRIM(Paramètres!K40),3)="Fin",1-$H2254,IF(LEFT(TRIM(Paramètres!K40),1)="F",1,0)))),IF(Paramètres!L40="",0,IF(Paramètres!M40="",NA(),IF(LEFT(TRIM(Paramètres!M40),1)="F",INDEX($F$2219:$F$2271,MATCH(Paramètres!L40,Paramètres!$G$5:$G$57,0)),INDEX($E$2219:$E$2271,MATCH(Paramètres!L40,Paramètres!$G$5:$G$57,0)))+IF(RIGHT(TRIM(Paramètres!M40),3)="Fin",1-$H2254,IF(LEFT(TRIM(Paramètres!M40),1)="F",1,0)))),IF(Paramètres!N40="",0,IF(Paramètres!O40="",NA(),IF(LEFT(TRIM(Paramètres!O40),1)="F",INDEX($F$2219:$F$2271,MATCH(Paramètres!N40,Paramètres!$G$5:$G$57,0)),INDEX($E$2219:$E$2271,MATCH(Paramètres!N40,Paramètres!$G$5:$G$57,0)))+IF(RIGHT(TRIM(Paramètres!O40),3)="Fin",1-$H2254,IF(LEFT(TRIM(Paramètres!O40),1)="F",1,0)))))))</f>
        <v/>
      </c>
      <c r="F2254" s="19">
        <f>IF($A2254="","",E2254+$H2254-1)</f>
        <v/>
      </c>
      <c r="G2254" s="18" t="n"/>
      <c r="H2254" s="18">
        <f>IF($A2254="","",IF(I2254&lt;&gt;"",I2254,Paramètres!B40))</f>
        <v/>
      </c>
      <c r="I2254" s="18" t="n"/>
    </row>
    <row r="2255">
      <c r="A2255" s="18">
        <f>IF(ISNUMBER(Dossiers!$D$45),Dossiers!$A$45&amp;" · "&amp;Dossiers!$B$45,"")</f>
        <v/>
      </c>
      <c r="B2255" s="18">
        <f>IF($A2255="","",Paramètres!G41)</f>
        <v/>
      </c>
      <c r="C2255" s="18">
        <f>IF($A2255="","",IF(Paramètres!H41="","",Paramètres!H41))</f>
        <v/>
      </c>
      <c r="D2255" s="18">
        <f>IF($A2255="","",IF(Paramètres!I41="","",Paramètres!I41))</f>
        <v/>
      </c>
      <c r="E2255" s="19">
        <f>IF($A2255="","",IF(Paramètres!J41&amp;Paramètres!L41&amp;Paramètres!N41="",Dossiers!$D$45,MAX(IF(Paramètres!J41="",0,IF(Paramètres!K41="",NA(),IF(LEFT(TRIM(Paramètres!K41),1)="F",INDEX($F$2219:$F$2271,MATCH(Paramètres!J41,Paramètres!$G$5:$G$57,0)),INDEX($E$2219:$E$2271,MATCH(Paramètres!J41,Paramètres!$G$5:$G$57,0)))+IF(RIGHT(TRIM(Paramètres!K41),3)="Fin",1-$H2255,IF(LEFT(TRIM(Paramètres!K41),1)="F",1,0)))),IF(Paramètres!L41="",0,IF(Paramètres!M41="",NA(),IF(LEFT(TRIM(Paramètres!M41),1)="F",INDEX($F$2219:$F$2271,MATCH(Paramètres!L41,Paramètres!$G$5:$G$57,0)),INDEX($E$2219:$E$2271,MATCH(Paramètres!L41,Paramètres!$G$5:$G$57,0)))+IF(RIGHT(TRIM(Paramètres!M41),3)="Fin",1-$H2255,IF(LEFT(TRIM(Paramètres!M41),1)="F",1,0)))),IF(Paramètres!N41="",0,IF(Paramètres!O41="",NA(),IF(LEFT(TRIM(Paramètres!O41),1)="F",INDEX($F$2219:$F$2271,MATCH(Paramètres!N41,Paramètres!$G$5:$G$57,0)),INDEX($E$2219:$E$2271,MATCH(Paramètres!N41,Paramètres!$G$5:$G$57,0)))+IF(RIGHT(TRIM(Paramètres!O41),3)="Fin",1-$H2255,IF(LEFT(TRIM(Paramètres!O41),1)="F",1,0)))))))</f>
        <v/>
      </c>
      <c r="F2255" s="19">
        <f>IF($A2255="","",E2255+$H2255-1)</f>
        <v/>
      </c>
      <c r="G2255" s="18" t="n"/>
      <c r="H2255" s="18">
        <f>IF($A2255="","",IF(I2255&lt;&gt;"",I2255,Paramètres!B41))</f>
        <v/>
      </c>
      <c r="I2255" s="18" t="n"/>
    </row>
    <row r="2256">
      <c r="A2256" s="18">
        <f>IF(ISNUMBER(Dossiers!$D$45),Dossiers!$A$45&amp;" · "&amp;Dossiers!$B$45,"")</f>
        <v/>
      </c>
      <c r="B2256" s="18">
        <f>IF($A2256="","",Paramètres!G42)</f>
        <v/>
      </c>
      <c r="C2256" s="18">
        <f>IF($A2256="","",IF(Paramètres!H42="","",Paramètres!H42))</f>
        <v/>
      </c>
      <c r="D2256" s="18">
        <f>IF($A2256="","",IF(Paramètres!I42="","",Paramètres!I42))</f>
        <v/>
      </c>
      <c r="E2256" s="19">
        <f>IF($A2256="","",IF(Paramètres!J42&amp;Paramètres!L42&amp;Paramètres!N42="",Dossiers!$D$45,MAX(IF(Paramètres!J42="",0,IF(Paramètres!K42="",NA(),IF(LEFT(TRIM(Paramètres!K42),1)="F",INDEX($F$2219:$F$2271,MATCH(Paramètres!J42,Paramètres!$G$5:$G$57,0)),INDEX($E$2219:$E$2271,MATCH(Paramètres!J42,Paramètres!$G$5:$G$57,0)))+IF(RIGHT(TRIM(Paramètres!K42),3)="Fin",1-$H2256,IF(LEFT(TRIM(Paramètres!K42),1)="F",1,0)))),IF(Paramètres!L42="",0,IF(Paramètres!M42="",NA(),IF(LEFT(TRIM(Paramètres!M42),1)="F",INDEX($F$2219:$F$2271,MATCH(Paramètres!L42,Paramètres!$G$5:$G$57,0)),INDEX($E$2219:$E$2271,MATCH(Paramètres!L42,Paramètres!$G$5:$G$57,0)))+IF(RIGHT(TRIM(Paramètres!M42),3)="Fin",1-$H2256,IF(LEFT(TRIM(Paramètres!M42),1)="F",1,0)))),IF(Paramètres!N42="",0,IF(Paramètres!O42="",NA(),IF(LEFT(TRIM(Paramètres!O42),1)="F",INDEX($F$2219:$F$2271,MATCH(Paramètres!N42,Paramètres!$G$5:$G$57,0)),INDEX($E$2219:$E$2271,MATCH(Paramètres!N42,Paramètres!$G$5:$G$57,0)))+IF(RIGHT(TRIM(Paramètres!O42),3)="Fin",1-$H2256,IF(LEFT(TRIM(Paramètres!O42),1)="F",1,0)))))))</f>
        <v/>
      </c>
      <c r="F2256" s="19">
        <f>IF($A2256="","",E2256+$H2256-1)</f>
        <v/>
      </c>
      <c r="G2256" s="18" t="n"/>
      <c r="H2256" s="18">
        <f>IF($A2256="","",IF(I2256&lt;&gt;"",I2256,Paramètres!B42))</f>
        <v/>
      </c>
      <c r="I2256" s="18" t="n"/>
    </row>
    <row r="2257">
      <c r="A2257" s="18">
        <f>IF(ISNUMBER(Dossiers!$D$45),Dossiers!$A$45&amp;" · "&amp;Dossiers!$B$45,"")</f>
        <v/>
      </c>
      <c r="B2257" s="18">
        <f>IF($A2257="","",Paramètres!G43)</f>
        <v/>
      </c>
      <c r="C2257" s="18">
        <f>IF($A2257="","",IF(Paramètres!H43="","",Paramètres!H43))</f>
        <v/>
      </c>
      <c r="D2257" s="18">
        <f>IF($A2257="","",IF(Paramètres!I43="","",Paramètres!I43))</f>
        <v/>
      </c>
      <c r="E2257" s="19">
        <f>IF($A2257="","",IF(Paramètres!J43&amp;Paramètres!L43&amp;Paramètres!N43="",Dossiers!$D$45,MAX(IF(Paramètres!J43="",0,IF(Paramètres!K43="",NA(),IF(LEFT(TRIM(Paramètres!K43),1)="F",INDEX($F$2219:$F$2271,MATCH(Paramètres!J43,Paramètres!$G$5:$G$57,0)),INDEX($E$2219:$E$2271,MATCH(Paramètres!J43,Paramètres!$G$5:$G$57,0)))+IF(RIGHT(TRIM(Paramètres!K43),3)="Fin",1-$H2257,IF(LEFT(TRIM(Paramètres!K43),1)="F",1,0)))),IF(Paramètres!L43="",0,IF(Paramètres!M43="",NA(),IF(LEFT(TRIM(Paramètres!M43),1)="F",INDEX($F$2219:$F$2271,MATCH(Paramètres!L43,Paramètres!$G$5:$G$57,0)),INDEX($E$2219:$E$2271,MATCH(Paramètres!L43,Paramètres!$G$5:$G$57,0)))+IF(RIGHT(TRIM(Paramètres!M43),3)="Fin",1-$H2257,IF(LEFT(TRIM(Paramètres!M43),1)="F",1,0)))),IF(Paramètres!N43="",0,IF(Paramètres!O43="",NA(),IF(LEFT(TRIM(Paramètres!O43),1)="F",INDEX($F$2219:$F$2271,MATCH(Paramètres!N43,Paramètres!$G$5:$G$57,0)),INDEX($E$2219:$E$2271,MATCH(Paramètres!N43,Paramètres!$G$5:$G$57,0)))+IF(RIGHT(TRIM(Paramètres!O43),3)="Fin",1-$H2257,IF(LEFT(TRIM(Paramètres!O43),1)="F",1,0)))))))</f>
        <v/>
      </c>
      <c r="F2257" s="19">
        <f>IF($A2257="","",E2257+$H2257-1)</f>
        <v/>
      </c>
      <c r="G2257" s="18" t="n"/>
      <c r="H2257" s="18">
        <f>IF($A2257="","",IF(I2257&lt;&gt;"",I2257,Paramètres!B43))</f>
        <v/>
      </c>
      <c r="I2257" s="18" t="n"/>
    </row>
    <row r="2258">
      <c r="A2258" s="18">
        <f>IF(ISNUMBER(Dossiers!$D$45),Dossiers!$A$45&amp;" · "&amp;Dossiers!$B$45,"")</f>
        <v/>
      </c>
      <c r="B2258" s="18">
        <f>IF($A2258="","",Paramètres!G44)</f>
        <v/>
      </c>
      <c r="C2258" s="18">
        <f>IF($A2258="","",IF(Paramètres!H44="","",Paramètres!H44))</f>
        <v/>
      </c>
      <c r="D2258" s="18">
        <f>IF($A2258="","",IF(Paramètres!I44="","",Paramètres!I44))</f>
        <v/>
      </c>
      <c r="E2258" s="19">
        <f>IF($A2258="","",IF(Paramètres!J44&amp;Paramètres!L44&amp;Paramètres!N44="",Dossiers!$D$45,MAX(IF(Paramètres!J44="",0,IF(Paramètres!K44="",NA(),IF(LEFT(TRIM(Paramètres!K44),1)="F",INDEX($F$2219:$F$2271,MATCH(Paramètres!J44,Paramètres!$G$5:$G$57,0)),INDEX($E$2219:$E$2271,MATCH(Paramètres!J44,Paramètres!$G$5:$G$57,0)))+IF(RIGHT(TRIM(Paramètres!K44),3)="Fin",1-$H2258,IF(LEFT(TRIM(Paramètres!K44),1)="F",1,0)))),IF(Paramètres!L44="",0,IF(Paramètres!M44="",NA(),IF(LEFT(TRIM(Paramètres!M44),1)="F",INDEX($F$2219:$F$2271,MATCH(Paramètres!L44,Paramètres!$G$5:$G$57,0)),INDEX($E$2219:$E$2271,MATCH(Paramètres!L44,Paramètres!$G$5:$G$57,0)))+IF(RIGHT(TRIM(Paramètres!M44),3)="Fin",1-$H2258,IF(LEFT(TRIM(Paramètres!M44),1)="F",1,0)))),IF(Paramètres!N44="",0,IF(Paramètres!O44="",NA(),IF(LEFT(TRIM(Paramètres!O44),1)="F",INDEX($F$2219:$F$2271,MATCH(Paramètres!N44,Paramètres!$G$5:$G$57,0)),INDEX($E$2219:$E$2271,MATCH(Paramètres!N44,Paramètres!$G$5:$G$57,0)))+IF(RIGHT(TRIM(Paramètres!O44),3)="Fin",1-$H2258,IF(LEFT(TRIM(Paramètres!O44),1)="F",1,0)))))))</f>
        <v/>
      </c>
      <c r="F2258" s="19">
        <f>IF($A2258="","",E2258+$H2258-1)</f>
        <v/>
      </c>
      <c r="G2258" s="18" t="n"/>
      <c r="H2258" s="18">
        <f>IF($A2258="","",IF(I2258&lt;&gt;"",I2258,Paramètres!B44))</f>
        <v/>
      </c>
      <c r="I2258" s="18" t="n"/>
    </row>
    <row r="2259">
      <c r="A2259" s="18">
        <f>IF(ISNUMBER(Dossiers!$D$45),Dossiers!$A$45&amp;" · "&amp;Dossiers!$B$45,"")</f>
        <v/>
      </c>
      <c r="B2259" s="18">
        <f>IF($A2259="","",Paramètres!G45)</f>
        <v/>
      </c>
      <c r="C2259" s="20">
        <f>IF($A2259="","",IF(Dossiers!$G$45="","",Dossiers!$G$45))</f>
        <v/>
      </c>
      <c r="D2259" s="18">
        <f>IF($A2259="","",IF(Paramètres!I45="","",Paramètres!I45))</f>
        <v/>
      </c>
      <c r="E2259" s="19">
        <f>IF($A2259="","",IF(Paramètres!J45&amp;Paramètres!L45&amp;Paramètres!N45="",Dossiers!$D$45,MAX(IF(Paramètres!J45="",0,IF(Paramètres!K45="",NA(),IF(LEFT(TRIM(Paramètres!K45),1)="F",INDEX($F$2219:$F$2271,MATCH(Paramètres!J45,Paramètres!$G$5:$G$57,0)),INDEX($E$2219:$E$2271,MATCH(Paramètres!J45,Paramètres!$G$5:$G$57,0)))+IF(RIGHT(TRIM(Paramètres!K45),3)="Fin",1-$H2259,IF(LEFT(TRIM(Paramètres!K45),1)="F",1,0)))),IF(Paramètres!L45="",0,IF(Paramètres!M45="",NA(),IF(LEFT(TRIM(Paramètres!M45),1)="F",INDEX($F$2219:$F$2271,MATCH(Paramètres!L45,Paramètres!$G$5:$G$57,0)),INDEX($E$2219:$E$2271,MATCH(Paramètres!L45,Paramètres!$G$5:$G$57,0)))+IF(RIGHT(TRIM(Paramètres!M45),3)="Fin",1-$H2259,IF(LEFT(TRIM(Paramètres!M45),1)="F",1,0)))),IF(Paramètres!N45="",0,IF(Paramètres!O45="",NA(),IF(LEFT(TRIM(Paramètres!O45),1)="F",INDEX($F$2219:$F$2271,MATCH(Paramètres!N45,Paramètres!$G$5:$G$57,0)),INDEX($E$2219:$E$2271,MATCH(Paramètres!N45,Paramètres!$G$5:$G$57,0)))+IF(RIGHT(TRIM(Paramètres!O45),3)="Fin",1-$H2259,IF(LEFT(TRIM(Paramètres!O45),1)="F",1,0)))))))</f>
        <v/>
      </c>
      <c r="F2259" s="19">
        <f>IF($A2259="","",E2259+$H2259-1)</f>
        <v/>
      </c>
      <c r="G2259" s="18" t="n"/>
      <c r="H2259" s="18">
        <f>IF($A2259="","",IF(I2259&lt;&gt;"",I2259,Paramètres!B45))</f>
        <v/>
      </c>
      <c r="I2259" s="18" t="n"/>
    </row>
    <row r="2260">
      <c r="A2260" s="18">
        <f>IF(ISNUMBER(Dossiers!$D$45),Dossiers!$A$45&amp;" · "&amp;Dossiers!$B$45,"")</f>
        <v/>
      </c>
      <c r="B2260" s="18">
        <f>IF($A2260="","",Paramètres!G46)</f>
        <v/>
      </c>
      <c r="C2260" s="18">
        <f>IF($A2260="","",IF(Paramètres!H46="","",Paramètres!H46))</f>
        <v/>
      </c>
      <c r="D2260" s="18">
        <f>IF($A2260="","",IF(Paramètres!I46="","",Paramètres!I46))</f>
        <v/>
      </c>
      <c r="E2260" s="19">
        <f>IF($A2260="","",IF(Paramètres!J46&amp;Paramètres!L46&amp;Paramètres!N46="",Dossiers!$D$45,MAX(IF(Paramètres!J46="",0,IF(Paramètres!K46="",NA(),IF(LEFT(TRIM(Paramètres!K46),1)="F",INDEX($F$2219:$F$2271,MATCH(Paramètres!J46,Paramètres!$G$5:$G$57,0)),INDEX($E$2219:$E$2271,MATCH(Paramètres!J46,Paramètres!$G$5:$G$57,0)))+IF(RIGHT(TRIM(Paramètres!K46),3)="Fin",1-$H2260,IF(LEFT(TRIM(Paramètres!K46),1)="F",1,0)))),IF(Paramètres!L46="",0,IF(Paramètres!M46="",NA(),IF(LEFT(TRIM(Paramètres!M46),1)="F",INDEX($F$2219:$F$2271,MATCH(Paramètres!L46,Paramètres!$G$5:$G$57,0)),INDEX($E$2219:$E$2271,MATCH(Paramètres!L46,Paramètres!$G$5:$G$57,0)))+IF(RIGHT(TRIM(Paramètres!M46),3)="Fin",1-$H2260,IF(LEFT(TRIM(Paramètres!M46),1)="F",1,0)))),IF(Paramètres!N46="",0,IF(Paramètres!O46="",NA(),IF(LEFT(TRIM(Paramètres!O46),1)="F",INDEX($F$2219:$F$2271,MATCH(Paramètres!N46,Paramètres!$G$5:$G$57,0)),INDEX($E$2219:$E$2271,MATCH(Paramètres!N46,Paramètres!$G$5:$G$57,0)))+IF(RIGHT(TRIM(Paramètres!O46),3)="Fin",1-$H2260,IF(LEFT(TRIM(Paramètres!O46),1)="F",1,0)))))))</f>
        <v/>
      </c>
      <c r="F2260" s="19">
        <f>IF($A2260="","",E2260+$H2260-1)</f>
        <v/>
      </c>
      <c r="G2260" s="18" t="n"/>
      <c r="H2260" s="18">
        <f>IF($A2260="","",IF(I2260&lt;&gt;"",I2260,Paramètres!B46))</f>
        <v/>
      </c>
      <c r="I2260" s="18" t="n"/>
    </row>
    <row r="2261">
      <c r="A2261" s="18">
        <f>IF(ISNUMBER(Dossiers!$D$45),Dossiers!$A$45&amp;" · "&amp;Dossiers!$B$45,"")</f>
        <v/>
      </c>
      <c r="B2261" s="18">
        <f>IF($A2261="","",Paramètres!G47)</f>
        <v/>
      </c>
      <c r="C2261" s="18">
        <f>IF($A2261="","",IF(Paramètres!H47="","",Paramètres!H47))</f>
        <v/>
      </c>
      <c r="D2261" s="18">
        <f>IF($A2261="","",IF(Paramètres!I47="","",Paramètres!I47))</f>
        <v/>
      </c>
      <c r="E2261" s="19">
        <f>IF($A2261="","",IF(Paramètres!J47&amp;Paramètres!L47&amp;Paramètres!N47="",Dossiers!$D$45,MAX(IF(Paramètres!J47="",0,IF(Paramètres!K47="",NA(),IF(LEFT(TRIM(Paramètres!K47),1)="F",INDEX($F$2219:$F$2271,MATCH(Paramètres!J47,Paramètres!$G$5:$G$57,0)),INDEX($E$2219:$E$2271,MATCH(Paramètres!J47,Paramètres!$G$5:$G$57,0)))+IF(RIGHT(TRIM(Paramètres!K47),3)="Fin",1-$H2261,IF(LEFT(TRIM(Paramètres!K47),1)="F",1,0)))),IF(Paramètres!L47="",0,IF(Paramètres!M47="",NA(),IF(LEFT(TRIM(Paramètres!M47),1)="F",INDEX($F$2219:$F$2271,MATCH(Paramètres!L47,Paramètres!$G$5:$G$57,0)),INDEX($E$2219:$E$2271,MATCH(Paramètres!L47,Paramètres!$G$5:$G$57,0)))+IF(RIGHT(TRIM(Paramètres!M47),3)="Fin",1-$H2261,IF(LEFT(TRIM(Paramètres!M47),1)="F",1,0)))),IF(Paramètres!N47="",0,IF(Paramètres!O47="",NA(),IF(LEFT(TRIM(Paramètres!O47),1)="F",INDEX($F$2219:$F$2271,MATCH(Paramètres!N47,Paramètres!$G$5:$G$57,0)),INDEX($E$2219:$E$2271,MATCH(Paramètres!N47,Paramètres!$G$5:$G$57,0)))+IF(RIGHT(TRIM(Paramètres!O47),3)="Fin",1-$H2261,IF(LEFT(TRIM(Paramètres!O47),1)="F",1,0)))))))</f>
        <v/>
      </c>
      <c r="F2261" s="19">
        <f>IF($A2261="","",E2261+$H2261-1)</f>
        <v/>
      </c>
      <c r="G2261" s="18" t="n"/>
      <c r="H2261" s="18">
        <f>IF($A2261="","",IF(I2261&lt;&gt;"",I2261,Paramètres!B47))</f>
        <v/>
      </c>
      <c r="I2261" s="18" t="n"/>
    </row>
    <row r="2262">
      <c r="A2262" s="18">
        <f>IF(ISNUMBER(Dossiers!$D$45),Dossiers!$A$45&amp;" · "&amp;Dossiers!$B$45,"")</f>
        <v/>
      </c>
      <c r="B2262" s="18">
        <f>IF($A2262="","",Paramètres!G48)</f>
        <v/>
      </c>
      <c r="C2262" s="18">
        <f>IF($A2262="","",IF(Paramètres!H48="","",Paramètres!H48))</f>
        <v/>
      </c>
      <c r="D2262" s="18">
        <f>IF($A2262="","",IF(Paramètres!I48="","",Paramètres!I48))</f>
        <v/>
      </c>
      <c r="E2262" s="19">
        <f>IF($A2262="","",IF(Paramètres!J48&amp;Paramètres!L48&amp;Paramètres!N48="",Dossiers!$D$45,MAX(IF(Paramètres!J48="",0,IF(Paramètres!K48="",NA(),IF(LEFT(TRIM(Paramètres!K48),1)="F",INDEX($F$2219:$F$2271,MATCH(Paramètres!J48,Paramètres!$G$5:$G$57,0)),INDEX($E$2219:$E$2271,MATCH(Paramètres!J48,Paramètres!$G$5:$G$57,0)))+IF(RIGHT(TRIM(Paramètres!K48),3)="Fin",1-$H2262,IF(LEFT(TRIM(Paramètres!K48),1)="F",1,0)))),IF(Paramètres!L48="",0,IF(Paramètres!M48="",NA(),IF(LEFT(TRIM(Paramètres!M48),1)="F",INDEX($F$2219:$F$2271,MATCH(Paramètres!L48,Paramètres!$G$5:$G$57,0)),INDEX($E$2219:$E$2271,MATCH(Paramètres!L48,Paramètres!$G$5:$G$57,0)))+IF(RIGHT(TRIM(Paramètres!M48),3)="Fin",1-$H2262,IF(LEFT(TRIM(Paramètres!M48),1)="F",1,0)))),IF(Paramètres!N48="",0,IF(Paramètres!O48="",NA(),IF(LEFT(TRIM(Paramètres!O48),1)="F",INDEX($F$2219:$F$2271,MATCH(Paramètres!N48,Paramètres!$G$5:$G$57,0)),INDEX($E$2219:$E$2271,MATCH(Paramètres!N48,Paramètres!$G$5:$G$57,0)))+IF(RIGHT(TRIM(Paramètres!O48),3)="Fin",1-$H2262,IF(LEFT(TRIM(Paramètres!O48),1)="F",1,0)))))))</f>
        <v/>
      </c>
      <c r="F2262" s="19">
        <f>IF($A2262="","",E2262+$H2262-1)</f>
        <v/>
      </c>
      <c r="G2262" s="18" t="n"/>
      <c r="H2262" s="18">
        <f>IF($A2262="","",IF(I2262&lt;&gt;"",I2262,Paramètres!B48))</f>
        <v/>
      </c>
      <c r="I2262" s="18" t="n"/>
    </row>
    <row r="2263">
      <c r="A2263" s="18">
        <f>IF(ISNUMBER(Dossiers!$D$45),Dossiers!$A$45&amp;" · "&amp;Dossiers!$B$45,"")</f>
        <v/>
      </c>
      <c r="B2263" s="18">
        <f>IF($A2263="","",Paramètres!G49)</f>
        <v/>
      </c>
      <c r="C2263" s="18">
        <f>IF($A2263="","",IF(Paramètres!H49="","",Paramètres!H49))</f>
        <v/>
      </c>
      <c r="D2263" s="18">
        <f>IF($A2263="","",IF(Paramètres!I49="","",Paramètres!I49))</f>
        <v/>
      </c>
      <c r="E2263" s="19">
        <f>IF($A2263="","",IF(Paramètres!J49&amp;Paramètres!L49&amp;Paramètres!N49="",Dossiers!$D$45,MAX(IF(Paramètres!J49="",0,IF(Paramètres!K49="",NA(),IF(LEFT(TRIM(Paramètres!K49),1)="F",INDEX($F$2219:$F$2271,MATCH(Paramètres!J49,Paramètres!$G$5:$G$57,0)),INDEX($E$2219:$E$2271,MATCH(Paramètres!J49,Paramètres!$G$5:$G$57,0)))+IF(RIGHT(TRIM(Paramètres!K49),3)="Fin",1-$H2263,IF(LEFT(TRIM(Paramètres!K49),1)="F",1,0)))),IF(Paramètres!L49="",0,IF(Paramètres!M49="",NA(),IF(LEFT(TRIM(Paramètres!M49),1)="F",INDEX($F$2219:$F$2271,MATCH(Paramètres!L49,Paramètres!$G$5:$G$57,0)),INDEX($E$2219:$E$2271,MATCH(Paramètres!L49,Paramètres!$G$5:$G$57,0)))+IF(RIGHT(TRIM(Paramètres!M49),3)="Fin",1-$H2263,IF(LEFT(TRIM(Paramètres!M49),1)="F",1,0)))),IF(Paramètres!N49="",0,IF(Paramètres!O49="",NA(),IF(LEFT(TRIM(Paramètres!O49),1)="F",INDEX($F$2219:$F$2271,MATCH(Paramètres!N49,Paramètres!$G$5:$G$57,0)),INDEX($E$2219:$E$2271,MATCH(Paramètres!N49,Paramètres!$G$5:$G$57,0)))+IF(RIGHT(TRIM(Paramètres!O49),3)="Fin",1-$H2263,IF(LEFT(TRIM(Paramètres!O49),1)="F",1,0)))))))</f>
        <v/>
      </c>
      <c r="F2263" s="19">
        <f>IF($A2263="","",E2263+$H2263-1)</f>
        <v/>
      </c>
      <c r="G2263" s="18" t="n"/>
      <c r="H2263" s="18">
        <f>IF($A2263="","",IF(I2263&lt;&gt;"",I2263,Paramètres!B49))</f>
        <v/>
      </c>
      <c r="I2263" s="18" t="n"/>
    </row>
    <row r="2264">
      <c r="A2264" s="18">
        <f>IF(ISNUMBER(Dossiers!$D$45),Dossiers!$A$45&amp;" · "&amp;Dossiers!$B$45,"")</f>
        <v/>
      </c>
      <c r="B2264" s="18">
        <f>IF($A2264="","",Paramètres!G50)</f>
        <v/>
      </c>
      <c r="C2264" s="18">
        <f>IF($A2264="","",IF(Paramètres!H50="","",Paramètres!H50))</f>
        <v/>
      </c>
      <c r="D2264" s="18">
        <f>IF($A2264="","",IF(Paramètres!I50="","",Paramètres!I50))</f>
        <v/>
      </c>
      <c r="E2264" s="19">
        <f>IF($A2264="","",IF(Paramètres!J50&amp;Paramètres!L50&amp;Paramètres!N50="",Dossiers!$D$45,MAX(IF(Paramètres!J50="",0,IF(Paramètres!K50="",NA(),IF(LEFT(TRIM(Paramètres!K50),1)="F",INDEX($F$2219:$F$2271,MATCH(Paramètres!J50,Paramètres!$G$5:$G$57,0)),INDEX($E$2219:$E$2271,MATCH(Paramètres!J50,Paramètres!$G$5:$G$57,0)))+IF(RIGHT(TRIM(Paramètres!K50),3)="Fin",1-$H2264,IF(LEFT(TRIM(Paramètres!K50),1)="F",1,0)))),IF(Paramètres!L50="",0,IF(Paramètres!M50="",NA(),IF(LEFT(TRIM(Paramètres!M50),1)="F",INDEX($F$2219:$F$2271,MATCH(Paramètres!L50,Paramètres!$G$5:$G$57,0)),INDEX($E$2219:$E$2271,MATCH(Paramètres!L50,Paramètres!$G$5:$G$57,0)))+IF(RIGHT(TRIM(Paramètres!M50),3)="Fin",1-$H2264,IF(LEFT(TRIM(Paramètres!M50),1)="F",1,0)))),IF(Paramètres!N50="",0,IF(Paramètres!O50="",NA(),IF(LEFT(TRIM(Paramètres!O50),1)="F",INDEX($F$2219:$F$2271,MATCH(Paramètres!N50,Paramètres!$G$5:$G$57,0)),INDEX($E$2219:$E$2271,MATCH(Paramètres!N50,Paramètres!$G$5:$G$57,0)))+IF(RIGHT(TRIM(Paramètres!O50),3)="Fin",1-$H2264,IF(LEFT(TRIM(Paramètres!O50),1)="F",1,0)))))))</f>
        <v/>
      </c>
      <c r="F2264" s="19">
        <f>IF($A2264="","",E2264+$H2264-1)</f>
        <v/>
      </c>
      <c r="G2264" s="18" t="n"/>
      <c r="H2264" s="18">
        <f>IF($A2264="","",IF(I2264&lt;&gt;"",I2264,Paramètres!B50))</f>
        <v/>
      </c>
      <c r="I2264" s="18" t="n"/>
    </row>
    <row r="2265">
      <c r="A2265" s="18">
        <f>IF(ISNUMBER(Dossiers!$D$45),Dossiers!$A$45&amp;" · "&amp;Dossiers!$B$45,"")</f>
        <v/>
      </c>
      <c r="B2265" s="18">
        <f>IF($A2265="","",Paramètres!G51)</f>
        <v/>
      </c>
      <c r="C2265" s="18">
        <f>IF($A2265="","",IF(Paramètres!H51="","",Paramètres!H51))</f>
        <v/>
      </c>
      <c r="D2265" s="18">
        <f>IF($A2265="","",IF(Paramètres!I51="","",Paramètres!I51))</f>
        <v/>
      </c>
      <c r="E2265" s="19">
        <f>IF($A2265="","",IF(Paramètres!J51&amp;Paramètres!L51&amp;Paramètres!N51="",Dossiers!$D$45,MAX(IF(Paramètres!J51="",0,IF(Paramètres!K51="",NA(),IF(LEFT(TRIM(Paramètres!K51),1)="F",INDEX($F$2219:$F$2271,MATCH(Paramètres!J51,Paramètres!$G$5:$G$57,0)),INDEX($E$2219:$E$2271,MATCH(Paramètres!J51,Paramètres!$G$5:$G$57,0)))+IF(RIGHT(TRIM(Paramètres!K51),3)="Fin",1-$H2265,IF(LEFT(TRIM(Paramètres!K51),1)="F",1,0)))),IF(Paramètres!L51="",0,IF(Paramètres!M51="",NA(),IF(LEFT(TRIM(Paramètres!M51),1)="F",INDEX($F$2219:$F$2271,MATCH(Paramètres!L51,Paramètres!$G$5:$G$57,0)),INDEX($E$2219:$E$2271,MATCH(Paramètres!L51,Paramètres!$G$5:$G$57,0)))+IF(RIGHT(TRIM(Paramètres!M51),3)="Fin",1-$H2265,IF(LEFT(TRIM(Paramètres!M51),1)="F",1,0)))),IF(Paramètres!N51="",0,IF(Paramètres!O51="",NA(),IF(LEFT(TRIM(Paramètres!O51),1)="F",INDEX($F$2219:$F$2271,MATCH(Paramètres!N51,Paramètres!$G$5:$G$57,0)),INDEX($E$2219:$E$2271,MATCH(Paramètres!N51,Paramètres!$G$5:$G$57,0)))+IF(RIGHT(TRIM(Paramètres!O51),3)="Fin",1-$H2265,IF(LEFT(TRIM(Paramètres!O51),1)="F",1,0)))))))</f>
        <v/>
      </c>
      <c r="F2265" s="19">
        <f>IF($A2265="","",E2265+$H2265-1)</f>
        <v/>
      </c>
      <c r="G2265" s="18" t="n"/>
      <c r="H2265" s="18">
        <f>IF($A2265="","",IF(I2265&lt;&gt;"",I2265,Paramètres!B51))</f>
        <v/>
      </c>
      <c r="I2265" s="18" t="n"/>
    </row>
    <row r="2266">
      <c r="A2266" s="18">
        <f>IF(ISNUMBER(Dossiers!$D$45),Dossiers!$A$45&amp;" · "&amp;Dossiers!$B$45,"")</f>
        <v/>
      </c>
      <c r="B2266" s="18">
        <f>IF($A2266="","",Paramètres!G52)</f>
        <v/>
      </c>
      <c r="C2266" s="18">
        <f>IF($A2266="","",IF(Paramètres!H52="","",Paramètres!H52))</f>
        <v/>
      </c>
      <c r="D2266" s="18">
        <f>IF($A2266="","",IF(Paramètres!I52="","",Paramètres!I52))</f>
        <v/>
      </c>
      <c r="E2266" s="19">
        <f>IF($A2266="","",IF(Paramètres!J52&amp;Paramètres!L52&amp;Paramètres!N52="",Dossiers!$D$45,MAX(IF(Paramètres!J52="",0,IF(Paramètres!K52="",NA(),IF(LEFT(TRIM(Paramètres!K52),1)="F",INDEX($F$2219:$F$2271,MATCH(Paramètres!J52,Paramètres!$G$5:$G$57,0)),INDEX($E$2219:$E$2271,MATCH(Paramètres!J52,Paramètres!$G$5:$G$57,0)))+IF(RIGHT(TRIM(Paramètres!K52),3)="Fin",1-$H2266,IF(LEFT(TRIM(Paramètres!K52),1)="F",1,0)))),IF(Paramètres!L52="",0,IF(Paramètres!M52="",NA(),IF(LEFT(TRIM(Paramètres!M52),1)="F",INDEX($F$2219:$F$2271,MATCH(Paramètres!L52,Paramètres!$G$5:$G$57,0)),INDEX($E$2219:$E$2271,MATCH(Paramètres!L52,Paramètres!$G$5:$G$57,0)))+IF(RIGHT(TRIM(Paramètres!M52),3)="Fin",1-$H2266,IF(LEFT(TRIM(Paramètres!M52),1)="F",1,0)))),IF(Paramètres!N52="",0,IF(Paramètres!O52="",NA(),IF(LEFT(TRIM(Paramètres!O52),1)="F",INDEX($F$2219:$F$2271,MATCH(Paramètres!N52,Paramètres!$G$5:$G$57,0)),INDEX($E$2219:$E$2271,MATCH(Paramètres!N52,Paramètres!$G$5:$G$57,0)))+IF(RIGHT(TRIM(Paramètres!O52),3)="Fin",1-$H2266,IF(LEFT(TRIM(Paramètres!O52),1)="F",1,0)))))))</f>
        <v/>
      </c>
      <c r="F2266" s="19">
        <f>IF($A2266="","",E2266+$H2266-1)</f>
        <v/>
      </c>
      <c r="G2266" s="18" t="n"/>
      <c r="H2266" s="18">
        <f>IF($A2266="","",IF(I2266&lt;&gt;"",I2266,Paramètres!B52))</f>
        <v/>
      </c>
      <c r="I2266" s="18" t="n"/>
    </row>
    <row r="2267">
      <c r="A2267" s="18">
        <f>IF(ISNUMBER(Dossiers!$D$45),Dossiers!$A$45&amp;" · "&amp;Dossiers!$B$45,"")</f>
        <v/>
      </c>
      <c r="B2267" s="18">
        <f>IF($A2267="","",Paramètres!G53)</f>
        <v/>
      </c>
      <c r="C2267" s="18">
        <f>IF($A2267="","",IF(Paramètres!H53="","",Paramètres!H53))</f>
        <v/>
      </c>
      <c r="D2267" s="18">
        <f>IF($A2267="","",IF(Paramètres!I53="","",Paramètres!I53))</f>
        <v/>
      </c>
      <c r="E2267" s="19">
        <f>IF($A2267="","",IF(Paramètres!J53&amp;Paramètres!L53&amp;Paramètres!N53="",Dossiers!$D$45,MAX(IF(Paramètres!J53="",0,IF(Paramètres!K53="",NA(),IF(LEFT(TRIM(Paramètres!K53),1)="F",INDEX($F$2219:$F$2271,MATCH(Paramètres!J53,Paramètres!$G$5:$G$57,0)),INDEX($E$2219:$E$2271,MATCH(Paramètres!J53,Paramètres!$G$5:$G$57,0)))+IF(RIGHT(TRIM(Paramètres!K53),3)="Fin",1-$H2267,IF(LEFT(TRIM(Paramètres!K53),1)="F",1,0)))),IF(Paramètres!L53="",0,IF(Paramètres!M53="",NA(),IF(LEFT(TRIM(Paramètres!M53),1)="F",INDEX($F$2219:$F$2271,MATCH(Paramètres!L53,Paramètres!$G$5:$G$57,0)),INDEX($E$2219:$E$2271,MATCH(Paramètres!L53,Paramètres!$G$5:$G$57,0)))+IF(RIGHT(TRIM(Paramètres!M53),3)="Fin",1-$H2267,IF(LEFT(TRIM(Paramètres!M53),1)="F",1,0)))),IF(Paramètres!N53="",0,IF(Paramètres!O53="",NA(),IF(LEFT(TRIM(Paramètres!O53),1)="F",INDEX($F$2219:$F$2271,MATCH(Paramètres!N53,Paramètres!$G$5:$G$57,0)),INDEX($E$2219:$E$2271,MATCH(Paramètres!N53,Paramètres!$G$5:$G$57,0)))+IF(RIGHT(TRIM(Paramètres!O53),3)="Fin",1-$H2267,IF(LEFT(TRIM(Paramètres!O53),1)="F",1,0)))))))</f>
        <v/>
      </c>
      <c r="F2267" s="19">
        <f>IF($A2267="","",E2267+$H2267-1)</f>
        <v/>
      </c>
      <c r="G2267" s="18" t="n"/>
      <c r="H2267" s="18">
        <f>IF($A2267="","",IF(I2267&lt;&gt;"",I2267,Paramètres!B53))</f>
        <v/>
      </c>
      <c r="I2267" s="18" t="n"/>
    </row>
    <row r="2268">
      <c r="A2268" s="18">
        <f>IF(ISNUMBER(Dossiers!$D$45),Dossiers!$A$45&amp;" · "&amp;Dossiers!$B$45,"")</f>
        <v/>
      </c>
      <c r="B2268" s="18">
        <f>IF($A2268="","",Paramètres!G54)</f>
        <v/>
      </c>
      <c r="C2268" s="18">
        <f>IF($A2268="","",IF(Paramètres!H54="","",Paramètres!H54))</f>
        <v/>
      </c>
      <c r="D2268" s="18">
        <f>IF($A2268="","",IF(Paramètres!I54="","",Paramètres!I54))</f>
        <v/>
      </c>
      <c r="E2268" s="19">
        <f>IF($A2268="","",IF(Paramètres!J54&amp;Paramètres!L54&amp;Paramètres!N54="",Dossiers!$D$45,MAX(IF(Paramètres!J54="",0,IF(Paramètres!K54="",NA(),IF(LEFT(TRIM(Paramètres!K54),1)="F",INDEX($F$2219:$F$2271,MATCH(Paramètres!J54,Paramètres!$G$5:$G$57,0)),INDEX($E$2219:$E$2271,MATCH(Paramètres!J54,Paramètres!$G$5:$G$57,0)))+IF(RIGHT(TRIM(Paramètres!K54),3)="Fin",1-$H2268,IF(LEFT(TRIM(Paramètres!K54),1)="F",1,0)))),IF(Paramètres!L54="",0,IF(Paramètres!M54="",NA(),IF(LEFT(TRIM(Paramètres!M54),1)="F",INDEX($F$2219:$F$2271,MATCH(Paramètres!L54,Paramètres!$G$5:$G$57,0)),INDEX($E$2219:$E$2271,MATCH(Paramètres!L54,Paramètres!$G$5:$G$57,0)))+IF(RIGHT(TRIM(Paramètres!M54),3)="Fin",1-$H2268,IF(LEFT(TRIM(Paramètres!M54),1)="F",1,0)))),IF(Paramètres!N54="",0,IF(Paramètres!O54="",NA(),IF(LEFT(TRIM(Paramètres!O54),1)="F",INDEX($F$2219:$F$2271,MATCH(Paramètres!N54,Paramètres!$G$5:$G$57,0)),INDEX($E$2219:$E$2271,MATCH(Paramètres!N54,Paramètres!$G$5:$G$57,0)))+IF(RIGHT(TRIM(Paramètres!O54),3)="Fin",1-$H2268,IF(LEFT(TRIM(Paramètres!O54),1)="F",1,0)))))))</f>
        <v/>
      </c>
      <c r="F2268" s="19">
        <f>IF($A2268="","",E2268+$H2268-1)</f>
        <v/>
      </c>
      <c r="G2268" s="18" t="n"/>
      <c r="H2268" s="18">
        <f>IF($A2268="","",IF(I2268&lt;&gt;"",I2268,Paramètres!B54))</f>
        <v/>
      </c>
      <c r="I2268" s="18" t="n"/>
    </row>
    <row r="2269">
      <c r="A2269" s="18">
        <f>IF(ISNUMBER(Dossiers!$D$45),Dossiers!$A$45&amp;" · "&amp;Dossiers!$B$45,"")</f>
        <v/>
      </c>
      <c r="B2269" s="18">
        <f>IF($A2269="","",Paramètres!G55)</f>
        <v/>
      </c>
      <c r="C2269" s="18">
        <f>IF($A2269="","",IF(Paramètres!H55="","",Paramètres!H55))</f>
        <v/>
      </c>
      <c r="D2269" s="18">
        <f>IF($A2269="","",IF(Paramètres!I55="","",Paramètres!I55))</f>
        <v/>
      </c>
      <c r="E2269" s="19">
        <f>IF($A2269="","",IF(Paramètres!J55&amp;Paramètres!L55&amp;Paramètres!N55="",Dossiers!$D$45,MAX(IF(Paramètres!J55="",0,IF(Paramètres!K55="",NA(),IF(LEFT(TRIM(Paramètres!K55),1)="F",INDEX($F$2219:$F$2271,MATCH(Paramètres!J55,Paramètres!$G$5:$G$57,0)),INDEX($E$2219:$E$2271,MATCH(Paramètres!J55,Paramètres!$G$5:$G$57,0)))+IF(RIGHT(TRIM(Paramètres!K55),3)="Fin",1-$H2269,IF(LEFT(TRIM(Paramètres!K55),1)="F",1,0)))),IF(Paramètres!L55="",0,IF(Paramètres!M55="",NA(),IF(LEFT(TRIM(Paramètres!M55),1)="F",INDEX($F$2219:$F$2271,MATCH(Paramètres!L55,Paramètres!$G$5:$G$57,0)),INDEX($E$2219:$E$2271,MATCH(Paramètres!L55,Paramètres!$G$5:$G$57,0)))+IF(RIGHT(TRIM(Paramètres!M55),3)="Fin",1-$H2269,IF(LEFT(TRIM(Paramètres!M55),1)="F",1,0)))),IF(Paramètres!N55="",0,IF(Paramètres!O55="",NA(),IF(LEFT(TRIM(Paramètres!O55),1)="F",INDEX($F$2219:$F$2271,MATCH(Paramètres!N55,Paramètres!$G$5:$G$57,0)),INDEX($E$2219:$E$2271,MATCH(Paramètres!N55,Paramètres!$G$5:$G$57,0)))+IF(RIGHT(TRIM(Paramètres!O55),3)="Fin",1-$H2269,IF(LEFT(TRIM(Paramètres!O55),1)="F",1,0)))))))</f>
        <v/>
      </c>
      <c r="F2269" s="19">
        <f>IF($A2269="","",E2269+$H2269-1)</f>
        <v/>
      </c>
      <c r="G2269" s="18" t="n"/>
      <c r="H2269" s="18">
        <f>IF($A2269="","",IF(I2269&lt;&gt;"",I2269,Paramètres!B55))</f>
        <v/>
      </c>
      <c r="I2269" s="18" t="n"/>
    </row>
    <row r="2270">
      <c r="A2270" s="18">
        <f>IF(ISNUMBER(Dossiers!$D$45),Dossiers!$A$45&amp;" · "&amp;Dossiers!$B$45,"")</f>
        <v/>
      </c>
      <c r="B2270" s="18">
        <f>IF($A2270="","",Paramètres!G56)</f>
        <v/>
      </c>
      <c r="C2270" s="18">
        <f>IF($A2270="","",IF(Paramètres!H56="","",Paramètres!H56))</f>
        <v/>
      </c>
      <c r="D2270" s="18">
        <f>IF($A2270="","",IF(Paramètres!I56="","",Paramètres!I56))</f>
        <v/>
      </c>
      <c r="E2270" s="19">
        <f>IF($A2270="","",MIN(E2271:E2271))</f>
        <v/>
      </c>
      <c r="F2270" s="19">
        <f>IF($A2270="","",MAX(F2271:F2271))</f>
        <v/>
      </c>
      <c r="G2270" s="18" t="n"/>
      <c r="H2270" s="18">
        <f>IF($A2270="","",F2270-E2270+1)</f>
        <v/>
      </c>
      <c r="I2270" s="18" t="n"/>
    </row>
    <row r="2271">
      <c r="A2271" s="18">
        <f>IF(ISNUMBER(Dossiers!$D$45),Dossiers!$A$45&amp;" · "&amp;Dossiers!$B$45,"")</f>
        <v/>
      </c>
      <c r="B2271" s="18">
        <f>IF($A2271="","",Paramètres!G57)</f>
        <v/>
      </c>
      <c r="C2271" s="18">
        <f>IF($A2271="","",IF(Paramètres!H57="","",Paramètres!H57))</f>
        <v/>
      </c>
      <c r="D2271" s="18">
        <f>IF($A2271="","",IF(Paramètres!I57="","",Paramètres!I57))</f>
        <v/>
      </c>
      <c r="E2271" s="19">
        <f>IF($A2271="","",IF(Paramètres!J57&amp;Paramètres!L57&amp;Paramètres!N57="",Dossiers!$D$45,MAX(IF(Paramètres!J57="",0,IF(Paramètres!K57="",NA(),IF(LEFT(TRIM(Paramètres!K57),1)="F",INDEX($F$2219:$F$2271,MATCH(Paramètres!J57,Paramètres!$G$5:$G$57,0)),INDEX($E$2219:$E$2271,MATCH(Paramètres!J57,Paramètres!$G$5:$G$57,0)))+IF(RIGHT(TRIM(Paramètres!K57),3)="Fin",1-$H2271,IF(LEFT(TRIM(Paramètres!K57),1)="F",1,0)))),IF(Paramètres!L57="",0,IF(Paramètres!M57="",NA(),IF(LEFT(TRIM(Paramètres!M57),1)="F",INDEX($F$2219:$F$2271,MATCH(Paramètres!L57,Paramètres!$G$5:$G$57,0)),INDEX($E$2219:$E$2271,MATCH(Paramètres!L57,Paramètres!$G$5:$G$57,0)))+IF(RIGHT(TRIM(Paramètres!M57),3)="Fin",1-$H2271,IF(LEFT(TRIM(Paramètres!M57),1)="F",1,0)))),IF(Paramètres!N57="",0,IF(Paramètres!O57="",NA(),IF(LEFT(TRIM(Paramètres!O57),1)="F",INDEX($F$2219:$F$2271,MATCH(Paramètres!N57,Paramètres!$G$5:$G$57,0)),INDEX($E$2219:$E$2271,MATCH(Paramètres!N57,Paramètres!$G$5:$G$57,0)))+IF(RIGHT(TRIM(Paramètres!O57),3)="Fin",1-$H2271,IF(LEFT(TRIM(Paramètres!O57),1)="F",1,0)))))))</f>
        <v/>
      </c>
      <c r="F2271" s="19">
        <f>IF($A2271="","",E2271+$H2271-1)</f>
        <v/>
      </c>
      <c r="G2271" s="18" t="n"/>
      <c r="H2271" s="18">
        <f>IF($A2271="","",IF(I2271&lt;&gt;"",I2271,Paramètres!B57))</f>
        <v/>
      </c>
      <c r="I2271" s="18" t="n"/>
    </row>
    <row r="2272">
      <c r="A2272" s="16">
        <f>IF(ISNUMBER(Dossiers!$D$46),Dossiers!$E$46,"")</f>
        <v/>
      </c>
      <c r="B2272" s="16">
        <f>IF($A2272="","","Identifiant")</f>
        <v/>
      </c>
      <c r="C2272" s="16">
        <f>IF($A2272="","","Macro Etape")</f>
        <v/>
      </c>
      <c r="D2272" s="16">
        <f>IF($A2272="","","Etape")</f>
        <v/>
      </c>
      <c r="E2272" s="17">
        <f>IF($A2272="","","Début le")</f>
        <v/>
      </c>
      <c r="F2272" s="17">
        <f>IF($A2272="","","Fin prévue le")</f>
        <v/>
      </c>
      <c r="G2272" s="16">
        <f>IF($A2272="","","Statut")</f>
        <v/>
      </c>
      <c r="H2272" s="16">
        <f>IF($A2272="","","Durée (jours)")</f>
        <v/>
      </c>
      <c r="I2272" s="16">
        <f>IF($A2272="","","Durée particulière")</f>
        <v/>
      </c>
      <c r="J2272" s="10">
        <f>IF($A2272="","",HYPERLINK("#'Tableau de bord'!A1","↑ Tableau de bord"))</f>
        <v/>
      </c>
    </row>
    <row r="2273">
      <c r="A2273" s="18">
        <f>IF(ISNUMBER(Dossiers!$D$46),Dossiers!$A$46&amp;" · "&amp;Dossiers!$B$46,"")</f>
        <v/>
      </c>
      <c r="B2273" s="18">
        <f>IF($A2273="","",Paramètres!G5)</f>
        <v/>
      </c>
      <c r="C2273" s="18">
        <f>IF($A2273="","",IF(Paramètres!H5="","",Paramètres!H5))</f>
        <v/>
      </c>
      <c r="D2273" s="18">
        <f>IF($A2273="","",IF(Paramètres!I5="","",Paramètres!I5))</f>
        <v/>
      </c>
      <c r="E2273" s="19">
        <f>IF($A2273="","",MIN(E2274:E2277))</f>
        <v/>
      </c>
      <c r="F2273" s="19">
        <f>IF($A2273="","",MAX(F2274:F2277))</f>
        <v/>
      </c>
      <c r="G2273" s="18" t="n"/>
      <c r="H2273" s="18">
        <f>IF($A2273="","",F2273-E2273+1)</f>
        <v/>
      </c>
      <c r="I2273" s="18" t="n"/>
    </row>
    <row r="2274">
      <c r="A2274" s="18">
        <f>IF(ISNUMBER(Dossiers!$D$46),Dossiers!$A$46&amp;" · "&amp;Dossiers!$B$46,"")</f>
        <v/>
      </c>
      <c r="B2274" s="18">
        <f>IF($A2274="","",Paramètres!G6)</f>
        <v/>
      </c>
      <c r="C2274" s="18">
        <f>IF($A2274="","",IF(Paramètres!H6="","",Paramètres!H6))</f>
        <v/>
      </c>
      <c r="D2274" s="18">
        <f>IF($A2274="","",IF(Paramètres!I6="","",Paramètres!I6))</f>
        <v/>
      </c>
      <c r="E2274" s="19">
        <f>IF($A2274="","",IF(Paramètres!J6&amp;Paramètres!L6&amp;Paramètres!N6="",Dossiers!$D$46,MAX(IF(Paramètres!J6="",0,IF(Paramètres!K6="",NA(),IF(LEFT(TRIM(Paramètres!K6),1)="F",INDEX($F$2273:$F$2325,MATCH(Paramètres!J6,Paramètres!$G$5:$G$57,0)),INDEX($E$2273:$E$2325,MATCH(Paramètres!J6,Paramètres!$G$5:$G$57,0)))+IF(RIGHT(TRIM(Paramètres!K6),3)="Fin",1-$H2274,IF(LEFT(TRIM(Paramètres!K6),1)="F",1,0)))),IF(Paramètres!L6="",0,IF(Paramètres!M6="",NA(),IF(LEFT(TRIM(Paramètres!M6),1)="F",INDEX($F$2273:$F$2325,MATCH(Paramètres!L6,Paramètres!$G$5:$G$57,0)),INDEX($E$2273:$E$2325,MATCH(Paramètres!L6,Paramètres!$G$5:$G$57,0)))+IF(RIGHT(TRIM(Paramètres!M6),3)="Fin",1-$H2274,IF(LEFT(TRIM(Paramètres!M6),1)="F",1,0)))),IF(Paramètres!N6="",0,IF(Paramètres!O6="",NA(),IF(LEFT(TRIM(Paramètres!O6),1)="F",INDEX($F$2273:$F$2325,MATCH(Paramètres!N6,Paramètres!$G$5:$G$57,0)),INDEX($E$2273:$E$2325,MATCH(Paramètres!N6,Paramètres!$G$5:$G$57,0)))+IF(RIGHT(TRIM(Paramètres!O6),3)="Fin",1-$H2274,IF(LEFT(TRIM(Paramètres!O6),1)="F",1,0)))))))</f>
        <v/>
      </c>
      <c r="F2274" s="19">
        <f>IF($A2274="","",E2274+$H2274-1)</f>
        <v/>
      </c>
      <c r="G2274" s="18" t="n"/>
      <c r="H2274" s="18">
        <f>IF($A2274="","",IF(I2274&lt;&gt;"",I2274,Paramètres!B6))</f>
        <v/>
      </c>
      <c r="I2274" s="18" t="n"/>
    </row>
    <row r="2275">
      <c r="A2275" s="18">
        <f>IF(ISNUMBER(Dossiers!$D$46),Dossiers!$A$46&amp;" · "&amp;Dossiers!$B$46,"")</f>
        <v/>
      </c>
      <c r="B2275" s="18">
        <f>IF($A2275="","",Paramètres!G7)</f>
        <v/>
      </c>
      <c r="C2275" s="18">
        <f>IF($A2275="","",IF(Paramètres!H7="","",Paramètres!H7))</f>
        <v/>
      </c>
      <c r="D2275" s="18">
        <f>IF($A2275="","",IF(Paramètres!I7="","",Paramètres!I7))</f>
        <v/>
      </c>
      <c r="E2275" s="19">
        <f>IF($A2275="","",IF(Paramètres!J7&amp;Paramètres!L7&amp;Paramètres!N7="",Dossiers!$D$46,MAX(IF(Paramètres!J7="",0,IF(Paramètres!K7="",NA(),IF(LEFT(TRIM(Paramètres!K7),1)="F",INDEX($F$2273:$F$2325,MATCH(Paramètres!J7,Paramètres!$G$5:$G$57,0)),INDEX($E$2273:$E$2325,MATCH(Paramètres!J7,Paramètres!$G$5:$G$57,0)))+IF(RIGHT(TRIM(Paramètres!K7),3)="Fin",1-$H2275,IF(LEFT(TRIM(Paramètres!K7),1)="F",1,0)))),IF(Paramètres!L7="",0,IF(Paramètres!M7="",NA(),IF(LEFT(TRIM(Paramètres!M7),1)="F",INDEX($F$2273:$F$2325,MATCH(Paramètres!L7,Paramètres!$G$5:$G$57,0)),INDEX($E$2273:$E$2325,MATCH(Paramètres!L7,Paramètres!$G$5:$G$57,0)))+IF(RIGHT(TRIM(Paramètres!M7),3)="Fin",1-$H2275,IF(LEFT(TRIM(Paramètres!M7),1)="F",1,0)))),IF(Paramètres!N7="",0,IF(Paramètres!O7="",NA(),IF(LEFT(TRIM(Paramètres!O7),1)="F",INDEX($F$2273:$F$2325,MATCH(Paramètres!N7,Paramètres!$G$5:$G$57,0)),INDEX($E$2273:$E$2325,MATCH(Paramètres!N7,Paramètres!$G$5:$G$57,0)))+IF(RIGHT(TRIM(Paramètres!O7),3)="Fin",1-$H2275,IF(LEFT(TRIM(Paramètres!O7),1)="F",1,0)))))))</f>
        <v/>
      </c>
      <c r="F2275" s="19">
        <f>IF($A2275="","",E2275+$H2275-1)</f>
        <v/>
      </c>
      <c r="G2275" s="18" t="n"/>
      <c r="H2275" s="18">
        <f>IF($A2275="","",IF(I2275&lt;&gt;"",I2275,Paramètres!B7))</f>
        <v/>
      </c>
      <c r="I2275" s="18" t="n"/>
    </row>
    <row r="2276">
      <c r="A2276" s="18">
        <f>IF(ISNUMBER(Dossiers!$D$46),Dossiers!$A$46&amp;" · "&amp;Dossiers!$B$46,"")</f>
        <v/>
      </c>
      <c r="B2276" s="18">
        <f>IF($A2276="","",Paramètres!G8)</f>
        <v/>
      </c>
      <c r="C2276" s="18">
        <f>IF($A2276="","",IF(Paramètres!H8="","",Paramètres!H8))</f>
        <v/>
      </c>
      <c r="D2276" s="18">
        <f>IF($A2276="","",IF(Paramètres!I8="","",Paramètres!I8))</f>
        <v/>
      </c>
      <c r="E2276" s="19">
        <f>IF($A2276="","",IF(Paramètres!J8&amp;Paramètres!L8&amp;Paramètres!N8="",Dossiers!$D$46,MAX(IF(Paramètres!J8="",0,IF(Paramètres!K8="",NA(),IF(LEFT(TRIM(Paramètres!K8),1)="F",INDEX($F$2273:$F$2325,MATCH(Paramètres!J8,Paramètres!$G$5:$G$57,0)),INDEX($E$2273:$E$2325,MATCH(Paramètres!J8,Paramètres!$G$5:$G$57,0)))+IF(RIGHT(TRIM(Paramètres!K8),3)="Fin",1-$H2276,IF(LEFT(TRIM(Paramètres!K8),1)="F",1,0)))),IF(Paramètres!L8="",0,IF(Paramètres!M8="",NA(),IF(LEFT(TRIM(Paramètres!M8),1)="F",INDEX($F$2273:$F$2325,MATCH(Paramètres!L8,Paramètres!$G$5:$G$57,0)),INDEX($E$2273:$E$2325,MATCH(Paramètres!L8,Paramètres!$G$5:$G$57,0)))+IF(RIGHT(TRIM(Paramètres!M8),3)="Fin",1-$H2276,IF(LEFT(TRIM(Paramètres!M8),1)="F",1,0)))),IF(Paramètres!N8="",0,IF(Paramètres!O8="",NA(),IF(LEFT(TRIM(Paramètres!O8),1)="F",INDEX($F$2273:$F$2325,MATCH(Paramètres!N8,Paramètres!$G$5:$G$57,0)),INDEX($E$2273:$E$2325,MATCH(Paramètres!N8,Paramètres!$G$5:$G$57,0)))+IF(RIGHT(TRIM(Paramètres!O8),3)="Fin",1-$H2276,IF(LEFT(TRIM(Paramètres!O8),1)="F",1,0)))))))</f>
        <v/>
      </c>
      <c r="F2276" s="19">
        <f>IF($A2276="","",E2276+$H2276-1)</f>
        <v/>
      </c>
      <c r="G2276" s="18" t="n"/>
      <c r="H2276" s="18">
        <f>IF($A2276="","",IF(I2276&lt;&gt;"",I2276,Paramètres!B8))</f>
        <v/>
      </c>
      <c r="I2276" s="18" t="n"/>
    </row>
    <row r="2277">
      <c r="A2277" s="18">
        <f>IF(ISNUMBER(Dossiers!$D$46),Dossiers!$A$46&amp;" · "&amp;Dossiers!$B$46,"")</f>
        <v/>
      </c>
      <c r="B2277" s="18">
        <f>IF($A2277="","",Paramètres!G9)</f>
        <v/>
      </c>
      <c r="C2277" s="18">
        <f>IF($A2277="","",IF(Paramètres!H9="","",Paramètres!H9))</f>
        <v/>
      </c>
      <c r="D2277" s="18">
        <f>IF($A2277="","",IF(Paramètres!I9="","",Paramètres!I9))</f>
        <v/>
      </c>
      <c r="E2277" s="19">
        <f>IF($A2277="","",IF(Paramètres!J9&amp;Paramètres!L9&amp;Paramètres!N9="",Dossiers!$D$46,MAX(IF(Paramètres!J9="",0,IF(Paramètres!K9="",NA(),IF(LEFT(TRIM(Paramètres!K9),1)="F",INDEX($F$2273:$F$2325,MATCH(Paramètres!J9,Paramètres!$G$5:$G$57,0)),INDEX($E$2273:$E$2325,MATCH(Paramètres!J9,Paramètres!$G$5:$G$57,0)))+IF(RIGHT(TRIM(Paramètres!K9),3)="Fin",1-$H2277,IF(LEFT(TRIM(Paramètres!K9),1)="F",1,0)))),IF(Paramètres!L9="",0,IF(Paramètres!M9="",NA(),IF(LEFT(TRIM(Paramètres!M9),1)="F",INDEX($F$2273:$F$2325,MATCH(Paramètres!L9,Paramètres!$G$5:$G$57,0)),INDEX($E$2273:$E$2325,MATCH(Paramètres!L9,Paramètres!$G$5:$G$57,0)))+IF(RIGHT(TRIM(Paramètres!M9),3)="Fin",1-$H2277,IF(LEFT(TRIM(Paramètres!M9),1)="F",1,0)))),IF(Paramètres!N9="",0,IF(Paramètres!O9="",NA(),IF(LEFT(TRIM(Paramètres!O9),1)="F",INDEX($F$2273:$F$2325,MATCH(Paramètres!N9,Paramètres!$G$5:$G$57,0)),INDEX($E$2273:$E$2325,MATCH(Paramètres!N9,Paramètres!$G$5:$G$57,0)))+IF(RIGHT(TRIM(Paramètres!O9),3)="Fin",1-$H2277,IF(LEFT(TRIM(Paramètres!O9),1)="F",1,0)))))))</f>
        <v/>
      </c>
      <c r="F2277" s="19">
        <f>IF($A2277="","",E2277+$H2277-1)</f>
        <v/>
      </c>
      <c r="G2277" s="18" t="n"/>
      <c r="H2277" s="18">
        <f>IF($A2277="","",IF(I2277&lt;&gt;"",I2277,Paramètres!B9))</f>
        <v/>
      </c>
      <c r="I2277" s="18" t="n"/>
    </row>
    <row r="2278">
      <c r="A2278" s="18">
        <f>IF(ISNUMBER(Dossiers!$D$46),Dossiers!$A$46&amp;" · "&amp;Dossiers!$B$46,"")</f>
        <v/>
      </c>
      <c r="B2278" s="18">
        <f>IF($A2278="","",Paramètres!G10)</f>
        <v/>
      </c>
      <c r="C2278" s="18">
        <f>IF($A2278="","",IF(Paramètres!H10="","",Paramètres!H10))</f>
        <v/>
      </c>
      <c r="D2278" s="18">
        <f>IF($A2278="","",IF(Paramètres!I10="","",Paramètres!I10))</f>
        <v/>
      </c>
      <c r="E2278" s="19">
        <f>IF($A2278="","",MIN(E2279:E2282))</f>
        <v/>
      </c>
      <c r="F2278" s="19">
        <f>IF($A2278="","",MAX(F2279:F2282))</f>
        <v/>
      </c>
      <c r="G2278" s="18" t="n"/>
      <c r="H2278" s="18">
        <f>IF($A2278="","",F2278-E2278+1)</f>
        <v/>
      </c>
      <c r="I2278" s="18" t="n"/>
    </row>
    <row r="2279">
      <c r="A2279" s="18">
        <f>IF(ISNUMBER(Dossiers!$D$46),Dossiers!$A$46&amp;" · "&amp;Dossiers!$B$46,"")</f>
        <v/>
      </c>
      <c r="B2279" s="18">
        <f>IF($A2279="","",Paramètres!G11)</f>
        <v/>
      </c>
      <c r="C2279" s="18">
        <f>IF($A2279="","",IF(Paramètres!H11="","",Paramètres!H11))</f>
        <v/>
      </c>
      <c r="D2279" s="18">
        <f>IF($A2279="","",IF(Paramètres!I11="","",Paramètres!I11))</f>
        <v/>
      </c>
      <c r="E2279" s="19">
        <f>IF($A2279="","",IF(Paramètres!J11&amp;Paramètres!L11&amp;Paramètres!N11="",Dossiers!$D$46,MAX(IF(Paramètres!J11="",0,IF(Paramètres!K11="",NA(),IF(LEFT(TRIM(Paramètres!K11),1)="F",INDEX($F$2273:$F$2325,MATCH(Paramètres!J11,Paramètres!$G$5:$G$57,0)),INDEX($E$2273:$E$2325,MATCH(Paramètres!J11,Paramètres!$G$5:$G$57,0)))+IF(RIGHT(TRIM(Paramètres!K11),3)="Fin",1-$H2279,IF(LEFT(TRIM(Paramètres!K11),1)="F",1,0)))),IF(Paramètres!L11="",0,IF(Paramètres!M11="",NA(),IF(LEFT(TRIM(Paramètres!M11),1)="F",INDEX($F$2273:$F$2325,MATCH(Paramètres!L11,Paramètres!$G$5:$G$57,0)),INDEX($E$2273:$E$2325,MATCH(Paramètres!L11,Paramètres!$G$5:$G$57,0)))+IF(RIGHT(TRIM(Paramètres!M11),3)="Fin",1-$H2279,IF(LEFT(TRIM(Paramètres!M11),1)="F",1,0)))),IF(Paramètres!N11="",0,IF(Paramètres!O11="",NA(),IF(LEFT(TRIM(Paramètres!O11),1)="F",INDEX($F$2273:$F$2325,MATCH(Paramètres!N11,Paramètres!$G$5:$G$57,0)),INDEX($E$2273:$E$2325,MATCH(Paramètres!N11,Paramètres!$G$5:$G$57,0)))+IF(RIGHT(TRIM(Paramètres!O11),3)="Fin",1-$H2279,IF(LEFT(TRIM(Paramètres!O11),1)="F",1,0)))))))</f>
        <v/>
      </c>
      <c r="F2279" s="19">
        <f>IF($A2279="","",E2279+$H2279-1)</f>
        <v/>
      </c>
      <c r="G2279" s="18" t="n"/>
      <c r="H2279" s="18">
        <f>IF($A2279="","",IF(I2279&lt;&gt;"",I2279,Paramètres!B11))</f>
        <v/>
      </c>
      <c r="I2279" s="18" t="n"/>
    </row>
    <row r="2280">
      <c r="A2280" s="18">
        <f>IF(ISNUMBER(Dossiers!$D$46),Dossiers!$A$46&amp;" · "&amp;Dossiers!$B$46,"")</f>
        <v/>
      </c>
      <c r="B2280" s="18">
        <f>IF($A2280="","",Paramètres!G12)</f>
        <v/>
      </c>
      <c r="C2280" s="18">
        <f>IF($A2280="","",IF(Paramètres!H12="","",Paramètres!H12))</f>
        <v/>
      </c>
      <c r="D2280" s="18">
        <f>IF($A2280="","",IF(Paramètres!I12="","",Paramètres!I12))</f>
        <v/>
      </c>
      <c r="E2280" s="19">
        <f>IF($A2280="","",IF(Paramètres!J12&amp;Paramètres!L12&amp;Paramètres!N12="",Dossiers!$D$46,MAX(IF(Paramètres!J12="",0,IF(Paramètres!K12="",NA(),IF(LEFT(TRIM(Paramètres!K12),1)="F",INDEX($F$2273:$F$2325,MATCH(Paramètres!J12,Paramètres!$G$5:$G$57,0)),INDEX($E$2273:$E$2325,MATCH(Paramètres!J12,Paramètres!$G$5:$G$57,0)))+IF(RIGHT(TRIM(Paramètres!K12),3)="Fin",1-$H2280,IF(LEFT(TRIM(Paramètres!K12),1)="F",1,0)))),IF(Paramètres!L12="",0,IF(Paramètres!M12="",NA(),IF(LEFT(TRIM(Paramètres!M12),1)="F",INDEX($F$2273:$F$2325,MATCH(Paramètres!L12,Paramètres!$G$5:$G$57,0)),INDEX($E$2273:$E$2325,MATCH(Paramètres!L12,Paramètres!$G$5:$G$57,0)))+IF(RIGHT(TRIM(Paramètres!M12),3)="Fin",1-$H2280,IF(LEFT(TRIM(Paramètres!M12),1)="F",1,0)))),IF(Paramètres!N12="",0,IF(Paramètres!O12="",NA(),IF(LEFT(TRIM(Paramètres!O12),1)="F",INDEX($F$2273:$F$2325,MATCH(Paramètres!N12,Paramètres!$G$5:$G$57,0)),INDEX($E$2273:$E$2325,MATCH(Paramètres!N12,Paramètres!$G$5:$G$57,0)))+IF(RIGHT(TRIM(Paramètres!O12),3)="Fin",1-$H2280,IF(LEFT(TRIM(Paramètres!O12),1)="F",1,0)))))))</f>
        <v/>
      </c>
      <c r="F2280" s="19">
        <f>IF($A2280="","",E2280+$H2280-1)</f>
        <v/>
      </c>
      <c r="G2280" s="18" t="n"/>
      <c r="H2280" s="18">
        <f>IF($A2280="","",IF(I2280&lt;&gt;"",I2280,Paramètres!B12))</f>
        <v/>
      </c>
      <c r="I2280" s="18" t="n"/>
    </row>
    <row r="2281">
      <c r="A2281" s="18">
        <f>IF(ISNUMBER(Dossiers!$D$46),Dossiers!$A$46&amp;" · "&amp;Dossiers!$B$46,"")</f>
        <v/>
      </c>
      <c r="B2281" s="18">
        <f>IF($A2281="","",Paramètres!G13)</f>
        <v/>
      </c>
      <c r="C2281" s="18">
        <f>IF($A2281="","",IF(Paramètres!H13="","",Paramètres!H13))</f>
        <v/>
      </c>
      <c r="D2281" s="18">
        <f>IF($A2281="","",IF(Paramètres!I13="","",Paramètres!I13))</f>
        <v/>
      </c>
      <c r="E2281" s="19">
        <f>IF($A2281="","",IF(Paramètres!J13&amp;Paramètres!L13&amp;Paramètres!N13="",Dossiers!$D$46,MAX(IF(Paramètres!J13="",0,IF(Paramètres!K13="",NA(),IF(LEFT(TRIM(Paramètres!K13),1)="F",INDEX($F$2273:$F$2325,MATCH(Paramètres!J13,Paramètres!$G$5:$G$57,0)),INDEX($E$2273:$E$2325,MATCH(Paramètres!J13,Paramètres!$G$5:$G$57,0)))+IF(RIGHT(TRIM(Paramètres!K13),3)="Fin",1-$H2281,IF(LEFT(TRIM(Paramètres!K13),1)="F",1,0)))),IF(Paramètres!L13="",0,IF(Paramètres!M13="",NA(),IF(LEFT(TRIM(Paramètres!M13),1)="F",INDEX($F$2273:$F$2325,MATCH(Paramètres!L13,Paramètres!$G$5:$G$57,0)),INDEX($E$2273:$E$2325,MATCH(Paramètres!L13,Paramètres!$G$5:$G$57,0)))+IF(RIGHT(TRIM(Paramètres!M13),3)="Fin",1-$H2281,IF(LEFT(TRIM(Paramètres!M13),1)="F",1,0)))),IF(Paramètres!N13="",0,IF(Paramètres!O13="",NA(),IF(LEFT(TRIM(Paramètres!O13),1)="F",INDEX($F$2273:$F$2325,MATCH(Paramètres!N13,Paramètres!$G$5:$G$57,0)),INDEX($E$2273:$E$2325,MATCH(Paramètres!N13,Paramètres!$G$5:$G$57,0)))+IF(RIGHT(TRIM(Paramètres!O13),3)="Fin",1-$H2281,IF(LEFT(TRIM(Paramètres!O13),1)="F",1,0)))))))</f>
        <v/>
      </c>
      <c r="F2281" s="19">
        <f>IF($A2281="","",E2281+$H2281-1)</f>
        <v/>
      </c>
      <c r="G2281" s="18" t="n"/>
      <c r="H2281" s="18">
        <f>IF($A2281="","",IF(I2281&lt;&gt;"",I2281,Paramètres!B13))</f>
        <v/>
      </c>
      <c r="I2281" s="18" t="n"/>
    </row>
    <row r="2282">
      <c r="A2282" s="18">
        <f>IF(ISNUMBER(Dossiers!$D$46),Dossiers!$A$46&amp;" · "&amp;Dossiers!$B$46,"")</f>
        <v/>
      </c>
      <c r="B2282" s="18">
        <f>IF($A2282="","",Paramètres!G14)</f>
        <v/>
      </c>
      <c r="C2282" s="18">
        <f>IF($A2282="","",IF(Paramètres!H14="","",Paramètres!H14))</f>
        <v/>
      </c>
      <c r="D2282" s="18">
        <f>IF($A2282="","",IF(Paramètres!I14="","",Paramètres!I14))</f>
        <v/>
      </c>
      <c r="E2282" s="19">
        <f>IF($A2282="","",IF(Paramètres!J14&amp;Paramètres!L14&amp;Paramètres!N14="",Dossiers!$D$46,MAX(IF(Paramètres!J14="",0,IF(Paramètres!K14="",NA(),IF(LEFT(TRIM(Paramètres!K14),1)="F",INDEX($F$2273:$F$2325,MATCH(Paramètres!J14,Paramètres!$G$5:$G$57,0)),INDEX($E$2273:$E$2325,MATCH(Paramètres!J14,Paramètres!$G$5:$G$57,0)))+IF(RIGHT(TRIM(Paramètres!K14),3)="Fin",1-$H2282,IF(LEFT(TRIM(Paramètres!K14),1)="F",1,0)))),IF(Paramètres!L14="",0,IF(Paramètres!M14="",NA(),IF(LEFT(TRIM(Paramètres!M14),1)="F",INDEX($F$2273:$F$2325,MATCH(Paramètres!L14,Paramètres!$G$5:$G$57,0)),INDEX($E$2273:$E$2325,MATCH(Paramètres!L14,Paramètres!$G$5:$G$57,0)))+IF(RIGHT(TRIM(Paramètres!M14),3)="Fin",1-$H2282,IF(LEFT(TRIM(Paramètres!M14),1)="F",1,0)))),IF(Paramètres!N14="",0,IF(Paramètres!O14="",NA(),IF(LEFT(TRIM(Paramètres!O14),1)="F",INDEX($F$2273:$F$2325,MATCH(Paramètres!N14,Paramètres!$G$5:$G$57,0)),INDEX($E$2273:$E$2325,MATCH(Paramètres!N14,Paramètres!$G$5:$G$57,0)))+IF(RIGHT(TRIM(Paramètres!O14),3)="Fin",1-$H2282,IF(LEFT(TRIM(Paramètres!O14),1)="F",1,0)))))))</f>
        <v/>
      </c>
      <c r="F2282" s="19">
        <f>IF($A2282="","",E2282+$H2282-1)</f>
        <v/>
      </c>
      <c r="G2282" s="18" t="n"/>
      <c r="H2282" s="18">
        <f>IF($A2282="","",IF(I2282&lt;&gt;"",I2282,Paramètres!B14))</f>
        <v/>
      </c>
      <c r="I2282" s="18" t="n"/>
    </row>
    <row r="2283">
      <c r="A2283" s="18">
        <f>IF(ISNUMBER(Dossiers!$D$46),Dossiers!$A$46&amp;" · "&amp;Dossiers!$B$46,"")</f>
        <v/>
      </c>
      <c r="B2283" s="18">
        <f>IF($A2283="","",Paramètres!G15)</f>
        <v/>
      </c>
      <c r="C2283" s="18">
        <f>IF($A2283="","",IF(Paramètres!H15="","",Paramètres!H15))</f>
        <v/>
      </c>
      <c r="D2283" s="18">
        <f>IF($A2283="","",IF(Paramètres!I15="","",Paramètres!I15))</f>
        <v/>
      </c>
      <c r="E2283" s="19">
        <f>IF($A2283="","",MIN(E2284:E2299))</f>
        <v/>
      </c>
      <c r="F2283" s="19">
        <f>IF($A2283="","",MAX(F2284:F2299))</f>
        <v/>
      </c>
      <c r="G2283" s="18" t="n"/>
      <c r="H2283" s="18">
        <f>IF($A2283="","",F2283-E2283+1)</f>
        <v/>
      </c>
      <c r="I2283" s="18" t="n"/>
    </row>
    <row r="2284">
      <c r="A2284" s="18">
        <f>IF(ISNUMBER(Dossiers!$D$46),Dossiers!$A$46&amp;" · "&amp;Dossiers!$B$46,"")</f>
        <v/>
      </c>
      <c r="B2284" s="18">
        <f>IF($A2284="","",Paramètres!G16)</f>
        <v/>
      </c>
      <c r="C2284" s="18">
        <f>IF($A2284="","",IF(Paramètres!H16="","",Paramètres!H16))</f>
        <v/>
      </c>
      <c r="D2284" s="18">
        <f>IF($A2284="","",IF(Paramètres!I16="","",Paramètres!I16))</f>
        <v/>
      </c>
      <c r="E2284" s="19">
        <f>IF($A2284="","",IF(Paramètres!J16&amp;Paramètres!L16&amp;Paramètres!N16="",Dossiers!$D$46,MAX(IF(Paramètres!J16="",0,IF(Paramètres!K16="",NA(),IF(LEFT(TRIM(Paramètres!K16),1)="F",INDEX($F$2273:$F$2325,MATCH(Paramètres!J16,Paramètres!$G$5:$G$57,0)),INDEX($E$2273:$E$2325,MATCH(Paramètres!J16,Paramètres!$G$5:$G$57,0)))+IF(RIGHT(TRIM(Paramètres!K16),3)="Fin",1-$H2284,IF(LEFT(TRIM(Paramètres!K16),1)="F",1,0)))),IF(Paramètres!L16="",0,IF(Paramètres!M16="",NA(),IF(LEFT(TRIM(Paramètres!M16),1)="F",INDEX($F$2273:$F$2325,MATCH(Paramètres!L16,Paramètres!$G$5:$G$57,0)),INDEX($E$2273:$E$2325,MATCH(Paramètres!L16,Paramètres!$G$5:$G$57,0)))+IF(RIGHT(TRIM(Paramètres!M16),3)="Fin",1-$H2284,IF(LEFT(TRIM(Paramètres!M16),1)="F",1,0)))),IF(Paramètres!N16="",0,IF(Paramètres!O16="",NA(),IF(LEFT(TRIM(Paramètres!O16),1)="F",INDEX($F$2273:$F$2325,MATCH(Paramètres!N16,Paramètres!$G$5:$G$57,0)),INDEX($E$2273:$E$2325,MATCH(Paramètres!N16,Paramètres!$G$5:$G$57,0)))+IF(RIGHT(TRIM(Paramètres!O16),3)="Fin",1-$H2284,IF(LEFT(TRIM(Paramètres!O16),1)="F",1,0)))))))</f>
        <v/>
      </c>
      <c r="F2284" s="19">
        <f>IF($A2284="","",E2284+$H2284-1)</f>
        <v/>
      </c>
      <c r="G2284" s="18" t="n"/>
      <c r="H2284" s="18">
        <f>IF($A2284="","",IF(I2284&lt;&gt;"",I2284,Paramètres!B16))</f>
        <v/>
      </c>
      <c r="I2284" s="18" t="n"/>
    </row>
    <row r="2285">
      <c r="A2285" s="18">
        <f>IF(ISNUMBER(Dossiers!$D$46),Dossiers!$A$46&amp;" · "&amp;Dossiers!$B$46,"")</f>
        <v/>
      </c>
      <c r="B2285" s="18">
        <f>IF($A2285="","",Paramètres!G17)</f>
        <v/>
      </c>
      <c r="C2285" s="18">
        <f>IF($A2285="","",IF(Paramètres!H17="","",Paramètres!H17))</f>
        <v/>
      </c>
      <c r="D2285" s="18">
        <f>IF($A2285="","",IF(Paramètres!I17="","",Paramètres!I17))</f>
        <v/>
      </c>
      <c r="E2285" s="19">
        <f>IF($A2285="","",IF(Paramètres!J17&amp;Paramètres!L17&amp;Paramètres!N17="",Dossiers!$D$46,MAX(IF(Paramètres!J17="",0,IF(Paramètres!K17="",NA(),IF(LEFT(TRIM(Paramètres!K17),1)="F",INDEX($F$2273:$F$2325,MATCH(Paramètres!J17,Paramètres!$G$5:$G$57,0)),INDEX($E$2273:$E$2325,MATCH(Paramètres!J17,Paramètres!$G$5:$G$57,0)))+IF(RIGHT(TRIM(Paramètres!K17),3)="Fin",1-$H2285,IF(LEFT(TRIM(Paramètres!K17),1)="F",1,0)))),IF(Paramètres!L17="",0,IF(Paramètres!M17="",NA(),IF(LEFT(TRIM(Paramètres!M17),1)="F",INDEX($F$2273:$F$2325,MATCH(Paramètres!L17,Paramètres!$G$5:$G$57,0)),INDEX($E$2273:$E$2325,MATCH(Paramètres!L17,Paramètres!$G$5:$G$57,0)))+IF(RIGHT(TRIM(Paramètres!M17),3)="Fin",1-$H2285,IF(LEFT(TRIM(Paramètres!M17),1)="F",1,0)))),IF(Paramètres!N17="",0,IF(Paramètres!O17="",NA(),IF(LEFT(TRIM(Paramètres!O17),1)="F",INDEX($F$2273:$F$2325,MATCH(Paramètres!N17,Paramètres!$G$5:$G$57,0)),INDEX($E$2273:$E$2325,MATCH(Paramètres!N17,Paramètres!$G$5:$G$57,0)))+IF(RIGHT(TRIM(Paramètres!O17),3)="Fin",1-$H2285,IF(LEFT(TRIM(Paramètres!O17),1)="F",1,0)))))))</f>
        <v/>
      </c>
      <c r="F2285" s="19">
        <f>IF($A2285="","",E2285+$H2285-1)</f>
        <v/>
      </c>
      <c r="G2285" s="18" t="n"/>
      <c r="H2285" s="18">
        <f>IF($A2285="","",IF(I2285&lt;&gt;"",I2285,Paramètres!B17))</f>
        <v/>
      </c>
      <c r="I2285" s="18" t="n"/>
    </row>
    <row r="2286">
      <c r="A2286" s="18">
        <f>IF(ISNUMBER(Dossiers!$D$46),Dossiers!$A$46&amp;" · "&amp;Dossiers!$B$46,"")</f>
        <v/>
      </c>
      <c r="B2286" s="18">
        <f>IF($A2286="","",Paramètres!G18)</f>
        <v/>
      </c>
      <c r="C2286" s="18">
        <f>IF($A2286="","",IF(Paramètres!H18="","",Paramètres!H18))</f>
        <v/>
      </c>
      <c r="D2286" s="18">
        <f>IF($A2286="","",IF(Paramètres!I18="","",Paramètres!I18))</f>
        <v/>
      </c>
      <c r="E2286" s="19">
        <f>IF($A2286="","",IF(Paramètres!J18&amp;Paramètres!L18&amp;Paramètres!N18="",Dossiers!$D$46,MAX(IF(Paramètres!J18="",0,IF(Paramètres!K18="",NA(),IF(LEFT(TRIM(Paramètres!K18),1)="F",INDEX($F$2273:$F$2325,MATCH(Paramètres!J18,Paramètres!$G$5:$G$57,0)),INDEX($E$2273:$E$2325,MATCH(Paramètres!J18,Paramètres!$G$5:$G$57,0)))+IF(RIGHT(TRIM(Paramètres!K18),3)="Fin",1-$H2286,IF(LEFT(TRIM(Paramètres!K18),1)="F",1,0)))),IF(Paramètres!L18="",0,IF(Paramètres!M18="",NA(),IF(LEFT(TRIM(Paramètres!M18),1)="F",INDEX($F$2273:$F$2325,MATCH(Paramètres!L18,Paramètres!$G$5:$G$57,0)),INDEX($E$2273:$E$2325,MATCH(Paramètres!L18,Paramètres!$G$5:$G$57,0)))+IF(RIGHT(TRIM(Paramètres!M18),3)="Fin",1-$H2286,IF(LEFT(TRIM(Paramètres!M18),1)="F",1,0)))),IF(Paramètres!N18="",0,IF(Paramètres!O18="",NA(),IF(LEFT(TRIM(Paramètres!O18),1)="F",INDEX($F$2273:$F$2325,MATCH(Paramètres!N18,Paramètres!$G$5:$G$57,0)),INDEX($E$2273:$E$2325,MATCH(Paramètres!N18,Paramètres!$G$5:$G$57,0)))+IF(RIGHT(TRIM(Paramètres!O18),3)="Fin",1-$H2286,IF(LEFT(TRIM(Paramètres!O18),1)="F",1,0)))))))</f>
        <v/>
      </c>
      <c r="F2286" s="19">
        <f>IF($A2286="","",E2286+$H2286-1)</f>
        <v/>
      </c>
      <c r="G2286" s="18" t="n"/>
      <c r="H2286" s="18">
        <f>IF($A2286="","",IF(I2286&lt;&gt;"",I2286,Paramètres!B18))</f>
        <v/>
      </c>
      <c r="I2286" s="18" t="n"/>
    </row>
    <row r="2287">
      <c r="A2287" s="18">
        <f>IF(ISNUMBER(Dossiers!$D$46),Dossiers!$A$46&amp;" · "&amp;Dossiers!$B$46,"")</f>
        <v/>
      </c>
      <c r="B2287" s="18">
        <f>IF($A2287="","",Paramètres!G19)</f>
        <v/>
      </c>
      <c r="C2287" s="18">
        <f>IF($A2287="","",IF(Paramètres!H19="","",Paramètres!H19))</f>
        <v/>
      </c>
      <c r="D2287" s="18">
        <f>IF($A2287="","",IF(Paramètres!I19="","",Paramètres!I19))</f>
        <v/>
      </c>
      <c r="E2287" s="19">
        <f>IF($A2287="","",IF(Paramètres!J19&amp;Paramètres!L19&amp;Paramètres!N19="",Dossiers!$D$46,MAX(IF(Paramètres!J19="",0,IF(Paramètres!K19="",NA(),IF(LEFT(TRIM(Paramètres!K19),1)="F",INDEX($F$2273:$F$2325,MATCH(Paramètres!J19,Paramètres!$G$5:$G$57,0)),INDEX($E$2273:$E$2325,MATCH(Paramètres!J19,Paramètres!$G$5:$G$57,0)))+IF(RIGHT(TRIM(Paramètres!K19),3)="Fin",1-$H2287,IF(LEFT(TRIM(Paramètres!K19),1)="F",1,0)))),IF(Paramètres!L19="",0,IF(Paramètres!M19="",NA(),IF(LEFT(TRIM(Paramètres!M19),1)="F",INDEX($F$2273:$F$2325,MATCH(Paramètres!L19,Paramètres!$G$5:$G$57,0)),INDEX($E$2273:$E$2325,MATCH(Paramètres!L19,Paramètres!$G$5:$G$57,0)))+IF(RIGHT(TRIM(Paramètres!M19),3)="Fin",1-$H2287,IF(LEFT(TRIM(Paramètres!M19),1)="F",1,0)))),IF(Paramètres!N19="",0,IF(Paramètres!O19="",NA(),IF(LEFT(TRIM(Paramètres!O19),1)="F",INDEX($F$2273:$F$2325,MATCH(Paramètres!N19,Paramètres!$G$5:$G$57,0)),INDEX($E$2273:$E$2325,MATCH(Paramètres!N19,Paramètres!$G$5:$G$57,0)))+IF(RIGHT(TRIM(Paramètres!O19),3)="Fin",1-$H2287,IF(LEFT(TRIM(Paramètres!O19),1)="F",1,0)))))))</f>
        <v/>
      </c>
      <c r="F2287" s="19">
        <f>IF($A2287="","",E2287+$H2287-1)</f>
        <v/>
      </c>
      <c r="G2287" s="18" t="n"/>
      <c r="H2287" s="18">
        <f>IF($A2287="","",IF(I2287&lt;&gt;"",I2287,Paramètres!B19))</f>
        <v/>
      </c>
      <c r="I2287" s="18" t="n"/>
    </row>
    <row r="2288">
      <c r="A2288" s="18">
        <f>IF(ISNUMBER(Dossiers!$D$46),Dossiers!$A$46&amp;" · "&amp;Dossiers!$B$46,"")</f>
        <v/>
      </c>
      <c r="B2288" s="18">
        <f>IF($A2288="","",Paramètres!G20)</f>
        <v/>
      </c>
      <c r="C2288" s="18">
        <f>IF($A2288="","",IF(Paramètres!H20="","",Paramètres!H20))</f>
        <v/>
      </c>
      <c r="D2288" s="18">
        <f>IF($A2288="","",IF(Paramètres!I20="","",Paramètres!I20))</f>
        <v/>
      </c>
      <c r="E2288" s="19">
        <f>IF($A2288="","",IF(Paramètres!J20&amp;Paramètres!L20&amp;Paramètres!N20="",Dossiers!$D$46,MAX(IF(Paramètres!J20="",0,IF(Paramètres!K20="",NA(),IF(LEFT(TRIM(Paramètres!K20),1)="F",INDEX($F$2273:$F$2325,MATCH(Paramètres!J20,Paramètres!$G$5:$G$57,0)),INDEX($E$2273:$E$2325,MATCH(Paramètres!J20,Paramètres!$G$5:$G$57,0)))+IF(RIGHT(TRIM(Paramètres!K20),3)="Fin",1-$H2288,IF(LEFT(TRIM(Paramètres!K20),1)="F",1,0)))),IF(Paramètres!L20="",0,IF(Paramètres!M20="",NA(),IF(LEFT(TRIM(Paramètres!M20),1)="F",INDEX($F$2273:$F$2325,MATCH(Paramètres!L20,Paramètres!$G$5:$G$57,0)),INDEX($E$2273:$E$2325,MATCH(Paramètres!L20,Paramètres!$G$5:$G$57,0)))+IF(RIGHT(TRIM(Paramètres!M20),3)="Fin",1-$H2288,IF(LEFT(TRIM(Paramètres!M20),1)="F",1,0)))),IF(Paramètres!N20="",0,IF(Paramètres!O20="",NA(),IF(LEFT(TRIM(Paramètres!O20),1)="F",INDEX($F$2273:$F$2325,MATCH(Paramètres!N20,Paramètres!$G$5:$G$57,0)),INDEX($E$2273:$E$2325,MATCH(Paramètres!N20,Paramètres!$G$5:$G$57,0)))+IF(RIGHT(TRIM(Paramètres!O20),3)="Fin",1-$H2288,IF(LEFT(TRIM(Paramètres!O20),1)="F",1,0)))))))</f>
        <v/>
      </c>
      <c r="F2288" s="19">
        <f>IF($A2288="","",E2288+$H2288-1)</f>
        <v/>
      </c>
      <c r="G2288" s="18" t="n"/>
      <c r="H2288" s="18">
        <f>IF($A2288="","",IF(I2288&lt;&gt;"",I2288,Paramètres!B20))</f>
        <v/>
      </c>
      <c r="I2288" s="18" t="n"/>
    </row>
    <row r="2289">
      <c r="A2289" s="18">
        <f>IF(ISNUMBER(Dossiers!$D$46),Dossiers!$A$46&amp;" · "&amp;Dossiers!$B$46,"")</f>
        <v/>
      </c>
      <c r="B2289" s="18">
        <f>IF($A2289="","",Paramètres!G21)</f>
        <v/>
      </c>
      <c r="C2289" s="18">
        <f>IF($A2289="","",IF(Paramètres!H21="","",Paramètres!H21))</f>
        <v/>
      </c>
      <c r="D2289" s="18">
        <f>IF($A2289="","",IF(Paramètres!I21="","",Paramètres!I21))</f>
        <v/>
      </c>
      <c r="E2289" s="19">
        <f>IF($A2289="","",IF(Paramètres!J21&amp;Paramètres!L21&amp;Paramètres!N21="",Dossiers!$D$46,MAX(IF(Paramètres!J21="",0,IF(Paramètres!K21="",NA(),IF(LEFT(TRIM(Paramètres!K21),1)="F",INDEX($F$2273:$F$2325,MATCH(Paramètres!J21,Paramètres!$G$5:$G$57,0)),INDEX($E$2273:$E$2325,MATCH(Paramètres!J21,Paramètres!$G$5:$G$57,0)))+IF(RIGHT(TRIM(Paramètres!K21),3)="Fin",1-$H2289,IF(LEFT(TRIM(Paramètres!K21),1)="F",1,0)))),IF(Paramètres!L21="",0,IF(Paramètres!M21="",NA(),IF(LEFT(TRIM(Paramètres!M21),1)="F",INDEX($F$2273:$F$2325,MATCH(Paramètres!L21,Paramètres!$G$5:$G$57,0)),INDEX($E$2273:$E$2325,MATCH(Paramètres!L21,Paramètres!$G$5:$G$57,0)))+IF(RIGHT(TRIM(Paramètres!M21),3)="Fin",1-$H2289,IF(LEFT(TRIM(Paramètres!M21),1)="F",1,0)))),IF(Paramètres!N21="",0,IF(Paramètres!O21="",NA(),IF(LEFT(TRIM(Paramètres!O21),1)="F",INDEX($F$2273:$F$2325,MATCH(Paramètres!N21,Paramètres!$G$5:$G$57,0)),INDEX($E$2273:$E$2325,MATCH(Paramètres!N21,Paramètres!$G$5:$G$57,0)))+IF(RIGHT(TRIM(Paramètres!O21),3)="Fin",1-$H2289,IF(LEFT(TRIM(Paramètres!O21),1)="F",1,0)))))))</f>
        <v/>
      </c>
      <c r="F2289" s="19">
        <f>IF($A2289="","",E2289+$H2289-1)</f>
        <v/>
      </c>
      <c r="G2289" s="18" t="n"/>
      <c r="H2289" s="18">
        <f>IF($A2289="","",IF(I2289&lt;&gt;"",I2289,Paramètres!B21))</f>
        <v/>
      </c>
      <c r="I2289" s="18" t="n"/>
    </row>
    <row r="2290">
      <c r="A2290" s="18">
        <f>IF(ISNUMBER(Dossiers!$D$46),Dossiers!$A$46&amp;" · "&amp;Dossiers!$B$46,"")</f>
        <v/>
      </c>
      <c r="B2290" s="18">
        <f>IF($A2290="","",Paramètres!G22)</f>
        <v/>
      </c>
      <c r="C2290" s="18">
        <f>IF($A2290="","",IF(Paramètres!H22="","",Paramètres!H22))</f>
        <v/>
      </c>
      <c r="D2290" s="18">
        <f>IF($A2290="","",IF(Paramètres!I22="","",Paramètres!I22))</f>
        <v/>
      </c>
      <c r="E2290" s="19">
        <f>IF($A2290="","",IF(Paramètres!J22&amp;Paramètres!L22&amp;Paramètres!N22="",Dossiers!$D$46,MAX(IF(Paramètres!J22="",0,IF(Paramètres!K22="",NA(),IF(LEFT(TRIM(Paramètres!K22),1)="F",INDEX($F$2273:$F$2325,MATCH(Paramètres!J22,Paramètres!$G$5:$G$57,0)),INDEX($E$2273:$E$2325,MATCH(Paramètres!J22,Paramètres!$G$5:$G$57,0)))+IF(RIGHT(TRIM(Paramètres!K22),3)="Fin",1-$H2290,IF(LEFT(TRIM(Paramètres!K22),1)="F",1,0)))),IF(Paramètres!L22="",0,IF(Paramètres!M22="",NA(),IF(LEFT(TRIM(Paramètres!M22),1)="F",INDEX($F$2273:$F$2325,MATCH(Paramètres!L22,Paramètres!$G$5:$G$57,0)),INDEX($E$2273:$E$2325,MATCH(Paramètres!L22,Paramètres!$G$5:$G$57,0)))+IF(RIGHT(TRIM(Paramètres!M22),3)="Fin",1-$H2290,IF(LEFT(TRIM(Paramètres!M22),1)="F",1,0)))),IF(Paramètres!N22="",0,IF(Paramètres!O22="",NA(),IF(LEFT(TRIM(Paramètres!O22),1)="F",INDEX($F$2273:$F$2325,MATCH(Paramètres!N22,Paramètres!$G$5:$G$57,0)),INDEX($E$2273:$E$2325,MATCH(Paramètres!N22,Paramètres!$G$5:$G$57,0)))+IF(RIGHT(TRIM(Paramètres!O22),3)="Fin",1-$H2290,IF(LEFT(TRIM(Paramètres!O22),1)="F",1,0)))))))</f>
        <v/>
      </c>
      <c r="F2290" s="19">
        <f>IF($A2290="","",E2290+$H2290-1)</f>
        <v/>
      </c>
      <c r="G2290" s="18" t="n"/>
      <c r="H2290" s="18">
        <f>IF($A2290="","",IF(I2290&lt;&gt;"",I2290,Paramètres!B22))</f>
        <v/>
      </c>
      <c r="I2290" s="18" t="n"/>
    </row>
    <row r="2291">
      <c r="A2291" s="18">
        <f>IF(ISNUMBER(Dossiers!$D$46),Dossiers!$A$46&amp;" · "&amp;Dossiers!$B$46,"")</f>
        <v/>
      </c>
      <c r="B2291" s="18">
        <f>IF($A2291="","",Paramètres!G23)</f>
        <v/>
      </c>
      <c r="C2291" s="18">
        <f>IF($A2291="","",IF(Paramètres!H23="","",Paramètres!H23))</f>
        <v/>
      </c>
      <c r="D2291" s="18">
        <f>IF($A2291="","",IF(Paramètres!I23="","",Paramètres!I23))</f>
        <v/>
      </c>
      <c r="E2291" s="19">
        <f>IF($A2291="","",IF(Paramètres!J23&amp;Paramètres!L23&amp;Paramètres!N23="",Dossiers!$D$46,MAX(IF(Paramètres!J23="",0,IF(Paramètres!K23="",NA(),IF(LEFT(TRIM(Paramètres!K23),1)="F",INDEX($F$2273:$F$2325,MATCH(Paramètres!J23,Paramètres!$G$5:$G$57,0)),INDEX($E$2273:$E$2325,MATCH(Paramètres!J23,Paramètres!$G$5:$G$57,0)))+IF(RIGHT(TRIM(Paramètres!K23),3)="Fin",1-$H2291,IF(LEFT(TRIM(Paramètres!K23),1)="F",1,0)))),IF(Paramètres!L23="",0,IF(Paramètres!M23="",NA(),IF(LEFT(TRIM(Paramètres!M23),1)="F",INDEX($F$2273:$F$2325,MATCH(Paramètres!L23,Paramètres!$G$5:$G$57,0)),INDEX($E$2273:$E$2325,MATCH(Paramètres!L23,Paramètres!$G$5:$G$57,0)))+IF(RIGHT(TRIM(Paramètres!M23),3)="Fin",1-$H2291,IF(LEFT(TRIM(Paramètres!M23),1)="F",1,0)))),IF(Paramètres!N23="",0,IF(Paramètres!O23="",NA(),IF(LEFT(TRIM(Paramètres!O23),1)="F",INDEX($F$2273:$F$2325,MATCH(Paramètres!N23,Paramètres!$G$5:$G$57,0)),INDEX($E$2273:$E$2325,MATCH(Paramètres!N23,Paramètres!$G$5:$G$57,0)))+IF(RIGHT(TRIM(Paramètres!O23),3)="Fin",1-$H2291,IF(LEFT(TRIM(Paramètres!O23),1)="F",1,0)))))))</f>
        <v/>
      </c>
      <c r="F2291" s="19">
        <f>IF($A2291="","",E2291+$H2291-1)</f>
        <v/>
      </c>
      <c r="G2291" s="18" t="n"/>
      <c r="H2291" s="18">
        <f>IF($A2291="","",IF(I2291&lt;&gt;"",I2291,Paramètres!B23))</f>
        <v/>
      </c>
      <c r="I2291" s="18" t="n"/>
    </row>
    <row r="2292">
      <c r="A2292" s="18">
        <f>IF(ISNUMBER(Dossiers!$D$46),Dossiers!$A$46&amp;" · "&amp;Dossiers!$B$46,"")</f>
        <v/>
      </c>
      <c r="B2292" s="18">
        <f>IF($A2292="","",Paramètres!G24)</f>
        <v/>
      </c>
      <c r="C2292" s="18">
        <f>IF($A2292="","",IF(Paramètres!H24="","",Paramètres!H24))</f>
        <v/>
      </c>
      <c r="D2292" s="18">
        <f>IF($A2292="","",IF(Paramètres!I24="","",Paramètres!I24))</f>
        <v/>
      </c>
      <c r="E2292" s="19">
        <f>IF($A2292="","",IF(Paramètres!J24&amp;Paramètres!L24&amp;Paramètres!N24="",Dossiers!$D$46,MAX(IF(Paramètres!J24="",0,IF(Paramètres!K24="",NA(),IF(LEFT(TRIM(Paramètres!K24),1)="F",INDEX($F$2273:$F$2325,MATCH(Paramètres!J24,Paramètres!$G$5:$G$57,0)),INDEX($E$2273:$E$2325,MATCH(Paramètres!J24,Paramètres!$G$5:$G$57,0)))+IF(RIGHT(TRIM(Paramètres!K24),3)="Fin",1-$H2292,IF(LEFT(TRIM(Paramètres!K24),1)="F",1,0)))),IF(Paramètres!L24="",0,IF(Paramètres!M24="",NA(),IF(LEFT(TRIM(Paramètres!M24),1)="F",INDEX($F$2273:$F$2325,MATCH(Paramètres!L24,Paramètres!$G$5:$G$57,0)),INDEX($E$2273:$E$2325,MATCH(Paramètres!L24,Paramètres!$G$5:$G$57,0)))+IF(RIGHT(TRIM(Paramètres!M24),3)="Fin",1-$H2292,IF(LEFT(TRIM(Paramètres!M24),1)="F",1,0)))),IF(Paramètres!N24="",0,IF(Paramètres!O24="",NA(),IF(LEFT(TRIM(Paramètres!O24),1)="F",INDEX($F$2273:$F$2325,MATCH(Paramètres!N24,Paramètres!$G$5:$G$57,0)),INDEX($E$2273:$E$2325,MATCH(Paramètres!N24,Paramètres!$G$5:$G$57,0)))+IF(RIGHT(TRIM(Paramètres!O24),3)="Fin",1-$H2292,IF(LEFT(TRIM(Paramètres!O24),1)="F",1,0)))))))</f>
        <v/>
      </c>
      <c r="F2292" s="19">
        <f>IF($A2292="","",E2292+$H2292-1)</f>
        <v/>
      </c>
      <c r="G2292" s="18" t="n"/>
      <c r="H2292" s="18">
        <f>IF($A2292="","",IF(I2292&lt;&gt;"",I2292,Paramètres!B24))</f>
        <v/>
      </c>
      <c r="I2292" s="18" t="n"/>
    </row>
    <row r="2293">
      <c r="A2293" s="18">
        <f>IF(ISNUMBER(Dossiers!$D$46),Dossiers!$A$46&amp;" · "&amp;Dossiers!$B$46,"")</f>
        <v/>
      </c>
      <c r="B2293" s="18">
        <f>IF($A2293="","",Paramètres!G25)</f>
        <v/>
      </c>
      <c r="C2293" s="18">
        <f>IF($A2293="","",IF(Paramètres!H25="","",Paramètres!H25))</f>
        <v/>
      </c>
      <c r="D2293" s="18">
        <f>IF($A2293="","",IF(Paramètres!I25="","",Paramètres!I25))</f>
        <v/>
      </c>
      <c r="E2293" s="19">
        <f>IF($A2293="","",IF(Paramètres!J25&amp;Paramètres!L25&amp;Paramètres!N25="",Dossiers!$D$46,MAX(IF(Paramètres!J25="",0,IF(Paramètres!K25="",NA(),IF(LEFT(TRIM(Paramètres!K25),1)="F",INDEX($F$2273:$F$2325,MATCH(Paramètres!J25,Paramètres!$G$5:$G$57,0)),INDEX($E$2273:$E$2325,MATCH(Paramètres!J25,Paramètres!$G$5:$G$57,0)))+IF(RIGHT(TRIM(Paramètres!K25),3)="Fin",1-$H2293,IF(LEFT(TRIM(Paramètres!K25),1)="F",1,0)))),IF(Paramètres!L25="",0,IF(Paramètres!M25="",NA(),IF(LEFT(TRIM(Paramètres!M25),1)="F",INDEX($F$2273:$F$2325,MATCH(Paramètres!L25,Paramètres!$G$5:$G$57,0)),INDEX($E$2273:$E$2325,MATCH(Paramètres!L25,Paramètres!$G$5:$G$57,0)))+IF(RIGHT(TRIM(Paramètres!M25),3)="Fin",1-$H2293,IF(LEFT(TRIM(Paramètres!M25),1)="F",1,0)))),IF(Paramètres!N25="",0,IF(Paramètres!O25="",NA(),IF(LEFT(TRIM(Paramètres!O25),1)="F",INDEX($F$2273:$F$2325,MATCH(Paramètres!N25,Paramètres!$G$5:$G$57,0)),INDEX($E$2273:$E$2325,MATCH(Paramètres!N25,Paramètres!$G$5:$G$57,0)))+IF(RIGHT(TRIM(Paramètres!O25),3)="Fin",1-$H2293,IF(LEFT(TRIM(Paramètres!O25),1)="F",1,0)))))))</f>
        <v/>
      </c>
      <c r="F2293" s="19">
        <f>IF($A2293="","",E2293+$H2293-1)</f>
        <v/>
      </c>
      <c r="G2293" s="18" t="n"/>
      <c r="H2293" s="18">
        <f>IF($A2293="","",IF(I2293&lt;&gt;"",I2293,Paramètres!B25))</f>
        <v/>
      </c>
      <c r="I2293" s="18" t="n"/>
    </row>
    <row r="2294">
      <c r="A2294" s="18">
        <f>IF(ISNUMBER(Dossiers!$D$46),Dossiers!$A$46&amp;" · "&amp;Dossiers!$B$46,"")</f>
        <v/>
      </c>
      <c r="B2294" s="18">
        <f>IF($A2294="","",Paramètres!G26)</f>
        <v/>
      </c>
      <c r="C2294" s="18">
        <f>IF($A2294="","",IF(Paramètres!H26="","",Paramètres!H26))</f>
        <v/>
      </c>
      <c r="D2294" s="18">
        <f>IF($A2294="","",IF(Paramètres!I26="","",Paramètres!I26))</f>
        <v/>
      </c>
      <c r="E2294" s="19">
        <f>IF($A2294="","",IF(Paramètres!J26&amp;Paramètres!L26&amp;Paramètres!N26="",Dossiers!$D$46,MAX(IF(Paramètres!J26="",0,IF(Paramètres!K26="",NA(),IF(LEFT(TRIM(Paramètres!K26),1)="F",INDEX($F$2273:$F$2325,MATCH(Paramètres!J26,Paramètres!$G$5:$G$57,0)),INDEX($E$2273:$E$2325,MATCH(Paramètres!J26,Paramètres!$G$5:$G$57,0)))+IF(RIGHT(TRIM(Paramètres!K26),3)="Fin",1-$H2294,IF(LEFT(TRIM(Paramètres!K26),1)="F",1,0)))),IF(Paramètres!L26="",0,IF(Paramètres!M26="",NA(),IF(LEFT(TRIM(Paramètres!M26),1)="F",INDEX($F$2273:$F$2325,MATCH(Paramètres!L26,Paramètres!$G$5:$G$57,0)),INDEX($E$2273:$E$2325,MATCH(Paramètres!L26,Paramètres!$G$5:$G$57,0)))+IF(RIGHT(TRIM(Paramètres!M26),3)="Fin",1-$H2294,IF(LEFT(TRIM(Paramètres!M26),1)="F",1,0)))),IF(Paramètres!N26="",0,IF(Paramètres!O26="",NA(),IF(LEFT(TRIM(Paramètres!O26),1)="F",INDEX($F$2273:$F$2325,MATCH(Paramètres!N26,Paramètres!$G$5:$G$57,0)),INDEX($E$2273:$E$2325,MATCH(Paramètres!N26,Paramètres!$G$5:$G$57,0)))+IF(RIGHT(TRIM(Paramètres!O26),3)="Fin",1-$H2294,IF(LEFT(TRIM(Paramètres!O26),1)="F",1,0)))))))</f>
        <v/>
      </c>
      <c r="F2294" s="19">
        <f>IF($A2294="","",E2294+$H2294-1)</f>
        <v/>
      </c>
      <c r="G2294" s="18" t="n"/>
      <c r="H2294" s="18">
        <f>IF($A2294="","",IF(I2294&lt;&gt;"",I2294,Paramètres!B26))</f>
        <v/>
      </c>
      <c r="I2294" s="18" t="n"/>
    </row>
    <row r="2295">
      <c r="A2295" s="18">
        <f>IF(ISNUMBER(Dossiers!$D$46),Dossiers!$A$46&amp;" · "&amp;Dossiers!$B$46,"")</f>
        <v/>
      </c>
      <c r="B2295" s="18">
        <f>IF($A2295="","",Paramètres!G27)</f>
        <v/>
      </c>
      <c r="C2295" s="18">
        <f>IF($A2295="","",IF(Paramètres!H27="","",Paramètres!H27))</f>
        <v/>
      </c>
      <c r="D2295" s="18">
        <f>IF($A2295="","",IF(Paramètres!I27="","",Paramètres!I27))</f>
        <v/>
      </c>
      <c r="E2295" s="19">
        <f>IF($A2295="","",IF(Paramètres!J27&amp;Paramètres!L27&amp;Paramètres!N27="",Dossiers!$D$46,MAX(IF(Paramètres!J27="",0,IF(Paramètres!K27="",NA(),IF(LEFT(TRIM(Paramètres!K27),1)="F",INDEX($F$2273:$F$2325,MATCH(Paramètres!J27,Paramètres!$G$5:$G$57,0)),INDEX($E$2273:$E$2325,MATCH(Paramètres!J27,Paramètres!$G$5:$G$57,0)))+IF(RIGHT(TRIM(Paramètres!K27),3)="Fin",1-$H2295,IF(LEFT(TRIM(Paramètres!K27),1)="F",1,0)))),IF(Paramètres!L27="",0,IF(Paramètres!M27="",NA(),IF(LEFT(TRIM(Paramètres!M27),1)="F",INDEX($F$2273:$F$2325,MATCH(Paramètres!L27,Paramètres!$G$5:$G$57,0)),INDEX($E$2273:$E$2325,MATCH(Paramètres!L27,Paramètres!$G$5:$G$57,0)))+IF(RIGHT(TRIM(Paramètres!M27),3)="Fin",1-$H2295,IF(LEFT(TRIM(Paramètres!M27),1)="F",1,0)))),IF(Paramètres!N27="",0,IF(Paramètres!O27="",NA(),IF(LEFT(TRIM(Paramètres!O27),1)="F",INDEX($F$2273:$F$2325,MATCH(Paramètres!N27,Paramètres!$G$5:$G$57,0)),INDEX($E$2273:$E$2325,MATCH(Paramètres!N27,Paramètres!$G$5:$G$57,0)))+IF(RIGHT(TRIM(Paramètres!O27),3)="Fin",1-$H2295,IF(LEFT(TRIM(Paramètres!O27),1)="F",1,0)))))))</f>
        <v/>
      </c>
      <c r="F2295" s="19">
        <f>IF($A2295="","",E2295+$H2295-1)</f>
        <v/>
      </c>
      <c r="G2295" s="18" t="n"/>
      <c r="H2295" s="18">
        <f>IF($A2295="","",IF(I2295&lt;&gt;"",I2295,Paramètres!B27))</f>
        <v/>
      </c>
      <c r="I2295" s="18" t="n"/>
    </row>
    <row r="2296">
      <c r="A2296" s="18">
        <f>IF(ISNUMBER(Dossiers!$D$46),Dossiers!$A$46&amp;" · "&amp;Dossiers!$B$46,"")</f>
        <v/>
      </c>
      <c r="B2296" s="18">
        <f>IF($A2296="","",Paramètres!G28)</f>
        <v/>
      </c>
      <c r="C2296" s="18">
        <f>IF($A2296="","",IF(Paramètres!H28="","",Paramètres!H28))</f>
        <v/>
      </c>
      <c r="D2296" s="18">
        <f>IF($A2296="","",IF(Paramètres!I28="","",Paramètres!I28))</f>
        <v/>
      </c>
      <c r="E2296" s="19">
        <f>IF($A2296="","",IF(Paramètres!J28&amp;Paramètres!L28&amp;Paramètres!N28="",Dossiers!$D$46,MAX(IF(Paramètres!J28="",0,IF(Paramètres!K28="",NA(),IF(LEFT(TRIM(Paramètres!K28),1)="F",INDEX($F$2273:$F$2325,MATCH(Paramètres!J28,Paramètres!$G$5:$G$57,0)),INDEX($E$2273:$E$2325,MATCH(Paramètres!J28,Paramètres!$G$5:$G$57,0)))+IF(RIGHT(TRIM(Paramètres!K28),3)="Fin",1-$H2296,IF(LEFT(TRIM(Paramètres!K28),1)="F",1,0)))),IF(Paramètres!L28="",0,IF(Paramètres!M28="",NA(),IF(LEFT(TRIM(Paramètres!M28),1)="F",INDEX($F$2273:$F$2325,MATCH(Paramètres!L28,Paramètres!$G$5:$G$57,0)),INDEX($E$2273:$E$2325,MATCH(Paramètres!L28,Paramètres!$G$5:$G$57,0)))+IF(RIGHT(TRIM(Paramètres!M28),3)="Fin",1-$H2296,IF(LEFT(TRIM(Paramètres!M28),1)="F",1,0)))),IF(Paramètres!N28="",0,IF(Paramètres!O28="",NA(),IF(LEFT(TRIM(Paramètres!O28),1)="F",INDEX($F$2273:$F$2325,MATCH(Paramètres!N28,Paramètres!$G$5:$G$57,0)),INDEX($E$2273:$E$2325,MATCH(Paramètres!N28,Paramètres!$G$5:$G$57,0)))+IF(RIGHT(TRIM(Paramètres!O28),3)="Fin",1-$H2296,IF(LEFT(TRIM(Paramètres!O28),1)="F",1,0)))))))</f>
        <v/>
      </c>
      <c r="F2296" s="19">
        <f>IF($A2296="","",E2296+$H2296-1)</f>
        <v/>
      </c>
      <c r="G2296" s="18" t="n"/>
      <c r="H2296" s="18">
        <f>IF($A2296="","",IF(I2296&lt;&gt;"",I2296,Paramètres!B28))</f>
        <v/>
      </c>
      <c r="I2296" s="18" t="n"/>
    </row>
    <row r="2297">
      <c r="A2297" s="18">
        <f>IF(ISNUMBER(Dossiers!$D$46),Dossiers!$A$46&amp;" · "&amp;Dossiers!$B$46,"")</f>
        <v/>
      </c>
      <c r="B2297" s="18">
        <f>IF($A2297="","",Paramètres!G29)</f>
        <v/>
      </c>
      <c r="C2297" s="18">
        <f>IF($A2297="","",IF(Paramètres!H29="","",Paramètres!H29))</f>
        <v/>
      </c>
      <c r="D2297" s="18">
        <f>IF($A2297="","",IF(Paramètres!I29="","",Paramètres!I29))</f>
        <v/>
      </c>
      <c r="E2297" s="19">
        <f>IF($A2297="","",IF(Paramètres!J29&amp;Paramètres!L29&amp;Paramètres!N29="",Dossiers!$D$46,MAX(IF(Paramètres!J29="",0,IF(Paramètres!K29="",NA(),IF(LEFT(TRIM(Paramètres!K29),1)="F",INDEX($F$2273:$F$2325,MATCH(Paramètres!J29,Paramètres!$G$5:$G$57,0)),INDEX($E$2273:$E$2325,MATCH(Paramètres!J29,Paramètres!$G$5:$G$57,0)))+IF(RIGHT(TRIM(Paramètres!K29),3)="Fin",1-$H2297,IF(LEFT(TRIM(Paramètres!K29),1)="F",1,0)))),IF(Paramètres!L29="",0,IF(Paramètres!M29="",NA(),IF(LEFT(TRIM(Paramètres!M29),1)="F",INDEX($F$2273:$F$2325,MATCH(Paramètres!L29,Paramètres!$G$5:$G$57,0)),INDEX($E$2273:$E$2325,MATCH(Paramètres!L29,Paramètres!$G$5:$G$57,0)))+IF(RIGHT(TRIM(Paramètres!M29),3)="Fin",1-$H2297,IF(LEFT(TRIM(Paramètres!M29),1)="F",1,0)))),IF(Paramètres!N29="",0,IF(Paramètres!O29="",NA(),IF(LEFT(TRIM(Paramètres!O29),1)="F",INDEX($F$2273:$F$2325,MATCH(Paramètres!N29,Paramètres!$G$5:$G$57,0)),INDEX($E$2273:$E$2325,MATCH(Paramètres!N29,Paramètres!$G$5:$G$57,0)))+IF(RIGHT(TRIM(Paramètres!O29),3)="Fin",1-$H2297,IF(LEFT(TRIM(Paramètres!O29),1)="F",1,0)))))))</f>
        <v/>
      </c>
      <c r="F2297" s="19">
        <f>IF($A2297="","",E2297+$H2297-1)</f>
        <v/>
      </c>
      <c r="G2297" s="18" t="n"/>
      <c r="H2297" s="18">
        <f>IF($A2297="","",IF(I2297&lt;&gt;"",I2297,Paramètres!B29))</f>
        <v/>
      </c>
      <c r="I2297" s="18" t="n"/>
    </row>
    <row r="2298">
      <c r="A2298" s="18">
        <f>IF(ISNUMBER(Dossiers!$D$46),Dossiers!$A$46&amp;" · "&amp;Dossiers!$B$46,"")</f>
        <v/>
      </c>
      <c r="B2298" s="18">
        <f>IF($A2298="","",Paramètres!G30)</f>
        <v/>
      </c>
      <c r="C2298" s="18">
        <f>IF($A2298="","",IF(Paramètres!H30="","",Paramètres!H30))</f>
        <v/>
      </c>
      <c r="D2298" s="18">
        <f>IF($A2298="","",IF(Paramètres!I30="","",Paramètres!I30))</f>
        <v/>
      </c>
      <c r="E2298" s="19">
        <f>IF($A2298="","",IF(Paramètres!J30&amp;Paramètres!L30&amp;Paramètres!N30="",Dossiers!$D$46,MAX(IF(Paramètres!J30="",0,IF(Paramètres!K30="",NA(),IF(LEFT(TRIM(Paramètres!K30),1)="F",INDEX($F$2273:$F$2325,MATCH(Paramètres!J30,Paramètres!$G$5:$G$57,0)),INDEX($E$2273:$E$2325,MATCH(Paramètres!J30,Paramètres!$G$5:$G$57,0)))+IF(RIGHT(TRIM(Paramètres!K30),3)="Fin",1-$H2298,IF(LEFT(TRIM(Paramètres!K30),1)="F",1,0)))),IF(Paramètres!L30="",0,IF(Paramètres!M30="",NA(),IF(LEFT(TRIM(Paramètres!M30),1)="F",INDEX($F$2273:$F$2325,MATCH(Paramètres!L30,Paramètres!$G$5:$G$57,0)),INDEX($E$2273:$E$2325,MATCH(Paramètres!L30,Paramètres!$G$5:$G$57,0)))+IF(RIGHT(TRIM(Paramètres!M30),3)="Fin",1-$H2298,IF(LEFT(TRIM(Paramètres!M30),1)="F",1,0)))),IF(Paramètres!N30="",0,IF(Paramètres!O30="",NA(),IF(LEFT(TRIM(Paramètres!O30),1)="F",INDEX($F$2273:$F$2325,MATCH(Paramètres!N30,Paramètres!$G$5:$G$57,0)),INDEX($E$2273:$E$2325,MATCH(Paramètres!N30,Paramètres!$G$5:$G$57,0)))+IF(RIGHT(TRIM(Paramètres!O30),3)="Fin",1-$H2298,IF(LEFT(TRIM(Paramètres!O30),1)="F",1,0)))))))</f>
        <v/>
      </c>
      <c r="F2298" s="19">
        <f>IF($A2298="","",E2298+$H2298-1)</f>
        <v/>
      </c>
      <c r="G2298" s="18" t="n"/>
      <c r="H2298" s="18">
        <f>IF($A2298="","",IF(I2298&lt;&gt;"",I2298,Paramètres!B30))</f>
        <v/>
      </c>
      <c r="I2298" s="18" t="n"/>
    </row>
    <row r="2299">
      <c r="A2299" s="18">
        <f>IF(ISNUMBER(Dossiers!$D$46),Dossiers!$A$46&amp;" · "&amp;Dossiers!$B$46,"")</f>
        <v/>
      </c>
      <c r="B2299" s="18">
        <f>IF($A2299="","",Paramètres!G31)</f>
        <v/>
      </c>
      <c r="C2299" s="20">
        <f>IF($A2299="","",IF(Dossiers!$F$46="","",Dossiers!$F$46))</f>
        <v/>
      </c>
      <c r="D2299" s="18">
        <f>IF($A2299="","",IF(Paramètres!I31="","",Paramètres!I31))</f>
        <v/>
      </c>
      <c r="E2299" s="19">
        <f>IF($A2299="","",IF(Paramètres!J31&amp;Paramètres!L31&amp;Paramètres!N31="",Dossiers!$D$46,MAX(IF(Paramètres!J31="",0,IF(Paramètres!K31="",NA(),IF(LEFT(TRIM(Paramètres!K31),1)="F",INDEX($F$2273:$F$2325,MATCH(Paramètres!J31,Paramètres!$G$5:$G$57,0)),INDEX($E$2273:$E$2325,MATCH(Paramètres!J31,Paramètres!$G$5:$G$57,0)))+IF(RIGHT(TRIM(Paramètres!K31),3)="Fin",1-$H2299,IF(LEFT(TRIM(Paramètres!K31),1)="F",1,0)))),IF(Paramètres!L31="",0,IF(Paramètres!M31="",NA(),IF(LEFT(TRIM(Paramètres!M31),1)="F",INDEX($F$2273:$F$2325,MATCH(Paramètres!L31,Paramètres!$G$5:$G$57,0)),INDEX($E$2273:$E$2325,MATCH(Paramètres!L31,Paramètres!$G$5:$G$57,0)))+IF(RIGHT(TRIM(Paramètres!M31),3)="Fin",1-$H2299,IF(LEFT(TRIM(Paramètres!M31),1)="F",1,0)))),IF(Paramètres!N31="",0,IF(Paramètres!O31="",NA(),IF(LEFT(TRIM(Paramètres!O31),1)="F",INDEX($F$2273:$F$2325,MATCH(Paramètres!N31,Paramètres!$G$5:$G$57,0)),INDEX($E$2273:$E$2325,MATCH(Paramètres!N31,Paramètres!$G$5:$G$57,0)))+IF(RIGHT(TRIM(Paramètres!O31),3)="Fin",1-$H2299,IF(LEFT(TRIM(Paramètres!O31),1)="F",1,0)))))))</f>
        <v/>
      </c>
      <c r="F2299" s="19">
        <f>IF($A2299="","",E2299+$H2299-1)</f>
        <v/>
      </c>
      <c r="G2299" s="18" t="n"/>
      <c r="H2299" s="18">
        <f>IF($A2299="","",IF(I2299&lt;&gt;"",I2299,Paramètres!B31))</f>
        <v/>
      </c>
      <c r="I2299" s="18" t="n"/>
    </row>
    <row r="2300">
      <c r="A2300" s="18">
        <f>IF(ISNUMBER(Dossiers!$D$46),Dossiers!$A$46&amp;" · "&amp;Dossiers!$B$46,"")</f>
        <v/>
      </c>
      <c r="B2300" s="18">
        <f>IF($A2300="","",Paramètres!G32)</f>
        <v/>
      </c>
      <c r="C2300" s="18">
        <f>IF($A2300="","",IF(Paramètres!H32="","",Paramètres!H32))</f>
        <v/>
      </c>
      <c r="D2300" s="18">
        <f>IF($A2300="","",IF(Paramètres!I32="","",Paramètres!I32))</f>
        <v/>
      </c>
      <c r="E2300" s="19">
        <f>IF($A2300="","",MIN(E2301:E2304))</f>
        <v/>
      </c>
      <c r="F2300" s="19">
        <f>IF($A2300="","",MAX(F2301:F2304))</f>
        <v/>
      </c>
      <c r="G2300" s="18" t="n"/>
      <c r="H2300" s="18">
        <f>IF($A2300="","",F2300-E2300+1)</f>
        <v/>
      </c>
      <c r="I2300" s="18" t="n"/>
    </row>
    <row r="2301">
      <c r="A2301" s="18">
        <f>IF(ISNUMBER(Dossiers!$D$46),Dossiers!$A$46&amp;" · "&amp;Dossiers!$B$46,"")</f>
        <v/>
      </c>
      <c r="B2301" s="18">
        <f>IF($A2301="","",Paramètres!G33)</f>
        <v/>
      </c>
      <c r="C2301" s="18">
        <f>IF($A2301="","",IF(Paramètres!H33="","",Paramètres!H33))</f>
        <v/>
      </c>
      <c r="D2301" s="18">
        <f>IF($A2301="","",IF(Paramètres!I33="","",Paramètres!I33))</f>
        <v/>
      </c>
      <c r="E2301" s="19">
        <f>IF($A2301="","",IF(Paramètres!J33&amp;Paramètres!L33&amp;Paramètres!N33="",Dossiers!$D$46,MAX(IF(Paramètres!J33="",0,IF(Paramètres!K33="",NA(),IF(LEFT(TRIM(Paramètres!K33),1)="F",INDEX($F$2273:$F$2325,MATCH(Paramètres!J33,Paramètres!$G$5:$G$57,0)),INDEX($E$2273:$E$2325,MATCH(Paramètres!J33,Paramètres!$G$5:$G$57,0)))+IF(RIGHT(TRIM(Paramètres!K33),3)="Fin",1-$H2301,IF(LEFT(TRIM(Paramètres!K33),1)="F",1,0)))),IF(Paramètres!L33="",0,IF(Paramètres!M33="",NA(),IF(LEFT(TRIM(Paramètres!M33),1)="F",INDEX($F$2273:$F$2325,MATCH(Paramètres!L33,Paramètres!$G$5:$G$57,0)),INDEX($E$2273:$E$2325,MATCH(Paramètres!L33,Paramètres!$G$5:$G$57,0)))+IF(RIGHT(TRIM(Paramètres!M33),3)="Fin",1-$H2301,IF(LEFT(TRIM(Paramètres!M33),1)="F",1,0)))),IF(Paramètres!N33="",0,IF(Paramètres!O33="",NA(),IF(LEFT(TRIM(Paramètres!O33),1)="F",INDEX($F$2273:$F$2325,MATCH(Paramètres!N33,Paramètres!$G$5:$G$57,0)),INDEX($E$2273:$E$2325,MATCH(Paramètres!N33,Paramètres!$G$5:$G$57,0)))+IF(RIGHT(TRIM(Paramètres!O33),3)="Fin",1-$H2301,IF(LEFT(TRIM(Paramètres!O33),1)="F",1,0)))))))</f>
        <v/>
      </c>
      <c r="F2301" s="19">
        <f>IF($A2301="","",E2301+$H2301-1)</f>
        <v/>
      </c>
      <c r="G2301" s="18" t="n"/>
      <c r="H2301" s="18">
        <f>IF($A2301="","",IF(I2301&lt;&gt;"",I2301,Paramètres!B33))</f>
        <v/>
      </c>
      <c r="I2301" s="18" t="n"/>
    </row>
    <row r="2302">
      <c r="A2302" s="18">
        <f>IF(ISNUMBER(Dossiers!$D$46),Dossiers!$A$46&amp;" · "&amp;Dossiers!$B$46,"")</f>
        <v/>
      </c>
      <c r="B2302" s="18">
        <f>IF($A2302="","",Paramètres!G34)</f>
        <v/>
      </c>
      <c r="C2302" s="18">
        <f>IF($A2302="","",IF(Paramètres!H34="","",Paramètres!H34))</f>
        <v/>
      </c>
      <c r="D2302" s="18">
        <f>IF($A2302="","",IF(Paramètres!I34="","",Paramètres!I34))</f>
        <v/>
      </c>
      <c r="E2302" s="19">
        <f>IF($A2302="","",IF(Paramètres!J34&amp;Paramètres!L34&amp;Paramètres!N34="",Dossiers!$D$46,MAX(IF(Paramètres!J34="",0,IF(Paramètres!K34="",NA(),IF(LEFT(TRIM(Paramètres!K34),1)="F",INDEX($F$2273:$F$2325,MATCH(Paramètres!J34,Paramètres!$G$5:$G$57,0)),INDEX($E$2273:$E$2325,MATCH(Paramètres!J34,Paramètres!$G$5:$G$57,0)))+IF(RIGHT(TRIM(Paramètres!K34),3)="Fin",1-$H2302,IF(LEFT(TRIM(Paramètres!K34),1)="F",1,0)))),IF(Paramètres!L34="",0,IF(Paramètres!M34="",NA(),IF(LEFT(TRIM(Paramètres!M34),1)="F",INDEX($F$2273:$F$2325,MATCH(Paramètres!L34,Paramètres!$G$5:$G$57,0)),INDEX($E$2273:$E$2325,MATCH(Paramètres!L34,Paramètres!$G$5:$G$57,0)))+IF(RIGHT(TRIM(Paramètres!M34),3)="Fin",1-$H2302,IF(LEFT(TRIM(Paramètres!M34),1)="F",1,0)))),IF(Paramètres!N34="",0,IF(Paramètres!O34="",NA(),IF(LEFT(TRIM(Paramètres!O34),1)="F",INDEX($F$2273:$F$2325,MATCH(Paramètres!N34,Paramètres!$G$5:$G$57,0)),INDEX($E$2273:$E$2325,MATCH(Paramètres!N34,Paramètres!$G$5:$G$57,0)))+IF(RIGHT(TRIM(Paramètres!O34),3)="Fin",1-$H2302,IF(LEFT(TRIM(Paramètres!O34),1)="F",1,0)))))))</f>
        <v/>
      </c>
      <c r="F2302" s="19">
        <f>IF($A2302="","",E2302+$H2302-1)</f>
        <v/>
      </c>
      <c r="G2302" s="18" t="n"/>
      <c r="H2302" s="18">
        <f>IF($A2302="","",IF(I2302&lt;&gt;"",I2302,Paramètres!B34))</f>
        <v/>
      </c>
      <c r="I2302" s="18" t="n"/>
    </row>
    <row r="2303">
      <c r="A2303" s="18">
        <f>IF(ISNUMBER(Dossiers!$D$46),Dossiers!$A$46&amp;" · "&amp;Dossiers!$B$46,"")</f>
        <v/>
      </c>
      <c r="B2303" s="18">
        <f>IF($A2303="","",Paramètres!G35)</f>
        <v/>
      </c>
      <c r="C2303" s="18">
        <f>IF($A2303="","",IF(Paramètres!H35="","",Paramètres!H35))</f>
        <v/>
      </c>
      <c r="D2303" s="18">
        <f>IF($A2303="","",IF(Paramètres!I35="","",Paramètres!I35))</f>
        <v/>
      </c>
      <c r="E2303" s="19">
        <f>IF($A2303="","",IF(Paramètres!J35&amp;Paramètres!L35&amp;Paramètres!N35="",Dossiers!$D$46,MAX(IF(Paramètres!J35="",0,IF(Paramètres!K35="",NA(),IF(LEFT(TRIM(Paramètres!K35),1)="F",INDEX($F$2273:$F$2325,MATCH(Paramètres!J35,Paramètres!$G$5:$G$57,0)),INDEX($E$2273:$E$2325,MATCH(Paramètres!J35,Paramètres!$G$5:$G$57,0)))+IF(RIGHT(TRIM(Paramètres!K35),3)="Fin",1-$H2303,IF(LEFT(TRIM(Paramètres!K35),1)="F",1,0)))),IF(Paramètres!L35="",0,IF(Paramètres!M35="",NA(),IF(LEFT(TRIM(Paramètres!M35),1)="F",INDEX($F$2273:$F$2325,MATCH(Paramètres!L35,Paramètres!$G$5:$G$57,0)),INDEX($E$2273:$E$2325,MATCH(Paramètres!L35,Paramètres!$G$5:$G$57,0)))+IF(RIGHT(TRIM(Paramètres!M35),3)="Fin",1-$H2303,IF(LEFT(TRIM(Paramètres!M35),1)="F",1,0)))),IF(Paramètres!N35="",0,IF(Paramètres!O35="",NA(),IF(LEFT(TRIM(Paramètres!O35),1)="F",INDEX($F$2273:$F$2325,MATCH(Paramètres!N35,Paramètres!$G$5:$G$57,0)),INDEX($E$2273:$E$2325,MATCH(Paramètres!N35,Paramètres!$G$5:$G$57,0)))+IF(RIGHT(TRIM(Paramètres!O35),3)="Fin",1-$H2303,IF(LEFT(TRIM(Paramètres!O35),1)="F",1,0)))))))</f>
        <v/>
      </c>
      <c r="F2303" s="19">
        <f>IF($A2303="","",E2303+$H2303-1)</f>
        <v/>
      </c>
      <c r="G2303" s="18" t="n"/>
      <c r="H2303" s="18">
        <f>IF($A2303="","",IF(I2303&lt;&gt;"",I2303,Paramètres!B35))</f>
        <v/>
      </c>
      <c r="I2303" s="18" t="n"/>
    </row>
    <row r="2304">
      <c r="A2304" s="18">
        <f>IF(ISNUMBER(Dossiers!$D$46),Dossiers!$A$46&amp;" · "&amp;Dossiers!$B$46,"")</f>
        <v/>
      </c>
      <c r="B2304" s="18">
        <f>IF($A2304="","",Paramètres!G36)</f>
        <v/>
      </c>
      <c r="C2304" s="18">
        <f>IF($A2304="","",IF(Paramètres!H36="","",Paramètres!H36))</f>
        <v/>
      </c>
      <c r="D2304" s="18">
        <f>IF($A2304="","",IF(Paramètres!I36="","",Paramètres!I36))</f>
        <v/>
      </c>
      <c r="E2304" s="19">
        <f>IF($A2304="","",IF(Paramètres!J36&amp;Paramètres!L36&amp;Paramètres!N36="",Dossiers!$D$46,MAX(IF(Paramètres!J36="",0,IF(Paramètres!K36="",NA(),IF(LEFT(TRIM(Paramètres!K36),1)="F",INDEX($F$2273:$F$2325,MATCH(Paramètres!J36,Paramètres!$G$5:$G$57,0)),INDEX($E$2273:$E$2325,MATCH(Paramètres!J36,Paramètres!$G$5:$G$57,0)))+IF(RIGHT(TRIM(Paramètres!K36),3)="Fin",1-$H2304,IF(LEFT(TRIM(Paramètres!K36),1)="F",1,0)))),IF(Paramètres!L36="",0,IF(Paramètres!M36="",NA(),IF(LEFT(TRIM(Paramètres!M36),1)="F",INDEX($F$2273:$F$2325,MATCH(Paramètres!L36,Paramètres!$G$5:$G$57,0)),INDEX($E$2273:$E$2325,MATCH(Paramètres!L36,Paramètres!$G$5:$G$57,0)))+IF(RIGHT(TRIM(Paramètres!M36),3)="Fin",1-$H2304,IF(LEFT(TRIM(Paramètres!M36),1)="F",1,0)))),IF(Paramètres!N36="",0,IF(Paramètres!O36="",NA(),IF(LEFT(TRIM(Paramètres!O36),1)="F",INDEX($F$2273:$F$2325,MATCH(Paramètres!N36,Paramètres!$G$5:$G$57,0)),INDEX($E$2273:$E$2325,MATCH(Paramètres!N36,Paramètres!$G$5:$G$57,0)))+IF(RIGHT(TRIM(Paramètres!O36),3)="Fin",1-$H2304,IF(LEFT(TRIM(Paramètres!O36),1)="F",1,0)))))))</f>
        <v/>
      </c>
      <c r="F2304" s="19">
        <f>IF($A2304="","",E2304+$H2304-1)</f>
        <v/>
      </c>
      <c r="G2304" s="18" t="n"/>
      <c r="H2304" s="18">
        <f>IF($A2304="","",IF(I2304&lt;&gt;"",I2304,Paramètres!B36))</f>
        <v/>
      </c>
      <c r="I2304" s="18" t="n"/>
    </row>
    <row r="2305">
      <c r="A2305" s="18">
        <f>IF(ISNUMBER(Dossiers!$D$46),Dossiers!$A$46&amp;" · "&amp;Dossiers!$B$46,"")</f>
        <v/>
      </c>
      <c r="B2305" s="18">
        <f>IF($A2305="","",Paramètres!G37)</f>
        <v/>
      </c>
      <c r="C2305" s="18">
        <f>IF($A2305="","",IF(Paramètres!H37="","",Paramètres!H37))</f>
        <v/>
      </c>
      <c r="D2305" s="18">
        <f>IF($A2305="","",IF(Paramètres!I37="","",Paramètres!I37))</f>
        <v/>
      </c>
      <c r="E2305" s="19">
        <f>IF($A2305="","",MIN(E2306:E2323))</f>
        <v/>
      </c>
      <c r="F2305" s="19">
        <f>IF($A2305="","",MAX(F2306:F2323))</f>
        <v/>
      </c>
      <c r="G2305" s="18" t="n"/>
      <c r="H2305" s="18">
        <f>IF($A2305="","",F2305-E2305+1)</f>
        <v/>
      </c>
      <c r="I2305" s="18" t="n"/>
    </row>
    <row r="2306">
      <c r="A2306" s="18">
        <f>IF(ISNUMBER(Dossiers!$D$46),Dossiers!$A$46&amp;" · "&amp;Dossiers!$B$46,"")</f>
        <v/>
      </c>
      <c r="B2306" s="18">
        <f>IF($A2306="","",Paramètres!G38)</f>
        <v/>
      </c>
      <c r="C2306" s="18">
        <f>IF($A2306="","",IF(Paramètres!H38="","",Paramètres!H38))</f>
        <v/>
      </c>
      <c r="D2306" s="18">
        <f>IF($A2306="","",IF(Paramètres!I38="","",Paramètres!I38))</f>
        <v/>
      </c>
      <c r="E2306" s="19">
        <f>IF($A2306="","",IF(Paramètres!J38&amp;Paramètres!L38&amp;Paramètres!N38="",Dossiers!$D$46,MAX(IF(Paramètres!J38="",0,IF(Paramètres!K38="",NA(),IF(LEFT(TRIM(Paramètres!K38),1)="F",INDEX($F$2273:$F$2325,MATCH(Paramètres!J38,Paramètres!$G$5:$G$57,0)),INDEX($E$2273:$E$2325,MATCH(Paramètres!J38,Paramètres!$G$5:$G$57,0)))+IF(RIGHT(TRIM(Paramètres!K38),3)="Fin",1-$H2306,IF(LEFT(TRIM(Paramètres!K38),1)="F",1,0)))),IF(Paramètres!L38="",0,IF(Paramètres!M38="",NA(),IF(LEFT(TRIM(Paramètres!M38),1)="F",INDEX($F$2273:$F$2325,MATCH(Paramètres!L38,Paramètres!$G$5:$G$57,0)),INDEX($E$2273:$E$2325,MATCH(Paramètres!L38,Paramètres!$G$5:$G$57,0)))+IF(RIGHT(TRIM(Paramètres!M38),3)="Fin",1-$H2306,IF(LEFT(TRIM(Paramètres!M38),1)="F",1,0)))),IF(Paramètres!N38="",0,IF(Paramètres!O38="",NA(),IF(LEFT(TRIM(Paramètres!O38),1)="F",INDEX($F$2273:$F$2325,MATCH(Paramètres!N38,Paramètres!$G$5:$G$57,0)),INDEX($E$2273:$E$2325,MATCH(Paramètres!N38,Paramètres!$G$5:$G$57,0)))+IF(RIGHT(TRIM(Paramètres!O38),3)="Fin",1-$H2306,IF(LEFT(TRIM(Paramètres!O38),1)="F",1,0)))))))</f>
        <v/>
      </c>
      <c r="F2306" s="19">
        <f>IF($A2306="","",E2306+$H2306-1)</f>
        <v/>
      </c>
      <c r="G2306" s="18" t="n"/>
      <c r="H2306" s="18">
        <f>IF($A2306="","",IF(I2306&lt;&gt;"",I2306,Paramètres!B38))</f>
        <v/>
      </c>
      <c r="I2306" s="18" t="n"/>
    </row>
    <row r="2307">
      <c r="A2307" s="18">
        <f>IF(ISNUMBER(Dossiers!$D$46),Dossiers!$A$46&amp;" · "&amp;Dossiers!$B$46,"")</f>
        <v/>
      </c>
      <c r="B2307" s="18">
        <f>IF($A2307="","",Paramètres!G39)</f>
        <v/>
      </c>
      <c r="C2307" s="18">
        <f>IF($A2307="","",IF(Paramètres!H39="","",Paramètres!H39))</f>
        <v/>
      </c>
      <c r="D2307" s="18">
        <f>IF($A2307="","",IF(Paramètres!I39="","",Paramètres!I39))</f>
        <v/>
      </c>
      <c r="E2307" s="19">
        <f>IF($A2307="","",IF(Paramètres!J39&amp;Paramètres!L39&amp;Paramètres!N39="",Dossiers!$D$46,MAX(IF(Paramètres!J39="",0,IF(Paramètres!K39="",NA(),IF(LEFT(TRIM(Paramètres!K39),1)="F",INDEX($F$2273:$F$2325,MATCH(Paramètres!J39,Paramètres!$G$5:$G$57,0)),INDEX($E$2273:$E$2325,MATCH(Paramètres!J39,Paramètres!$G$5:$G$57,0)))+IF(RIGHT(TRIM(Paramètres!K39),3)="Fin",1-$H2307,IF(LEFT(TRIM(Paramètres!K39),1)="F",1,0)))),IF(Paramètres!L39="",0,IF(Paramètres!M39="",NA(),IF(LEFT(TRIM(Paramètres!M39),1)="F",INDEX($F$2273:$F$2325,MATCH(Paramètres!L39,Paramètres!$G$5:$G$57,0)),INDEX($E$2273:$E$2325,MATCH(Paramètres!L39,Paramètres!$G$5:$G$57,0)))+IF(RIGHT(TRIM(Paramètres!M39),3)="Fin",1-$H2307,IF(LEFT(TRIM(Paramètres!M39),1)="F",1,0)))),IF(Paramètres!N39="",0,IF(Paramètres!O39="",NA(),IF(LEFT(TRIM(Paramètres!O39),1)="F",INDEX($F$2273:$F$2325,MATCH(Paramètres!N39,Paramètres!$G$5:$G$57,0)),INDEX($E$2273:$E$2325,MATCH(Paramètres!N39,Paramètres!$G$5:$G$57,0)))+IF(RIGHT(TRIM(Paramètres!O39),3)="Fin",1-$H2307,IF(LEFT(TRIM(Paramètres!O39),1)="F",1,0)))))))</f>
        <v/>
      </c>
      <c r="F2307" s="19">
        <f>IF($A2307="","",E2307+$H2307-1)</f>
        <v/>
      </c>
      <c r="G2307" s="18" t="n"/>
      <c r="H2307" s="18">
        <f>IF($A2307="","",IF(I2307&lt;&gt;"",I2307,Paramètres!B39))</f>
        <v/>
      </c>
      <c r="I2307" s="18" t="n"/>
    </row>
    <row r="2308">
      <c r="A2308" s="18">
        <f>IF(ISNUMBER(Dossiers!$D$46),Dossiers!$A$46&amp;" · "&amp;Dossiers!$B$46,"")</f>
        <v/>
      </c>
      <c r="B2308" s="18">
        <f>IF($A2308="","",Paramètres!G40)</f>
        <v/>
      </c>
      <c r="C2308" s="18">
        <f>IF($A2308="","",IF(Paramètres!H40="","",Paramètres!H40))</f>
        <v/>
      </c>
      <c r="D2308" s="18">
        <f>IF($A2308="","",IF(Paramètres!I40="","",Paramètres!I40))</f>
        <v/>
      </c>
      <c r="E2308" s="19">
        <f>IF($A2308="","",IF(Paramètres!J40&amp;Paramètres!L40&amp;Paramètres!N40="",Dossiers!$D$46,MAX(IF(Paramètres!J40="",0,IF(Paramètres!K40="",NA(),IF(LEFT(TRIM(Paramètres!K40),1)="F",INDEX($F$2273:$F$2325,MATCH(Paramètres!J40,Paramètres!$G$5:$G$57,0)),INDEX($E$2273:$E$2325,MATCH(Paramètres!J40,Paramètres!$G$5:$G$57,0)))+IF(RIGHT(TRIM(Paramètres!K40),3)="Fin",1-$H2308,IF(LEFT(TRIM(Paramètres!K40),1)="F",1,0)))),IF(Paramètres!L40="",0,IF(Paramètres!M40="",NA(),IF(LEFT(TRIM(Paramètres!M40),1)="F",INDEX($F$2273:$F$2325,MATCH(Paramètres!L40,Paramètres!$G$5:$G$57,0)),INDEX($E$2273:$E$2325,MATCH(Paramètres!L40,Paramètres!$G$5:$G$57,0)))+IF(RIGHT(TRIM(Paramètres!M40),3)="Fin",1-$H2308,IF(LEFT(TRIM(Paramètres!M40),1)="F",1,0)))),IF(Paramètres!N40="",0,IF(Paramètres!O40="",NA(),IF(LEFT(TRIM(Paramètres!O40),1)="F",INDEX($F$2273:$F$2325,MATCH(Paramètres!N40,Paramètres!$G$5:$G$57,0)),INDEX($E$2273:$E$2325,MATCH(Paramètres!N40,Paramètres!$G$5:$G$57,0)))+IF(RIGHT(TRIM(Paramètres!O40),3)="Fin",1-$H2308,IF(LEFT(TRIM(Paramètres!O40),1)="F",1,0)))))))</f>
        <v/>
      </c>
      <c r="F2308" s="19">
        <f>IF($A2308="","",E2308+$H2308-1)</f>
        <v/>
      </c>
      <c r="G2308" s="18" t="n"/>
      <c r="H2308" s="18">
        <f>IF($A2308="","",IF(I2308&lt;&gt;"",I2308,Paramètres!B40))</f>
        <v/>
      </c>
      <c r="I2308" s="18" t="n"/>
    </row>
    <row r="2309">
      <c r="A2309" s="18">
        <f>IF(ISNUMBER(Dossiers!$D$46),Dossiers!$A$46&amp;" · "&amp;Dossiers!$B$46,"")</f>
        <v/>
      </c>
      <c r="B2309" s="18">
        <f>IF($A2309="","",Paramètres!G41)</f>
        <v/>
      </c>
      <c r="C2309" s="18">
        <f>IF($A2309="","",IF(Paramètres!H41="","",Paramètres!H41))</f>
        <v/>
      </c>
      <c r="D2309" s="18">
        <f>IF($A2309="","",IF(Paramètres!I41="","",Paramètres!I41))</f>
        <v/>
      </c>
      <c r="E2309" s="19">
        <f>IF($A2309="","",IF(Paramètres!J41&amp;Paramètres!L41&amp;Paramètres!N41="",Dossiers!$D$46,MAX(IF(Paramètres!J41="",0,IF(Paramètres!K41="",NA(),IF(LEFT(TRIM(Paramètres!K41),1)="F",INDEX($F$2273:$F$2325,MATCH(Paramètres!J41,Paramètres!$G$5:$G$57,0)),INDEX($E$2273:$E$2325,MATCH(Paramètres!J41,Paramètres!$G$5:$G$57,0)))+IF(RIGHT(TRIM(Paramètres!K41),3)="Fin",1-$H2309,IF(LEFT(TRIM(Paramètres!K41),1)="F",1,0)))),IF(Paramètres!L41="",0,IF(Paramètres!M41="",NA(),IF(LEFT(TRIM(Paramètres!M41),1)="F",INDEX($F$2273:$F$2325,MATCH(Paramètres!L41,Paramètres!$G$5:$G$57,0)),INDEX($E$2273:$E$2325,MATCH(Paramètres!L41,Paramètres!$G$5:$G$57,0)))+IF(RIGHT(TRIM(Paramètres!M41),3)="Fin",1-$H2309,IF(LEFT(TRIM(Paramètres!M41),1)="F",1,0)))),IF(Paramètres!N41="",0,IF(Paramètres!O41="",NA(),IF(LEFT(TRIM(Paramètres!O41),1)="F",INDEX($F$2273:$F$2325,MATCH(Paramètres!N41,Paramètres!$G$5:$G$57,0)),INDEX($E$2273:$E$2325,MATCH(Paramètres!N41,Paramètres!$G$5:$G$57,0)))+IF(RIGHT(TRIM(Paramètres!O41),3)="Fin",1-$H2309,IF(LEFT(TRIM(Paramètres!O41),1)="F",1,0)))))))</f>
        <v/>
      </c>
      <c r="F2309" s="19">
        <f>IF($A2309="","",E2309+$H2309-1)</f>
        <v/>
      </c>
      <c r="G2309" s="18" t="n"/>
      <c r="H2309" s="18">
        <f>IF($A2309="","",IF(I2309&lt;&gt;"",I2309,Paramètres!B41))</f>
        <v/>
      </c>
      <c r="I2309" s="18" t="n"/>
    </row>
    <row r="2310">
      <c r="A2310" s="18">
        <f>IF(ISNUMBER(Dossiers!$D$46),Dossiers!$A$46&amp;" · "&amp;Dossiers!$B$46,"")</f>
        <v/>
      </c>
      <c r="B2310" s="18">
        <f>IF($A2310="","",Paramètres!G42)</f>
        <v/>
      </c>
      <c r="C2310" s="18">
        <f>IF($A2310="","",IF(Paramètres!H42="","",Paramètres!H42))</f>
        <v/>
      </c>
      <c r="D2310" s="18">
        <f>IF($A2310="","",IF(Paramètres!I42="","",Paramètres!I42))</f>
        <v/>
      </c>
      <c r="E2310" s="19">
        <f>IF($A2310="","",IF(Paramètres!J42&amp;Paramètres!L42&amp;Paramètres!N42="",Dossiers!$D$46,MAX(IF(Paramètres!J42="",0,IF(Paramètres!K42="",NA(),IF(LEFT(TRIM(Paramètres!K42),1)="F",INDEX($F$2273:$F$2325,MATCH(Paramètres!J42,Paramètres!$G$5:$G$57,0)),INDEX($E$2273:$E$2325,MATCH(Paramètres!J42,Paramètres!$G$5:$G$57,0)))+IF(RIGHT(TRIM(Paramètres!K42),3)="Fin",1-$H2310,IF(LEFT(TRIM(Paramètres!K42),1)="F",1,0)))),IF(Paramètres!L42="",0,IF(Paramètres!M42="",NA(),IF(LEFT(TRIM(Paramètres!M42),1)="F",INDEX($F$2273:$F$2325,MATCH(Paramètres!L42,Paramètres!$G$5:$G$57,0)),INDEX($E$2273:$E$2325,MATCH(Paramètres!L42,Paramètres!$G$5:$G$57,0)))+IF(RIGHT(TRIM(Paramètres!M42),3)="Fin",1-$H2310,IF(LEFT(TRIM(Paramètres!M42),1)="F",1,0)))),IF(Paramètres!N42="",0,IF(Paramètres!O42="",NA(),IF(LEFT(TRIM(Paramètres!O42),1)="F",INDEX($F$2273:$F$2325,MATCH(Paramètres!N42,Paramètres!$G$5:$G$57,0)),INDEX($E$2273:$E$2325,MATCH(Paramètres!N42,Paramètres!$G$5:$G$57,0)))+IF(RIGHT(TRIM(Paramètres!O42),3)="Fin",1-$H2310,IF(LEFT(TRIM(Paramètres!O42),1)="F",1,0)))))))</f>
        <v/>
      </c>
      <c r="F2310" s="19">
        <f>IF($A2310="","",E2310+$H2310-1)</f>
        <v/>
      </c>
      <c r="G2310" s="18" t="n"/>
      <c r="H2310" s="18">
        <f>IF($A2310="","",IF(I2310&lt;&gt;"",I2310,Paramètres!B42))</f>
        <v/>
      </c>
      <c r="I2310" s="18" t="n"/>
    </row>
    <row r="2311">
      <c r="A2311" s="18">
        <f>IF(ISNUMBER(Dossiers!$D$46),Dossiers!$A$46&amp;" · "&amp;Dossiers!$B$46,"")</f>
        <v/>
      </c>
      <c r="B2311" s="18">
        <f>IF($A2311="","",Paramètres!G43)</f>
        <v/>
      </c>
      <c r="C2311" s="18">
        <f>IF($A2311="","",IF(Paramètres!H43="","",Paramètres!H43))</f>
        <v/>
      </c>
      <c r="D2311" s="18">
        <f>IF($A2311="","",IF(Paramètres!I43="","",Paramètres!I43))</f>
        <v/>
      </c>
      <c r="E2311" s="19">
        <f>IF($A2311="","",IF(Paramètres!J43&amp;Paramètres!L43&amp;Paramètres!N43="",Dossiers!$D$46,MAX(IF(Paramètres!J43="",0,IF(Paramètres!K43="",NA(),IF(LEFT(TRIM(Paramètres!K43),1)="F",INDEX($F$2273:$F$2325,MATCH(Paramètres!J43,Paramètres!$G$5:$G$57,0)),INDEX($E$2273:$E$2325,MATCH(Paramètres!J43,Paramètres!$G$5:$G$57,0)))+IF(RIGHT(TRIM(Paramètres!K43),3)="Fin",1-$H2311,IF(LEFT(TRIM(Paramètres!K43),1)="F",1,0)))),IF(Paramètres!L43="",0,IF(Paramètres!M43="",NA(),IF(LEFT(TRIM(Paramètres!M43),1)="F",INDEX($F$2273:$F$2325,MATCH(Paramètres!L43,Paramètres!$G$5:$G$57,0)),INDEX($E$2273:$E$2325,MATCH(Paramètres!L43,Paramètres!$G$5:$G$57,0)))+IF(RIGHT(TRIM(Paramètres!M43),3)="Fin",1-$H2311,IF(LEFT(TRIM(Paramètres!M43),1)="F",1,0)))),IF(Paramètres!N43="",0,IF(Paramètres!O43="",NA(),IF(LEFT(TRIM(Paramètres!O43),1)="F",INDEX($F$2273:$F$2325,MATCH(Paramètres!N43,Paramètres!$G$5:$G$57,0)),INDEX($E$2273:$E$2325,MATCH(Paramètres!N43,Paramètres!$G$5:$G$57,0)))+IF(RIGHT(TRIM(Paramètres!O43),3)="Fin",1-$H2311,IF(LEFT(TRIM(Paramètres!O43),1)="F",1,0)))))))</f>
        <v/>
      </c>
      <c r="F2311" s="19">
        <f>IF($A2311="","",E2311+$H2311-1)</f>
        <v/>
      </c>
      <c r="G2311" s="18" t="n"/>
      <c r="H2311" s="18">
        <f>IF($A2311="","",IF(I2311&lt;&gt;"",I2311,Paramètres!B43))</f>
        <v/>
      </c>
      <c r="I2311" s="18" t="n"/>
    </row>
    <row r="2312">
      <c r="A2312" s="18">
        <f>IF(ISNUMBER(Dossiers!$D$46),Dossiers!$A$46&amp;" · "&amp;Dossiers!$B$46,"")</f>
        <v/>
      </c>
      <c r="B2312" s="18">
        <f>IF($A2312="","",Paramètres!G44)</f>
        <v/>
      </c>
      <c r="C2312" s="18">
        <f>IF($A2312="","",IF(Paramètres!H44="","",Paramètres!H44))</f>
        <v/>
      </c>
      <c r="D2312" s="18">
        <f>IF($A2312="","",IF(Paramètres!I44="","",Paramètres!I44))</f>
        <v/>
      </c>
      <c r="E2312" s="19">
        <f>IF($A2312="","",IF(Paramètres!J44&amp;Paramètres!L44&amp;Paramètres!N44="",Dossiers!$D$46,MAX(IF(Paramètres!J44="",0,IF(Paramètres!K44="",NA(),IF(LEFT(TRIM(Paramètres!K44),1)="F",INDEX($F$2273:$F$2325,MATCH(Paramètres!J44,Paramètres!$G$5:$G$57,0)),INDEX($E$2273:$E$2325,MATCH(Paramètres!J44,Paramètres!$G$5:$G$57,0)))+IF(RIGHT(TRIM(Paramètres!K44),3)="Fin",1-$H2312,IF(LEFT(TRIM(Paramètres!K44),1)="F",1,0)))),IF(Paramètres!L44="",0,IF(Paramètres!M44="",NA(),IF(LEFT(TRIM(Paramètres!M44),1)="F",INDEX($F$2273:$F$2325,MATCH(Paramètres!L44,Paramètres!$G$5:$G$57,0)),INDEX($E$2273:$E$2325,MATCH(Paramètres!L44,Paramètres!$G$5:$G$57,0)))+IF(RIGHT(TRIM(Paramètres!M44),3)="Fin",1-$H2312,IF(LEFT(TRIM(Paramètres!M44),1)="F",1,0)))),IF(Paramètres!N44="",0,IF(Paramètres!O44="",NA(),IF(LEFT(TRIM(Paramètres!O44),1)="F",INDEX($F$2273:$F$2325,MATCH(Paramètres!N44,Paramètres!$G$5:$G$57,0)),INDEX($E$2273:$E$2325,MATCH(Paramètres!N44,Paramètres!$G$5:$G$57,0)))+IF(RIGHT(TRIM(Paramètres!O44),3)="Fin",1-$H2312,IF(LEFT(TRIM(Paramètres!O44),1)="F",1,0)))))))</f>
        <v/>
      </c>
      <c r="F2312" s="19">
        <f>IF($A2312="","",E2312+$H2312-1)</f>
        <v/>
      </c>
      <c r="G2312" s="18" t="n"/>
      <c r="H2312" s="18">
        <f>IF($A2312="","",IF(I2312&lt;&gt;"",I2312,Paramètres!B44))</f>
        <v/>
      </c>
      <c r="I2312" s="18" t="n"/>
    </row>
    <row r="2313">
      <c r="A2313" s="18">
        <f>IF(ISNUMBER(Dossiers!$D$46),Dossiers!$A$46&amp;" · "&amp;Dossiers!$B$46,"")</f>
        <v/>
      </c>
      <c r="B2313" s="18">
        <f>IF($A2313="","",Paramètres!G45)</f>
        <v/>
      </c>
      <c r="C2313" s="20">
        <f>IF($A2313="","",IF(Dossiers!$G$46="","",Dossiers!$G$46))</f>
        <v/>
      </c>
      <c r="D2313" s="18">
        <f>IF($A2313="","",IF(Paramètres!I45="","",Paramètres!I45))</f>
        <v/>
      </c>
      <c r="E2313" s="19">
        <f>IF($A2313="","",IF(Paramètres!J45&amp;Paramètres!L45&amp;Paramètres!N45="",Dossiers!$D$46,MAX(IF(Paramètres!J45="",0,IF(Paramètres!K45="",NA(),IF(LEFT(TRIM(Paramètres!K45),1)="F",INDEX($F$2273:$F$2325,MATCH(Paramètres!J45,Paramètres!$G$5:$G$57,0)),INDEX($E$2273:$E$2325,MATCH(Paramètres!J45,Paramètres!$G$5:$G$57,0)))+IF(RIGHT(TRIM(Paramètres!K45),3)="Fin",1-$H2313,IF(LEFT(TRIM(Paramètres!K45),1)="F",1,0)))),IF(Paramètres!L45="",0,IF(Paramètres!M45="",NA(),IF(LEFT(TRIM(Paramètres!M45),1)="F",INDEX($F$2273:$F$2325,MATCH(Paramètres!L45,Paramètres!$G$5:$G$57,0)),INDEX($E$2273:$E$2325,MATCH(Paramètres!L45,Paramètres!$G$5:$G$57,0)))+IF(RIGHT(TRIM(Paramètres!M45),3)="Fin",1-$H2313,IF(LEFT(TRIM(Paramètres!M45),1)="F",1,0)))),IF(Paramètres!N45="",0,IF(Paramètres!O45="",NA(),IF(LEFT(TRIM(Paramètres!O45),1)="F",INDEX($F$2273:$F$2325,MATCH(Paramètres!N45,Paramètres!$G$5:$G$57,0)),INDEX($E$2273:$E$2325,MATCH(Paramètres!N45,Paramètres!$G$5:$G$57,0)))+IF(RIGHT(TRIM(Paramètres!O45),3)="Fin",1-$H2313,IF(LEFT(TRIM(Paramètres!O45),1)="F",1,0)))))))</f>
        <v/>
      </c>
      <c r="F2313" s="19">
        <f>IF($A2313="","",E2313+$H2313-1)</f>
        <v/>
      </c>
      <c r="G2313" s="18" t="n"/>
      <c r="H2313" s="18">
        <f>IF($A2313="","",IF(I2313&lt;&gt;"",I2313,Paramètres!B45))</f>
        <v/>
      </c>
      <c r="I2313" s="18" t="n"/>
    </row>
    <row r="2314">
      <c r="A2314" s="18">
        <f>IF(ISNUMBER(Dossiers!$D$46),Dossiers!$A$46&amp;" · "&amp;Dossiers!$B$46,"")</f>
        <v/>
      </c>
      <c r="B2314" s="18">
        <f>IF($A2314="","",Paramètres!G46)</f>
        <v/>
      </c>
      <c r="C2314" s="18">
        <f>IF($A2314="","",IF(Paramètres!H46="","",Paramètres!H46))</f>
        <v/>
      </c>
      <c r="D2314" s="18">
        <f>IF($A2314="","",IF(Paramètres!I46="","",Paramètres!I46))</f>
        <v/>
      </c>
      <c r="E2314" s="19">
        <f>IF($A2314="","",IF(Paramètres!J46&amp;Paramètres!L46&amp;Paramètres!N46="",Dossiers!$D$46,MAX(IF(Paramètres!J46="",0,IF(Paramètres!K46="",NA(),IF(LEFT(TRIM(Paramètres!K46),1)="F",INDEX($F$2273:$F$2325,MATCH(Paramètres!J46,Paramètres!$G$5:$G$57,0)),INDEX($E$2273:$E$2325,MATCH(Paramètres!J46,Paramètres!$G$5:$G$57,0)))+IF(RIGHT(TRIM(Paramètres!K46),3)="Fin",1-$H2314,IF(LEFT(TRIM(Paramètres!K46),1)="F",1,0)))),IF(Paramètres!L46="",0,IF(Paramètres!M46="",NA(),IF(LEFT(TRIM(Paramètres!M46),1)="F",INDEX($F$2273:$F$2325,MATCH(Paramètres!L46,Paramètres!$G$5:$G$57,0)),INDEX($E$2273:$E$2325,MATCH(Paramètres!L46,Paramètres!$G$5:$G$57,0)))+IF(RIGHT(TRIM(Paramètres!M46),3)="Fin",1-$H2314,IF(LEFT(TRIM(Paramètres!M46),1)="F",1,0)))),IF(Paramètres!N46="",0,IF(Paramètres!O46="",NA(),IF(LEFT(TRIM(Paramètres!O46),1)="F",INDEX($F$2273:$F$2325,MATCH(Paramètres!N46,Paramètres!$G$5:$G$57,0)),INDEX($E$2273:$E$2325,MATCH(Paramètres!N46,Paramètres!$G$5:$G$57,0)))+IF(RIGHT(TRIM(Paramètres!O46),3)="Fin",1-$H2314,IF(LEFT(TRIM(Paramètres!O46),1)="F",1,0)))))))</f>
        <v/>
      </c>
      <c r="F2314" s="19">
        <f>IF($A2314="","",E2314+$H2314-1)</f>
        <v/>
      </c>
      <c r="G2314" s="18" t="n"/>
      <c r="H2314" s="18">
        <f>IF($A2314="","",IF(I2314&lt;&gt;"",I2314,Paramètres!B46))</f>
        <v/>
      </c>
      <c r="I2314" s="18" t="n"/>
    </row>
    <row r="2315">
      <c r="A2315" s="18">
        <f>IF(ISNUMBER(Dossiers!$D$46),Dossiers!$A$46&amp;" · "&amp;Dossiers!$B$46,"")</f>
        <v/>
      </c>
      <c r="B2315" s="18">
        <f>IF($A2315="","",Paramètres!G47)</f>
        <v/>
      </c>
      <c r="C2315" s="18">
        <f>IF($A2315="","",IF(Paramètres!H47="","",Paramètres!H47))</f>
        <v/>
      </c>
      <c r="D2315" s="18">
        <f>IF($A2315="","",IF(Paramètres!I47="","",Paramètres!I47))</f>
        <v/>
      </c>
      <c r="E2315" s="19">
        <f>IF($A2315="","",IF(Paramètres!J47&amp;Paramètres!L47&amp;Paramètres!N47="",Dossiers!$D$46,MAX(IF(Paramètres!J47="",0,IF(Paramètres!K47="",NA(),IF(LEFT(TRIM(Paramètres!K47),1)="F",INDEX($F$2273:$F$2325,MATCH(Paramètres!J47,Paramètres!$G$5:$G$57,0)),INDEX($E$2273:$E$2325,MATCH(Paramètres!J47,Paramètres!$G$5:$G$57,0)))+IF(RIGHT(TRIM(Paramètres!K47),3)="Fin",1-$H2315,IF(LEFT(TRIM(Paramètres!K47),1)="F",1,0)))),IF(Paramètres!L47="",0,IF(Paramètres!M47="",NA(),IF(LEFT(TRIM(Paramètres!M47),1)="F",INDEX($F$2273:$F$2325,MATCH(Paramètres!L47,Paramètres!$G$5:$G$57,0)),INDEX($E$2273:$E$2325,MATCH(Paramètres!L47,Paramètres!$G$5:$G$57,0)))+IF(RIGHT(TRIM(Paramètres!M47),3)="Fin",1-$H2315,IF(LEFT(TRIM(Paramètres!M47),1)="F",1,0)))),IF(Paramètres!N47="",0,IF(Paramètres!O47="",NA(),IF(LEFT(TRIM(Paramètres!O47),1)="F",INDEX($F$2273:$F$2325,MATCH(Paramètres!N47,Paramètres!$G$5:$G$57,0)),INDEX($E$2273:$E$2325,MATCH(Paramètres!N47,Paramètres!$G$5:$G$57,0)))+IF(RIGHT(TRIM(Paramètres!O47),3)="Fin",1-$H2315,IF(LEFT(TRIM(Paramètres!O47),1)="F",1,0)))))))</f>
        <v/>
      </c>
      <c r="F2315" s="19">
        <f>IF($A2315="","",E2315+$H2315-1)</f>
        <v/>
      </c>
      <c r="G2315" s="18" t="n"/>
      <c r="H2315" s="18">
        <f>IF($A2315="","",IF(I2315&lt;&gt;"",I2315,Paramètres!B47))</f>
        <v/>
      </c>
      <c r="I2315" s="18" t="n"/>
    </row>
    <row r="2316">
      <c r="A2316" s="18">
        <f>IF(ISNUMBER(Dossiers!$D$46),Dossiers!$A$46&amp;" · "&amp;Dossiers!$B$46,"")</f>
        <v/>
      </c>
      <c r="B2316" s="18">
        <f>IF($A2316="","",Paramètres!G48)</f>
        <v/>
      </c>
      <c r="C2316" s="18">
        <f>IF($A2316="","",IF(Paramètres!H48="","",Paramètres!H48))</f>
        <v/>
      </c>
      <c r="D2316" s="18">
        <f>IF($A2316="","",IF(Paramètres!I48="","",Paramètres!I48))</f>
        <v/>
      </c>
      <c r="E2316" s="19">
        <f>IF($A2316="","",IF(Paramètres!J48&amp;Paramètres!L48&amp;Paramètres!N48="",Dossiers!$D$46,MAX(IF(Paramètres!J48="",0,IF(Paramètres!K48="",NA(),IF(LEFT(TRIM(Paramètres!K48),1)="F",INDEX($F$2273:$F$2325,MATCH(Paramètres!J48,Paramètres!$G$5:$G$57,0)),INDEX($E$2273:$E$2325,MATCH(Paramètres!J48,Paramètres!$G$5:$G$57,0)))+IF(RIGHT(TRIM(Paramètres!K48),3)="Fin",1-$H2316,IF(LEFT(TRIM(Paramètres!K48),1)="F",1,0)))),IF(Paramètres!L48="",0,IF(Paramètres!M48="",NA(),IF(LEFT(TRIM(Paramètres!M48),1)="F",INDEX($F$2273:$F$2325,MATCH(Paramètres!L48,Paramètres!$G$5:$G$57,0)),INDEX($E$2273:$E$2325,MATCH(Paramètres!L48,Paramètres!$G$5:$G$57,0)))+IF(RIGHT(TRIM(Paramètres!M48),3)="Fin",1-$H2316,IF(LEFT(TRIM(Paramètres!M48),1)="F",1,0)))),IF(Paramètres!N48="",0,IF(Paramètres!O48="",NA(),IF(LEFT(TRIM(Paramètres!O48),1)="F",INDEX($F$2273:$F$2325,MATCH(Paramètres!N48,Paramètres!$G$5:$G$57,0)),INDEX($E$2273:$E$2325,MATCH(Paramètres!N48,Paramètres!$G$5:$G$57,0)))+IF(RIGHT(TRIM(Paramètres!O48),3)="Fin",1-$H2316,IF(LEFT(TRIM(Paramètres!O48),1)="F",1,0)))))))</f>
        <v/>
      </c>
      <c r="F2316" s="19">
        <f>IF($A2316="","",E2316+$H2316-1)</f>
        <v/>
      </c>
      <c r="G2316" s="18" t="n"/>
      <c r="H2316" s="18">
        <f>IF($A2316="","",IF(I2316&lt;&gt;"",I2316,Paramètres!B48))</f>
        <v/>
      </c>
      <c r="I2316" s="18" t="n"/>
    </row>
    <row r="2317">
      <c r="A2317" s="18">
        <f>IF(ISNUMBER(Dossiers!$D$46),Dossiers!$A$46&amp;" · "&amp;Dossiers!$B$46,"")</f>
        <v/>
      </c>
      <c r="B2317" s="18">
        <f>IF($A2317="","",Paramètres!G49)</f>
        <v/>
      </c>
      <c r="C2317" s="18">
        <f>IF($A2317="","",IF(Paramètres!H49="","",Paramètres!H49))</f>
        <v/>
      </c>
      <c r="D2317" s="18">
        <f>IF($A2317="","",IF(Paramètres!I49="","",Paramètres!I49))</f>
        <v/>
      </c>
      <c r="E2317" s="19">
        <f>IF($A2317="","",IF(Paramètres!J49&amp;Paramètres!L49&amp;Paramètres!N49="",Dossiers!$D$46,MAX(IF(Paramètres!J49="",0,IF(Paramètres!K49="",NA(),IF(LEFT(TRIM(Paramètres!K49),1)="F",INDEX($F$2273:$F$2325,MATCH(Paramètres!J49,Paramètres!$G$5:$G$57,0)),INDEX($E$2273:$E$2325,MATCH(Paramètres!J49,Paramètres!$G$5:$G$57,0)))+IF(RIGHT(TRIM(Paramètres!K49),3)="Fin",1-$H2317,IF(LEFT(TRIM(Paramètres!K49),1)="F",1,0)))),IF(Paramètres!L49="",0,IF(Paramètres!M49="",NA(),IF(LEFT(TRIM(Paramètres!M49),1)="F",INDEX($F$2273:$F$2325,MATCH(Paramètres!L49,Paramètres!$G$5:$G$57,0)),INDEX($E$2273:$E$2325,MATCH(Paramètres!L49,Paramètres!$G$5:$G$57,0)))+IF(RIGHT(TRIM(Paramètres!M49),3)="Fin",1-$H2317,IF(LEFT(TRIM(Paramètres!M49),1)="F",1,0)))),IF(Paramètres!N49="",0,IF(Paramètres!O49="",NA(),IF(LEFT(TRIM(Paramètres!O49),1)="F",INDEX($F$2273:$F$2325,MATCH(Paramètres!N49,Paramètres!$G$5:$G$57,0)),INDEX($E$2273:$E$2325,MATCH(Paramètres!N49,Paramètres!$G$5:$G$57,0)))+IF(RIGHT(TRIM(Paramètres!O49),3)="Fin",1-$H2317,IF(LEFT(TRIM(Paramètres!O49),1)="F",1,0)))))))</f>
        <v/>
      </c>
      <c r="F2317" s="19">
        <f>IF($A2317="","",E2317+$H2317-1)</f>
        <v/>
      </c>
      <c r="G2317" s="18" t="n"/>
      <c r="H2317" s="18">
        <f>IF($A2317="","",IF(I2317&lt;&gt;"",I2317,Paramètres!B49))</f>
        <v/>
      </c>
      <c r="I2317" s="18" t="n"/>
    </row>
    <row r="2318">
      <c r="A2318" s="18">
        <f>IF(ISNUMBER(Dossiers!$D$46),Dossiers!$A$46&amp;" · "&amp;Dossiers!$B$46,"")</f>
        <v/>
      </c>
      <c r="B2318" s="18">
        <f>IF($A2318="","",Paramètres!G50)</f>
        <v/>
      </c>
      <c r="C2318" s="18">
        <f>IF($A2318="","",IF(Paramètres!H50="","",Paramètres!H50))</f>
        <v/>
      </c>
      <c r="D2318" s="18">
        <f>IF($A2318="","",IF(Paramètres!I50="","",Paramètres!I50))</f>
        <v/>
      </c>
      <c r="E2318" s="19">
        <f>IF($A2318="","",IF(Paramètres!J50&amp;Paramètres!L50&amp;Paramètres!N50="",Dossiers!$D$46,MAX(IF(Paramètres!J50="",0,IF(Paramètres!K50="",NA(),IF(LEFT(TRIM(Paramètres!K50),1)="F",INDEX($F$2273:$F$2325,MATCH(Paramètres!J50,Paramètres!$G$5:$G$57,0)),INDEX($E$2273:$E$2325,MATCH(Paramètres!J50,Paramètres!$G$5:$G$57,0)))+IF(RIGHT(TRIM(Paramètres!K50),3)="Fin",1-$H2318,IF(LEFT(TRIM(Paramètres!K50),1)="F",1,0)))),IF(Paramètres!L50="",0,IF(Paramètres!M50="",NA(),IF(LEFT(TRIM(Paramètres!M50),1)="F",INDEX($F$2273:$F$2325,MATCH(Paramètres!L50,Paramètres!$G$5:$G$57,0)),INDEX($E$2273:$E$2325,MATCH(Paramètres!L50,Paramètres!$G$5:$G$57,0)))+IF(RIGHT(TRIM(Paramètres!M50),3)="Fin",1-$H2318,IF(LEFT(TRIM(Paramètres!M50),1)="F",1,0)))),IF(Paramètres!N50="",0,IF(Paramètres!O50="",NA(),IF(LEFT(TRIM(Paramètres!O50),1)="F",INDEX($F$2273:$F$2325,MATCH(Paramètres!N50,Paramètres!$G$5:$G$57,0)),INDEX($E$2273:$E$2325,MATCH(Paramètres!N50,Paramètres!$G$5:$G$57,0)))+IF(RIGHT(TRIM(Paramètres!O50),3)="Fin",1-$H2318,IF(LEFT(TRIM(Paramètres!O50),1)="F",1,0)))))))</f>
        <v/>
      </c>
      <c r="F2318" s="19">
        <f>IF($A2318="","",E2318+$H2318-1)</f>
        <v/>
      </c>
      <c r="G2318" s="18" t="n"/>
      <c r="H2318" s="18">
        <f>IF($A2318="","",IF(I2318&lt;&gt;"",I2318,Paramètres!B50))</f>
        <v/>
      </c>
      <c r="I2318" s="18" t="n"/>
    </row>
    <row r="2319">
      <c r="A2319" s="18">
        <f>IF(ISNUMBER(Dossiers!$D$46),Dossiers!$A$46&amp;" · "&amp;Dossiers!$B$46,"")</f>
        <v/>
      </c>
      <c r="B2319" s="18">
        <f>IF($A2319="","",Paramètres!G51)</f>
        <v/>
      </c>
      <c r="C2319" s="18">
        <f>IF($A2319="","",IF(Paramètres!H51="","",Paramètres!H51))</f>
        <v/>
      </c>
      <c r="D2319" s="18">
        <f>IF($A2319="","",IF(Paramètres!I51="","",Paramètres!I51))</f>
        <v/>
      </c>
      <c r="E2319" s="19">
        <f>IF($A2319="","",IF(Paramètres!J51&amp;Paramètres!L51&amp;Paramètres!N51="",Dossiers!$D$46,MAX(IF(Paramètres!J51="",0,IF(Paramètres!K51="",NA(),IF(LEFT(TRIM(Paramètres!K51),1)="F",INDEX($F$2273:$F$2325,MATCH(Paramètres!J51,Paramètres!$G$5:$G$57,0)),INDEX($E$2273:$E$2325,MATCH(Paramètres!J51,Paramètres!$G$5:$G$57,0)))+IF(RIGHT(TRIM(Paramètres!K51),3)="Fin",1-$H2319,IF(LEFT(TRIM(Paramètres!K51),1)="F",1,0)))),IF(Paramètres!L51="",0,IF(Paramètres!M51="",NA(),IF(LEFT(TRIM(Paramètres!M51),1)="F",INDEX($F$2273:$F$2325,MATCH(Paramètres!L51,Paramètres!$G$5:$G$57,0)),INDEX($E$2273:$E$2325,MATCH(Paramètres!L51,Paramètres!$G$5:$G$57,0)))+IF(RIGHT(TRIM(Paramètres!M51),3)="Fin",1-$H2319,IF(LEFT(TRIM(Paramètres!M51),1)="F",1,0)))),IF(Paramètres!N51="",0,IF(Paramètres!O51="",NA(),IF(LEFT(TRIM(Paramètres!O51),1)="F",INDEX($F$2273:$F$2325,MATCH(Paramètres!N51,Paramètres!$G$5:$G$57,0)),INDEX($E$2273:$E$2325,MATCH(Paramètres!N51,Paramètres!$G$5:$G$57,0)))+IF(RIGHT(TRIM(Paramètres!O51),3)="Fin",1-$H2319,IF(LEFT(TRIM(Paramètres!O51),1)="F",1,0)))))))</f>
        <v/>
      </c>
      <c r="F2319" s="19">
        <f>IF($A2319="","",E2319+$H2319-1)</f>
        <v/>
      </c>
      <c r="G2319" s="18" t="n"/>
      <c r="H2319" s="18">
        <f>IF($A2319="","",IF(I2319&lt;&gt;"",I2319,Paramètres!B51))</f>
        <v/>
      </c>
      <c r="I2319" s="18" t="n"/>
    </row>
    <row r="2320">
      <c r="A2320" s="18">
        <f>IF(ISNUMBER(Dossiers!$D$46),Dossiers!$A$46&amp;" · "&amp;Dossiers!$B$46,"")</f>
        <v/>
      </c>
      <c r="B2320" s="18">
        <f>IF($A2320="","",Paramètres!G52)</f>
        <v/>
      </c>
      <c r="C2320" s="18">
        <f>IF($A2320="","",IF(Paramètres!H52="","",Paramètres!H52))</f>
        <v/>
      </c>
      <c r="D2320" s="18">
        <f>IF($A2320="","",IF(Paramètres!I52="","",Paramètres!I52))</f>
        <v/>
      </c>
      <c r="E2320" s="19">
        <f>IF($A2320="","",IF(Paramètres!J52&amp;Paramètres!L52&amp;Paramètres!N52="",Dossiers!$D$46,MAX(IF(Paramètres!J52="",0,IF(Paramètres!K52="",NA(),IF(LEFT(TRIM(Paramètres!K52),1)="F",INDEX($F$2273:$F$2325,MATCH(Paramètres!J52,Paramètres!$G$5:$G$57,0)),INDEX($E$2273:$E$2325,MATCH(Paramètres!J52,Paramètres!$G$5:$G$57,0)))+IF(RIGHT(TRIM(Paramètres!K52),3)="Fin",1-$H2320,IF(LEFT(TRIM(Paramètres!K52),1)="F",1,0)))),IF(Paramètres!L52="",0,IF(Paramètres!M52="",NA(),IF(LEFT(TRIM(Paramètres!M52),1)="F",INDEX($F$2273:$F$2325,MATCH(Paramètres!L52,Paramètres!$G$5:$G$57,0)),INDEX($E$2273:$E$2325,MATCH(Paramètres!L52,Paramètres!$G$5:$G$57,0)))+IF(RIGHT(TRIM(Paramètres!M52),3)="Fin",1-$H2320,IF(LEFT(TRIM(Paramètres!M52),1)="F",1,0)))),IF(Paramètres!N52="",0,IF(Paramètres!O52="",NA(),IF(LEFT(TRIM(Paramètres!O52),1)="F",INDEX($F$2273:$F$2325,MATCH(Paramètres!N52,Paramètres!$G$5:$G$57,0)),INDEX($E$2273:$E$2325,MATCH(Paramètres!N52,Paramètres!$G$5:$G$57,0)))+IF(RIGHT(TRIM(Paramètres!O52),3)="Fin",1-$H2320,IF(LEFT(TRIM(Paramètres!O52),1)="F",1,0)))))))</f>
        <v/>
      </c>
      <c r="F2320" s="19">
        <f>IF($A2320="","",E2320+$H2320-1)</f>
        <v/>
      </c>
      <c r="G2320" s="18" t="n"/>
      <c r="H2320" s="18">
        <f>IF($A2320="","",IF(I2320&lt;&gt;"",I2320,Paramètres!B52))</f>
        <v/>
      </c>
      <c r="I2320" s="18" t="n"/>
    </row>
    <row r="2321">
      <c r="A2321" s="18">
        <f>IF(ISNUMBER(Dossiers!$D$46),Dossiers!$A$46&amp;" · "&amp;Dossiers!$B$46,"")</f>
        <v/>
      </c>
      <c r="B2321" s="18">
        <f>IF($A2321="","",Paramètres!G53)</f>
        <v/>
      </c>
      <c r="C2321" s="18">
        <f>IF($A2321="","",IF(Paramètres!H53="","",Paramètres!H53))</f>
        <v/>
      </c>
      <c r="D2321" s="18">
        <f>IF($A2321="","",IF(Paramètres!I53="","",Paramètres!I53))</f>
        <v/>
      </c>
      <c r="E2321" s="19">
        <f>IF($A2321="","",IF(Paramètres!J53&amp;Paramètres!L53&amp;Paramètres!N53="",Dossiers!$D$46,MAX(IF(Paramètres!J53="",0,IF(Paramètres!K53="",NA(),IF(LEFT(TRIM(Paramètres!K53),1)="F",INDEX($F$2273:$F$2325,MATCH(Paramètres!J53,Paramètres!$G$5:$G$57,0)),INDEX($E$2273:$E$2325,MATCH(Paramètres!J53,Paramètres!$G$5:$G$57,0)))+IF(RIGHT(TRIM(Paramètres!K53),3)="Fin",1-$H2321,IF(LEFT(TRIM(Paramètres!K53),1)="F",1,0)))),IF(Paramètres!L53="",0,IF(Paramètres!M53="",NA(),IF(LEFT(TRIM(Paramètres!M53),1)="F",INDEX($F$2273:$F$2325,MATCH(Paramètres!L53,Paramètres!$G$5:$G$57,0)),INDEX($E$2273:$E$2325,MATCH(Paramètres!L53,Paramètres!$G$5:$G$57,0)))+IF(RIGHT(TRIM(Paramètres!M53),3)="Fin",1-$H2321,IF(LEFT(TRIM(Paramètres!M53),1)="F",1,0)))),IF(Paramètres!N53="",0,IF(Paramètres!O53="",NA(),IF(LEFT(TRIM(Paramètres!O53),1)="F",INDEX($F$2273:$F$2325,MATCH(Paramètres!N53,Paramètres!$G$5:$G$57,0)),INDEX($E$2273:$E$2325,MATCH(Paramètres!N53,Paramètres!$G$5:$G$57,0)))+IF(RIGHT(TRIM(Paramètres!O53),3)="Fin",1-$H2321,IF(LEFT(TRIM(Paramètres!O53),1)="F",1,0)))))))</f>
        <v/>
      </c>
      <c r="F2321" s="19">
        <f>IF($A2321="","",E2321+$H2321-1)</f>
        <v/>
      </c>
      <c r="G2321" s="18" t="n"/>
      <c r="H2321" s="18">
        <f>IF($A2321="","",IF(I2321&lt;&gt;"",I2321,Paramètres!B53))</f>
        <v/>
      </c>
      <c r="I2321" s="18" t="n"/>
    </row>
    <row r="2322">
      <c r="A2322" s="18">
        <f>IF(ISNUMBER(Dossiers!$D$46),Dossiers!$A$46&amp;" · "&amp;Dossiers!$B$46,"")</f>
        <v/>
      </c>
      <c r="B2322" s="18">
        <f>IF($A2322="","",Paramètres!G54)</f>
        <v/>
      </c>
      <c r="C2322" s="18">
        <f>IF($A2322="","",IF(Paramètres!H54="","",Paramètres!H54))</f>
        <v/>
      </c>
      <c r="D2322" s="18">
        <f>IF($A2322="","",IF(Paramètres!I54="","",Paramètres!I54))</f>
        <v/>
      </c>
      <c r="E2322" s="19">
        <f>IF($A2322="","",IF(Paramètres!J54&amp;Paramètres!L54&amp;Paramètres!N54="",Dossiers!$D$46,MAX(IF(Paramètres!J54="",0,IF(Paramètres!K54="",NA(),IF(LEFT(TRIM(Paramètres!K54),1)="F",INDEX($F$2273:$F$2325,MATCH(Paramètres!J54,Paramètres!$G$5:$G$57,0)),INDEX($E$2273:$E$2325,MATCH(Paramètres!J54,Paramètres!$G$5:$G$57,0)))+IF(RIGHT(TRIM(Paramètres!K54),3)="Fin",1-$H2322,IF(LEFT(TRIM(Paramètres!K54),1)="F",1,0)))),IF(Paramètres!L54="",0,IF(Paramètres!M54="",NA(),IF(LEFT(TRIM(Paramètres!M54),1)="F",INDEX($F$2273:$F$2325,MATCH(Paramètres!L54,Paramètres!$G$5:$G$57,0)),INDEX($E$2273:$E$2325,MATCH(Paramètres!L54,Paramètres!$G$5:$G$57,0)))+IF(RIGHT(TRIM(Paramètres!M54),3)="Fin",1-$H2322,IF(LEFT(TRIM(Paramètres!M54),1)="F",1,0)))),IF(Paramètres!N54="",0,IF(Paramètres!O54="",NA(),IF(LEFT(TRIM(Paramètres!O54),1)="F",INDEX($F$2273:$F$2325,MATCH(Paramètres!N54,Paramètres!$G$5:$G$57,0)),INDEX($E$2273:$E$2325,MATCH(Paramètres!N54,Paramètres!$G$5:$G$57,0)))+IF(RIGHT(TRIM(Paramètres!O54),3)="Fin",1-$H2322,IF(LEFT(TRIM(Paramètres!O54),1)="F",1,0)))))))</f>
        <v/>
      </c>
      <c r="F2322" s="19">
        <f>IF($A2322="","",E2322+$H2322-1)</f>
        <v/>
      </c>
      <c r="G2322" s="18" t="n"/>
      <c r="H2322" s="18">
        <f>IF($A2322="","",IF(I2322&lt;&gt;"",I2322,Paramètres!B54))</f>
        <v/>
      </c>
      <c r="I2322" s="18" t="n"/>
    </row>
    <row r="2323">
      <c r="A2323" s="18">
        <f>IF(ISNUMBER(Dossiers!$D$46),Dossiers!$A$46&amp;" · "&amp;Dossiers!$B$46,"")</f>
        <v/>
      </c>
      <c r="B2323" s="18">
        <f>IF($A2323="","",Paramètres!G55)</f>
        <v/>
      </c>
      <c r="C2323" s="18">
        <f>IF($A2323="","",IF(Paramètres!H55="","",Paramètres!H55))</f>
        <v/>
      </c>
      <c r="D2323" s="18">
        <f>IF($A2323="","",IF(Paramètres!I55="","",Paramètres!I55))</f>
        <v/>
      </c>
      <c r="E2323" s="19">
        <f>IF($A2323="","",IF(Paramètres!J55&amp;Paramètres!L55&amp;Paramètres!N55="",Dossiers!$D$46,MAX(IF(Paramètres!J55="",0,IF(Paramètres!K55="",NA(),IF(LEFT(TRIM(Paramètres!K55),1)="F",INDEX($F$2273:$F$2325,MATCH(Paramètres!J55,Paramètres!$G$5:$G$57,0)),INDEX($E$2273:$E$2325,MATCH(Paramètres!J55,Paramètres!$G$5:$G$57,0)))+IF(RIGHT(TRIM(Paramètres!K55),3)="Fin",1-$H2323,IF(LEFT(TRIM(Paramètres!K55),1)="F",1,0)))),IF(Paramètres!L55="",0,IF(Paramètres!M55="",NA(),IF(LEFT(TRIM(Paramètres!M55),1)="F",INDEX($F$2273:$F$2325,MATCH(Paramètres!L55,Paramètres!$G$5:$G$57,0)),INDEX($E$2273:$E$2325,MATCH(Paramètres!L55,Paramètres!$G$5:$G$57,0)))+IF(RIGHT(TRIM(Paramètres!M55),3)="Fin",1-$H2323,IF(LEFT(TRIM(Paramètres!M55),1)="F",1,0)))),IF(Paramètres!N55="",0,IF(Paramètres!O55="",NA(),IF(LEFT(TRIM(Paramètres!O55),1)="F",INDEX($F$2273:$F$2325,MATCH(Paramètres!N55,Paramètres!$G$5:$G$57,0)),INDEX($E$2273:$E$2325,MATCH(Paramètres!N55,Paramètres!$G$5:$G$57,0)))+IF(RIGHT(TRIM(Paramètres!O55),3)="Fin",1-$H2323,IF(LEFT(TRIM(Paramètres!O55),1)="F",1,0)))))))</f>
        <v/>
      </c>
      <c r="F2323" s="19">
        <f>IF($A2323="","",E2323+$H2323-1)</f>
        <v/>
      </c>
      <c r="G2323" s="18" t="n"/>
      <c r="H2323" s="18">
        <f>IF($A2323="","",IF(I2323&lt;&gt;"",I2323,Paramètres!B55))</f>
        <v/>
      </c>
      <c r="I2323" s="18" t="n"/>
    </row>
    <row r="2324">
      <c r="A2324" s="18">
        <f>IF(ISNUMBER(Dossiers!$D$46),Dossiers!$A$46&amp;" · "&amp;Dossiers!$B$46,"")</f>
        <v/>
      </c>
      <c r="B2324" s="18">
        <f>IF($A2324="","",Paramètres!G56)</f>
        <v/>
      </c>
      <c r="C2324" s="18">
        <f>IF($A2324="","",IF(Paramètres!H56="","",Paramètres!H56))</f>
        <v/>
      </c>
      <c r="D2324" s="18">
        <f>IF($A2324="","",IF(Paramètres!I56="","",Paramètres!I56))</f>
        <v/>
      </c>
      <c r="E2324" s="19">
        <f>IF($A2324="","",MIN(E2325:E2325))</f>
        <v/>
      </c>
      <c r="F2324" s="19">
        <f>IF($A2324="","",MAX(F2325:F2325))</f>
        <v/>
      </c>
      <c r="G2324" s="18" t="n"/>
      <c r="H2324" s="18">
        <f>IF($A2324="","",F2324-E2324+1)</f>
        <v/>
      </c>
      <c r="I2324" s="18" t="n"/>
    </row>
    <row r="2325">
      <c r="A2325" s="18">
        <f>IF(ISNUMBER(Dossiers!$D$46),Dossiers!$A$46&amp;" · "&amp;Dossiers!$B$46,"")</f>
        <v/>
      </c>
      <c r="B2325" s="18">
        <f>IF($A2325="","",Paramètres!G57)</f>
        <v/>
      </c>
      <c r="C2325" s="18">
        <f>IF($A2325="","",IF(Paramètres!H57="","",Paramètres!H57))</f>
        <v/>
      </c>
      <c r="D2325" s="18">
        <f>IF($A2325="","",IF(Paramètres!I57="","",Paramètres!I57))</f>
        <v/>
      </c>
      <c r="E2325" s="19">
        <f>IF($A2325="","",IF(Paramètres!J57&amp;Paramètres!L57&amp;Paramètres!N57="",Dossiers!$D$46,MAX(IF(Paramètres!J57="",0,IF(Paramètres!K57="",NA(),IF(LEFT(TRIM(Paramètres!K57),1)="F",INDEX($F$2273:$F$2325,MATCH(Paramètres!J57,Paramètres!$G$5:$G$57,0)),INDEX($E$2273:$E$2325,MATCH(Paramètres!J57,Paramètres!$G$5:$G$57,0)))+IF(RIGHT(TRIM(Paramètres!K57),3)="Fin",1-$H2325,IF(LEFT(TRIM(Paramètres!K57),1)="F",1,0)))),IF(Paramètres!L57="",0,IF(Paramètres!M57="",NA(),IF(LEFT(TRIM(Paramètres!M57),1)="F",INDEX($F$2273:$F$2325,MATCH(Paramètres!L57,Paramètres!$G$5:$G$57,0)),INDEX($E$2273:$E$2325,MATCH(Paramètres!L57,Paramètres!$G$5:$G$57,0)))+IF(RIGHT(TRIM(Paramètres!M57),3)="Fin",1-$H2325,IF(LEFT(TRIM(Paramètres!M57),1)="F",1,0)))),IF(Paramètres!N57="",0,IF(Paramètres!O57="",NA(),IF(LEFT(TRIM(Paramètres!O57),1)="F",INDEX($F$2273:$F$2325,MATCH(Paramètres!N57,Paramètres!$G$5:$G$57,0)),INDEX($E$2273:$E$2325,MATCH(Paramètres!N57,Paramètres!$G$5:$G$57,0)))+IF(RIGHT(TRIM(Paramètres!O57),3)="Fin",1-$H2325,IF(LEFT(TRIM(Paramètres!O57),1)="F",1,0)))))))</f>
        <v/>
      </c>
      <c r="F2325" s="19">
        <f>IF($A2325="","",E2325+$H2325-1)</f>
        <v/>
      </c>
      <c r="G2325" s="18" t="n"/>
      <c r="H2325" s="18">
        <f>IF($A2325="","",IF(I2325&lt;&gt;"",I2325,Paramètres!B57))</f>
        <v/>
      </c>
      <c r="I2325" s="18" t="n"/>
    </row>
    <row r="2326">
      <c r="A2326" s="16">
        <f>IF(ISNUMBER(Dossiers!$D$47),Dossiers!$E$47,"")</f>
        <v/>
      </c>
      <c r="B2326" s="16">
        <f>IF($A2326="","","Identifiant")</f>
        <v/>
      </c>
      <c r="C2326" s="16">
        <f>IF($A2326="","","Macro Etape")</f>
        <v/>
      </c>
      <c r="D2326" s="16">
        <f>IF($A2326="","","Etape")</f>
        <v/>
      </c>
      <c r="E2326" s="17">
        <f>IF($A2326="","","Début le")</f>
        <v/>
      </c>
      <c r="F2326" s="17">
        <f>IF($A2326="","","Fin prévue le")</f>
        <v/>
      </c>
      <c r="G2326" s="16">
        <f>IF($A2326="","","Statut")</f>
        <v/>
      </c>
      <c r="H2326" s="16">
        <f>IF($A2326="","","Durée (jours)")</f>
        <v/>
      </c>
      <c r="I2326" s="16">
        <f>IF($A2326="","","Durée particulière")</f>
        <v/>
      </c>
      <c r="J2326" s="10">
        <f>IF($A2326="","",HYPERLINK("#'Tableau de bord'!A1","↑ Tableau de bord"))</f>
        <v/>
      </c>
    </row>
    <row r="2327">
      <c r="A2327" s="18">
        <f>IF(ISNUMBER(Dossiers!$D$47),Dossiers!$A$47&amp;" · "&amp;Dossiers!$B$47,"")</f>
        <v/>
      </c>
      <c r="B2327" s="18">
        <f>IF($A2327="","",Paramètres!G5)</f>
        <v/>
      </c>
      <c r="C2327" s="18">
        <f>IF($A2327="","",IF(Paramètres!H5="","",Paramètres!H5))</f>
        <v/>
      </c>
      <c r="D2327" s="18">
        <f>IF($A2327="","",IF(Paramètres!I5="","",Paramètres!I5))</f>
        <v/>
      </c>
      <c r="E2327" s="19">
        <f>IF($A2327="","",MIN(E2328:E2331))</f>
        <v/>
      </c>
      <c r="F2327" s="19">
        <f>IF($A2327="","",MAX(F2328:F2331))</f>
        <v/>
      </c>
      <c r="G2327" s="18" t="n"/>
      <c r="H2327" s="18">
        <f>IF($A2327="","",F2327-E2327+1)</f>
        <v/>
      </c>
      <c r="I2327" s="18" t="n"/>
    </row>
    <row r="2328">
      <c r="A2328" s="18">
        <f>IF(ISNUMBER(Dossiers!$D$47),Dossiers!$A$47&amp;" · "&amp;Dossiers!$B$47,"")</f>
        <v/>
      </c>
      <c r="B2328" s="18">
        <f>IF($A2328="","",Paramètres!G6)</f>
        <v/>
      </c>
      <c r="C2328" s="18">
        <f>IF($A2328="","",IF(Paramètres!H6="","",Paramètres!H6))</f>
        <v/>
      </c>
      <c r="D2328" s="18">
        <f>IF($A2328="","",IF(Paramètres!I6="","",Paramètres!I6))</f>
        <v/>
      </c>
      <c r="E2328" s="19">
        <f>IF($A2328="","",IF(Paramètres!J6&amp;Paramètres!L6&amp;Paramètres!N6="",Dossiers!$D$47,MAX(IF(Paramètres!J6="",0,IF(Paramètres!K6="",NA(),IF(LEFT(TRIM(Paramètres!K6),1)="F",INDEX($F$2327:$F$2379,MATCH(Paramètres!J6,Paramètres!$G$5:$G$57,0)),INDEX($E$2327:$E$2379,MATCH(Paramètres!J6,Paramètres!$G$5:$G$57,0)))+IF(RIGHT(TRIM(Paramètres!K6),3)="Fin",1-$H2328,IF(LEFT(TRIM(Paramètres!K6),1)="F",1,0)))),IF(Paramètres!L6="",0,IF(Paramètres!M6="",NA(),IF(LEFT(TRIM(Paramètres!M6),1)="F",INDEX($F$2327:$F$2379,MATCH(Paramètres!L6,Paramètres!$G$5:$G$57,0)),INDEX($E$2327:$E$2379,MATCH(Paramètres!L6,Paramètres!$G$5:$G$57,0)))+IF(RIGHT(TRIM(Paramètres!M6),3)="Fin",1-$H2328,IF(LEFT(TRIM(Paramètres!M6),1)="F",1,0)))),IF(Paramètres!N6="",0,IF(Paramètres!O6="",NA(),IF(LEFT(TRIM(Paramètres!O6),1)="F",INDEX($F$2327:$F$2379,MATCH(Paramètres!N6,Paramètres!$G$5:$G$57,0)),INDEX($E$2327:$E$2379,MATCH(Paramètres!N6,Paramètres!$G$5:$G$57,0)))+IF(RIGHT(TRIM(Paramètres!O6),3)="Fin",1-$H2328,IF(LEFT(TRIM(Paramètres!O6),1)="F",1,0)))))))</f>
        <v/>
      </c>
      <c r="F2328" s="19">
        <f>IF($A2328="","",E2328+$H2328-1)</f>
        <v/>
      </c>
      <c r="G2328" s="18" t="n"/>
      <c r="H2328" s="18">
        <f>IF($A2328="","",IF(I2328&lt;&gt;"",I2328,Paramètres!B6))</f>
        <v/>
      </c>
      <c r="I2328" s="18" t="n"/>
    </row>
    <row r="2329">
      <c r="A2329" s="18">
        <f>IF(ISNUMBER(Dossiers!$D$47),Dossiers!$A$47&amp;" · "&amp;Dossiers!$B$47,"")</f>
        <v/>
      </c>
      <c r="B2329" s="18">
        <f>IF($A2329="","",Paramètres!G7)</f>
        <v/>
      </c>
      <c r="C2329" s="18">
        <f>IF($A2329="","",IF(Paramètres!H7="","",Paramètres!H7))</f>
        <v/>
      </c>
      <c r="D2329" s="18">
        <f>IF($A2329="","",IF(Paramètres!I7="","",Paramètres!I7))</f>
        <v/>
      </c>
      <c r="E2329" s="19">
        <f>IF($A2329="","",IF(Paramètres!J7&amp;Paramètres!L7&amp;Paramètres!N7="",Dossiers!$D$47,MAX(IF(Paramètres!J7="",0,IF(Paramètres!K7="",NA(),IF(LEFT(TRIM(Paramètres!K7),1)="F",INDEX($F$2327:$F$2379,MATCH(Paramètres!J7,Paramètres!$G$5:$G$57,0)),INDEX($E$2327:$E$2379,MATCH(Paramètres!J7,Paramètres!$G$5:$G$57,0)))+IF(RIGHT(TRIM(Paramètres!K7),3)="Fin",1-$H2329,IF(LEFT(TRIM(Paramètres!K7),1)="F",1,0)))),IF(Paramètres!L7="",0,IF(Paramètres!M7="",NA(),IF(LEFT(TRIM(Paramètres!M7),1)="F",INDEX($F$2327:$F$2379,MATCH(Paramètres!L7,Paramètres!$G$5:$G$57,0)),INDEX($E$2327:$E$2379,MATCH(Paramètres!L7,Paramètres!$G$5:$G$57,0)))+IF(RIGHT(TRIM(Paramètres!M7),3)="Fin",1-$H2329,IF(LEFT(TRIM(Paramètres!M7),1)="F",1,0)))),IF(Paramètres!N7="",0,IF(Paramètres!O7="",NA(),IF(LEFT(TRIM(Paramètres!O7),1)="F",INDEX($F$2327:$F$2379,MATCH(Paramètres!N7,Paramètres!$G$5:$G$57,0)),INDEX($E$2327:$E$2379,MATCH(Paramètres!N7,Paramètres!$G$5:$G$57,0)))+IF(RIGHT(TRIM(Paramètres!O7),3)="Fin",1-$H2329,IF(LEFT(TRIM(Paramètres!O7),1)="F",1,0)))))))</f>
        <v/>
      </c>
      <c r="F2329" s="19">
        <f>IF($A2329="","",E2329+$H2329-1)</f>
        <v/>
      </c>
      <c r="G2329" s="18" t="n"/>
      <c r="H2329" s="18">
        <f>IF($A2329="","",IF(I2329&lt;&gt;"",I2329,Paramètres!B7))</f>
        <v/>
      </c>
      <c r="I2329" s="18" t="n"/>
    </row>
    <row r="2330">
      <c r="A2330" s="18">
        <f>IF(ISNUMBER(Dossiers!$D$47),Dossiers!$A$47&amp;" · "&amp;Dossiers!$B$47,"")</f>
        <v/>
      </c>
      <c r="B2330" s="18">
        <f>IF($A2330="","",Paramètres!G8)</f>
        <v/>
      </c>
      <c r="C2330" s="18">
        <f>IF($A2330="","",IF(Paramètres!H8="","",Paramètres!H8))</f>
        <v/>
      </c>
      <c r="D2330" s="18">
        <f>IF($A2330="","",IF(Paramètres!I8="","",Paramètres!I8))</f>
        <v/>
      </c>
      <c r="E2330" s="19">
        <f>IF($A2330="","",IF(Paramètres!J8&amp;Paramètres!L8&amp;Paramètres!N8="",Dossiers!$D$47,MAX(IF(Paramètres!J8="",0,IF(Paramètres!K8="",NA(),IF(LEFT(TRIM(Paramètres!K8),1)="F",INDEX($F$2327:$F$2379,MATCH(Paramètres!J8,Paramètres!$G$5:$G$57,0)),INDEX($E$2327:$E$2379,MATCH(Paramètres!J8,Paramètres!$G$5:$G$57,0)))+IF(RIGHT(TRIM(Paramètres!K8),3)="Fin",1-$H2330,IF(LEFT(TRIM(Paramètres!K8),1)="F",1,0)))),IF(Paramètres!L8="",0,IF(Paramètres!M8="",NA(),IF(LEFT(TRIM(Paramètres!M8),1)="F",INDEX($F$2327:$F$2379,MATCH(Paramètres!L8,Paramètres!$G$5:$G$57,0)),INDEX($E$2327:$E$2379,MATCH(Paramètres!L8,Paramètres!$G$5:$G$57,0)))+IF(RIGHT(TRIM(Paramètres!M8),3)="Fin",1-$H2330,IF(LEFT(TRIM(Paramètres!M8),1)="F",1,0)))),IF(Paramètres!N8="",0,IF(Paramètres!O8="",NA(),IF(LEFT(TRIM(Paramètres!O8),1)="F",INDEX($F$2327:$F$2379,MATCH(Paramètres!N8,Paramètres!$G$5:$G$57,0)),INDEX($E$2327:$E$2379,MATCH(Paramètres!N8,Paramètres!$G$5:$G$57,0)))+IF(RIGHT(TRIM(Paramètres!O8),3)="Fin",1-$H2330,IF(LEFT(TRIM(Paramètres!O8),1)="F",1,0)))))))</f>
        <v/>
      </c>
      <c r="F2330" s="19">
        <f>IF($A2330="","",E2330+$H2330-1)</f>
        <v/>
      </c>
      <c r="G2330" s="18" t="n"/>
      <c r="H2330" s="18">
        <f>IF($A2330="","",IF(I2330&lt;&gt;"",I2330,Paramètres!B8))</f>
        <v/>
      </c>
      <c r="I2330" s="18" t="n"/>
    </row>
    <row r="2331">
      <c r="A2331" s="18">
        <f>IF(ISNUMBER(Dossiers!$D$47),Dossiers!$A$47&amp;" · "&amp;Dossiers!$B$47,"")</f>
        <v/>
      </c>
      <c r="B2331" s="18">
        <f>IF($A2331="","",Paramètres!G9)</f>
        <v/>
      </c>
      <c r="C2331" s="18">
        <f>IF($A2331="","",IF(Paramètres!H9="","",Paramètres!H9))</f>
        <v/>
      </c>
      <c r="D2331" s="18">
        <f>IF($A2331="","",IF(Paramètres!I9="","",Paramètres!I9))</f>
        <v/>
      </c>
      <c r="E2331" s="19">
        <f>IF($A2331="","",IF(Paramètres!J9&amp;Paramètres!L9&amp;Paramètres!N9="",Dossiers!$D$47,MAX(IF(Paramètres!J9="",0,IF(Paramètres!K9="",NA(),IF(LEFT(TRIM(Paramètres!K9),1)="F",INDEX($F$2327:$F$2379,MATCH(Paramètres!J9,Paramètres!$G$5:$G$57,0)),INDEX($E$2327:$E$2379,MATCH(Paramètres!J9,Paramètres!$G$5:$G$57,0)))+IF(RIGHT(TRIM(Paramètres!K9),3)="Fin",1-$H2331,IF(LEFT(TRIM(Paramètres!K9),1)="F",1,0)))),IF(Paramètres!L9="",0,IF(Paramètres!M9="",NA(),IF(LEFT(TRIM(Paramètres!M9),1)="F",INDEX($F$2327:$F$2379,MATCH(Paramètres!L9,Paramètres!$G$5:$G$57,0)),INDEX($E$2327:$E$2379,MATCH(Paramètres!L9,Paramètres!$G$5:$G$57,0)))+IF(RIGHT(TRIM(Paramètres!M9),3)="Fin",1-$H2331,IF(LEFT(TRIM(Paramètres!M9),1)="F",1,0)))),IF(Paramètres!N9="",0,IF(Paramètres!O9="",NA(),IF(LEFT(TRIM(Paramètres!O9),1)="F",INDEX($F$2327:$F$2379,MATCH(Paramètres!N9,Paramètres!$G$5:$G$57,0)),INDEX($E$2327:$E$2379,MATCH(Paramètres!N9,Paramètres!$G$5:$G$57,0)))+IF(RIGHT(TRIM(Paramètres!O9),3)="Fin",1-$H2331,IF(LEFT(TRIM(Paramètres!O9),1)="F",1,0)))))))</f>
        <v/>
      </c>
      <c r="F2331" s="19">
        <f>IF($A2331="","",E2331+$H2331-1)</f>
        <v/>
      </c>
      <c r="G2331" s="18" t="n"/>
      <c r="H2331" s="18">
        <f>IF($A2331="","",IF(I2331&lt;&gt;"",I2331,Paramètres!B9))</f>
        <v/>
      </c>
      <c r="I2331" s="18" t="n"/>
    </row>
    <row r="2332">
      <c r="A2332" s="18">
        <f>IF(ISNUMBER(Dossiers!$D$47),Dossiers!$A$47&amp;" · "&amp;Dossiers!$B$47,"")</f>
        <v/>
      </c>
      <c r="B2332" s="18">
        <f>IF($A2332="","",Paramètres!G10)</f>
        <v/>
      </c>
      <c r="C2332" s="18">
        <f>IF($A2332="","",IF(Paramètres!H10="","",Paramètres!H10))</f>
        <v/>
      </c>
      <c r="D2332" s="18">
        <f>IF($A2332="","",IF(Paramètres!I10="","",Paramètres!I10))</f>
        <v/>
      </c>
      <c r="E2332" s="19">
        <f>IF($A2332="","",MIN(E2333:E2336))</f>
        <v/>
      </c>
      <c r="F2332" s="19">
        <f>IF($A2332="","",MAX(F2333:F2336))</f>
        <v/>
      </c>
      <c r="G2332" s="18" t="n"/>
      <c r="H2332" s="18">
        <f>IF($A2332="","",F2332-E2332+1)</f>
        <v/>
      </c>
      <c r="I2332" s="18" t="n"/>
    </row>
    <row r="2333">
      <c r="A2333" s="18">
        <f>IF(ISNUMBER(Dossiers!$D$47),Dossiers!$A$47&amp;" · "&amp;Dossiers!$B$47,"")</f>
        <v/>
      </c>
      <c r="B2333" s="18">
        <f>IF($A2333="","",Paramètres!G11)</f>
        <v/>
      </c>
      <c r="C2333" s="18">
        <f>IF($A2333="","",IF(Paramètres!H11="","",Paramètres!H11))</f>
        <v/>
      </c>
      <c r="D2333" s="18">
        <f>IF($A2333="","",IF(Paramètres!I11="","",Paramètres!I11))</f>
        <v/>
      </c>
      <c r="E2333" s="19">
        <f>IF($A2333="","",IF(Paramètres!J11&amp;Paramètres!L11&amp;Paramètres!N11="",Dossiers!$D$47,MAX(IF(Paramètres!J11="",0,IF(Paramètres!K11="",NA(),IF(LEFT(TRIM(Paramètres!K11),1)="F",INDEX($F$2327:$F$2379,MATCH(Paramètres!J11,Paramètres!$G$5:$G$57,0)),INDEX($E$2327:$E$2379,MATCH(Paramètres!J11,Paramètres!$G$5:$G$57,0)))+IF(RIGHT(TRIM(Paramètres!K11),3)="Fin",1-$H2333,IF(LEFT(TRIM(Paramètres!K11),1)="F",1,0)))),IF(Paramètres!L11="",0,IF(Paramètres!M11="",NA(),IF(LEFT(TRIM(Paramètres!M11),1)="F",INDEX($F$2327:$F$2379,MATCH(Paramètres!L11,Paramètres!$G$5:$G$57,0)),INDEX($E$2327:$E$2379,MATCH(Paramètres!L11,Paramètres!$G$5:$G$57,0)))+IF(RIGHT(TRIM(Paramètres!M11),3)="Fin",1-$H2333,IF(LEFT(TRIM(Paramètres!M11),1)="F",1,0)))),IF(Paramètres!N11="",0,IF(Paramètres!O11="",NA(),IF(LEFT(TRIM(Paramètres!O11),1)="F",INDEX($F$2327:$F$2379,MATCH(Paramètres!N11,Paramètres!$G$5:$G$57,0)),INDEX($E$2327:$E$2379,MATCH(Paramètres!N11,Paramètres!$G$5:$G$57,0)))+IF(RIGHT(TRIM(Paramètres!O11),3)="Fin",1-$H2333,IF(LEFT(TRIM(Paramètres!O11),1)="F",1,0)))))))</f>
        <v/>
      </c>
      <c r="F2333" s="19">
        <f>IF($A2333="","",E2333+$H2333-1)</f>
        <v/>
      </c>
      <c r="G2333" s="18" t="n"/>
      <c r="H2333" s="18">
        <f>IF($A2333="","",IF(I2333&lt;&gt;"",I2333,Paramètres!B11))</f>
        <v/>
      </c>
      <c r="I2333" s="18" t="n"/>
    </row>
    <row r="2334">
      <c r="A2334" s="18">
        <f>IF(ISNUMBER(Dossiers!$D$47),Dossiers!$A$47&amp;" · "&amp;Dossiers!$B$47,"")</f>
        <v/>
      </c>
      <c r="B2334" s="18">
        <f>IF($A2334="","",Paramètres!G12)</f>
        <v/>
      </c>
      <c r="C2334" s="18">
        <f>IF($A2334="","",IF(Paramètres!H12="","",Paramètres!H12))</f>
        <v/>
      </c>
      <c r="D2334" s="18">
        <f>IF($A2334="","",IF(Paramètres!I12="","",Paramètres!I12))</f>
        <v/>
      </c>
      <c r="E2334" s="19">
        <f>IF($A2334="","",IF(Paramètres!J12&amp;Paramètres!L12&amp;Paramètres!N12="",Dossiers!$D$47,MAX(IF(Paramètres!J12="",0,IF(Paramètres!K12="",NA(),IF(LEFT(TRIM(Paramètres!K12),1)="F",INDEX($F$2327:$F$2379,MATCH(Paramètres!J12,Paramètres!$G$5:$G$57,0)),INDEX($E$2327:$E$2379,MATCH(Paramètres!J12,Paramètres!$G$5:$G$57,0)))+IF(RIGHT(TRIM(Paramètres!K12),3)="Fin",1-$H2334,IF(LEFT(TRIM(Paramètres!K12),1)="F",1,0)))),IF(Paramètres!L12="",0,IF(Paramètres!M12="",NA(),IF(LEFT(TRIM(Paramètres!M12),1)="F",INDEX($F$2327:$F$2379,MATCH(Paramètres!L12,Paramètres!$G$5:$G$57,0)),INDEX($E$2327:$E$2379,MATCH(Paramètres!L12,Paramètres!$G$5:$G$57,0)))+IF(RIGHT(TRIM(Paramètres!M12),3)="Fin",1-$H2334,IF(LEFT(TRIM(Paramètres!M12),1)="F",1,0)))),IF(Paramètres!N12="",0,IF(Paramètres!O12="",NA(),IF(LEFT(TRIM(Paramètres!O12),1)="F",INDEX($F$2327:$F$2379,MATCH(Paramètres!N12,Paramètres!$G$5:$G$57,0)),INDEX($E$2327:$E$2379,MATCH(Paramètres!N12,Paramètres!$G$5:$G$57,0)))+IF(RIGHT(TRIM(Paramètres!O12),3)="Fin",1-$H2334,IF(LEFT(TRIM(Paramètres!O12),1)="F",1,0)))))))</f>
        <v/>
      </c>
      <c r="F2334" s="19">
        <f>IF($A2334="","",E2334+$H2334-1)</f>
        <v/>
      </c>
      <c r="G2334" s="18" t="n"/>
      <c r="H2334" s="18">
        <f>IF($A2334="","",IF(I2334&lt;&gt;"",I2334,Paramètres!B12))</f>
        <v/>
      </c>
      <c r="I2334" s="18" t="n"/>
    </row>
    <row r="2335">
      <c r="A2335" s="18">
        <f>IF(ISNUMBER(Dossiers!$D$47),Dossiers!$A$47&amp;" · "&amp;Dossiers!$B$47,"")</f>
        <v/>
      </c>
      <c r="B2335" s="18">
        <f>IF($A2335="","",Paramètres!G13)</f>
        <v/>
      </c>
      <c r="C2335" s="18">
        <f>IF($A2335="","",IF(Paramètres!H13="","",Paramètres!H13))</f>
        <v/>
      </c>
      <c r="D2335" s="18">
        <f>IF($A2335="","",IF(Paramètres!I13="","",Paramètres!I13))</f>
        <v/>
      </c>
      <c r="E2335" s="19">
        <f>IF($A2335="","",IF(Paramètres!J13&amp;Paramètres!L13&amp;Paramètres!N13="",Dossiers!$D$47,MAX(IF(Paramètres!J13="",0,IF(Paramètres!K13="",NA(),IF(LEFT(TRIM(Paramètres!K13),1)="F",INDEX($F$2327:$F$2379,MATCH(Paramètres!J13,Paramètres!$G$5:$G$57,0)),INDEX($E$2327:$E$2379,MATCH(Paramètres!J13,Paramètres!$G$5:$G$57,0)))+IF(RIGHT(TRIM(Paramètres!K13),3)="Fin",1-$H2335,IF(LEFT(TRIM(Paramètres!K13),1)="F",1,0)))),IF(Paramètres!L13="",0,IF(Paramètres!M13="",NA(),IF(LEFT(TRIM(Paramètres!M13),1)="F",INDEX($F$2327:$F$2379,MATCH(Paramètres!L13,Paramètres!$G$5:$G$57,0)),INDEX($E$2327:$E$2379,MATCH(Paramètres!L13,Paramètres!$G$5:$G$57,0)))+IF(RIGHT(TRIM(Paramètres!M13),3)="Fin",1-$H2335,IF(LEFT(TRIM(Paramètres!M13),1)="F",1,0)))),IF(Paramètres!N13="",0,IF(Paramètres!O13="",NA(),IF(LEFT(TRIM(Paramètres!O13),1)="F",INDEX($F$2327:$F$2379,MATCH(Paramètres!N13,Paramètres!$G$5:$G$57,0)),INDEX($E$2327:$E$2379,MATCH(Paramètres!N13,Paramètres!$G$5:$G$57,0)))+IF(RIGHT(TRIM(Paramètres!O13),3)="Fin",1-$H2335,IF(LEFT(TRIM(Paramètres!O13),1)="F",1,0)))))))</f>
        <v/>
      </c>
      <c r="F2335" s="19">
        <f>IF($A2335="","",E2335+$H2335-1)</f>
        <v/>
      </c>
      <c r="G2335" s="18" t="n"/>
      <c r="H2335" s="18">
        <f>IF($A2335="","",IF(I2335&lt;&gt;"",I2335,Paramètres!B13))</f>
        <v/>
      </c>
      <c r="I2335" s="18" t="n"/>
    </row>
    <row r="2336">
      <c r="A2336" s="18">
        <f>IF(ISNUMBER(Dossiers!$D$47),Dossiers!$A$47&amp;" · "&amp;Dossiers!$B$47,"")</f>
        <v/>
      </c>
      <c r="B2336" s="18">
        <f>IF($A2336="","",Paramètres!G14)</f>
        <v/>
      </c>
      <c r="C2336" s="18">
        <f>IF($A2336="","",IF(Paramètres!H14="","",Paramètres!H14))</f>
        <v/>
      </c>
      <c r="D2336" s="18">
        <f>IF($A2336="","",IF(Paramètres!I14="","",Paramètres!I14))</f>
        <v/>
      </c>
      <c r="E2336" s="19">
        <f>IF($A2336="","",IF(Paramètres!J14&amp;Paramètres!L14&amp;Paramètres!N14="",Dossiers!$D$47,MAX(IF(Paramètres!J14="",0,IF(Paramètres!K14="",NA(),IF(LEFT(TRIM(Paramètres!K14),1)="F",INDEX($F$2327:$F$2379,MATCH(Paramètres!J14,Paramètres!$G$5:$G$57,0)),INDEX($E$2327:$E$2379,MATCH(Paramètres!J14,Paramètres!$G$5:$G$57,0)))+IF(RIGHT(TRIM(Paramètres!K14),3)="Fin",1-$H2336,IF(LEFT(TRIM(Paramètres!K14),1)="F",1,0)))),IF(Paramètres!L14="",0,IF(Paramètres!M14="",NA(),IF(LEFT(TRIM(Paramètres!M14),1)="F",INDEX($F$2327:$F$2379,MATCH(Paramètres!L14,Paramètres!$G$5:$G$57,0)),INDEX($E$2327:$E$2379,MATCH(Paramètres!L14,Paramètres!$G$5:$G$57,0)))+IF(RIGHT(TRIM(Paramètres!M14),3)="Fin",1-$H2336,IF(LEFT(TRIM(Paramètres!M14),1)="F",1,0)))),IF(Paramètres!N14="",0,IF(Paramètres!O14="",NA(),IF(LEFT(TRIM(Paramètres!O14),1)="F",INDEX($F$2327:$F$2379,MATCH(Paramètres!N14,Paramètres!$G$5:$G$57,0)),INDEX($E$2327:$E$2379,MATCH(Paramètres!N14,Paramètres!$G$5:$G$57,0)))+IF(RIGHT(TRIM(Paramètres!O14),3)="Fin",1-$H2336,IF(LEFT(TRIM(Paramètres!O14),1)="F",1,0)))))))</f>
        <v/>
      </c>
      <c r="F2336" s="19">
        <f>IF($A2336="","",E2336+$H2336-1)</f>
        <v/>
      </c>
      <c r="G2336" s="18" t="n"/>
      <c r="H2336" s="18">
        <f>IF($A2336="","",IF(I2336&lt;&gt;"",I2336,Paramètres!B14))</f>
        <v/>
      </c>
      <c r="I2336" s="18" t="n"/>
    </row>
    <row r="2337">
      <c r="A2337" s="18">
        <f>IF(ISNUMBER(Dossiers!$D$47),Dossiers!$A$47&amp;" · "&amp;Dossiers!$B$47,"")</f>
        <v/>
      </c>
      <c r="B2337" s="18">
        <f>IF($A2337="","",Paramètres!G15)</f>
        <v/>
      </c>
      <c r="C2337" s="18">
        <f>IF($A2337="","",IF(Paramètres!H15="","",Paramètres!H15))</f>
        <v/>
      </c>
      <c r="D2337" s="18">
        <f>IF($A2337="","",IF(Paramètres!I15="","",Paramètres!I15))</f>
        <v/>
      </c>
      <c r="E2337" s="19">
        <f>IF($A2337="","",MIN(E2338:E2353))</f>
        <v/>
      </c>
      <c r="F2337" s="19">
        <f>IF($A2337="","",MAX(F2338:F2353))</f>
        <v/>
      </c>
      <c r="G2337" s="18" t="n"/>
      <c r="H2337" s="18">
        <f>IF($A2337="","",F2337-E2337+1)</f>
        <v/>
      </c>
      <c r="I2337" s="18" t="n"/>
    </row>
    <row r="2338">
      <c r="A2338" s="18">
        <f>IF(ISNUMBER(Dossiers!$D$47),Dossiers!$A$47&amp;" · "&amp;Dossiers!$B$47,"")</f>
        <v/>
      </c>
      <c r="B2338" s="18">
        <f>IF($A2338="","",Paramètres!G16)</f>
        <v/>
      </c>
      <c r="C2338" s="18">
        <f>IF($A2338="","",IF(Paramètres!H16="","",Paramètres!H16))</f>
        <v/>
      </c>
      <c r="D2338" s="18">
        <f>IF($A2338="","",IF(Paramètres!I16="","",Paramètres!I16))</f>
        <v/>
      </c>
      <c r="E2338" s="19">
        <f>IF($A2338="","",IF(Paramètres!J16&amp;Paramètres!L16&amp;Paramètres!N16="",Dossiers!$D$47,MAX(IF(Paramètres!J16="",0,IF(Paramètres!K16="",NA(),IF(LEFT(TRIM(Paramètres!K16),1)="F",INDEX($F$2327:$F$2379,MATCH(Paramètres!J16,Paramètres!$G$5:$G$57,0)),INDEX($E$2327:$E$2379,MATCH(Paramètres!J16,Paramètres!$G$5:$G$57,0)))+IF(RIGHT(TRIM(Paramètres!K16),3)="Fin",1-$H2338,IF(LEFT(TRIM(Paramètres!K16),1)="F",1,0)))),IF(Paramètres!L16="",0,IF(Paramètres!M16="",NA(),IF(LEFT(TRIM(Paramètres!M16),1)="F",INDEX($F$2327:$F$2379,MATCH(Paramètres!L16,Paramètres!$G$5:$G$57,0)),INDEX($E$2327:$E$2379,MATCH(Paramètres!L16,Paramètres!$G$5:$G$57,0)))+IF(RIGHT(TRIM(Paramètres!M16),3)="Fin",1-$H2338,IF(LEFT(TRIM(Paramètres!M16),1)="F",1,0)))),IF(Paramètres!N16="",0,IF(Paramètres!O16="",NA(),IF(LEFT(TRIM(Paramètres!O16),1)="F",INDEX($F$2327:$F$2379,MATCH(Paramètres!N16,Paramètres!$G$5:$G$57,0)),INDEX($E$2327:$E$2379,MATCH(Paramètres!N16,Paramètres!$G$5:$G$57,0)))+IF(RIGHT(TRIM(Paramètres!O16),3)="Fin",1-$H2338,IF(LEFT(TRIM(Paramètres!O16),1)="F",1,0)))))))</f>
        <v/>
      </c>
      <c r="F2338" s="19">
        <f>IF($A2338="","",E2338+$H2338-1)</f>
        <v/>
      </c>
      <c r="G2338" s="18" t="n"/>
      <c r="H2338" s="18">
        <f>IF($A2338="","",IF(I2338&lt;&gt;"",I2338,Paramètres!B16))</f>
        <v/>
      </c>
      <c r="I2338" s="18" t="n"/>
    </row>
    <row r="2339">
      <c r="A2339" s="18">
        <f>IF(ISNUMBER(Dossiers!$D$47),Dossiers!$A$47&amp;" · "&amp;Dossiers!$B$47,"")</f>
        <v/>
      </c>
      <c r="B2339" s="18">
        <f>IF($A2339="","",Paramètres!G17)</f>
        <v/>
      </c>
      <c r="C2339" s="18">
        <f>IF($A2339="","",IF(Paramètres!H17="","",Paramètres!H17))</f>
        <v/>
      </c>
      <c r="D2339" s="18">
        <f>IF($A2339="","",IF(Paramètres!I17="","",Paramètres!I17))</f>
        <v/>
      </c>
      <c r="E2339" s="19">
        <f>IF($A2339="","",IF(Paramètres!J17&amp;Paramètres!L17&amp;Paramètres!N17="",Dossiers!$D$47,MAX(IF(Paramètres!J17="",0,IF(Paramètres!K17="",NA(),IF(LEFT(TRIM(Paramètres!K17),1)="F",INDEX($F$2327:$F$2379,MATCH(Paramètres!J17,Paramètres!$G$5:$G$57,0)),INDEX($E$2327:$E$2379,MATCH(Paramètres!J17,Paramètres!$G$5:$G$57,0)))+IF(RIGHT(TRIM(Paramètres!K17),3)="Fin",1-$H2339,IF(LEFT(TRIM(Paramètres!K17),1)="F",1,0)))),IF(Paramètres!L17="",0,IF(Paramètres!M17="",NA(),IF(LEFT(TRIM(Paramètres!M17),1)="F",INDEX($F$2327:$F$2379,MATCH(Paramètres!L17,Paramètres!$G$5:$G$57,0)),INDEX($E$2327:$E$2379,MATCH(Paramètres!L17,Paramètres!$G$5:$G$57,0)))+IF(RIGHT(TRIM(Paramètres!M17),3)="Fin",1-$H2339,IF(LEFT(TRIM(Paramètres!M17),1)="F",1,0)))),IF(Paramètres!N17="",0,IF(Paramètres!O17="",NA(),IF(LEFT(TRIM(Paramètres!O17),1)="F",INDEX($F$2327:$F$2379,MATCH(Paramètres!N17,Paramètres!$G$5:$G$57,0)),INDEX($E$2327:$E$2379,MATCH(Paramètres!N17,Paramètres!$G$5:$G$57,0)))+IF(RIGHT(TRIM(Paramètres!O17),3)="Fin",1-$H2339,IF(LEFT(TRIM(Paramètres!O17),1)="F",1,0)))))))</f>
        <v/>
      </c>
      <c r="F2339" s="19">
        <f>IF($A2339="","",E2339+$H2339-1)</f>
        <v/>
      </c>
      <c r="G2339" s="18" t="n"/>
      <c r="H2339" s="18">
        <f>IF($A2339="","",IF(I2339&lt;&gt;"",I2339,Paramètres!B17))</f>
        <v/>
      </c>
      <c r="I2339" s="18" t="n"/>
    </row>
    <row r="2340">
      <c r="A2340" s="18">
        <f>IF(ISNUMBER(Dossiers!$D$47),Dossiers!$A$47&amp;" · "&amp;Dossiers!$B$47,"")</f>
        <v/>
      </c>
      <c r="B2340" s="18">
        <f>IF($A2340="","",Paramètres!G18)</f>
        <v/>
      </c>
      <c r="C2340" s="18">
        <f>IF($A2340="","",IF(Paramètres!H18="","",Paramètres!H18))</f>
        <v/>
      </c>
      <c r="D2340" s="18">
        <f>IF($A2340="","",IF(Paramètres!I18="","",Paramètres!I18))</f>
        <v/>
      </c>
      <c r="E2340" s="19">
        <f>IF($A2340="","",IF(Paramètres!J18&amp;Paramètres!L18&amp;Paramètres!N18="",Dossiers!$D$47,MAX(IF(Paramètres!J18="",0,IF(Paramètres!K18="",NA(),IF(LEFT(TRIM(Paramètres!K18),1)="F",INDEX($F$2327:$F$2379,MATCH(Paramètres!J18,Paramètres!$G$5:$G$57,0)),INDEX($E$2327:$E$2379,MATCH(Paramètres!J18,Paramètres!$G$5:$G$57,0)))+IF(RIGHT(TRIM(Paramètres!K18),3)="Fin",1-$H2340,IF(LEFT(TRIM(Paramètres!K18),1)="F",1,0)))),IF(Paramètres!L18="",0,IF(Paramètres!M18="",NA(),IF(LEFT(TRIM(Paramètres!M18),1)="F",INDEX($F$2327:$F$2379,MATCH(Paramètres!L18,Paramètres!$G$5:$G$57,0)),INDEX($E$2327:$E$2379,MATCH(Paramètres!L18,Paramètres!$G$5:$G$57,0)))+IF(RIGHT(TRIM(Paramètres!M18),3)="Fin",1-$H2340,IF(LEFT(TRIM(Paramètres!M18),1)="F",1,0)))),IF(Paramètres!N18="",0,IF(Paramètres!O18="",NA(),IF(LEFT(TRIM(Paramètres!O18),1)="F",INDEX($F$2327:$F$2379,MATCH(Paramètres!N18,Paramètres!$G$5:$G$57,0)),INDEX($E$2327:$E$2379,MATCH(Paramètres!N18,Paramètres!$G$5:$G$57,0)))+IF(RIGHT(TRIM(Paramètres!O18),3)="Fin",1-$H2340,IF(LEFT(TRIM(Paramètres!O18),1)="F",1,0)))))))</f>
        <v/>
      </c>
      <c r="F2340" s="19">
        <f>IF($A2340="","",E2340+$H2340-1)</f>
        <v/>
      </c>
      <c r="G2340" s="18" t="n"/>
      <c r="H2340" s="18">
        <f>IF($A2340="","",IF(I2340&lt;&gt;"",I2340,Paramètres!B18))</f>
        <v/>
      </c>
      <c r="I2340" s="18" t="n"/>
    </row>
    <row r="2341">
      <c r="A2341" s="18">
        <f>IF(ISNUMBER(Dossiers!$D$47),Dossiers!$A$47&amp;" · "&amp;Dossiers!$B$47,"")</f>
        <v/>
      </c>
      <c r="B2341" s="18">
        <f>IF($A2341="","",Paramètres!G19)</f>
        <v/>
      </c>
      <c r="C2341" s="18">
        <f>IF($A2341="","",IF(Paramètres!H19="","",Paramètres!H19))</f>
        <v/>
      </c>
      <c r="D2341" s="18">
        <f>IF($A2341="","",IF(Paramètres!I19="","",Paramètres!I19))</f>
        <v/>
      </c>
      <c r="E2341" s="19">
        <f>IF($A2341="","",IF(Paramètres!J19&amp;Paramètres!L19&amp;Paramètres!N19="",Dossiers!$D$47,MAX(IF(Paramètres!J19="",0,IF(Paramètres!K19="",NA(),IF(LEFT(TRIM(Paramètres!K19),1)="F",INDEX($F$2327:$F$2379,MATCH(Paramètres!J19,Paramètres!$G$5:$G$57,0)),INDEX($E$2327:$E$2379,MATCH(Paramètres!J19,Paramètres!$G$5:$G$57,0)))+IF(RIGHT(TRIM(Paramètres!K19),3)="Fin",1-$H2341,IF(LEFT(TRIM(Paramètres!K19),1)="F",1,0)))),IF(Paramètres!L19="",0,IF(Paramètres!M19="",NA(),IF(LEFT(TRIM(Paramètres!M19),1)="F",INDEX($F$2327:$F$2379,MATCH(Paramètres!L19,Paramètres!$G$5:$G$57,0)),INDEX($E$2327:$E$2379,MATCH(Paramètres!L19,Paramètres!$G$5:$G$57,0)))+IF(RIGHT(TRIM(Paramètres!M19),3)="Fin",1-$H2341,IF(LEFT(TRIM(Paramètres!M19),1)="F",1,0)))),IF(Paramètres!N19="",0,IF(Paramètres!O19="",NA(),IF(LEFT(TRIM(Paramètres!O19),1)="F",INDEX($F$2327:$F$2379,MATCH(Paramètres!N19,Paramètres!$G$5:$G$57,0)),INDEX($E$2327:$E$2379,MATCH(Paramètres!N19,Paramètres!$G$5:$G$57,0)))+IF(RIGHT(TRIM(Paramètres!O19),3)="Fin",1-$H2341,IF(LEFT(TRIM(Paramètres!O19),1)="F",1,0)))))))</f>
        <v/>
      </c>
      <c r="F2341" s="19">
        <f>IF($A2341="","",E2341+$H2341-1)</f>
        <v/>
      </c>
      <c r="G2341" s="18" t="n"/>
      <c r="H2341" s="18">
        <f>IF($A2341="","",IF(I2341&lt;&gt;"",I2341,Paramètres!B19))</f>
        <v/>
      </c>
      <c r="I2341" s="18" t="n"/>
    </row>
    <row r="2342">
      <c r="A2342" s="18">
        <f>IF(ISNUMBER(Dossiers!$D$47),Dossiers!$A$47&amp;" · "&amp;Dossiers!$B$47,"")</f>
        <v/>
      </c>
      <c r="B2342" s="18">
        <f>IF($A2342="","",Paramètres!G20)</f>
        <v/>
      </c>
      <c r="C2342" s="18">
        <f>IF($A2342="","",IF(Paramètres!H20="","",Paramètres!H20))</f>
        <v/>
      </c>
      <c r="D2342" s="18">
        <f>IF($A2342="","",IF(Paramètres!I20="","",Paramètres!I20))</f>
        <v/>
      </c>
      <c r="E2342" s="19">
        <f>IF($A2342="","",IF(Paramètres!J20&amp;Paramètres!L20&amp;Paramètres!N20="",Dossiers!$D$47,MAX(IF(Paramètres!J20="",0,IF(Paramètres!K20="",NA(),IF(LEFT(TRIM(Paramètres!K20),1)="F",INDEX($F$2327:$F$2379,MATCH(Paramètres!J20,Paramètres!$G$5:$G$57,0)),INDEX($E$2327:$E$2379,MATCH(Paramètres!J20,Paramètres!$G$5:$G$57,0)))+IF(RIGHT(TRIM(Paramètres!K20),3)="Fin",1-$H2342,IF(LEFT(TRIM(Paramètres!K20),1)="F",1,0)))),IF(Paramètres!L20="",0,IF(Paramètres!M20="",NA(),IF(LEFT(TRIM(Paramètres!M20),1)="F",INDEX($F$2327:$F$2379,MATCH(Paramètres!L20,Paramètres!$G$5:$G$57,0)),INDEX($E$2327:$E$2379,MATCH(Paramètres!L20,Paramètres!$G$5:$G$57,0)))+IF(RIGHT(TRIM(Paramètres!M20),3)="Fin",1-$H2342,IF(LEFT(TRIM(Paramètres!M20),1)="F",1,0)))),IF(Paramètres!N20="",0,IF(Paramètres!O20="",NA(),IF(LEFT(TRIM(Paramètres!O20),1)="F",INDEX($F$2327:$F$2379,MATCH(Paramètres!N20,Paramètres!$G$5:$G$57,0)),INDEX($E$2327:$E$2379,MATCH(Paramètres!N20,Paramètres!$G$5:$G$57,0)))+IF(RIGHT(TRIM(Paramètres!O20),3)="Fin",1-$H2342,IF(LEFT(TRIM(Paramètres!O20),1)="F",1,0)))))))</f>
        <v/>
      </c>
      <c r="F2342" s="19">
        <f>IF($A2342="","",E2342+$H2342-1)</f>
        <v/>
      </c>
      <c r="G2342" s="18" t="n"/>
      <c r="H2342" s="18">
        <f>IF($A2342="","",IF(I2342&lt;&gt;"",I2342,Paramètres!B20))</f>
        <v/>
      </c>
      <c r="I2342" s="18" t="n"/>
    </row>
    <row r="2343">
      <c r="A2343" s="18">
        <f>IF(ISNUMBER(Dossiers!$D$47),Dossiers!$A$47&amp;" · "&amp;Dossiers!$B$47,"")</f>
        <v/>
      </c>
      <c r="B2343" s="18">
        <f>IF($A2343="","",Paramètres!G21)</f>
        <v/>
      </c>
      <c r="C2343" s="18">
        <f>IF($A2343="","",IF(Paramètres!H21="","",Paramètres!H21))</f>
        <v/>
      </c>
      <c r="D2343" s="18">
        <f>IF($A2343="","",IF(Paramètres!I21="","",Paramètres!I21))</f>
        <v/>
      </c>
      <c r="E2343" s="19">
        <f>IF($A2343="","",IF(Paramètres!J21&amp;Paramètres!L21&amp;Paramètres!N21="",Dossiers!$D$47,MAX(IF(Paramètres!J21="",0,IF(Paramètres!K21="",NA(),IF(LEFT(TRIM(Paramètres!K21),1)="F",INDEX($F$2327:$F$2379,MATCH(Paramètres!J21,Paramètres!$G$5:$G$57,0)),INDEX($E$2327:$E$2379,MATCH(Paramètres!J21,Paramètres!$G$5:$G$57,0)))+IF(RIGHT(TRIM(Paramètres!K21),3)="Fin",1-$H2343,IF(LEFT(TRIM(Paramètres!K21),1)="F",1,0)))),IF(Paramètres!L21="",0,IF(Paramètres!M21="",NA(),IF(LEFT(TRIM(Paramètres!M21),1)="F",INDEX($F$2327:$F$2379,MATCH(Paramètres!L21,Paramètres!$G$5:$G$57,0)),INDEX($E$2327:$E$2379,MATCH(Paramètres!L21,Paramètres!$G$5:$G$57,0)))+IF(RIGHT(TRIM(Paramètres!M21),3)="Fin",1-$H2343,IF(LEFT(TRIM(Paramètres!M21),1)="F",1,0)))),IF(Paramètres!N21="",0,IF(Paramètres!O21="",NA(),IF(LEFT(TRIM(Paramètres!O21),1)="F",INDEX($F$2327:$F$2379,MATCH(Paramètres!N21,Paramètres!$G$5:$G$57,0)),INDEX($E$2327:$E$2379,MATCH(Paramètres!N21,Paramètres!$G$5:$G$57,0)))+IF(RIGHT(TRIM(Paramètres!O21),3)="Fin",1-$H2343,IF(LEFT(TRIM(Paramètres!O21),1)="F",1,0)))))))</f>
        <v/>
      </c>
      <c r="F2343" s="19">
        <f>IF($A2343="","",E2343+$H2343-1)</f>
        <v/>
      </c>
      <c r="G2343" s="18" t="n"/>
      <c r="H2343" s="18">
        <f>IF($A2343="","",IF(I2343&lt;&gt;"",I2343,Paramètres!B21))</f>
        <v/>
      </c>
      <c r="I2343" s="18" t="n"/>
    </row>
    <row r="2344">
      <c r="A2344" s="18">
        <f>IF(ISNUMBER(Dossiers!$D$47),Dossiers!$A$47&amp;" · "&amp;Dossiers!$B$47,"")</f>
        <v/>
      </c>
      <c r="B2344" s="18">
        <f>IF($A2344="","",Paramètres!G22)</f>
        <v/>
      </c>
      <c r="C2344" s="18">
        <f>IF($A2344="","",IF(Paramètres!H22="","",Paramètres!H22))</f>
        <v/>
      </c>
      <c r="D2344" s="18">
        <f>IF($A2344="","",IF(Paramètres!I22="","",Paramètres!I22))</f>
        <v/>
      </c>
      <c r="E2344" s="19">
        <f>IF($A2344="","",IF(Paramètres!J22&amp;Paramètres!L22&amp;Paramètres!N22="",Dossiers!$D$47,MAX(IF(Paramètres!J22="",0,IF(Paramètres!K22="",NA(),IF(LEFT(TRIM(Paramètres!K22),1)="F",INDEX($F$2327:$F$2379,MATCH(Paramètres!J22,Paramètres!$G$5:$G$57,0)),INDEX($E$2327:$E$2379,MATCH(Paramètres!J22,Paramètres!$G$5:$G$57,0)))+IF(RIGHT(TRIM(Paramètres!K22),3)="Fin",1-$H2344,IF(LEFT(TRIM(Paramètres!K22),1)="F",1,0)))),IF(Paramètres!L22="",0,IF(Paramètres!M22="",NA(),IF(LEFT(TRIM(Paramètres!M22),1)="F",INDEX($F$2327:$F$2379,MATCH(Paramètres!L22,Paramètres!$G$5:$G$57,0)),INDEX($E$2327:$E$2379,MATCH(Paramètres!L22,Paramètres!$G$5:$G$57,0)))+IF(RIGHT(TRIM(Paramètres!M22),3)="Fin",1-$H2344,IF(LEFT(TRIM(Paramètres!M22),1)="F",1,0)))),IF(Paramètres!N22="",0,IF(Paramètres!O22="",NA(),IF(LEFT(TRIM(Paramètres!O22),1)="F",INDEX($F$2327:$F$2379,MATCH(Paramètres!N22,Paramètres!$G$5:$G$57,0)),INDEX($E$2327:$E$2379,MATCH(Paramètres!N22,Paramètres!$G$5:$G$57,0)))+IF(RIGHT(TRIM(Paramètres!O22),3)="Fin",1-$H2344,IF(LEFT(TRIM(Paramètres!O22),1)="F",1,0)))))))</f>
        <v/>
      </c>
      <c r="F2344" s="19">
        <f>IF($A2344="","",E2344+$H2344-1)</f>
        <v/>
      </c>
      <c r="G2344" s="18" t="n"/>
      <c r="H2344" s="18">
        <f>IF($A2344="","",IF(I2344&lt;&gt;"",I2344,Paramètres!B22))</f>
        <v/>
      </c>
      <c r="I2344" s="18" t="n"/>
    </row>
    <row r="2345">
      <c r="A2345" s="18">
        <f>IF(ISNUMBER(Dossiers!$D$47),Dossiers!$A$47&amp;" · "&amp;Dossiers!$B$47,"")</f>
        <v/>
      </c>
      <c r="B2345" s="18">
        <f>IF($A2345="","",Paramètres!G23)</f>
        <v/>
      </c>
      <c r="C2345" s="18">
        <f>IF($A2345="","",IF(Paramètres!H23="","",Paramètres!H23))</f>
        <v/>
      </c>
      <c r="D2345" s="18">
        <f>IF($A2345="","",IF(Paramètres!I23="","",Paramètres!I23))</f>
        <v/>
      </c>
      <c r="E2345" s="19">
        <f>IF($A2345="","",IF(Paramètres!J23&amp;Paramètres!L23&amp;Paramètres!N23="",Dossiers!$D$47,MAX(IF(Paramètres!J23="",0,IF(Paramètres!K23="",NA(),IF(LEFT(TRIM(Paramètres!K23),1)="F",INDEX($F$2327:$F$2379,MATCH(Paramètres!J23,Paramètres!$G$5:$G$57,0)),INDEX($E$2327:$E$2379,MATCH(Paramètres!J23,Paramètres!$G$5:$G$57,0)))+IF(RIGHT(TRIM(Paramètres!K23),3)="Fin",1-$H2345,IF(LEFT(TRIM(Paramètres!K23),1)="F",1,0)))),IF(Paramètres!L23="",0,IF(Paramètres!M23="",NA(),IF(LEFT(TRIM(Paramètres!M23),1)="F",INDEX($F$2327:$F$2379,MATCH(Paramètres!L23,Paramètres!$G$5:$G$57,0)),INDEX($E$2327:$E$2379,MATCH(Paramètres!L23,Paramètres!$G$5:$G$57,0)))+IF(RIGHT(TRIM(Paramètres!M23),3)="Fin",1-$H2345,IF(LEFT(TRIM(Paramètres!M23),1)="F",1,0)))),IF(Paramètres!N23="",0,IF(Paramètres!O23="",NA(),IF(LEFT(TRIM(Paramètres!O23),1)="F",INDEX($F$2327:$F$2379,MATCH(Paramètres!N23,Paramètres!$G$5:$G$57,0)),INDEX($E$2327:$E$2379,MATCH(Paramètres!N23,Paramètres!$G$5:$G$57,0)))+IF(RIGHT(TRIM(Paramètres!O23),3)="Fin",1-$H2345,IF(LEFT(TRIM(Paramètres!O23),1)="F",1,0)))))))</f>
        <v/>
      </c>
      <c r="F2345" s="19">
        <f>IF($A2345="","",E2345+$H2345-1)</f>
        <v/>
      </c>
      <c r="G2345" s="18" t="n"/>
      <c r="H2345" s="18">
        <f>IF($A2345="","",IF(I2345&lt;&gt;"",I2345,Paramètres!B23))</f>
        <v/>
      </c>
      <c r="I2345" s="18" t="n"/>
    </row>
    <row r="2346">
      <c r="A2346" s="18">
        <f>IF(ISNUMBER(Dossiers!$D$47),Dossiers!$A$47&amp;" · "&amp;Dossiers!$B$47,"")</f>
        <v/>
      </c>
      <c r="B2346" s="18">
        <f>IF($A2346="","",Paramètres!G24)</f>
        <v/>
      </c>
      <c r="C2346" s="18">
        <f>IF($A2346="","",IF(Paramètres!H24="","",Paramètres!H24))</f>
        <v/>
      </c>
      <c r="D2346" s="18">
        <f>IF($A2346="","",IF(Paramètres!I24="","",Paramètres!I24))</f>
        <v/>
      </c>
      <c r="E2346" s="19">
        <f>IF($A2346="","",IF(Paramètres!J24&amp;Paramètres!L24&amp;Paramètres!N24="",Dossiers!$D$47,MAX(IF(Paramètres!J24="",0,IF(Paramètres!K24="",NA(),IF(LEFT(TRIM(Paramètres!K24),1)="F",INDEX($F$2327:$F$2379,MATCH(Paramètres!J24,Paramètres!$G$5:$G$57,0)),INDEX($E$2327:$E$2379,MATCH(Paramètres!J24,Paramètres!$G$5:$G$57,0)))+IF(RIGHT(TRIM(Paramètres!K24),3)="Fin",1-$H2346,IF(LEFT(TRIM(Paramètres!K24),1)="F",1,0)))),IF(Paramètres!L24="",0,IF(Paramètres!M24="",NA(),IF(LEFT(TRIM(Paramètres!M24),1)="F",INDEX($F$2327:$F$2379,MATCH(Paramètres!L24,Paramètres!$G$5:$G$57,0)),INDEX($E$2327:$E$2379,MATCH(Paramètres!L24,Paramètres!$G$5:$G$57,0)))+IF(RIGHT(TRIM(Paramètres!M24),3)="Fin",1-$H2346,IF(LEFT(TRIM(Paramètres!M24),1)="F",1,0)))),IF(Paramètres!N24="",0,IF(Paramètres!O24="",NA(),IF(LEFT(TRIM(Paramètres!O24),1)="F",INDEX($F$2327:$F$2379,MATCH(Paramètres!N24,Paramètres!$G$5:$G$57,0)),INDEX($E$2327:$E$2379,MATCH(Paramètres!N24,Paramètres!$G$5:$G$57,0)))+IF(RIGHT(TRIM(Paramètres!O24),3)="Fin",1-$H2346,IF(LEFT(TRIM(Paramètres!O24),1)="F",1,0)))))))</f>
        <v/>
      </c>
      <c r="F2346" s="19">
        <f>IF($A2346="","",E2346+$H2346-1)</f>
        <v/>
      </c>
      <c r="G2346" s="18" t="n"/>
      <c r="H2346" s="18">
        <f>IF($A2346="","",IF(I2346&lt;&gt;"",I2346,Paramètres!B24))</f>
        <v/>
      </c>
      <c r="I2346" s="18" t="n"/>
    </row>
    <row r="2347">
      <c r="A2347" s="18">
        <f>IF(ISNUMBER(Dossiers!$D$47),Dossiers!$A$47&amp;" · "&amp;Dossiers!$B$47,"")</f>
        <v/>
      </c>
      <c r="B2347" s="18">
        <f>IF($A2347="","",Paramètres!G25)</f>
        <v/>
      </c>
      <c r="C2347" s="18">
        <f>IF($A2347="","",IF(Paramètres!H25="","",Paramètres!H25))</f>
        <v/>
      </c>
      <c r="D2347" s="18">
        <f>IF($A2347="","",IF(Paramètres!I25="","",Paramètres!I25))</f>
        <v/>
      </c>
      <c r="E2347" s="19">
        <f>IF($A2347="","",IF(Paramètres!J25&amp;Paramètres!L25&amp;Paramètres!N25="",Dossiers!$D$47,MAX(IF(Paramètres!J25="",0,IF(Paramètres!K25="",NA(),IF(LEFT(TRIM(Paramètres!K25),1)="F",INDEX($F$2327:$F$2379,MATCH(Paramètres!J25,Paramètres!$G$5:$G$57,0)),INDEX($E$2327:$E$2379,MATCH(Paramètres!J25,Paramètres!$G$5:$G$57,0)))+IF(RIGHT(TRIM(Paramètres!K25),3)="Fin",1-$H2347,IF(LEFT(TRIM(Paramètres!K25),1)="F",1,0)))),IF(Paramètres!L25="",0,IF(Paramètres!M25="",NA(),IF(LEFT(TRIM(Paramètres!M25),1)="F",INDEX($F$2327:$F$2379,MATCH(Paramètres!L25,Paramètres!$G$5:$G$57,0)),INDEX($E$2327:$E$2379,MATCH(Paramètres!L25,Paramètres!$G$5:$G$57,0)))+IF(RIGHT(TRIM(Paramètres!M25),3)="Fin",1-$H2347,IF(LEFT(TRIM(Paramètres!M25),1)="F",1,0)))),IF(Paramètres!N25="",0,IF(Paramètres!O25="",NA(),IF(LEFT(TRIM(Paramètres!O25),1)="F",INDEX($F$2327:$F$2379,MATCH(Paramètres!N25,Paramètres!$G$5:$G$57,0)),INDEX($E$2327:$E$2379,MATCH(Paramètres!N25,Paramètres!$G$5:$G$57,0)))+IF(RIGHT(TRIM(Paramètres!O25),3)="Fin",1-$H2347,IF(LEFT(TRIM(Paramètres!O25),1)="F",1,0)))))))</f>
        <v/>
      </c>
      <c r="F2347" s="19">
        <f>IF($A2347="","",E2347+$H2347-1)</f>
        <v/>
      </c>
      <c r="G2347" s="18" t="n"/>
      <c r="H2347" s="18">
        <f>IF($A2347="","",IF(I2347&lt;&gt;"",I2347,Paramètres!B25))</f>
        <v/>
      </c>
      <c r="I2347" s="18" t="n"/>
    </row>
    <row r="2348">
      <c r="A2348" s="18">
        <f>IF(ISNUMBER(Dossiers!$D$47),Dossiers!$A$47&amp;" · "&amp;Dossiers!$B$47,"")</f>
        <v/>
      </c>
      <c r="B2348" s="18">
        <f>IF($A2348="","",Paramètres!G26)</f>
        <v/>
      </c>
      <c r="C2348" s="18">
        <f>IF($A2348="","",IF(Paramètres!H26="","",Paramètres!H26))</f>
        <v/>
      </c>
      <c r="D2348" s="18">
        <f>IF($A2348="","",IF(Paramètres!I26="","",Paramètres!I26))</f>
        <v/>
      </c>
      <c r="E2348" s="19">
        <f>IF($A2348="","",IF(Paramètres!J26&amp;Paramètres!L26&amp;Paramètres!N26="",Dossiers!$D$47,MAX(IF(Paramètres!J26="",0,IF(Paramètres!K26="",NA(),IF(LEFT(TRIM(Paramètres!K26),1)="F",INDEX($F$2327:$F$2379,MATCH(Paramètres!J26,Paramètres!$G$5:$G$57,0)),INDEX($E$2327:$E$2379,MATCH(Paramètres!J26,Paramètres!$G$5:$G$57,0)))+IF(RIGHT(TRIM(Paramètres!K26),3)="Fin",1-$H2348,IF(LEFT(TRIM(Paramètres!K26),1)="F",1,0)))),IF(Paramètres!L26="",0,IF(Paramètres!M26="",NA(),IF(LEFT(TRIM(Paramètres!M26),1)="F",INDEX($F$2327:$F$2379,MATCH(Paramètres!L26,Paramètres!$G$5:$G$57,0)),INDEX($E$2327:$E$2379,MATCH(Paramètres!L26,Paramètres!$G$5:$G$57,0)))+IF(RIGHT(TRIM(Paramètres!M26),3)="Fin",1-$H2348,IF(LEFT(TRIM(Paramètres!M26),1)="F",1,0)))),IF(Paramètres!N26="",0,IF(Paramètres!O26="",NA(),IF(LEFT(TRIM(Paramètres!O26),1)="F",INDEX($F$2327:$F$2379,MATCH(Paramètres!N26,Paramètres!$G$5:$G$57,0)),INDEX($E$2327:$E$2379,MATCH(Paramètres!N26,Paramètres!$G$5:$G$57,0)))+IF(RIGHT(TRIM(Paramètres!O26),3)="Fin",1-$H2348,IF(LEFT(TRIM(Paramètres!O26),1)="F",1,0)))))))</f>
        <v/>
      </c>
      <c r="F2348" s="19">
        <f>IF($A2348="","",E2348+$H2348-1)</f>
        <v/>
      </c>
      <c r="G2348" s="18" t="n"/>
      <c r="H2348" s="18">
        <f>IF($A2348="","",IF(I2348&lt;&gt;"",I2348,Paramètres!B26))</f>
        <v/>
      </c>
      <c r="I2348" s="18" t="n"/>
    </row>
    <row r="2349">
      <c r="A2349" s="18">
        <f>IF(ISNUMBER(Dossiers!$D$47),Dossiers!$A$47&amp;" · "&amp;Dossiers!$B$47,"")</f>
        <v/>
      </c>
      <c r="B2349" s="18">
        <f>IF($A2349="","",Paramètres!G27)</f>
        <v/>
      </c>
      <c r="C2349" s="18">
        <f>IF($A2349="","",IF(Paramètres!H27="","",Paramètres!H27))</f>
        <v/>
      </c>
      <c r="D2349" s="18">
        <f>IF($A2349="","",IF(Paramètres!I27="","",Paramètres!I27))</f>
        <v/>
      </c>
      <c r="E2349" s="19">
        <f>IF($A2349="","",IF(Paramètres!J27&amp;Paramètres!L27&amp;Paramètres!N27="",Dossiers!$D$47,MAX(IF(Paramètres!J27="",0,IF(Paramètres!K27="",NA(),IF(LEFT(TRIM(Paramètres!K27),1)="F",INDEX($F$2327:$F$2379,MATCH(Paramètres!J27,Paramètres!$G$5:$G$57,0)),INDEX($E$2327:$E$2379,MATCH(Paramètres!J27,Paramètres!$G$5:$G$57,0)))+IF(RIGHT(TRIM(Paramètres!K27),3)="Fin",1-$H2349,IF(LEFT(TRIM(Paramètres!K27),1)="F",1,0)))),IF(Paramètres!L27="",0,IF(Paramètres!M27="",NA(),IF(LEFT(TRIM(Paramètres!M27),1)="F",INDEX($F$2327:$F$2379,MATCH(Paramètres!L27,Paramètres!$G$5:$G$57,0)),INDEX($E$2327:$E$2379,MATCH(Paramètres!L27,Paramètres!$G$5:$G$57,0)))+IF(RIGHT(TRIM(Paramètres!M27),3)="Fin",1-$H2349,IF(LEFT(TRIM(Paramètres!M27),1)="F",1,0)))),IF(Paramètres!N27="",0,IF(Paramètres!O27="",NA(),IF(LEFT(TRIM(Paramètres!O27),1)="F",INDEX($F$2327:$F$2379,MATCH(Paramètres!N27,Paramètres!$G$5:$G$57,0)),INDEX($E$2327:$E$2379,MATCH(Paramètres!N27,Paramètres!$G$5:$G$57,0)))+IF(RIGHT(TRIM(Paramètres!O27),3)="Fin",1-$H2349,IF(LEFT(TRIM(Paramètres!O27),1)="F",1,0)))))))</f>
        <v/>
      </c>
      <c r="F2349" s="19">
        <f>IF($A2349="","",E2349+$H2349-1)</f>
        <v/>
      </c>
      <c r="G2349" s="18" t="n"/>
      <c r="H2349" s="18">
        <f>IF($A2349="","",IF(I2349&lt;&gt;"",I2349,Paramètres!B27))</f>
        <v/>
      </c>
      <c r="I2349" s="18" t="n"/>
    </row>
    <row r="2350">
      <c r="A2350" s="18">
        <f>IF(ISNUMBER(Dossiers!$D$47),Dossiers!$A$47&amp;" · "&amp;Dossiers!$B$47,"")</f>
        <v/>
      </c>
      <c r="B2350" s="18">
        <f>IF($A2350="","",Paramètres!G28)</f>
        <v/>
      </c>
      <c r="C2350" s="18">
        <f>IF($A2350="","",IF(Paramètres!H28="","",Paramètres!H28))</f>
        <v/>
      </c>
      <c r="D2350" s="18">
        <f>IF($A2350="","",IF(Paramètres!I28="","",Paramètres!I28))</f>
        <v/>
      </c>
      <c r="E2350" s="19">
        <f>IF($A2350="","",IF(Paramètres!J28&amp;Paramètres!L28&amp;Paramètres!N28="",Dossiers!$D$47,MAX(IF(Paramètres!J28="",0,IF(Paramètres!K28="",NA(),IF(LEFT(TRIM(Paramètres!K28),1)="F",INDEX($F$2327:$F$2379,MATCH(Paramètres!J28,Paramètres!$G$5:$G$57,0)),INDEX($E$2327:$E$2379,MATCH(Paramètres!J28,Paramètres!$G$5:$G$57,0)))+IF(RIGHT(TRIM(Paramètres!K28),3)="Fin",1-$H2350,IF(LEFT(TRIM(Paramètres!K28),1)="F",1,0)))),IF(Paramètres!L28="",0,IF(Paramètres!M28="",NA(),IF(LEFT(TRIM(Paramètres!M28),1)="F",INDEX($F$2327:$F$2379,MATCH(Paramètres!L28,Paramètres!$G$5:$G$57,0)),INDEX($E$2327:$E$2379,MATCH(Paramètres!L28,Paramètres!$G$5:$G$57,0)))+IF(RIGHT(TRIM(Paramètres!M28),3)="Fin",1-$H2350,IF(LEFT(TRIM(Paramètres!M28),1)="F",1,0)))),IF(Paramètres!N28="",0,IF(Paramètres!O28="",NA(),IF(LEFT(TRIM(Paramètres!O28),1)="F",INDEX($F$2327:$F$2379,MATCH(Paramètres!N28,Paramètres!$G$5:$G$57,0)),INDEX($E$2327:$E$2379,MATCH(Paramètres!N28,Paramètres!$G$5:$G$57,0)))+IF(RIGHT(TRIM(Paramètres!O28),3)="Fin",1-$H2350,IF(LEFT(TRIM(Paramètres!O28),1)="F",1,0)))))))</f>
        <v/>
      </c>
      <c r="F2350" s="19">
        <f>IF($A2350="","",E2350+$H2350-1)</f>
        <v/>
      </c>
      <c r="G2350" s="18" t="n"/>
      <c r="H2350" s="18">
        <f>IF($A2350="","",IF(I2350&lt;&gt;"",I2350,Paramètres!B28))</f>
        <v/>
      </c>
      <c r="I2350" s="18" t="n"/>
    </row>
    <row r="2351">
      <c r="A2351" s="18">
        <f>IF(ISNUMBER(Dossiers!$D$47),Dossiers!$A$47&amp;" · "&amp;Dossiers!$B$47,"")</f>
        <v/>
      </c>
      <c r="B2351" s="18">
        <f>IF($A2351="","",Paramètres!G29)</f>
        <v/>
      </c>
      <c r="C2351" s="18">
        <f>IF($A2351="","",IF(Paramètres!H29="","",Paramètres!H29))</f>
        <v/>
      </c>
      <c r="D2351" s="18">
        <f>IF($A2351="","",IF(Paramètres!I29="","",Paramètres!I29))</f>
        <v/>
      </c>
      <c r="E2351" s="19">
        <f>IF($A2351="","",IF(Paramètres!J29&amp;Paramètres!L29&amp;Paramètres!N29="",Dossiers!$D$47,MAX(IF(Paramètres!J29="",0,IF(Paramètres!K29="",NA(),IF(LEFT(TRIM(Paramètres!K29),1)="F",INDEX($F$2327:$F$2379,MATCH(Paramètres!J29,Paramètres!$G$5:$G$57,0)),INDEX($E$2327:$E$2379,MATCH(Paramètres!J29,Paramètres!$G$5:$G$57,0)))+IF(RIGHT(TRIM(Paramètres!K29),3)="Fin",1-$H2351,IF(LEFT(TRIM(Paramètres!K29),1)="F",1,0)))),IF(Paramètres!L29="",0,IF(Paramètres!M29="",NA(),IF(LEFT(TRIM(Paramètres!M29),1)="F",INDEX($F$2327:$F$2379,MATCH(Paramètres!L29,Paramètres!$G$5:$G$57,0)),INDEX($E$2327:$E$2379,MATCH(Paramètres!L29,Paramètres!$G$5:$G$57,0)))+IF(RIGHT(TRIM(Paramètres!M29),3)="Fin",1-$H2351,IF(LEFT(TRIM(Paramètres!M29),1)="F",1,0)))),IF(Paramètres!N29="",0,IF(Paramètres!O29="",NA(),IF(LEFT(TRIM(Paramètres!O29),1)="F",INDEX($F$2327:$F$2379,MATCH(Paramètres!N29,Paramètres!$G$5:$G$57,0)),INDEX($E$2327:$E$2379,MATCH(Paramètres!N29,Paramètres!$G$5:$G$57,0)))+IF(RIGHT(TRIM(Paramètres!O29),3)="Fin",1-$H2351,IF(LEFT(TRIM(Paramètres!O29),1)="F",1,0)))))))</f>
        <v/>
      </c>
      <c r="F2351" s="19">
        <f>IF($A2351="","",E2351+$H2351-1)</f>
        <v/>
      </c>
      <c r="G2351" s="18" t="n"/>
      <c r="H2351" s="18">
        <f>IF($A2351="","",IF(I2351&lt;&gt;"",I2351,Paramètres!B29))</f>
        <v/>
      </c>
      <c r="I2351" s="18" t="n"/>
    </row>
    <row r="2352">
      <c r="A2352" s="18">
        <f>IF(ISNUMBER(Dossiers!$D$47),Dossiers!$A$47&amp;" · "&amp;Dossiers!$B$47,"")</f>
        <v/>
      </c>
      <c r="B2352" s="18">
        <f>IF($A2352="","",Paramètres!G30)</f>
        <v/>
      </c>
      <c r="C2352" s="18">
        <f>IF($A2352="","",IF(Paramètres!H30="","",Paramètres!H30))</f>
        <v/>
      </c>
      <c r="D2352" s="18">
        <f>IF($A2352="","",IF(Paramètres!I30="","",Paramètres!I30))</f>
        <v/>
      </c>
      <c r="E2352" s="19">
        <f>IF($A2352="","",IF(Paramètres!J30&amp;Paramètres!L30&amp;Paramètres!N30="",Dossiers!$D$47,MAX(IF(Paramètres!J30="",0,IF(Paramètres!K30="",NA(),IF(LEFT(TRIM(Paramètres!K30),1)="F",INDEX($F$2327:$F$2379,MATCH(Paramètres!J30,Paramètres!$G$5:$G$57,0)),INDEX($E$2327:$E$2379,MATCH(Paramètres!J30,Paramètres!$G$5:$G$57,0)))+IF(RIGHT(TRIM(Paramètres!K30),3)="Fin",1-$H2352,IF(LEFT(TRIM(Paramètres!K30),1)="F",1,0)))),IF(Paramètres!L30="",0,IF(Paramètres!M30="",NA(),IF(LEFT(TRIM(Paramètres!M30),1)="F",INDEX($F$2327:$F$2379,MATCH(Paramètres!L30,Paramètres!$G$5:$G$57,0)),INDEX($E$2327:$E$2379,MATCH(Paramètres!L30,Paramètres!$G$5:$G$57,0)))+IF(RIGHT(TRIM(Paramètres!M30),3)="Fin",1-$H2352,IF(LEFT(TRIM(Paramètres!M30),1)="F",1,0)))),IF(Paramètres!N30="",0,IF(Paramètres!O30="",NA(),IF(LEFT(TRIM(Paramètres!O30),1)="F",INDEX($F$2327:$F$2379,MATCH(Paramètres!N30,Paramètres!$G$5:$G$57,0)),INDEX($E$2327:$E$2379,MATCH(Paramètres!N30,Paramètres!$G$5:$G$57,0)))+IF(RIGHT(TRIM(Paramètres!O30),3)="Fin",1-$H2352,IF(LEFT(TRIM(Paramètres!O30),1)="F",1,0)))))))</f>
        <v/>
      </c>
      <c r="F2352" s="19">
        <f>IF($A2352="","",E2352+$H2352-1)</f>
        <v/>
      </c>
      <c r="G2352" s="18" t="n"/>
      <c r="H2352" s="18">
        <f>IF($A2352="","",IF(I2352&lt;&gt;"",I2352,Paramètres!B30))</f>
        <v/>
      </c>
      <c r="I2352" s="18" t="n"/>
    </row>
    <row r="2353">
      <c r="A2353" s="18">
        <f>IF(ISNUMBER(Dossiers!$D$47),Dossiers!$A$47&amp;" · "&amp;Dossiers!$B$47,"")</f>
        <v/>
      </c>
      <c r="B2353" s="18">
        <f>IF($A2353="","",Paramètres!G31)</f>
        <v/>
      </c>
      <c r="C2353" s="20">
        <f>IF($A2353="","",IF(Dossiers!$F$47="","",Dossiers!$F$47))</f>
        <v/>
      </c>
      <c r="D2353" s="18">
        <f>IF($A2353="","",IF(Paramètres!I31="","",Paramètres!I31))</f>
        <v/>
      </c>
      <c r="E2353" s="19">
        <f>IF($A2353="","",IF(Paramètres!J31&amp;Paramètres!L31&amp;Paramètres!N31="",Dossiers!$D$47,MAX(IF(Paramètres!J31="",0,IF(Paramètres!K31="",NA(),IF(LEFT(TRIM(Paramètres!K31),1)="F",INDEX($F$2327:$F$2379,MATCH(Paramètres!J31,Paramètres!$G$5:$G$57,0)),INDEX($E$2327:$E$2379,MATCH(Paramètres!J31,Paramètres!$G$5:$G$57,0)))+IF(RIGHT(TRIM(Paramètres!K31),3)="Fin",1-$H2353,IF(LEFT(TRIM(Paramètres!K31),1)="F",1,0)))),IF(Paramètres!L31="",0,IF(Paramètres!M31="",NA(),IF(LEFT(TRIM(Paramètres!M31),1)="F",INDEX($F$2327:$F$2379,MATCH(Paramètres!L31,Paramètres!$G$5:$G$57,0)),INDEX($E$2327:$E$2379,MATCH(Paramètres!L31,Paramètres!$G$5:$G$57,0)))+IF(RIGHT(TRIM(Paramètres!M31),3)="Fin",1-$H2353,IF(LEFT(TRIM(Paramètres!M31),1)="F",1,0)))),IF(Paramètres!N31="",0,IF(Paramètres!O31="",NA(),IF(LEFT(TRIM(Paramètres!O31),1)="F",INDEX($F$2327:$F$2379,MATCH(Paramètres!N31,Paramètres!$G$5:$G$57,0)),INDEX($E$2327:$E$2379,MATCH(Paramètres!N31,Paramètres!$G$5:$G$57,0)))+IF(RIGHT(TRIM(Paramètres!O31),3)="Fin",1-$H2353,IF(LEFT(TRIM(Paramètres!O31),1)="F",1,0)))))))</f>
        <v/>
      </c>
      <c r="F2353" s="19">
        <f>IF($A2353="","",E2353+$H2353-1)</f>
        <v/>
      </c>
      <c r="G2353" s="18" t="n"/>
      <c r="H2353" s="18">
        <f>IF($A2353="","",IF(I2353&lt;&gt;"",I2353,Paramètres!B31))</f>
        <v/>
      </c>
      <c r="I2353" s="18" t="n"/>
    </row>
    <row r="2354">
      <c r="A2354" s="18">
        <f>IF(ISNUMBER(Dossiers!$D$47),Dossiers!$A$47&amp;" · "&amp;Dossiers!$B$47,"")</f>
        <v/>
      </c>
      <c r="B2354" s="18">
        <f>IF($A2354="","",Paramètres!G32)</f>
        <v/>
      </c>
      <c r="C2354" s="18">
        <f>IF($A2354="","",IF(Paramètres!H32="","",Paramètres!H32))</f>
        <v/>
      </c>
      <c r="D2354" s="18">
        <f>IF($A2354="","",IF(Paramètres!I32="","",Paramètres!I32))</f>
        <v/>
      </c>
      <c r="E2354" s="19">
        <f>IF($A2354="","",MIN(E2355:E2358))</f>
        <v/>
      </c>
      <c r="F2354" s="19">
        <f>IF($A2354="","",MAX(F2355:F2358))</f>
        <v/>
      </c>
      <c r="G2354" s="18" t="n"/>
      <c r="H2354" s="18">
        <f>IF($A2354="","",F2354-E2354+1)</f>
        <v/>
      </c>
      <c r="I2354" s="18" t="n"/>
    </row>
    <row r="2355">
      <c r="A2355" s="18">
        <f>IF(ISNUMBER(Dossiers!$D$47),Dossiers!$A$47&amp;" · "&amp;Dossiers!$B$47,"")</f>
        <v/>
      </c>
      <c r="B2355" s="18">
        <f>IF($A2355="","",Paramètres!G33)</f>
        <v/>
      </c>
      <c r="C2355" s="18">
        <f>IF($A2355="","",IF(Paramètres!H33="","",Paramètres!H33))</f>
        <v/>
      </c>
      <c r="D2355" s="18">
        <f>IF($A2355="","",IF(Paramètres!I33="","",Paramètres!I33))</f>
        <v/>
      </c>
      <c r="E2355" s="19">
        <f>IF($A2355="","",IF(Paramètres!J33&amp;Paramètres!L33&amp;Paramètres!N33="",Dossiers!$D$47,MAX(IF(Paramètres!J33="",0,IF(Paramètres!K33="",NA(),IF(LEFT(TRIM(Paramètres!K33),1)="F",INDEX($F$2327:$F$2379,MATCH(Paramètres!J33,Paramètres!$G$5:$G$57,0)),INDEX($E$2327:$E$2379,MATCH(Paramètres!J33,Paramètres!$G$5:$G$57,0)))+IF(RIGHT(TRIM(Paramètres!K33),3)="Fin",1-$H2355,IF(LEFT(TRIM(Paramètres!K33),1)="F",1,0)))),IF(Paramètres!L33="",0,IF(Paramètres!M33="",NA(),IF(LEFT(TRIM(Paramètres!M33),1)="F",INDEX($F$2327:$F$2379,MATCH(Paramètres!L33,Paramètres!$G$5:$G$57,0)),INDEX($E$2327:$E$2379,MATCH(Paramètres!L33,Paramètres!$G$5:$G$57,0)))+IF(RIGHT(TRIM(Paramètres!M33),3)="Fin",1-$H2355,IF(LEFT(TRIM(Paramètres!M33),1)="F",1,0)))),IF(Paramètres!N33="",0,IF(Paramètres!O33="",NA(),IF(LEFT(TRIM(Paramètres!O33),1)="F",INDEX($F$2327:$F$2379,MATCH(Paramètres!N33,Paramètres!$G$5:$G$57,0)),INDEX($E$2327:$E$2379,MATCH(Paramètres!N33,Paramètres!$G$5:$G$57,0)))+IF(RIGHT(TRIM(Paramètres!O33),3)="Fin",1-$H2355,IF(LEFT(TRIM(Paramètres!O33),1)="F",1,0)))))))</f>
        <v/>
      </c>
      <c r="F2355" s="19">
        <f>IF($A2355="","",E2355+$H2355-1)</f>
        <v/>
      </c>
      <c r="G2355" s="18" t="n"/>
      <c r="H2355" s="18">
        <f>IF($A2355="","",IF(I2355&lt;&gt;"",I2355,Paramètres!B33))</f>
        <v/>
      </c>
      <c r="I2355" s="18" t="n"/>
    </row>
    <row r="2356">
      <c r="A2356" s="18">
        <f>IF(ISNUMBER(Dossiers!$D$47),Dossiers!$A$47&amp;" · "&amp;Dossiers!$B$47,"")</f>
        <v/>
      </c>
      <c r="B2356" s="18">
        <f>IF($A2356="","",Paramètres!G34)</f>
        <v/>
      </c>
      <c r="C2356" s="18">
        <f>IF($A2356="","",IF(Paramètres!H34="","",Paramètres!H34))</f>
        <v/>
      </c>
      <c r="D2356" s="18">
        <f>IF($A2356="","",IF(Paramètres!I34="","",Paramètres!I34))</f>
        <v/>
      </c>
      <c r="E2356" s="19">
        <f>IF($A2356="","",IF(Paramètres!J34&amp;Paramètres!L34&amp;Paramètres!N34="",Dossiers!$D$47,MAX(IF(Paramètres!J34="",0,IF(Paramètres!K34="",NA(),IF(LEFT(TRIM(Paramètres!K34),1)="F",INDEX($F$2327:$F$2379,MATCH(Paramètres!J34,Paramètres!$G$5:$G$57,0)),INDEX($E$2327:$E$2379,MATCH(Paramètres!J34,Paramètres!$G$5:$G$57,0)))+IF(RIGHT(TRIM(Paramètres!K34),3)="Fin",1-$H2356,IF(LEFT(TRIM(Paramètres!K34),1)="F",1,0)))),IF(Paramètres!L34="",0,IF(Paramètres!M34="",NA(),IF(LEFT(TRIM(Paramètres!M34),1)="F",INDEX($F$2327:$F$2379,MATCH(Paramètres!L34,Paramètres!$G$5:$G$57,0)),INDEX($E$2327:$E$2379,MATCH(Paramètres!L34,Paramètres!$G$5:$G$57,0)))+IF(RIGHT(TRIM(Paramètres!M34),3)="Fin",1-$H2356,IF(LEFT(TRIM(Paramètres!M34),1)="F",1,0)))),IF(Paramètres!N34="",0,IF(Paramètres!O34="",NA(),IF(LEFT(TRIM(Paramètres!O34),1)="F",INDEX($F$2327:$F$2379,MATCH(Paramètres!N34,Paramètres!$G$5:$G$57,0)),INDEX($E$2327:$E$2379,MATCH(Paramètres!N34,Paramètres!$G$5:$G$57,0)))+IF(RIGHT(TRIM(Paramètres!O34),3)="Fin",1-$H2356,IF(LEFT(TRIM(Paramètres!O34),1)="F",1,0)))))))</f>
        <v/>
      </c>
      <c r="F2356" s="19">
        <f>IF($A2356="","",E2356+$H2356-1)</f>
        <v/>
      </c>
      <c r="G2356" s="18" t="n"/>
      <c r="H2356" s="18">
        <f>IF($A2356="","",IF(I2356&lt;&gt;"",I2356,Paramètres!B34))</f>
        <v/>
      </c>
      <c r="I2356" s="18" t="n"/>
    </row>
    <row r="2357">
      <c r="A2357" s="18">
        <f>IF(ISNUMBER(Dossiers!$D$47),Dossiers!$A$47&amp;" · "&amp;Dossiers!$B$47,"")</f>
        <v/>
      </c>
      <c r="B2357" s="18">
        <f>IF($A2357="","",Paramètres!G35)</f>
        <v/>
      </c>
      <c r="C2357" s="18">
        <f>IF($A2357="","",IF(Paramètres!H35="","",Paramètres!H35))</f>
        <v/>
      </c>
      <c r="D2357" s="18">
        <f>IF($A2357="","",IF(Paramètres!I35="","",Paramètres!I35))</f>
        <v/>
      </c>
      <c r="E2357" s="19">
        <f>IF($A2357="","",IF(Paramètres!J35&amp;Paramètres!L35&amp;Paramètres!N35="",Dossiers!$D$47,MAX(IF(Paramètres!J35="",0,IF(Paramètres!K35="",NA(),IF(LEFT(TRIM(Paramètres!K35),1)="F",INDEX($F$2327:$F$2379,MATCH(Paramètres!J35,Paramètres!$G$5:$G$57,0)),INDEX($E$2327:$E$2379,MATCH(Paramètres!J35,Paramètres!$G$5:$G$57,0)))+IF(RIGHT(TRIM(Paramètres!K35),3)="Fin",1-$H2357,IF(LEFT(TRIM(Paramètres!K35),1)="F",1,0)))),IF(Paramètres!L35="",0,IF(Paramètres!M35="",NA(),IF(LEFT(TRIM(Paramètres!M35),1)="F",INDEX($F$2327:$F$2379,MATCH(Paramètres!L35,Paramètres!$G$5:$G$57,0)),INDEX($E$2327:$E$2379,MATCH(Paramètres!L35,Paramètres!$G$5:$G$57,0)))+IF(RIGHT(TRIM(Paramètres!M35),3)="Fin",1-$H2357,IF(LEFT(TRIM(Paramètres!M35),1)="F",1,0)))),IF(Paramètres!N35="",0,IF(Paramètres!O35="",NA(),IF(LEFT(TRIM(Paramètres!O35),1)="F",INDEX($F$2327:$F$2379,MATCH(Paramètres!N35,Paramètres!$G$5:$G$57,0)),INDEX($E$2327:$E$2379,MATCH(Paramètres!N35,Paramètres!$G$5:$G$57,0)))+IF(RIGHT(TRIM(Paramètres!O35),3)="Fin",1-$H2357,IF(LEFT(TRIM(Paramètres!O35),1)="F",1,0)))))))</f>
        <v/>
      </c>
      <c r="F2357" s="19">
        <f>IF($A2357="","",E2357+$H2357-1)</f>
        <v/>
      </c>
      <c r="G2357" s="18" t="n"/>
      <c r="H2357" s="18">
        <f>IF($A2357="","",IF(I2357&lt;&gt;"",I2357,Paramètres!B35))</f>
        <v/>
      </c>
      <c r="I2357" s="18" t="n"/>
    </row>
    <row r="2358">
      <c r="A2358" s="18">
        <f>IF(ISNUMBER(Dossiers!$D$47),Dossiers!$A$47&amp;" · "&amp;Dossiers!$B$47,"")</f>
        <v/>
      </c>
      <c r="B2358" s="18">
        <f>IF($A2358="","",Paramètres!G36)</f>
        <v/>
      </c>
      <c r="C2358" s="18">
        <f>IF($A2358="","",IF(Paramètres!H36="","",Paramètres!H36))</f>
        <v/>
      </c>
      <c r="D2358" s="18">
        <f>IF($A2358="","",IF(Paramètres!I36="","",Paramètres!I36))</f>
        <v/>
      </c>
      <c r="E2358" s="19">
        <f>IF($A2358="","",IF(Paramètres!J36&amp;Paramètres!L36&amp;Paramètres!N36="",Dossiers!$D$47,MAX(IF(Paramètres!J36="",0,IF(Paramètres!K36="",NA(),IF(LEFT(TRIM(Paramètres!K36),1)="F",INDEX($F$2327:$F$2379,MATCH(Paramètres!J36,Paramètres!$G$5:$G$57,0)),INDEX($E$2327:$E$2379,MATCH(Paramètres!J36,Paramètres!$G$5:$G$57,0)))+IF(RIGHT(TRIM(Paramètres!K36),3)="Fin",1-$H2358,IF(LEFT(TRIM(Paramètres!K36),1)="F",1,0)))),IF(Paramètres!L36="",0,IF(Paramètres!M36="",NA(),IF(LEFT(TRIM(Paramètres!M36),1)="F",INDEX($F$2327:$F$2379,MATCH(Paramètres!L36,Paramètres!$G$5:$G$57,0)),INDEX($E$2327:$E$2379,MATCH(Paramètres!L36,Paramètres!$G$5:$G$57,0)))+IF(RIGHT(TRIM(Paramètres!M36),3)="Fin",1-$H2358,IF(LEFT(TRIM(Paramètres!M36),1)="F",1,0)))),IF(Paramètres!N36="",0,IF(Paramètres!O36="",NA(),IF(LEFT(TRIM(Paramètres!O36),1)="F",INDEX($F$2327:$F$2379,MATCH(Paramètres!N36,Paramètres!$G$5:$G$57,0)),INDEX($E$2327:$E$2379,MATCH(Paramètres!N36,Paramètres!$G$5:$G$57,0)))+IF(RIGHT(TRIM(Paramètres!O36),3)="Fin",1-$H2358,IF(LEFT(TRIM(Paramètres!O36),1)="F",1,0)))))))</f>
        <v/>
      </c>
      <c r="F2358" s="19">
        <f>IF($A2358="","",E2358+$H2358-1)</f>
        <v/>
      </c>
      <c r="G2358" s="18" t="n"/>
      <c r="H2358" s="18">
        <f>IF($A2358="","",IF(I2358&lt;&gt;"",I2358,Paramètres!B36))</f>
        <v/>
      </c>
      <c r="I2358" s="18" t="n"/>
    </row>
    <row r="2359">
      <c r="A2359" s="18">
        <f>IF(ISNUMBER(Dossiers!$D$47),Dossiers!$A$47&amp;" · "&amp;Dossiers!$B$47,"")</f>
        <v/>
      </c>
      <c r="B2359" s="18">
        <f>IF($A2359="","",Paramètres!G37)</f>
        <v/>
      </c>
      <c r="C2359" s="18">
        <f>IF($A2359="","",IF(Paramètres!H37="","",Paramètres!H37))</f>
        <v/>
      </c>
      <c r="D2359" s="18">
        <f>IF($A2359="","",IF(Paramètres!I37="","",Paramètres!I37))</f>
        <v/>
      </c>
      <c r="E2359" s="19">
        <f>IF($A2359="","",MIN(E2360:E2377))</f>
        <v/>
      </c>
      <c r="F2359" s="19">
        <f>IF($A2359="","",MAX(F2360:F2377))</f>
        <v/>
      </c>
      <c r="G2359" s="18" t="n"/>
      <c r="H2359" s="18">
        <f>IF($A2359="","",F2359-E2359+1)</f>
        <v/>
      </c>
      <c r="I2359" s="18" t="n"/>
    </row>
    <row r="2360">
      <c r="A2360" s="18">
        <f>IF(ISNUMBER(Dossiers!$D$47),Dossiers!$A$47&amp;" · "&amp;Dossiers!$B$47,"")</f>
        <v/>
      </c>
      <c r="B2360" s="18">
        <f>IF($A2360="","",Paramètres!G38)</f>
        <v/>
      </c>
      <c r="C2360" s="18">
        <f>IF($A2360="","",IF(Paramètres!H38="","",Paramètres!H38))</f>
        <v/>
      </c>
      <c r="D2360" s="18">
        <f>IF($A2360="","",IF(Paramètres!I38="","",Paramètres!I38))</f>
        <v/>
      </c>
      <c r="E2360" s="19">
        <f>IF($A2360="","",IF(Paramètres!J38&amp;Paramètres!L38&amp;Paramètres!N38="",Dossiers!$D$47,MAX(IF(Paramètres!J38="",0,IF(Paramètres!K38="",NA(),IF(LEFT(TRIM(Paramètres!K38),1)="F",INDEX($F$2327:$F$2379,MATCH(Paramètres!J38,Paramètres!$G$5:$G$57,0)),INDEX($E$2327:$E$2379,MATCH(Paramètres!J38,Paramètres!$G$5:$G$57,0)))+IF(RIGHT(TRIM(Paramètres!K38),3)="Fin",1-$H2360,IF(LEFT(TRIM(Paramètres!K38),1)="F",1,0)))),IF(Paramètres!L38="",0,IF(Paramètres!M38="",NA(),IF(LEFT(TRIM(Paramètres!M38),1)="F",INDEX($F$2327:$F$2379,MATCH(Paramètres!L38,Paramètres!$G$5:$G$57,0)),INDEX($E$2327:$E$2379,MATCH(Paramètres!L38,Paramètres!$G$5:$G$57,0)))+IF(RIGHT(TRIM(Paramètres!M38),3)="Fin",1-$H2360,IF(LEFT(TRIM(Paramètres!M38),1)="F",1,0)))),IF(Paramètres!N38="",0,IF(Paramètres!O38="",NA(),IF(LEFT(TRIM(Paramètres!O38),1)="F",INDEX($F$2327:$F$2379,MATCH(Paramètres!N38,Paramètres!$G$5:$G$57,0)),INDEX($E$2327:$E$2379,MATCH(Paramètres!N38,Paramètres!$G$5:$G$57,0)))+IF(RIGHT(TRIM(Paramètres!O38),3)="Fin",1-$H2360,IF(LEFT(TRIM(Paramètres!O38),1)="F",1,0)))))))</f>
        <v/>
      </c>
      <c r="F2360" s="19">
        <f>IF($A2360="","",E2360+$H2360-1)</f>
        <v/>
      </c>
      <c r="G2360" s="18" t="n"/>
      <c r="H2360" s="18">
        <f>IF($A2360="","",IF(I2360&lt;&gt;"",I2360,Paramètres!B38))</f>
        <v/>
      </c>
      <c r="I2360" s="18" t="n"/>
    </row>
    <row r="2361">
      <c r="A2361" s="18">
        <f>IF(ISNUMBER(Dossiers!$D$47),Dossiers!$A$47&amp;" · "&amp;Dossiers!$B$47,"")</f>
        <v/>
      </c>
      <c r="B2361" s="18">
        <f>IF($A2361="","",Paramètres!G39)</f>
        <v/>
      </c>
      <c r="C2361" s="18">
        <f>IF($A2361="","",IF(Paramètres!H39="","",Paramètres!H39))</f>
        <v/>
      </c>
      <c r="D2361" s="18">
        <f>IF($A2361="","",IF(Paramètres!I39="","",Paramètres!I39))</f>
        <v/>
      </c>
      <c r="E2361" s="19">
        <f>IF($A2361="","",IF(Paramètres!J39&amp;Paramètres!L39&amp;Paramètres!N39="",Dossiers!$D$47,MAX(IF(Paramètres!J39="",0,IF(Paramètres!K39="",NA(),IF(LEFT(TRIM(Paramètres!K39),1)="F",INDEX($F$2327:$F$2379,MATCH(Paramètres!J39,Paramètres!$G$5:$G$57,0)),INDEX($E$2327:$E$2379,MATCH(Paramètres!J39,Paramètres!$G$5:$G$57,0)))+IF(RIGHT(TRIM(Paramètres!K39),3)="Fin",1-$H2361,IF(LEFT(TRIM(Paramètres!K39),1)="F",1,0)))),IF(Paramètres!L39="",0,IF(Paramètres!M39="",NA(),IF(LEFT(TRIM(Paramètres!M39),1)="F",INDEX($F$2327:$F$2379,MATCH(Paramètres!L39,Paramètres!$G$5:$G$57,0)),INDEX($E$2327:$E$2379,MATCH(Paramètres!L39,Paramètres!$G$5:$G$57,0)))+IF(RIGHT(TRIM(Paramètres!M39),3)="Fin",1-$H2361,IF(LEFT(TRIM(Paramètres!M39),1)="F",1,0)))),IF(Paramètres!N39="",0,IF(Paramètres!O39="",NA(),IF(LEFT(TRIM(Paramètres!O39),1)="F",INDEX($F$2327:$F$2379,MATCH(Paramètres!N39,Paramètres!$G$5:$G$57,0)),INDEX($E$2327:$E$2379,MATCH(Paramètres!N39,Paramètres!$G$5:$G$57,0)))+IF(RIGHT(TRIM(Paramètres!O39),3)="Fin",1-$H2361,IF(LEFT(TRIM(Paramètres!O39),1)="F",1,0)))))))</f>
        <v/>
      </c>
      <c r="F2361" s="19">
        <f>IF($A2361="","",E2361+$H2361-1)</f>
        <v/>
      </c>
      <c r="G2361" s="18" t="n"/>
      <c r="H2361" s="18">
        <f>IF($A2361="","",IF(I2361&lt;&gt;"",I2361,Paramètres!B39))</f>
        <v/>
      </c>
      <c r="I2361" s="18" t="n"/>
    </row>
    <row r="2362">
      <c r="A2362" s="18">
        <f>IF(ISNUMBER(Dossiers!$D$47),Dossiers!$A$47&amp;" · "&amp;Dossiers!$B$47,"")</f>
        <v/>
      </c>
      <c r="B2362" s="18">
        <f>IF($A2362="","",Paramètres!G40)</f>
        <v/>
      </c>
      <c r="C2362" s="18">
        <f>IF($A2362="","",IF(Paramètres!H40="","",Paramètres!H40))</f>
        <v/>
      </c>
      <c r="D2362" s="18">
        <f>IF($A2362="","",IF(Paramètres!I40="","",Paramètres!I40))</f>
        <v/>
      </c>
      <c r="E2362" s="19">
        <f>IF($A2362="","",IF(Paramètres!J40&amp;Paramètres!L40&amp;Paramètres!N40="",Dossiers!$D$47,MAX(IF(Paramètres!J40="",0,IF(Paramètres!K40="",NA(),IF(LEFT(TRIM(Paramètres!K40),1)="F",INDEX($F$2327:$F$2379,MATCH(Paramètres!J40,Paramètres!$G$5:$G$57,0)),INDEX($E$2327:$E$2379,MATCH(Paramètres!J40,Paramètres!$G$5:$G$57,0)))+IF(RIGHT(TRIM(Paramètres!K40),3)="Fin",1-$H2362,IF(LEFT(TRIM(Paramètres!K40),1)="F",1,0)))),IF(Paramètres!L40="",0,IF(Paramètres!M40="",NA(),IF(LEFT(TRIM(Paramètres!M40),1)="F",INDEX($F$2327:$F$2379,MATCH(Paramètres!L40,Paramètres!$G$5:$G$57,0)),INDEX($E$2327:$E$2379,MATCH(Paramètres!L40,Paramètres!$G$5:$G$57,0)))+IF(RIGHT(TRIM(Paramètres!M40),3)="Fin",1-$H2362,IF(LEFT(TRIM(Paramètres!M40),1)="F",1,0)))),IF(Paramètres!N40="",0,IF(Paramètres!O40="",NA(),IF(LEFT(TRIM(Paramètres!O40),1)="F",INDEX($F$2327:$F$2379,MATCH(Paramètres!N40,Paramètres!$G$5:$G$57,0)),INDEX($E$2327:$E$2379,MATCH(Paramètres!N40,Paramètres!$G$5:$G$57,0)))+IF(RIGHT(TRIM(Paramètres!O40),3)="Fin",1-$H2362,IF(LEFT(TRIM(Paramètres!O40),1)="F",1,0)))))))</f>
        <v/>
      </c>
      <c r="F2362" s="19">
        <f>IF($A2362="","",E2362+$H2362-1)</f>
        <v/>
      </c>
      <c r="G2362" s="18" t="n"/>
      <c r="H2362" s="18">
        <f>IF($A2362="","",IF(I2362&lt;&gt;"",I2362,Paramètres!B40))</f>
        <v/>
      </c>
      <c r="I2362" s="18" t="n"/>
    </row>
    <row r="2363">
      <c r="A2363" s="18">
        <f>IF(ISNUMBER(Dossiers!$D$47),Dossiers!$A$47&amp;" · "&amp;Dossiers!$B$47,"")</f>
        <v/>
      </c>
      <c r="B2363" s="18">
        <f>IF($A2363="","",Paramètres!G41)</f>
        <v/>
      </c>
      <c r="C2363" s="18">
        <f>IF($A2363="","",IF(Paramètres!H41="","",Paramètres!H41))</f>
        <v/>
      </c>
      <c r="D2363" s="18">
        <f>IF($A2363="","",IF(Paramètres!I41="","",Paramètres!I41))</f>
        <v/>
      </c>
      <c r="E2363" s="19">
        <f>IF($A2363="","",IF(Paramètres!J41&amp;Paramètres!L41&amp;Paramètres!N41="",Dossiers!$D$47,MAX(IF(Paramètres!J41="",0,IF(Paramètres!K41="",NA(),IF(LEFT(TRIM(Paramètres!K41),1)="F",INDEX($F$2327:$F$2379,MATCH(Paramètres!J41,Paramètres!$G$5:$G$57,0)),INDEX($E$2327:$E$2379,MATCH(Paramètres!J41,Paramètres!$G$5:$G$57,0)))+IF(RIGHT(TRIM(Paramètres!K41),3)="Fin",1-$H2363,IF(LEFT(TRIM(Paramètres!K41),1)="F",1,0)))),IF(Paramètres!L41="",0,IF(Paramètres!M41="",NA(),IF(LEFT(TRIM(Paramètres!M41),1)="F",INDEX($F$2327:$F$2379,MATCH(Paramètres!L41,Paramètres!$G$5:$G$57,0)),INDEX($E$2327:$E$2379,MATCH(Paramètres!L41,Paramètres!$G$5:$G$57,0)))+IF(RIGHT(TRIM(Paramètres!M41),3)="Fin",1-$H2363,IF(LEFT(TRIM(Paramètres!M41),1)="F",1,0)))),IF(Paramètres!N41="",0,IF(Paramètres!O41="",NA(),IF(LEFT(TRIM(Paramètres!O41),1)="F",INDEX($F$2327:$F$2379,MATCH(Paramètres!N41,Paramètres!$G$5:$G$57,0)),INDEX($E$2327:$E$2379,MATCH(Paramètres!N41,Paramètres!$G$5:$G$57,0)))+IF(RIGHT(TRIM(Paramètres!O41),3)="Fin",1-$H2363,IF(LEFT(TRIM(Paramètres!O41),1)="F",1,0)))))))</f>
        <v/>
      </c>
      <c r="F2363" s="19">
        <f>IF($A2363="","",E2363+$H2363-1)</f>
        <v/>
      </c>
      <c r="G2363" s="18" t="n"/>
      <c r="H2363" s="18">
        <f>IF($A2363="","",IF(I2363&lt;&gt;"",I2363,Paramètres!B41))</f>
        <v/>
      </c>
      <c r="I2363" s="18" t="n"/>
    </row>
    <row r="2364">
      <c r="A2364" s="18">
        <f>IF(ISNUMBER(Dossiers!$D$47),Dossiers!$A$47&amp;" · "&amp;Dossiers!$B$47,"")</f>
        <v/>
      </c>
      <c r="B2364" s="18">
        <f>IF($A2364="","",Paramètres!G42)</f>
        <v/>
      </c>
      <c r="C2364" s="18">
        <f>IF($A2364="","",IF(Paramètres!H42="","",Paramètres!H42))</f>
        <v/>
      </c>
      <c r="D2364" s="18">
        <f>IF($A2364="","",IF(Paramètres!I42="","",Paramètres!I42))</f>
        <v/>
      </c>
      <c r="E2364" s="19">
        <f>IF($A2364="","",IF(Paramètres!J42&amp;Paramètres!L42&amp;Paramètres!N42="",Dossiers!$D$47,MAX(IF(Paramètres!J42="",0,IF(Paramètres!K42="",NA(),IF(LEFT(TRIM(Paramètres!K42),1)="F",INDEX($F$2327:$F$2379,MATCH(Paramètres!J42,Paramètres!$G$5:$G$57,0)),INDEX($E$2327:$E$2379,MATCH(Paramètres!J42,Paramètres!$G$5:$G$57,0)))+IF(RIGHT(TRIM(Paramètres!K42),3)="Fin",1-$H2364,IF(LEFT(TRIM(Paramètres!K42),1)="F",1,0)))),IF(Paramètres!L42="",0,IF(Paramètres!M42="",NA(),IF(LEFT(TRIM(Paramètres!M42),1)="F",INDEX($F$2327:$F$2379,MATCH(Paramètres!L42,Paramètres!$G$5:$G$57,0)),INDEX($E$2327:$E$2379,MATCH(Paramètres!L42,Paramètres!$G$5:$G$57,0)))+IF(RIGHT(TRIM(Paramètres!M42),3)="Fin",1-$H2364,IF(LEFT(TRIM(Paramètres!M42),1)="F",1,0)))),IF(Paramètres!N42="",0,IF(Paramètres!O42="",NA(),IF(LEFT(TRIM(Paramètres!O42),1)="F",INDEX($F$2327:$F$2379,MATCH(Paramètres!N42,Paramètres!$G$5:$G$57,0)),INDEX($E$2327:$E$2379,MATCH(Paramètres!N42,Paramètres!$G$5:$G$57,0)))+IF(RIGHT(TRIM(Paramètres!O42),3)="Fin",1-$H2364,IF(LEFT(TRIM(Paramètres!O42),1)="F",1,0)))))))</f>
        <v/>
      </c>
      <c r="F2364" s="19">
        <f>IF($A2364="","",E2364+$H2364-1)</f>
        <v/>
      </c>
      <c r="G2364" s="18" t="n"/>
      <c r="H2364" s="18">
        <f>IF($A2364="","",IF(I2364&lt;&gt;"",I2364,Paramètres!B42))</f>
        <v/>
      </c>
      <c r="I2364" s="18" t="n"/>
    </row>
    <row r="2365">
      <c r="A2365" s="18">
        <f>IF(ISNUMBER(Dossiers!$D$47),Dossiers!$A$47&amp;" · "&amp;Dossiers!$B$47,"")</f>
        <v/>
      </c>
      <c r="B2365" s="18">
        <f>IF($A2365="","",Paramètres!G43)</f>
        <v/>
      </c>
      <c r="C2365" s="18">
        <f>IF($A2365="","",IF(Paramètres!H43="","",Paramètres!H43))</f>
        <v/>
      </c>
      <c r="D2365" s="18">
        <f>IF($A2365="","",IF(Paramètres!I43="","",Paramètres!I43))</f>
        <v/>
      </c>
      <c r="E2365" s="19">
        <f>IF($A2365="","",IF(Paramètres!J43&amp;Paramètres!L43&amp;Paramètres!N43="",Dossiers!$D$47,MAX(IF(Paramètres!J43="",0,IF(Paramètres!K43="",NA(),IF(LEFT(TRIM(Paramètres!K43),1)="F",INDEX($F$2327:$F$2379,MATCH(Paramètres!J43,Paramètres!$G$5:$G$57,0)),INDEX($E$2327:$E$2379,MATCH(Paramètres!J43,Paramètres!$G$5:$G$57,0)))+IF(RIGHT(TRIM(Paramètres!K43),3)="Fin",1-$H2365,IF(LEFT(TRIM(Paramètres!K43),1)="F",1,0)))),IF(Paramètres!L43="",0,IF(Paramètres!M43="",NA(),IF(LEFT(TRIM(Paramètres!M43),1)="F",INDEX($F$2327:$F$2379,MATCH(Paramètres!L43,Paramètres!$G$5:$G$57,0)),INDEX($E$2327:$E$2379,MATCH(Paramètres!L43,Paramètres!$G$5:$G$57,0)))+IF(RIGHT(TRIM(Paramètres!M43),3)="Fin",1-$H2365,IF(LEFT(TRIM(Paramètres!M43),1)="F",1,0)))),IF(Paramètres!N43="",0,IF(Paramètres!O43="",NA(),IF(LEFT(TRIM(Paramètres!O43),1)="F",INDEX($F$2327:$F$2379,MATCH(Paramètres!N43,Paramètres!$G$5:$G$57,0)),INDEX($E$2327:$E$2379,MATCH(Paramètres!N43,Paramètres!$G$5:$G$57,0)))+IF(RIGHT(TRIM(Paramètres!O43),3)="Fin",1-$H2365,IF(LEFT(TRIM(Paramètres!O43),1)="F",1,0)))))))</f>
        <v/>
      </c>
      <c r="F2365" s="19">
        <f>IF($A2365="","",E2365+$H2365-1)</f>
        <v/>
      </c>
      <c r="G2365" s="18" t="n"/>
      <c r="H2365" s="18">
        <f>IF($A2365="","",IF(I2365&lt;&gt;"",I2365,Paramètres!B43))</f>
        <v/>
      </c>
      <c r="I2365" s="18" t="n"/>
    </row>
    <row r="2366">
      <c r="A2366" s="18">
        <f>IF(ISNUMBER(Dossiers!$D$47),Dossiers!$A$47&amp;" · "&amp;Dossiers!$B$47,"")</f>
        <v/>
      </c>
      <c r="B2366" s="18">
        <f>IF($A2366="","",Paramètres!G44)</f>
        <v/>
      </c>
      <c r="C2366" s="18">
        <f>IF($A2366="","",IF(Paramètres!H44="","",Paramètres!H44))</f>
        <v/>
      </c>
      <c r="D2366" s="18">
        <f>IF($A2366="","",IF(Paramètres!I44="","",Paramètres!I44))</f>
        <v/>
      </c>
      <c r="E2366" s="19">
        <f>IF($A2366="","",IF(Paramètres!J44&amp;Paramètres!L44&amp;Paramètres!N44="",Dossiers!$D$47,MAX(IF(Paramètres!J44="",0,IF(Paramètres!K44="",NA(),IF(LEFT(TRIM(Paramètres!K44),1)="F",INDEX($F$2327:$F$2379,MATCH(Paramètres!J44,Paramètres!$G$5:$G$57,0)),INDEX($E$2327:$E$2379,MATCH(Paramètres!J44,Paramètres!$G$5:$G$57,0)))+IF(RIGHT(TRIM(Paramètres!K44),3)="Fin",1-$H2366,IF(LEFT(TRIM(Paramètres!K44),1)="F",1,0)))),IF(Paramètres!L44="",0,IF(Paramètres!M44="",NA(),IF(LEFT(TRIM(Paramètres!M44),1)="F",INDEX($F$2327:$F$2379,MATCH(Paramètres!L44,Paramètres!$G$5:$G$57,0)),INDEX($E$2327:$E$2379,MATCH(Paramètres!L44,Paramètres!$G$5:$G$57,0)))+IF(RIGHT(TRIM(Paramètres!M44),3)="Fin",1-$H2366,IF(LEFT(TRIM(Paramètres!M44),1)="F",1,0)))),IF(Paramètres!N44="",0,IF(Paramètres!O44="",NA(),IF(LEFT(TRIM(Paramètres!O44),1)="F",INDEX($F$2327:$F$2379,MATCH(Paramètres!N44,Paramètres!$G$5:$G$57,0)),INDEX($E$2327:$E$2379,MATCH(Paramètres!N44,Paramètres!$G$5:$G$57,0)))+IF(RIGHT(TRIM(Paramètres!O44),3)="Fin",1-$H2366,IF(LEFT(TRIM(Paramètres!O44),1)="F",1,0)))))))</f>
        <v/>
      </c>
      <c r="F2366" s="19">
        <f>IF($A2366="","",E2366+$H2366-1)</f>
        <v/>
      </c>
      <c r="G2366" s="18" t="n"/>
      <c r="H2366" s="18">
        <f>IF($A2366="","",IF(I2366&lt;&gt;"",I2366,Paramètres!B44))</f>
        <v/>
      </c>
      <c r="I2366" s="18" t="n"/>
    </row>
    <row r="2367">
      <c r="A2367" s="18">
        <f>IF(ISNUMBER(Dossiers!$D$47),Dossiers!$A$47&amp;" · "&amp;Dossiers!$B$47,"")</f>
        <v/>
      </c>
      <c r="B2367" s="18">
        <f>IF($A2367="","",Paramètres!G45)</f>
        <v/>
      </c>
      <c r="C2367" s="20">
        <f>IF($A2367="","",IF(Dossiers!$G$47="","",Dossiers!$G$47))</f>
        <v/>
      </c>
      <c r="D2367" s="18">
        <f>IF($A2367="","",IF(Paramètres!I45="","",Paramètres!I45))</f>
        <v/>
      </c>
      <c r="E2367" s="19">
        <f>IF($A2367="","",IF(Paramètres!J45&amp;Paramètres!L45&amp;Paramètres!N45="",Dossiers!$D$47,MAX(IF(Paramètres!J45="",0,IF(Paramètres!K45="",NA(),IF(LEFT(TRIM(Paramètres!K45),1)="F",INDEX($F$2327:$F$2379,MATCH(Paramètres!J45,Paramètres!$G$5:$G$57,0)),INDEX($E$2327:$E$2379,MATCH(Paramètres!J45,Paramètres!$G$5:$G$57,0)))+IF(RIGHT(TRIM(Paramètres!K45),3)="Fin",1-$H2367,IF(LEFT(TRIM(Paramètres!K45),1)="F",1,0)))),IF(Paramètres!L45="",0,IF(Paramètres!M45="",NA(),IF(LEFT(TRIM(Paramètres!M45),1)="F",INDEX($F$2327:$F$2379,MATCH(Paramètres!L45,Paramètres!$G$5:$G$57,0)),INDEX($E$2327:$E$2379,MATCH(Paramètres!L45,Paramètres!$G$5:$G$57,0)))+IF(RIGHT(TRIM(Paramètres!M45),3)="Fin",1-$H2367,IF(LEFT(TRIM(Paramètres!M45),1)="F",1,0)))),IF(Paramètres!N45="",0,IF(Paramètres!O45="",NA(),IF(LEFT(TRIM(Paramètres!O45),1)="F",INDEX($F$2327:$F$2379,MATCH(Paramètres!N45,Paramètres!$G$5:$G$57,0)),INDEX($E$2327:$E$2379,MATCH(Paramètres!N45,Paramètres!$G$5:$G$57,0)))+IF(RIGHT(TRIM(Paramètres!O45),3)="Fin",1-$H2367,IF(LEFT(TRIM(Paramètres!O45),1)="F",1,0)))))))</f>
        <v/>
      </c>
      <c r="F2367" s="19">
        <f>IF($A2367="","",E2367+$H2367-1)</f>
        <v/>
      </c>
      <c r="G2367" s="18" t="n"/>
      <c r="H2367" s="18">
        <f>IF($A2367="","",IF(I2367&lt;&gt;"",I2367,Paramètres!B45))</f>
        <v/>
      </c>
      <c r="I2367" s="18" t="n"/>
    </row>
    <row r="2368">
      <c r="A2368" s="18">
        <f>IF(ISNUMBER(Dossiers!$D$47),Dossiers!$A$47&amp;" · "&amp;Dossiers!$B$47,"")</f>
        <v/>
      </c>
      <c r="B2368" s="18">
        <f>IF($A2368="","",Paramètres!G46)</f>
        <v/>
      </c>
      <c r="C2368" s="18">
        <f>IF($A2368="","",IF(Paramètres!H46="","",Paramètres!H46))</f>
        <v/>
      </c>
      <c r="D2368" s="18">
        <f>IF($A2368="","",IF(Paramètres!I46="","",Paramètres!I46))</f>
        <v/>
      </c>
      <c r="E2368" s="19">
        <f>IF($A2368="","",IF(Paramètres!J46&amp;Paramètres!L46&amp;Paramètres!N46="",Dossiers!$D$47,MAX(IF(Paramètres!J46="",0,IF(Paramètres!K46="",NA(),IF(LEFT(TRIM(Paramètres!K46),1)="F",INDEX($F$2327:$F$2379,MATCH(Paramètres!J46,Paramètres!$G$5:$G$57,0)),INDEX($E$2327:$E$2379,MATCH(Paramètres!J46,Paramètres!$G$5:$G$57,0)))+IF(RIGHT(TRIM(Paramètres!K46),3)="Fin",1-$H2368,IF(LEFT(TRIM(Paramètres!K46),1)="F",1,0)))),IF(Paramètres!L46="",0,IF(Paramètres!M46="",NA(),IF(LEFT(TRIM(Paramètres!M46),1)="F",INDEX($F$2327:$F$2379,MATCH(Paramètres!L46,Paramètres!$G$5:$G$57,0)),INDEX($E$2327:$E$2379,MATCH(Paramètres!L46,Paramètres!$G$5:$G$57,0)))+IF(RIGHT(TRIM(Paramètres!M46),3)="Fin",1-$H2368,IF(LEFT(TRIM(Paramètres!M46),1)="F",1,0)))),IF(Paramètres!N46="",0,IF(Paramètres!O46="",NA(),IF(LEFT(TRIM(Paramètres!O46),1)="F",INDEX($F$2327:$F$2379,MATCH(Paramètres!N46,Paramètres!$G$5:$G$57,0)),INDEX($E$2327:$E$2379,MATCH(Paramètres!N46,Paramètres!$G$5:$G$57,0)))+IF(RIGHT(TRIM(Paramètres!O46),3)="Fin",1-$H2368,IF(LEFT(TRIM(Paramètres!O46),1)="F",1,0)))))))</f>
        <v/>
      </c>
      <c r="F2368" s="19">
        <f>IF($A2368="","",E2368+$H2368-1)</f>
        <v/>
      </c>
      <c r="G2368" s="18" t="n"/>
      <c r="H2368" s="18">
        <f>IF($A2368="","",IF(I2368&lt;&gt;"",I2368,Paramètres!B46))</f>
        <v/>
      </c>
      <c r="I2368" s="18" t="n"/>
    </row>
    <row r="2369">
      <c r="A2369" s="18">
        <f>IF(ISNUMBER(Dossiers!$D$47),Dossiers!$A$47&amp;" · "&amp;Dossiers!$B$47,"")</f>
        <v/>
      </c>
      <c r="B2369" s="18">
        <f>IF($A2369="","",Paramètres!G47)</f>
        <v/>
      </c>
      <c r="C2369" s="18">
        <f>IF($A2369="","",IF(Paramètres!H47="","",Paramètres!H47))</f>
        <v/>
      </c>
      <c r="D2369" s="18">
        <f>IF($A2369="","",IF(Paramètres!I47="","",Paramètres!I47))</f>
        <v/>
      </c>
      <c r="E2369" s="19">
        <f>IF($A2369="","",IF(Paramètres!J47&amp;Paramètres!L47&amp;Paramètres!N47="",Dossiers!$D$47,MAX(IF(Paramètres!J47="",0,IF(Paramètres!K47="",NA(),IF(LEFT(TRIM(Paramètres!K47),1)="F",INDEX($F$2327:$F$2379,MATCH(Paramètres!J47,Paramètres!$G$5:$G$57,0)),INDEX($E$2327:$E$2379,MATCH(Paramètres!J47,Paramètres!$G$5:$G$57,0)))+IF(RIGHT(TRIM(Paramètres!K47),3)="Fin",1-$H2369,IF(LEFT(TRIM(Paramètres!K47),1)="F",1,0)))),IF(Paramètres!L47="",0,IF(Paramètres!M47="",NA(),IF(LEFT(TRIM(Paramètres!M47),1)="F",INDEX($F$2327:$F$2379,MATCH(Paramètres!L47,Paramètres!$G$5:$G$57,0)),INDEX($E$2327:$E$2379,MATCH(Paramètres!L47,Paramètres!$G$5:$G$57,0)))+IF(RIGHT(TRIM(Paramètres!M47),3)="Fin",1-$H2369,IF(LEFT(TRIM(Paramètres!M47),1)="F",1,0)))),IF(Paramètres!N47="",0,IF(Paramètres!O47="",NA(),IF(LEFT(TRIM(Paramètres!O47),1)="F",INDEX($F$2327:$F$2379,MATCH(Paramètres!N47,Paramètres!$G$5:$G$57,0)),INDEX($E$2327:$E$2379,MATCH(Paramètres!N47,Paramètres!$G$5:$G$57,0)))+IF(RIGHT(TRIM(Paramètres!O47),3)="Fin",1-$H2369,IF(LEFT(TRIM(Paramètres!O47),1)="F",1,0)))))))</f>
        <v/>
      </c>
      <c r="F2369" s="19">
        <f>IF($A2369="","",E2369+$H2369-1)</f>
        <v/>
      </c>
      <c r="G2369" s="18" t="n"/>
      <c r="H2369" s="18">
        <f>IF($A2369="","",IF(I2369&lt;&gt;"",I2369,Paramètres!B47))</f>
        <v/>
      </c>
      <c r="I2369" s="18" t="n"/>
    </row>
    <row r="2370">
      <c r="A2370" s="18">
        <f>IF(ISNUMBER(Dossiers!$D$47),Dossiers!$A$47&amp;" · "&amp;Dossiers!$B$47,"")</f>
        <v/>
      </c>
      <c r="B2370" s="18">
        <f>IF($A2370="","",Paramètres!G48)</f>
        <v/>
      </c>
      <c r="C2370" s="18">
        <f>IF($A2370="","",IF(Paramètres!H48="","",Paramètres!H48))</f>
        <v/>
      </c>
      <c r="D2370" s="18">
        <f>IF($A2370="","",IF(Paramètres!I48="","",Paramètres!I48))</f>
        <v/>
      </c>
      <c r="E2370" s="19">
        <f>IF($A2370="","",IF(Paramètres!J48&amp;Paramètres!L48&amp;Paramètres!N48="",Dossiers!$D$47,MAX(IF(Paramètres!J48="",0,IF(Paramètres!K48="",NA(),IF(LEFT(TRIM(Paramètres!K48),1)="F",INDEX($F$2327:$F$2379,MATCH(Paramètres!J48,Paramètres!$G$5:$G$57,0)),INDEX($E$2327:$E$2379,MATCH(Paramètres!J48,Paramètres!$G$5:$G$57,0)))+IF(RIGHT(TRIM(Paramètres!K48),3)="Fin",1-$H2370,IF(LEFT(TRIM(Paramètres!K48),1)="F",1,0)))),IF(Paramètres!L48="",0,IF(Paramètres!M48="",NA(),IF(LEFT(TRIM(Paramètres!M48),1)="F",INDEX($F$2327:$F$2379,MATCH(Paramètres!L48,Paramètres!$G$5:$G$57,0)),INDEX($E$2327:$E$2379,MATCH(Paramètres!L48,Paramètres!$G$5:$G$57,0)))+IF(RIGHT(TRIM(Paramètres!M48),3)="Fin",1-$H2370,IF(LEFT(TRIM(Paramètres!M48),1)="F",1,0)))),IF(Paramètres!N48="",0,IF(Paramètres!O48="",NA(),IF(LEFT(TRIM(Paramètres!O48),1)="F",INDEX($F$2327:$F$2379,MATCH(Paramètres!N48,Paramètres!$G$5:$G$57,0)),INDEX($E$2327:$E$2379,MATCH(Paramètres!N48,Paramètres!$G$5:$G$57,0)))+IF(RIGHT(TRIM(Paramètres!O48),3)="Fin",1-$H2370,IF(LEFT(TRIM(Paramètres!O48),1)="F",1,0)))))))</f>
        <v/>
      </c>
      <c r="F2370" s="19">
        <f>IF($A2370="","",E2370+$H2370-1)</f>
        <v/>
      </c>
      <c r="G2370" s="18" t="n"/>
      <c r="H2370" s="18">
        <f>IF($A2370="","",IF(I2370&lt;&gt;"",I2370,Paramètres!B48))</f>
        <v/>
      </c>
      <c r="I2370" s="18" t="n"/>
    </row>
    <row r="2371">
      <c r="A2371" s="18">
        <f>IF(ISNUMBER(Dossiers!$D$47),Dossiers!$A$47&amp;" · "&amp;Dossiers!$B$47,"")</f>
        <v/>
      </c>
      <c r="B2371" s="18">
        <f>IF($A2371="","",Paramètres!G49)</f>
        <v/>
      </c>
      <c r="C2371" s="18">
        <f>IF($A2371="","",IF(Paramètres!H49="","",Paramètres!H49))</f>
        <v/>
      </c>
      <c r="D2371" s="18">
        <f>IF($A2371="","",IF(Paramètres!I49="","",Paramètres!I49))</f>
        <v/>
      </c>
      <c r="E2371" s="19">
        <f>IF($A2371="","",IF(Paramètres!J49&amp;Paramètres!L49&amp;Paramètres!N49="",Dossiers!$D$47,MAX(IF(Paramètres!J49="",0,IF(Paramètres!K49="",NA(),IF(LEFT(TRIM(Paramètres!K49),1)="F",INDEX($F$2327:$F$2379,MATCH(Paramètres!J49,Paramètres!$G$5:$G$57,0)),INDEX($E$2327:$E$2379,MATCH(Paramètres!J49,Paramètres!$G$5:$G$57,0)))+IF(RIGHT(TRIM(Paramètres!K49),3)="Fin",1-$H2371,IF(LEFT(TRIM(Paramètres!K49),1)="F",1,0)))),IF(Paramètres!L49="",0,IF(Paramètres!M49="",NA(),IF(LEFT(TRIM(Paramètres!M49),1)="F",INDEX($F$2327:$F$2379,MATCH(Paramètres!L49,Paramètres!$G$5:$G$57,0)),INDEX($E$2327:$E$2379,MATCH(Paramètres!L49,Paramètres!$G$5:$G$57,0)))+IF(RIGHT(TRIM(Paramètres!M49),3)="Fin",1-$H2371,IF(LEFT(TRIM(Paramètres!M49),1)="F",1,0)))),IF(Paramètres!N49="",0,IF(Paramètres!O49="",NA(),IF(LEFT(TRIM(Paramètres!O49),1)="F",INDEX($F$2327:$F$2379,MATCH(Paramètres!N49,Paramètres!$G$5:$G$57,0)),INDEX($E$2327:$E$2379,MATCH(Paramètres!N49,Paramètres!$G$5:$G$57,0)))+IF(RIGHT(TRIM(Paramètres!O49),3)="Fin",1-$H2371,IF(LEFT(TRIM(Paramètres!O49),1)="F",1,0)))))))</f>
        <v/>
      </c>
      <c r="F2371" s="19">
        <f>IF($A2371="","",E2371+$H2371-1)</f>
        <v/>
      </c>
      <c r="G2371" s="18" t="n"/>
      <c r="H2371" s="18">
        <f>IF($A2371="","",IF(I2371&lt;&gt;"",I2371,Paramètres!B49))</f>
        <v/>
      </c>
      <c r="I2371" s="18" t="n"/>
    </row>
    <row r="2372">
      <c r="A2372" s="18">
        <f>IF(ISNUMBER(Dossiers!$D$47),Dossiers!$A$47&amp;" · "&amp;Dossiers!$B$47,"")</f>
        <v/>
      </c>
      <c r="B2372" s="18">
        <f>IF($A2372="","",Paramètres!G50)</f>
        <v/>
      </c>
      <c r="C2372" s="18">
        <f>IF($A2372="","",IF(Paramètres!H50="","",Paramètres!H50))</f>
        <v/>
      </c>
      <c r="D2372" s="18">
        <f>IF($A2372="","",IF(Paramètres!I50="","",Paramètres!I50))</f>
        <v/>
      </c>
      <c r="E2372" s="19">
        <f>IF($A2372="","",IF(Paramètres!J50&amp;Paramètres!L50&amp;Paramètres!N50="",Dossiers!$D$47,MAX(IF(Paramètres!J50="",0,IF(Paramètres!K50="",NA(),IF(LEFT(TRIM(Paramètres!K50),1)="F",INDEX($F$2327:$F$2379,MATCH(Paramètres!J50,Paramètres!$G$5:$G$57,0)),INDEX($E$2327:$E$2379,MATCH(Paramètres!J50,Paramètres!$G$5:$G$57,0)))+IF(RIGHT(TRIM(Paramètres!K50),3)="Fin",1-$H2372,IF(LEFT(TRIM(Paramètres!K50),1)="F",1,0)))),IF(Paramètres!L50="",0,IF(Paramètres!M50="",NA(),IF(LEFT(TRIM(Paramètres!M50),1)="F",INDEX($F$2327:$F$2379,MATCH(Paramètres!L50,Paramètres!$G$5:$G$57,0)),INDEX($E$2327:$E$2379,MATCH(Paramètres!L50,Paramètres!$G$5:$G$57,0)))+IF(RIGHT(TRIM(Paramètres!M50),3)="Fin",1-$H2372,IF(LEFT(TRIM(Paramètres!M50),1)="F",1,0)))),IF(Paramètres!N50="",0,IF(Paramètres!O50="",NA(),IF(LEFT(TRIM(Paramètres!O50),1)="F",INDEX($F$2327:$F$2379,MATCH(Paramètres!N50,Paramètres!$G$5:$G$57,0)),INDEX($E$2327:$E$2379,MATCH(Paramètres!N50,Paramètres!$G$5:$G$57,0)))+IF(RIGHT(TRIM(Paramètres!O50),3)="Fin",1-$H2372,IF(LEFT(TRIM(Paramètres!O50),1)="F",1,0)))))))</f>
        <v/>
      </c>
      <c r="F2372" s="19">
        <f>IF($A2372="","",E2372+$H2372-1)</f>
        <v/>
      </c>
      <c r="G2372" s="18" t="n"/>
      <c r="H2372" s="18">
        <f>IF($A2372="","",IF(I2372&lt;&gt;"",I2372,Paramètres!B50))</f>
        <v/>
      </c>
      <c r="I2372" s="18" t="n"/>
    </row>
    <row r="2373">
      <c r="A2373" s="18">
        <f>IF(ISNUMBER(Dossiers!$D$47),Dossiers!$A$47&amp;" · "&amp;Dossiers!$B$47,"")</f>
        <v/>
      </c>
      <c r="B2373" s="18">
        <f>IF($A2373="","",Paramètres!G51)</f>
        <v/>
      </c>
      <c r="C2373" s="18">
        <f>IF($A2373="","",IF(Paramètres!H51="","",Paramètres!H51))</f>
        <v/>
      </c>
      <c r="D2373" s="18">
        <f>IF($A2373="","",IF(Paramètres!I51="","",Paramètres!I51))</f>
        <v/>
      </c>
      <c r="E2373" s="19">
        <f>IF($A2373="","",IF(Paramètres!J51&amp;Paramètres!L51&amp;Paramètres!N51="",Dossiers!$D$47,MAX(IF(Paramètres!J51="",0,IF(Paramètres!K51="",NA(),IF(LEFT(TRIM(Paramètres!K51),1)="F",INDEX($F$2327:$F$2379,MATCH(Paramètres!J51,Paramètres!$G$5:$G$57,0)),INDEX($E$2327:$E$2379,MATCH(Paramètres!J51,Paramètres!$G$5:$G$57,0)))+IF(RIGHT(TRIM(Paramètres!K51),3)="Fin",1-$H2373,IF(LEFT(TRIM(Paramètres!K51),1)="F",1,0)))),IF(Paramètres!L51="",0,IF(Paramètres!M51="",NA(),IF(LEFT(TRIM(Paramètres!M51),1)="F",INDEX($F$2327:$F$2379,MATCH(Paramètres!L51,Paramètres!$G$5:$G$57,0)),INDEX($E$2327:$E$2379,MATCH(Paramètres!L51,Paramètres!$G$5:$G$57,0)))+IF(RIGHT(TRIM(Paramètres!M51),3)="Fin",1-$H2373,IF(LEFT(TRIM(Paramètres!M51),1)="F",1,0)))),IF(Paramètres!N51="",0,IF(Paramètres!O51="",NA(),IF(LEFT(TRIM(Paramètres!O51),1)="F",INDEX($F$2327:$F$2379,MATCH(Paramètres!N51,Paramètres!$G$5:$G$57,0)),INDEX($E$2327:$E$2379,MATCH(Paramètres!N51,Paramètres!$G$5:$G$57,0)))+IF(RIGHT(TRIM(Paramètres!O51),3)="Fin",1-$H2373,IF(LEFT(TRIM(Paramètres!O51),1)="F",1,0)))))))</f>
        <v/>
      </c>
      <c r="F2373" s="19">
        <f>IF($A2373="","",E2373+$H2373-1)</f>
        <v/>
      </c>
      <c r="G2373" s="18" t="n"/>
      <c r="H2373" s="18">
        <f>IF($A2373="","",IF(I2373&lt;&gt;"",I2373,Paramètres!B51))</f>
        <v/>
      </c>
      <c r="I2373" s="18" t="n"/>
    </row>
    <row r="2374">
      <c r="A2374" s="18">
        <f>IF(ISNUMBER(Dossiers!$D$47),Dossiers!$A$47&amp;" · "&amp;Dossiers!$B$47,"")</f>
        <v/>
      </c>
      <c r="B2374" s="18">
        <f>IF($A2374="","",Paramètres!G52)</f>
        <v/>
      </c>
      <c r="C2374" s="18">
        <f>IF($A2374="","",IF(Paramètres!H52="","",Paramètres!H52))</f>
        <v/>
      </c>
      <c r="D2374" s="18">
        <f>IF($A2374="","",IF(Paramètres!I52="","",Paramètres!I52))</f>
        <v/>
      </c>
      <c r="E2374" s="19">
        <f>IF($A2374="","",IF(Paramètres!J52&amp;Paramètres!L52&amp;Paramètres!N52="",Dossiers!$D$47,MAX(IF(Paramètres!J52="",0,IF(Paramètres!K52="",NA(),IF(LEFT(TRIM(Paramètres!K52),1)="F",INDEX($F$2327:$F$2379,MATCH(Paramètres!J52,Paramètres!$G$5:$G$57,0)),INDEX($E$2327:$E$2379,MATCH(Paramètres!J52,Paramètres!$G$5:$G$57,0)))+IF(RIGHT(TRIM(Paramètres!K52),3)="Fin",1-$H2374,IF(LEFT(TRIM(Paramètres!K52),1)="F",1,0)))),IF(Paramètres!L52="",0,IF(Paramètres!M52="",NA(),IF(LEFT(TRIM(Paramètres!M52),1)="F",INDEX($F$2327:$F$2379,MATCH(Paramètres!L52,Paramètres!$G$5:$G$57,0)),INDEX($E$2327:$E$2379,MATCH(Paramètres!L52,Paramètres!$G$5:$G$57,0)))+IF(RIGHT(TRIM(Paramètres!M52),3)="Fin",1-$H2374,IF(LEFT(TRIM(Paramètres!M52),1)="F",1,0)))),IF(Paramètres!N52="",0,IF(Paramètres!O52="",NA(),IF(LEFT(TRIM(Paramètres!O52),1)="F",INDEX($F$2327:$F$2379,MATCH(Paramètres!N52,Paramètres!$G$5:$G$57,0)),INDEX($E$2327:$E$2379,MATCH(Paramètres!N52,Paramètres!$G$5:$G$57,0)))+IF(RIGHT(TRIM(Paramètres!O52),3)="Fin",1-$H2374,IF(LEFT(TRIM(Paramètres!O52),1)="F",1,0)))))))</f>
        <v/>
      </c>
      <c r="F2374" s="19">
        <f>IF($A2374="","",E2374+$H2374-1)</f>
        <v/>
      </c>
      <c r="G2374" s="18" t="n"/>
      <c r="H2374" s="18">
        <f>IF($A2374="","",IF(I2374&lt;&gt;"",I2374,Paramètres!B52))</f>
        <v/>
      </c>
      <c r="I2374" s="18" t="n"/>
    </row>
    <row r="2375">
      <c r="A2375" s="18">
        <f>IF(ISNUMBER(Dossiers!$D$47),Dossiers!$A$47&amp;" · "&amp;Dossiers!$B$47,"")</f>
        <v/>
      </c>
      <c r="B2375" s="18">
        <f>IF($A2375="","",Paramètres!G53)</f>
        <v/>
      </c>
      <c r="C2375" s="18">
        <f>IF($A2375="","",IF(Paramètres!H53="","",Paramètres!H53))</f>
        <v/>
      </c>
      <c r="D2375" s="18">
        <f>IF($A2375="","",IF(Paramètres!I53="","",Paramètres!I53))</f>
        <v/>
      </c>
      <c r="E2375" s="19">
        <f>IF($A2375="","",IF(Paramètres!J53&amp;Paramètres!L53&amp;Paramètres!N53="",Dossiers!$D$47,MAX(IF(Paramètres!J53="",0,IF(Paramètres!K53="",NA(),IF(LEFT(TRIM(Paramètres!K53),1)="F",INDEX($F$2327:$F$2379,MATCH(Paramètres!J53,Paramètres!$G$5:$G$57,0)),INDEX($E$2327:$E$2379,MATCH(Paramètres!J53,Paramètres!$G$5:$G$57,0)))+IF(RIGHT(TRIM(Paramètres!K53),3)="Fin",1-$H2375,IF(LEFT(TRIM(Paramètres!K53),1)="F",1,0)))),IF(Paramètres!L53="",0,IF(Paramètres!M53="",NA(),IF(LEFT(TRIM(Paramètres!M53),1)="F",INDEX($F$2327:$F$2379,MATCH(Paramètres!L53,Paramètres!$G$5:$G$57,0)),INDEX($E$2327:$E$2379,MATCH(Paramètres!L53,Paramètres!$G$5:$G$57,0)))+IF(RIGHT(TRIM(Paramètres!M53),3)="Fin",1-$H2375,IF(LEFT(TRIM(Paramètres!M53),1)="F",1,0)))),IF(Paramètres!N53="",0,IF(Paramètres!O53="",NA(),IF(LEFT(TRIM(Paramètres!O53),1)="F",INDEX($F$2327:$F$2379,MATCH(Paramètres!N53,Paramètres!$G$5:$G$57,0)),INDEX($E$2327:$E$2379,MATCH(Paramètres!N53,Paramètres!$G$5:$G$57,0)))+IF(RIGHT(TRIM(Paramètres!O53),3)="Fin",1-$H2375,IF(LEFT(TRIM(Paramètres!O53),1)="F",1,0)))))))</f>
        <v/>
      </c>
      <c r="F2375" s="19">
        <f>IF($A2375="","",E2375+$H2375-1)</f>
        <v/>
      </c>
      <c r="G2375" s="18" t="n"/>
      <c r="H2375" s="18">
        <f>IF($A2375="","",IF(I2375&lt;&gt;"",I2375,Paramètres!B53))</f>
        <v/>
      </c>
      <c r="I2375" s="18" t="n"/>
    </row>
    <row r="2376">
      <c r="A2376" s="18">
        <f>IF(ISNUMBER(Dossiers!$D$47),Dossiers!$A$47&amp;" · "&amp;Dossiers!$B$47,"")</f>
        <v/>
      </c>
      <c r="B2376" s="18">
        <f>IF($A2376="","",Paramètres!G54)</f>
        <v/>
      </c>
      <c r="C2376" s="18">
        <f>IF($A2376="","",IF(Paramètres!H54="","",Paramètres!H54))</f>
        <v/>
      </c>
      <c r="D2376" s="18">
        <f>IF($A2376="","",IF(Paramètres!I54="","",Paramètres!I54))</f>
        <v/>
      </c>
      <c r="E2376" s="19">
        <f>IF($A2376="","",IF(Paramètres!J54&amp;Paramètres!L54&amp;Paramètres!N54="",Dossiers!$D$47,MAX(IF(Paramètres!J54="",0,IF(Paramètres!K54="",NA(),IF(LEFT(TRIM(Paramètres!K54),1)="F",INDEX($F$2327:$F$2379,MATCH(Paramètres!J54,Paramètres!$G$5:$G$57,0)),INDEX($E$2327:$E$2379,MATCH(Paramètres!J54,Paramètres!$G$5:$G$57,0)))+IF(RIGHT(TRIM(Paramètres!K54),3)="Fin",1-$H2376,IF(LEFT(TRIM(Paramètres!K54),1)="F",1,0)))),IF(Paramètres!L54="",0,IF(Paramètres!M54="",NA(),IF(LEFT(TRIM(Paramètres!M54),1)="F",INDEX($F$2327:$F$2379,MATCH(Paramètres!L54,Paramètres!$G$5:$G$57,0)),INDEX($E$2327:$E$2379,MATCH(Paramètres!L54,Paramètres!$G$5:$G$57,0)))+IF(RIGHT(TRIM(Paramètres!M54),3)="Fin",1-$H2376,IF(LEFT(TRIM(Paramètres!M54),1)="F",1,0)))),IF(Paramètres!N54="",0,IF(Paramètres!O54="",NA(),IF(LEFT(TRIM(Paramètres!O54),1)="F",INDEX($F$2327:$F$2379,MATCH(Paramètres!N54,Paramètres!$G$5:$G$57,0)),INDEX($E$2327:$E$2379,MATCH(Paramètres!N54,Paramètres!$G$5:$G$57,0)))+IF(RIGHT(TRIM(Paramètres!O54),3)="Fin",1-$H2376,IF(LEFT(TRIM(Paramètres!O54),1)="F",1,0)))))))</f>
        <v/>
      </c>
      <c r="F2376" s="19">
        <f>IF($A2376="","",E2376+$H2376-1)</f>
        <v/>
      </c>
      <c r="G2376" s="18" t="n"/>
      <c r="H2376" s="18">
        <f>IF($A2376="","",IF(I2376&lt;&gt;"",I2376,Paramètres!B54))</f>
        <v/>
      </c>
      <c r="I2376" s="18" t="n"/>
    </row>
    <row r="2377">
      <c r="A2377" s="18">
        <f>IF(ISNUMBER(Dossiers!$D$47),Dossiers!$A$47&amp;" · "&amp;Dossiers!$B$47,"")</f>
        <v/>
      </c>
      <c r="B2377" s="18">
        <f>IF($A2377="","",Paramètres!G55)</f>
        <v/>
      </c>
      <c r="C2377" s="18">
        <f>IF($A2377="","",IF(Paramètres!H55="","",Paramètres!H55))</f>
        <v/>
      </c>
      <c r="D2377" s="18">
        <f>IF($A2377="","",IF(Paramètres!I55="","",Paramètres!I55))</f>
        <v/>
      </c>
      <c r="E2377" s="19">
        <f>IF($A2377="","",IF(Paramètres!J55&amp;Paramètres!L55&amp;Paramètres!N55="",Dossiers!$D$47,MAX(IF(Paramètres!J55="",0,IF(Paramètres!K55="",NA(),IF(LEFT(TRIM(Paramètres!K55),1)="F",INDEX($F$2327:$F$2379,MATCH(Paramètres!J55,Paramètres!$G$5:$G$57,0)),INDEX($E$2327:$E$2379,MATCH(Paramètres!J55,Paramètres!$G$5:$G$57,0)))+IF(RIGHT(TRIM(Paramètres!K55),3)="Fin",1-$H2377,IF(LEFT(TRIM(Paramètres!K55),1)="F",1,0)))),IF(Paramètres!L55="",0,IF(Paramètres!M55="",NA(),IF(LEFT(TRIM(Paramètres!M55),1)="F",INDEX($F$2327:$F$2379,MATCH(Paramètres!L55,Paramètres!$G$5:$G$57,0)),INDEX($E$2327:$E$2379,MATCH(Paramètres!L55,Paramètres!$G$5:$G$57,0)))+IF(RIGHT(TRIM(Paramètres!M55),3)="Fin",1-$H2377,IF(LEFT(TRIM(Paramètres!M55),1)="F",1,0)))),IF(Paramètres!N55="",0,IF(Paramètres!O55="",NA(),IF(LEFT(TRIM(Paramètres!O55),1)="F",INDEX($F$2327:$F$2379,MATCH(Paramètres!N55,Paramètres!$G$5:$G$57,0)),INDEX($E$2327:$E$2379,MATCH(Paramètres!N55,Paramètres!$G$5:$G$57,0)))+IF(RIGHT(TRIM(Paramètres!O55),3)="Fin",1-$H2377,IF(LEFT(TRIM(Paramètres!O55),1)="F",1,0)))))))</f>
        <v/>
      </c>
      <c r="F2377" s="19">
        <f>IF($A2377="","",E2377+$H2377-1)</f>
        <v/>
      </c>
      <c r="G2377" s="18" t="n"/>
      <c r="H2377" s="18">
        <f>IF($A2377="","",IF(I2377&lt;&gt;"",I2377,Paramètres!B55))</f>
        <v/>
      </c>
      <c r="I2377" s="18" t="n"/>
    </row>
    <row r="2378">
      <c r="A2378" s="18">
        <f>IF(ISNUMBER(Dossiers!$D$47),Dossiers!$A$47&amp;" · "&amp;Dossiers!$B$47,"")</f>
        <v/>
      </c>
      <c r="B2378" s="18">
        <f>IF($A2378="","",Paramètres!G56)</f>
        <v/>
      </c>
      <c r="C2378" s="18">
        <f>IF($A2378="","",IF(Paramètres!H56="","",Paramètres!H56))</f>
        <v/>
      </c>
      <c r="D2378" s="18">
        <f>IF($A2378="","",IF(Paramètres!I56="","",Paramètres!I56))</f>
        <v/>
      </c>
      <c r="E2378" s="19">
        <f>IF($A2378="","",MIN(E2379:E2379))</f>
        <v/>
      </c>
      <c r="F2378" s="19">
        <f>IF($A2378="","",MAX(F2379:F2379))</f>
        <v/>
      </c>
      <c r="G2378" s="18" t="n"/>
      <c r="H2378" s="18">
        <f>IF($A2378="","",F2378-E2378+1)</f>
        <v/>
      </c>
      <c r="I2378" s="18" t="n"/>
    </row>
    <row r="2379">
      <c r="A2379" s="18">
        <f>IF(ISNUMBER(Dossiers!$D$47),Dossiers!$A$47&amp;" · "&amp;Dossiers!$B$47,"")</f>
        <v/>
      </c>
      <c r="B2379" s="18">
        <f>IF($A2379="","",Paramètres!G57)</f>
        <v/>
      </c>
      <c r="C2379" s="18">
        <f>IF($A2379="","",IF(Paramètres!H57="","",Paramètres!H57))</f>
        <v/>
      </c>
      <c r="D2379" s="18">
        <f>IF($A2379="","",IF(Paramètres!I57="","",Paramètres!I57))</f>
        <v/>
      </c>
      <c r="E2379" s="19">
        <f>IF($A2379="","",IF(Paramètres!J57&amp;Paramètres!L57&amp;Paramètres!N57="",Dossiers!$D$47,MAX(IF(Paramètres!J57="",0,IF(Paramètres!K57="",NA(),IF(LEFT(TRIM(Paramètres!K57),1)="F",INDEX($F$2327:$F$2379,MATCH(Paramètres!J57,Paramètres!$G$5:$G$57,0)),INDEX($E$2327:$E$2379,MATCH(Paramètres!J57,Paramètres!$G$5:$G$57,0)))+IF(RIGHT(TRIM(Paramètres!K57),3)="Fin",1-$H2379,IF(LEFT(TRIM(Paramètres!K57),1)="F",1,0)))),IF(Paramètres!L57="",0,IF(Paramètres!M57="",NA(),IF(LEFT(TRIM(Paramètres!M57),1)="F",INDEX($F$2327:$F$2379,MATCH(Paramètres!L57,Paramètres!$G$5:$G$57,0)),INDEX($E$2327:$E$2379,MATCH(Paramètres!L57,Paramètres!$G$5:$G$57,0)))+IF(RIGHT(TRIM(Paramètres!M57),3)="Fin",1-$H2379,IF(LEFT(TRIM(Paramètres!M57),1)="F",1,0)))),IF(Paramètres!N57="",0,IF(Paramètres!O57="",NA(),IF(LEFT(TRIM(Paramètres!O57),1)="F",INDEX($F$2327:$F$2379,MATCH(Paramètres!N57,Paramètres!$G$5:$G$57,0)),INDEX($E$2327:$E$2379,MATCH(Paramètres!N57,Paramètres!$G$5:$G$57,0)))+IF(RIGHT(TRIM(Paramètres!O57),3)="Fin",1-$H2379,IF(LEFT(TRIM(Paramètres!O57),1)="F",1,0)))))))</f>
        <v/>
      </c>
      <c r="F2379" s="19">
        <f>IF($A2379="","",E2379+$H2379-1)</f>
        <v/>
      </c>
      <c r="G2379" s="18" t="n"/>
      <c r="H2379" s="18">
        <f>IF($A2379="","",IF(I2379&lt;&gt;"",I2379,Paramètres!B57))</f>
        <v/>
      </c>
      <c r="I2379" s="18" t="n"/>
    </row>
    <row r="2380">
      <c r="A2380" s="16">
        <f>IF(ISNUMBER(Dossiers!$D$48),Dossiers!$E$48,"")</f>
        <v/>
      </c>
      <c r="B2380" s="16">
        <f>IF($A2380="","","Identifiant")</f>
        <v/>
      </c>
      <c r="C2380" s="16">
        <f>IF($A2380="","","Macro Etape")</f>
        <v/>
      </c>
      <c r="D2380" s="16">
        <f>IF($A2380="","","Etape")</f>
        <v/>
      </c>
      <c r="E2380" s="17">
        <f>IF($A2380="","","Début le")</f>
        <v/>
      </c>
      <c r="F2380" s="17">
        <f>IF($A2380="","","Fin prévue le")</f>
        <v/>
      </c>
      <c r="G2380" s="16">
        <f>IF($A2380="","","Statut")</f>
        <v/>
      </c>
      <c r="H2380" s="16">
        <f>IF($A2380="","","Durée (jours)")</f>
        <v/>
      </c>
      <c r="I2380" s="16">
        <f>IF($A2380="","","Durée particulière")</f>
        <v/>
      </c>
      <c r="J2380" s="10">
        <f>IF($A2380="","",HYPERLINK("#'Tableau de bord'!A1","↑ Tableau de bord"))</f>
        <v/>
      </c>
    </row>
    <row r="2381">
      <c r="A2381" s="18">
        <f>IF(ISNUMBER(Dossiers!$D$48),Dossiers!$A$48&amp;" · "&amp;Dossiers!$B$48,"")</f>
        <v/>
      </c>
      <c r="B2381" s="18">
        <f>IF($A2381="","",Paramètres!G5)</f>
        <v/>
      </c>
      <c r="C2381" s="18">
        <f>IF($A2381="","",IF(Paramètres!H5="","",Paramètres!H5))</f>
        <v/>
      </c>
      <c r="D2381" s="18">
        <f>IF($A2381="","",IF(Paramètres!I5="","",Paramètres!I5))</f>
        <v/>
      </c>
      <c r="E2381" s="19">
        <f>IF($A2381="","",MIN(E2382:E2385))</f>
        <v/>
      </c>
      <c r="F2381" s="19">
        <f>IF($A2381="","",MAX(F2382:F2385))</f>
        <v/>
      </c>
      <c r="G2381" s="18" t="n"/>
      <c r="H2381" s="18">
        <f>IF($A2381="","",F2381-E2381+1)</f>
        <v/>
      </c>
      <c r="I2381" s="18" t="n"/>
    </row>
    <row r="2382">
      <c r="A2382" s="18">
        <f>IF(ISNUMBER(Dossiers!$D$48),Dossiers!$A$48&amp;" · "&amp;Dossiers!$B$48,"")</f>
        <v/>
      </c>
      <c r="B2382" s="18">
        <f>IF($A2382="","",Paramètres!G6)</f>
        <v/>
      </c>
      <c r="C2382" s="18">
        <f>IF($A2382="","",IF(Paramètres!H6="","",Paramètres!H6))</f>
        <v/>
      </c>
      <c r="D2382" s="18">
        <f>IF($A2382="","",IF(Paramètres!I6="","",Paramètres!I6))</f>
        <v/>
      </c>
      <c r="E2382" s="19">
        <f>IF($A2382="","",IF(Paramètres!J6&amp;Paramètres!L6&amp;Paramètres!N6="",Dossiers!$D$48,MAX(IF(Paramètres!J6="",0,IF(Paramètres!K6="",NA(),IF(LEFT(TRIM(Paramètres!K6),1)="F",INDEX($F$2381:$F$2433,MATCH(Paramètres!J6,Paramètres!$G$5:$G$57,0)),INDEX($E$2381:$E$2433,MATCH(Paramètres!J6,Paramètres!$G$5:$G$57,0)))+IF(RIGHT(TRIM(Paramètres!K6),3)="Fin",1-$H2382,IF(LEFT(TRIM(Paramètres!K6),1)="F",1,0)))),IF(Paramètres!L6="",0,IF(Paramètres!M6="",NA(),IF(LEFT(TRIM(Paramètres!M6),1)="F",INDEX($F$2381:$F$2433,MATCH(Paramètres!L6,Paramètres!$G$5:$G$57,0)),INDEX($E$2381:$E$2433,MATCH(Paramètres!L6,Paramètres!$G$5:$G$57,0)))+IF(RIGHT(TRIM(Paramètres!M6),3)="Fin",1-$H2382,IF(LEFT(TRIM(Paramètres!M6),1)="F",1,0)))),IF(Paramètres!N6="",0,IF(Paramètres!O6="",NA(),IF(LEFT(TRIM(Paramètres!O6),1)="F",INDEX($F$2381:$F$2433,MATCH(Paramètres!N6,Paramètres!$G$5:$G$57,0)),INDEX($E$2381:$E$2433,MATCH(Paramètres!N6,Paramètres!$G$5:$G$57,0)))+IF(RIGHT(TRIM(Paramètres!O6),3)="Fin",1-$H2382,IF(LEFT(TRIM(Paramètres!O6),1)="F",1,0)))))))</f>
        <v/>
      </c>
      <c r="F2382" s="19">
        <f>IF($A2382="","",E2382+$H2382-1)</f>
        <v/>
      </c>
      <c r="G2382" s="18" t="n"/>
      <c r="H2382" s="18">
        <f>IF($A2382="","",IF(I2382&lt;&gt;"",I2382,Paramètres!B6))</f>
        <v/>
      </c>
      <c r="I2382" s="18" t="n"/>
    </row>
    <row r="2383">
      <c r="A2383" s="18">
        <f>IF(ISNUMBER(Dossiers!$D$48),Dossiers!$A$48&amp;" · "&amp;Dossiers!$B$48,"")</f>
        <v/>
      </c>
      <c r="B2383" s="18">
        <f>IF($A2383="","",Paramètres!G7)</f>
        <v/>
      </c>
      <c r="C2383" s="18">
        <f>IF($A2383="","",IF(Paramètres!H7="","",Paramètres!H7))</f>
        <v/>
      </c>
      <c r="D2383" s="18">
        <f>IF($A2383="","",IF(Paramètres!I7="","",Paramètres!I7))</f>
        <v/>
      </c>
      <c r="E2383" s="19">
        <f>IF($A2383="","",IF(Paramètres!J7&amp;Paramètres!L7&amp;Paramètres!N7="",Dossiers!$D$48,MAX(IF(Paramètres!J7="",0,IF(Paramètres!K7="",NA(),IF(LEFT(TRIM(Paramètres!K7),1)="F",INDEX($F$2381:$F$2433,MATCH(Paramètres!J7,Paramètres!$G$5:$G$57,0)),INDEX($E$2381:$E$2433,MATCH(Paramètres!J7,Paramètres!$G$5:$G$57,0)))+IF(RIGHT(TRIM(Paramètres!K7),3)="Fin",1-$H2383,IF(LEFT(TRIM(Paramètres!K7),1)="F",1,0)))),IF(Paramètres!L7="",0,IF(Paramètres!M7="",NA(),IF(LEFT(TRIM(Paramètres!M7),1)="F",INDEX($F$2381:$F$2433,MATCH(Paramètres!L7,Paramètres!$G$5:$G$57,0)),INDEX($E$2381:$E$2433,MATCH(Paramètres!L7,Paramètres!$G$5:$G$57,0)))+IF(RIGHT(TRIM(Paramètres!M7),3)="Fin",1-$H2383,IF(LEFT(TRIM(Paramètres!M7),1)="F",1,0)))),IF(Paramètres!N7="",0,IF(Paramètres!O7="",NA(),IF(LEFT(TRIM(Paramètres!O7),1)="F",INDEX($F$2381:$F$2433,MATCH(Paramètres!N7,Paramètres!$G$5:$G$57,0)),INDEX($E$2381:$E$2433,MATCH(Paramètres!N7,Paramètres!$G$5:$G$57,0)))+IF(RIGHT(TRIM(Paramètres!O7),3)="Fin",1-$H2383,IF(LEFT(TRIM(Paramètres!O7),1)="F",1,0)))))))</f>
        <v/>
      </c>
      <c r="F2383" s="19">
        <f>IF($A2383="","",E2383+$H2383-1)</f>
        <v/>
      </c>
      <c r="G2383" s="18" t="n"/>
      <c r="H2383" s="18">
        <f>IF($A2383="","",IF(I2383&lt;&gt;"",I2383,Paramètres!B7))</f>
        <v/>
      </c>
      <c r="I2383" s="18" t="n"/>
    </row>
    <row r="2384">
      <c r="A2384" s="18">
        <f>IF(ISNUMBER(Dossiers!$D$48),Dossiers!$A$48&amp;" · "&amp;Dossiers!$B$48,"")</f>
        <v/>
      </c>
      <c r="B2384" s="18">
        <f>IF($A2384="","",Paramètres!G8)</f>
        <v/>
      </c>
      <c r="C2384" s="18">
        <f>IF($A2384="","",IF(Paramètres!H8="","",Paramètres!H8))</f>
        <v/>
      </c>
      <c r="D2384" s="18">
        <f>IF($A2384="","",IF(Paramètres!I8="","",Paramètres!I8))</f>
        <v/>
      </c>
      <c r="E2384" s="19">
        <f>IF($A2384="","",IF(Paramètres!J8&amp;Paramètres!L8&amp;Paramètres!N8="",Dossiers!$D$48,MAX(IF(Paramètres!J8="",0,IF(Paramètres!K8="",NA(),IF(LEFT(TRIM(Paramètres!K8),1)="F",INDEX($F$2381:$F$2433,MATCH(Paramètres!J8,Paramètres!$G$5:$G$57,0)),INDEX($E$2381:$E$2433,MATCH(Paramètres!J8,Paramètres!$G$5:$G$57,0)))+IF(RIGHT(TRIM(Paramètres!K8),3)="Fin",1-$H2384,IF(LEFT(TRIM(Paramètres!K8),1)="F",1,0)))),IF(Paramètres!L8="",0,IF(Paramètres!M8="",NA(),IF(LEFT(TRIM(Paramètres!M8),1)="F",INDEX($F$2381:$F$2433,MATCH(Paramètres!L8,Paramètres!$G$5:$G$57,0)),INDEX($E$2381:$E$2433,MATCH(Paramètres!L8,Paramètres!$G$5:$G$57,0)))+IF(RIGHT(TRIM(Paramètres!M8),3)="Fin",1-$H2384,IF(LEFT(TRIM(Paramètres!M8),1)="F",1,0)))),IF(Paramètres!N8="",0,IF(Paramètres!O8="",NA(),IF(LEFT(TRIM(Paramètres!O8),1)="F",INDEX($F$2381:$F$2433,MATCH(Paramètres!N8,Paramètres!$G$5:$G$57,0)),INDEX($E$2381:$E$2433,MATCH(Paramètres!N8,Paramètres!$G$5:$G$57,0)))+IF(RIGHT(TRIM(Paramètres!O8),3)="Fin",1-$H2384,IF(LEFT(TRIM(Paramètres!O8),1)="F",1,0)))))))</f>
        <v/>
      </c>
      <c r="F2384" s="19">
        <f>IF($A2384="","",E2384+$H2384-1)</f>
        <v/>
      </c>
      <c r="G2384" s="18" t="n"/>
      <c r="H2384" s="18">
        <f>IF($A2384="","",IF(I2384&lt;&gt;"",I2384,Paramètres!B8))</f>
        <v/>
      </c>
      <c r="I2384" s="18" t="n"/>
    </row>
    <row r="2385">
      <c r="A2385" s="18">
        <f>IF(ISNUMBER(Dossiers!$D$48),Dossiers!$A$48&amp;" · "&amp;Dossiers!$B$48,"")</f>
        <v/>
      </c>
      <c r="B2385" s="18">
        <f>IF($A2385="","",Paramètres!G9)</f>
        <v/>
      </c>
      <c r="C2385" s="18">
        <f>IF($A2385="","",IF(Paramètres!H9="","",Paramètres!H9))</f>
        <v/>
      </c>
      <c r="D2385" s="18">
        <f>IF($A2385="","",IF(Paramètres!I9="","",Paramètres!I9))</f>
        <v/>
      </c>
      <c r="E2385" s="19">
        <f>IF($A2385="","",IF(Paramètres!J9&amp;Paramètres!L9&amp;Paramètres!N9="",Dossiers!$D$48,MAX(IF(Paramètres!J9="",0,IF(Paramètres!K9="",NA(),IF(LEFT(TRIM(Paramètres!K9),1)="F",INDEX($F$2381:$F$2433,MATCH(Paramètres!J9,Paramètres!$G$5:$G$57,0)),INDEX($E$2381:$E$2433,MATCH(Paramètres!J9,Paramètres!$G$5:$G$57,0)))+IF(RIGHT(TRIM(Paramètres!K9),3)="Fin",1-$H2385,IF(LEFT(TRIM(Paramètres!K9),1)="F",1,0)))),IF(Paramètres!L9="",0,IF(Paramètres!M9="",NA(),IF(LEFT(TRIM(Paramètres!M9),1)="F",INDEX($F$2381:$F$2433,MATCH(Paramètres!L9,Paramètres!$G$5:$G$57,0)),INDEX($E$2381:$E$2433,MATCH(Paramètres!L9,Paramètres!$G$5:$G$57,0)))+IF(RIGHT(TRIM(Paramètres!M9),3)="Fin",1-$H2385,IF(LEFT(TRIM(Paramètres!M9),1)="F",1,0)))),IF(Paramètres!N9="",0,IF(Paramètres!O9="",NA(),IF(LEFT(TRIM(Paramètres!O9),1)="F",INDEX($F$2381:$F$2433,MATCH(Paramètres!N9,Paramètres!$G$5:$G$57,0)),INDEX($E$2381:$E$2433,MATCH(Paramètres!N9,Paramètres!$G$5:$G$57,0)))+IF(RIGHT(TRIM(Paramètres!O9),3)="Fin",1-$H2385,IF(LEFT(TRIM(Paramètres!O9),1)="F",1,0)))))))</f>
        <v/>
      </c>
      <c r="F2385" s="19">
        <f>IF($A2385="","",E2385+$H2385-1)</f>
        <v/>
      </c>
      <c r="G2385" s="18" t="n"/>
      <c r="H2385" s="18">
        <f>IF($A2385="","",IF(I2385&lt;&gt;"",I2385,Paramètres!B9))</f>
        <v/>
      </c>
      <c r="I2385" s="18" t="n"/>
    </row>
    <row r="2386">
      <c r="A2386" s="18">
        <f>IF(ISNUMBER(Dossiers!$D$48),Dossiers!$A$48&amp;" · "&amp;Dossiers!$B$48,"")</f>
        <v/>
      </c>
      <c r="B2386" s="18">
        <f>IF($A2386="","",Paramètres!G10)</f>
        <v/>
      </c>
      <c r="C2386" s="18">
        <f>IF($A2386="","",IF(Paramètres!H10="","",Paramètres!H10))</f>
        <v/>
      </c>
      <c r="D2386" s="18">
        <f>IF($A2386="","",IF(Paramètres!I10="","",Paramètres!I10))</f>
        <v/>
      </c>
      <c r="E2386" s="19">
        <f>IF($A2386="","",MIN(E2387:E2390))</f>
        <v/>
      </c>
      <c r="F2386" s="19">
        <f>IF($A2386="","",MAX(F2387:F2390))</f>
        <v/>
      </c>
      <c r="G2386" s="18" t="n"/>
      <c r="H2386" s="18">
        <f>IF($A2386="","",F2386-E2386+1)</f>
        <v/>
      </c>
      <c r="I2386" s="18" t="n"/>
    </row>
    <row r="2387">
      <c r="A2387" s="18">
        <f>IF(ISNUMBER(Dossiers!$D$48),Dossiers!$A$48&amp;" · "&amp;Dossiers!$B$48,"")</f>
        <v/>
      </c>
      <c r="B2387" s="18">
        <f>IF($A2387="","",Paramètres!G11)</f>
        <v/>
      </c>
      <c r="C2387" s="18">
        <f>IF($A2387="","",IF(Paramètres!H11="","",Paramètres!H11))</f>
        <v/>
      </c>
      <c r="D2387" s="18">
        <f>IF($A2387="","",IF(Paramètres!I11="","",Paramètres!I11))</f>
        <v/>
      </c>
      <c r="E2387" s="19">
        <f>IF($A2387="","",IF(Paramètres!J11&amp;Paramètres!L11&amp;Paramètres!N11="",Dossiers!$D$48,MAX(IF(Paramètres!J11="",0,IF(Paramètres!K11="",NA(),IF(LEFT(TRIM(Paramètres!K11),1)="F",INDEX($F$2381:$F$2433,MATCH(Paramètres!J11,Paramètres!$G$5:$G$57,0)),INDEX($E$2381:$E$2433,MATCH(Paramètres!J11,Paramètres!$G$5:$G$57,0)))+IF(RIGHT(TRIM(Paramètres!K11),3)="Fin",1-$H2387,IF(LEFT(TRIM(Paramètres!K11),1)="F",1,0)))),IF(Paramètres!L11="",0,IF(Paramètres!M11="",NA(),IF(LEFT(TRIM(Paramètres!M11),1)="F",INDEX($F$2381:$F$2433,MATCH(Paramètres!L11,Paramètres!$G$5:$G$57,0)),INDEX($E$2381:$E$2433,MATCH(Paramètres!L11,Paramètres!$G$5:$G$57,0)))+IF(RIGHT(TRIM(Paramètres!M11),3)="Fin",1-$H2387,IF(LEFT(TRIM(Paramètres!M11),1)="F",1,0)))),IF(Paramètres!N11="",0,IF(Paramètres!O11="",NA(),IF(LEFT(TRIM(Paramètres!O11),1)="F",INDEX($F$2381:$F$2433,MATCH(Paramètres!N11,Paramètres!$G$5:$G$57,0)),INDEX($E$2381:$E$2433,MATCH(Paramètres!N11,Paramètres!$G$5:$G$57,0)))+IF(RIGHT(TRIM(Paramètres!O11),3)="Fin",1-$H2387,IF(LEFT(TRIM(Paramètres!O11),1)="F",1,0)))))))</f>
        <v/>
      </c>
      <c r="F2387" s="19">
        <f>IF($A2387="","",E2387+$H2387-1)</f>
        <v/>
      </c>
      <c r="G2387" s="18" t="n"/>
      <c r="H2387" s="18">
        <f>IF($A2387="","",IF(I2387&lt;&gt;"",I2387,Paramètres!B11))</f>
        <v/>
      </c>
      <c r="I2387" s="18" t="n"/>
    </row>
    <row r="2388">
      <c r="A2388" s="18">
        <f>IF(ISNUMBER(Dossiers!$D$48),Dossiers!$A$48&amp;" · "&amp;Dossiers!$B$48,"")</f>
        <v/>
      </c>
      <c r="B2388" s="18">
        <f>IF($A2388="","",Paramètres!G12)</f>
        <v/>
      </c>
      <c r="C2388" s="18">
        <f>IF($A2388="","",IF(Paramètres!H12="","",Paramètres!H12))</f>
        <v/>
      </c>
      <c r="D2388" s="18">
        <f>IF($A2388="","",IF(Paramètres!I12="","",Paramètres!I12))</f>
        <v/>
      </c>
      <c r="E2388" s="19">
        <f>IF($A2388="","",IF(Paramètres!J12&amp;Paramètres!L12&amp;Paramètres!N12="",Dossiers!$D$48,MAX(IF(Paramètres!J12="",0,IF(Paramètres!K12="",NA(),IF(LEFT(TRIM(Paramètres!K12),1)="F",INDEX($F$2381:$F$2433,MATCH(Paramètres!J12,Paramètres!$G$5:$G$57,0)),INDEX($E$2381:$E$2433,MATCH(Paramètres!J12,Paramètres!$G$5:$G$57,0)))+IF(RIGHT(TRIM(Paramètres!K12),3)="Fin",1-$H2388,IF(LEFT(TRIM(Paramètres!K12),1)="F",1,0)))),IF(Paramètres!L12="",0,IF(Paramètres!M12="",NA(),IF(LEFT(TRIM(Paramètres!M12),1)="F",INDEX($F$2381:$F$2433,MATCH(Paramètres!L12,Paramètres!$G$5:$G$57,0)),INDEX($E$2381:$E$2433,MATCH(Paramètres!L12,Paramètres!$G$5:$G$57,0)))+IF(RIGHT(TRIM(Paramètres!M12),3)="Fin",1-$H2388,IF(LEFT(TRIM(Paramètres!M12),1)="F",1,0)))),IF(Paramètres!N12="",0,IF(Paramètres!O12="",NA(),IF(LEFT(TRIM(Paramètres!O12),1)="F",INDEX($F$2381:$F$2433,MATCH(Paramètres!N12,Paramètres!$G$5:$G$57,0)),INDEX($E$2381:$E$2433,MATCH(Paramètres!N12,Paramètres!$G$5:$G$57,0)))+IF(RIGHT(TRIM(Paramètres!O12),3)="Fin",1-$H2388,IF(LEFT(TRIM(Paramètres!O12),1)="F",1,0)))))))</f>
        <v/>
      </c>
      <c r="F2388" s="19">
        <f>IF($A2388="","",E2388+$H2388-1)</f>
        <v/>
      </c>
      <c r="G2388" s="18" t="n"/>
      <c r="H2388" s="18">
        <f>IF($A2388="","",IF(I2388&lt;&gt;"",I2388,Paramètres!B12))</f>
        <v/>
      </c>
      <c r="I2388" s="18" t="n"/>
    </row>
    <row r="2389">
      <c r="A2389" s="18">
        <f>IF(ISNUMBER(Dossiers!$D$48),Dossiers!$A$48&amp;" · "&amp;Dossiers!$B$48,"")</f>
        <v/>
      </c>
      <c r="B2389" s="18">
        <f>IF($A2389="","",Paramètres!G13)</f>
        <v/>
      </c>
      <c r="C2389" s="18">
        <f>IF($A2389="","",IF(Paramètres!H13="","",Paramètres!H13))</f>
        <v/>
      </c>
      <c r="D2389" s="18">
        <f>IF($A2389="","",IF(Paramètres!I13="","",Paramètres!I13))</f>
        <v/>
      </c>
      <c r="E2389" s="19">
        <f>IF($A2389="","",IF(Paramètres!J13&amp;Paramètres!L13&amp;Paramètres!N13="",Dossiers!$D$48,MAX(IF(Paramètres!J13="",0,IF(Paramètres!K13="",NA(),IF(LEFT(TRIM(Paramètres!K13),1)="F",INDEX($F$2381:$F$2433,MATCH(Paramètres!J13,Paramètres!$G$5:$G$57,0)),INDEX($E$2381:$E$2433,MATCH(Paramètres!J13,Paramètres!$G$5:$G$57,0)))+IF(RIGHT(TRIM(Paramètres!K13),3)="Fin",1-$H2389,IF(LEFT(TRIM(Paramètres!K13),1)="F",1,0)))),IF(Paramètres!L13="",0,IF(Paramètres!M13="",NA(),IF(LEFT(TRIM(Paramètres!M13),1)="F",INDEX($F$2381:$F$2433,MATCH(Paramètres!L13,Paramètres!$G$5:$G$57,0)),INDEX($E$2381:$E$2433,MATCH(Paramètres!L13,Paramètres!$G$5:$G$57,0)))+IF(RIGHT(TRIM(Paramètres!M13),3)="Fin",1-$H2389,IF(LEFT(TRIM(Paramètres!M13),1)="F",1,0)))),IF(Paramètres!N13="",0,IF(Paramètres!O13="",NA(),IF(LEFT(TRIM(Paramètres!O13),1)="F",INDEX($F$2381:$F$2433,MATCH(Paramètres!N13,Paramètres!$G$5:$G$57,0)),INDEX($E$2381:$E$2433,MATCH(Paramètres!N13,Paramètres!$G$5:$G$57,0)))+IF(RIGHT(TRIM(Paramètres!O13),3)="Fin",1-$H2389,IF(LEFT(TRIM(Paramètres!O13),1)="F",1,0)))))))</f>
        <v/>
      </c>
      <c r="F2389" s="19">
        <f>IF($A2389="","",E2389+$H2389-1)</f>
        <v/>
      </c>
      <c r="G2389" s="18" t="n"/>
      <c r="H2389" s="18">
        <f>IF($A2389="","",IF(I2389&lt;&gt;"",I2389,Paramètres!B13))</f>
        <v/>
      </c>
      <c r="I2389" s="18" t="n"/>
    </row>
    <row r="2390">
      <c r="A2390" s="18">
        <f>IF(ISNUMBER(Dossiers!$D$48),Dossiers!$A$48&amp;" · "&amp;Dossiers!$B$48,"")</f>
        <v/>
      </c>
      <c r="B2390" s="18">
        <f>IF($A2390="","",Paramètres!G14)</f>
        <v/>
      </c>
      <c r="C2390" s="18">
        <f>IF($A2390="","",IF(Paramètres!H14="","",Paramètres!H14))</f>
        <v/>
      </c>
      <c r="D2390" s="18">
        <f>IF($A2390="","",IF(Paramètres!I14="","",Paramètres!I14))</f>
        <v/>
      </c>
      <c r="E2390" s="19">
        <f>IF($A2390="","",IF(Paramètres!J14&amp;Paramètres!L14&amp;Paramètres!N14="",Dossiers!$D$48,MAX(IF(Paramètres!J14="",0,IF(Paramètres!K14="",NA(),IF(LEFT(TRIM(Paramètres!K14),1)="F",INDEX($F$2381:$F$2433,MATCH(Paramètres!J14,Paramètres!$G$5:$G$57,0)),INDEX($E$2381:$E$2433,MATCH(Paramètres!J14,Paramètres!$G$5:$G$57,0)))+IF(RIGHT(TRIM(Paramètres!K14),3)="Fin",1-$H2390,IF(LEFT(TRIM(Paramètres!K14),1)="F",1,0)))),IF(Paramètres!L14="",0,IF(Paramètres!M14="",NA(),IF(LEFT(TRIM(Paramètres!M14),1)="F",INDEX($F$2381:$F$2433,MATCH(Paramètres!L14,Paramètres!$G$5:$G$57,0)),INDEX($E$2381:$E$2433,MATCH(Paramètres!L14,Paramètres!$G$5:$G$57,0)))+IF(RIGHT(TRIM(Paramètres!M14),3)="Fin",1-$H2390,IF(LEFT(TRIM(Paramètres!M14),1)="F",1,0)))),IF(Paramètres!N14="",0,IF(Paramètres!O14="",NA(),IF(LEFT(TRIM(Paramètres!O14),1)="F",INDEX($F$2381:$F$2433,MATCH(Paramètres!N14,Paramètres!$G$5:$G$57,0)),INDEX($E$2381:$E$2433,MATCH(Paramètres!N14,Paramètres!$G$5:$G$57,0)))+IF(RIGHT(TRIM(Paramètres!O14),3)="Fin",1-$H2390,IF(LEFT(TRIM(Paramètres!O14),1)="F",1,0)))))))</f>
        <v/>
      </c>
      <c r="F2390" s="19">
        <f>IF($A2390="","",E2390+$H2390-1)</f>
        <v/>
      </c>
      <c r="G2390" s="18" t="n"/>
      <c r="H2390" s="18">
        <f>IF($A2390="","",IF(I2390&lt;&gt;"",I2390,Paramètres!B14))</f>
        <v/>
      </c>
      <c r="I2390" s="18" t="n"/>
    </row>
    <row r="2391">
      <c r="A2391" s="18">
        <f>IF(ISNUMBER(Dossiers!$D$48),Dossiers!$A$48&amp;" · "&amp;Dossiers!$B$48,"")</f>
        <v/>
      </c>
      <c r="B2391" s="18">
        <f>IF($A2391="","",Paramètres!G15)</f>
        <v/>
      </c>
      <c r="C2391" s="18">
        <f>IF($A2391="","",IF(Paramètres!H15="","",Paramètres!H15))</f>
        <v/>
      </c>
      <c r="D2391" s="18">
        <f>IF($A2391="","",IF(Paramètres!I15="","",Paramètres!I15))</f>
        <v/>
      </c>
      <c r="E2391" s="19">
        <f>IF($A2391="","",MIN(E2392:E2407))</f>
        <v/>
      </c>
      <c r="F2391" s="19">
        <f>IF($A2391="","",MAX(F2392:F2407))</f>
        <v/>
      </c>
      <c r="G2391" s="18" t="n"/>
      <c r="H2391" s="18">
        <f>IF($A2391="","",F2391-E2391+1)</f>
        <v/>
      </c>
      <c r="I2391" s="18" t="n"/>
    </row>
    <row r="2392">
      <c r="A2392" s="18">
        <f>IF(ISNUMBER(Dossiers!$D$48),Dossiers!$A$48&amp;" · "&amp;Dossiers!$B$48,"")</f>
        <v/>
      </c>
      <c r="B2392" s="18">
        <f>IF($A2392="","",Paramètres!G16)</f>
        <v/>
      </c>
      <c r="C2392" s="18">
        <f>IF($A2392="","",IF(Paramètres!H16="","",Paramètres!H16))</f>
        <v/>
      </c>
      <c r="D2392" s="18">
        <f>IF($A2392="","",IF(Paramètres!I16="","",Paramètres!I16))</f>
        <v/>
      </c>
      <c r="E2392" s="19">
        <f>IF($A2392="","",IF(Paramètres!J16&amp;Paramètres!L16&amp;Paramètres!N16="",Dossiers!$D$48,MAX(IF(Paramètres!J16="",0,IF(Paramètres!K16="",NA(),IF(LEFT(TRIM(Paramètres!K16),1)="F",INDEX($F$2381:$F$2433,MATCH(Paramètres!J16,Paramètres!$G$5:$G$57,0)),INDEX($E$2381:$E$2433,MATCH(Paramètres!J16,Paramètres!$G$5:$G$57,0)))+IF(RIGHT(TRIM(Paramètres!K16),3)="Fin",1-$H2392,IF(LEFT(TRIM(Paramètres!K16),1)="F",1,0)))),IF(Paramètres!L16="",0,IF(Paramètres!M16="",NA(),IF(LEFT(TRIM(Paramètres!M16),1)="F",INDEX($F$2381:$F$2433,MATCH(Paramètres!L16,Paramètres!$G$5:$G$57,0)),INDEX($E$2381:$E$2433,MATCH(Paramètres!L16,Paramètres!$G$5:$G$57,0)))+IF(RIGHT(TRIM(Paramètres!M16),3)="Fin",1-$H2392,IF(LEFT(TRIM(Paramètres!M16),1)="F",1,0)))),IF(Paramètres!N16="",0,IF(Paramètres!O16="",NA(),IF(LEFT(TRIM(Paramètres!O16),1)="F",INDEX($F$2381:$F$2433,MATCH(Paramètres!N16,Paramètres!$G$5:$G$57,0)),INDEX($E$2381:$E$2433,MATCH(Paramètres!N16,Paramètres!$G$5:$G$57,0)))+IF(RIGHT(TRIM(Paramètres!O16),3)="Fin",1-$H2392,IF(LEFT(TRIM(Paramètres!O16),1)="F",1,0)))))))</f>
        <v/>
      </c>
      <c r="F2392" s="19">
        <f>IF($A2392="","",E2392+$H2392-1)</f>
        <v/>
      </c>
      <c r="G2392" s="18" t="n"/>
      <c r="H2392" s="18">
        <f>IF($A2392="","",IF(I2392&lt;&gt;"",I2392,Paramètres!B16))</f>
        <v/>
      </c>
      <c r="I2392" s="18" t="n"/>
    </row>
    <row r="2393">
      <c r="A2393" s="18">
        <f>IF(ISNUMBER(Dossiers!$D$48),Dossiers!$A$48&amp;" · "&amp;Dossiers!$B$48,"")</f>
        <v/>
      </c>
      <c r="B2393" s="18">
        <f>IF($A2393="","",Paramètres!G17)</f>
        <v/>
      </c>
      <c r="C2393" s="18">
        <f>IF($A2393="","",IF(Paramètres!H17="","",Paramètres!H17))</f>
        <v/>
      </c>
      <c r="D2393" s="18">
        <f>IF($A2393="","",IF(Paramètres!I17="","",Paramètres!I17))</f>
        <v/>
      </c>
      <c r="E2393" s="19">
        <f>IF($A2393="","",IF(Paramètres!J17&amp;Paramètres!L17&amp;Paramètres!N17="",Dossiers!$D$48,MAX(IF(Paramètres!J17="",0,IF(Paramètres!K17="",NA(),IF(LEFT(TRIM(Paramètres!K17),1)="F",INDEX($F$2381:$F$2433,MATCH(Paramètres!J17,Paramètres!$G$5:$G$57,0)),INDEX($E$2381:$E$2433,MATCH(Paramètres!J17,Paramètres!$G$5:$G$57,0)))+IF(RIGHT(TRIM(Paramètres!K17),3)="Fin",1-$H2393,IF(LEFT(TRIM(Paramètres!K17),1)="F",1,0)))),IF(Paramètres!L17="",0,IF(Paramètres!M17="",NA(),IF(LEFT(TRIM(Paramètres!M17),1)="F",INDEX($F$2381:$F$2433,MATCH(Paramètres!L17,Paramètres!$G$5:$G$57,0)),INDEX($E$2381:$E$2433,MATCH(Paramètres!L17,Paramètres!$G$5:$G$57,0)))+IF(RIGHT(TRIM(Paramètres!M17),3)="Fin",1-$H2393,IF(LEFT(TRIM(Paramètres!M17),1)="F",1,0)))),IF(Paramètres!N17="",0,IF(Paramètres!O17="",NA(),IF(LEFT(TRIM(Paramètres!O17),1)="F",INDEX($F$2381:$F$2433,MATCH(Paramètres!N17,Paramètres!$G$5:$G$57,0)),INDEX($E$2381:$E$2433,MATCH(Paramètres!N17,Paramètres!$G$5:$G$57,0)))+IF(RIGHT(TRIM(Paramètres!O17),3)="Fin",1-$H2393,IF(LEFT(TRIM(Paramètres!O17),1)="F",1,0)))))))</f>
        <v/>
      </c>
      <c r="F2393" s="19">
        <f>IF($A2393="","",E2393+$H2393-1)</f>
        <v/>
      </c>
      <c r="G2393" s="18" t="n"/>
      <c r="H2393" s="18">
        <f>IF($A2393="","",IF(I2393&lt;&gt;"",I2393,Paramètres!B17))</f>
        <v/>
      </c>
      <c r="I2393" s="18" t="n"/>
    </row>
    <row r="2394">
      <c r="A2394" s="18">
        <f>IF(ISNUMBER(Dossiers!$D$48),Dossiers!$A$48&amp;" · "&amp;Dossiers!$B$48,"")</f>
        <v/>
      </c>
      <c r="B2394" s="18">
        <f>IF($A2394="","",Paramètres!G18)</f>
        <v/>
      </c>
      <c r="C2394" s="18">
        <f>IF($A2394="","",IF(Paramètres!H18="","",Paramètres!H18))</f>
        <v/>
      </c>
      <c r="D2394" s="18">
        <f>IF($A2394="","",IF(Paramètres!I18="","",Paramètres!I18))</f>
        <v/>
      </c>
      <c r="E2394" s="19">
        <f>IF($A2394="","",IF(Paramètres!J18&amp;Paramètres!L18&amp;Paramètres!N18="",Dossiers!$D$48,MAX(IF(Paramètres!J18="",0,IF(Paramètres!K18="",NA(),IF(LEFT(TRIM(Paramètres!K18),1)="F",INDEX($F$2381:$F$2433,MATCH(Paramètres!J18,Paramètres!$G$5:$G$57,0)),INDEX($E$2381:$E$2433,MATCH(Paramètres!J18,Paramètres!$G$5:$G$57,0)))+IF(RIGHT(TRIM(Paramètres!K18),3)="Fin",1-$H2394,IF(LEFT(TRIM(Paramètres!K18),1)="F",1,0)))),IF(Paramètres!L18="",0,IF(Paramètres!M18="",NA(),IF(LEFT(TRIM(Paramètres!M18),1)="F",INDEX($F$2381:$F$2433,MATCH(Paramètres!L18,Paramètres!$G$5:$G$57,0)),INDEX($E$2381:$E$2433,MATCH(Paramètres!L18,Paramètres!$G$5:$G$57,0)))+IF(RIGHT(TRIM(Paramètres!M18),3)="Fin",1-$H2394,IF(LEFT(TRIM(Paramètres!M18),1)="F",1,0)))),IF(Paramètres!N18="",0,IF(Paramètres!O18="",NA(),IF(LEFT(TRIM(Paramètres!O18),1)="F",INDEX($F$2381:$F$2433,MATCH(Paramètres!N18,Paramètres!$G$5:$G$57,0)),INDEX($E$2381:$E$2433,MATCH(Paramètres!N18,Paramètres!$G$5:$G$57,0)))+IF(RIGHT(TRIM(Paramètres!O18),3)="Fin",1-$H2394,IF(LEFT(TRIM(Paramètres!O18),1)="F",1,0)))))))</f>
        <v/>
      </c>
      <c r="F2394" s="19">
        <f>IF($A2394="","",E2394+$H2394-1)</f>
        <v/>
      </c>
      <c r="G2394" s="18" t="n"/>
      <c r="H2394" s="18">
        <f>IF($A2394="","",IF(I2394&lt;&gt;"",I2394,Paramètres!B18))</f>
        <v/>
      </c>
      <c r="I2394" s="18" t="n"/>
    </row>
    <row r="2395">
      <c r="A2395" s="18">
        <f>IF(ISNUMBER(Dossiers!$D$48),Dossiers!$A$48&amp;" · "&amp;Dossiers!$B$48,"")</f>
        <v/>
      </c>
      <c r="B2395" s="18">
        <f>IF($A2395="","",Paramètres!G19)</f>
        <v/>
      </c>
      <c r="C2395" s="18">
        <f>IF($A2395="","",IF(Paramètres!H19="","",Paramètres!H19))</f>
        <v/>
      </c>
      <c r="D2395" s="18">
        <f>IF($A2395="","",IF(Paramètres!I19="","",Paramètres!I19))</f>
        <v/>
      </c>
      <c r="E2395" s="19">
        <f>IF($A2395="","",IF(Paramètres!J19&amp;Paramètres!L19&amp;Paramètres!N19="",Dossiers!$D$48,MAX(IF(Paramètres!J19="",0,IF(Paramètres!K19="",NA(),IF(LEFT(TRIM(Paramètres!K19),1)="F",INDEX($F$2381:$F$2433,MATCH(Paramètres!J19,Paramètres!$G$5:$G$57,0)),INDEX($E$2381:$E$2433,MATCH(Paramètres!J19,Paramètres!$G$5:$G$57,0)))+IF(RIGHT(TRIM(Paramètres!K19),3)="Fin",1-$H2395,IF(LEFT(TRIM(Paramètres!K19),1)="F",1,0)))),IF(Paramètres!L19="",0,IF(Paramètres!M19="",NA(),IF(LEFT(TRIM(Paramètres!M19),1)="F",INDEX($F$2381:$F$2433,MATCH(Paramètres!L19,Paramètres!$G$5:$G$57,0)),INDEX($E$2381:$E$2433,MATCH(Paramètres!L19,Paramètres!$G$5:$G$57,0)))+IF(RIGHT(TRIM(Paramètres!M19),3)="Fin",1-$H2395,IF(LEFT(TRIM(Paramètres!M19),1)="F",1,0)))),IF(Paramètres!N19="",0,IF(Paramètres!O19="",NA(),IF(LEFT(TRIM(Paramètres!O19),1)="F",INDEX($F$2381:$F$2433,MATCH(Paramètres!N19,Paramètres!$G$5:$G$57,0)),INDEX($E$2381:$E$2433,MATCH(Paramètres!N19,Paramètres!$G$5:$G$57,0)))+IF(RIGHT(TRIM(Paramètres!O19),3)="Fin",1-$H2395,IF(LEFT(TRIM(Paramètres!O19),1)="F",1,0)))))))</f>
        <v/>
      </c>
      <c r="F2395" s="19">
        <f>IF($A2395="","",E2395+$H2395-1)</f>
        <v/>
      </c>
      <c r="G2395" s="18" t="n"/>
      <c r="H2395" s="18">
        <f>IF($A2395="","",IF(I2395&lt;&gt;"",I2395,Paramètres!B19))</f>
        <v/>
      </c>
      <c r="I2395" s="18" t="n"/>
    </row>
    <row r="2396">
      <c r="A2396" s="18">
        <f>IF(ISNUMBER(Dossiers!$D$48),Dossiers!$A$48&amp;" · "&amp;Dossiers!$B$48,"")</f>
        <v/>
      </c>
      <c r="B2396" s="18">
        <f>IF($A2396="","",Paramètres!G20)</f>
        <v/>
      </c>
      <c r="C2396" s="18">
        <f>IF($A2396="","",IF(Paramètres!H20="","",Paramètres!H20))</f>
        <v/>
      </c>
      <c r="D2396" s="18">
        <f>IF($A2396="","",IF(Paramètres!I20="","",Paramètres!I20))</f>
        <v/>
      </c>
      <c r="E2396" s="19">
        <f>IF($A2396="","",IF(Paramètres!J20&amp;Paramètres!L20&amp;Paramètres!N20="",Dossiers!$D$48,MAX(IF(Paramètres!J20="",0,IF(Paramètres!K20="",NA(),IF(LEFT(TRIM(Paramètres!K20),1)="F",INDEX($F$2381:$F$2433,MATCH(Paramètres!J20,Paramètres!$G$5:$G$57,0)),INDEX($E$2381:$E$2433,MATCH(Paramètres!J20,Paramètres!$G$5:$G$57,0)))+IF(RIGHT(TRIM(Paramètres!K20),3)="Fin",1-$H2396,IF(LEFT(TRIM(Paramètres!K20),1)="F",1,0)))),IF(Paramètres!L20="",0,IF(Paramètres!M20="",NA(),IF(LEFT(TRIM(Paramètres!M20),1)="F",INDEX($F$2381:$F$2433,MATCH(Paramètres!L20,Paramètres!$G$5:$G$57,0)),INDEX($E$2381:$E$2433,MATCH(Paramètres!L20,Paramètres!$G$5:$G$57,0)))+IF(RIGHT(TRIM(Paramètres!M20),3)="Fin",1-$H2396,IF(LEFT(TRIM(Paramètres!M20),1)="F",1,0)))),IF(Paramètres!N20="",0,IF(Paramètres!O20="",NA(),IF(LEFT(TRIM(Paramètres!O20),1)="F",INDEX($F$2381:$F$2433,MATCH(Paramètres!N20,Paramètres!$G$5:$G$57,0)),INDEX($E$2381:$E$2433,MATCH(Paramètres!N20,Paramètres!$G$5:$G$57,0)))+IF(RIGHT(TRIM(Paramètres!O20),3)="Fin",1-$H2396,IF(LEFT(TRIM(Paramètres!O20),1)="F",1,0)))))))</f>
        <v/>
      </c>
      <c r="F2396" s="19">
        <f>IF($A2396="","",E2396+$H2396-1)</f>
        <v/>
      </c>
      <c r="G2396" s="18" t="n"/>
      <c r="H2396" s="18">
        <f>IF($A2396="","",IF(I2396&lt;&gt;"",I2396,Paramètres!B20))</f>
        <v/>
      </c>
      <c r="I2396" s="18" t="n"/>
    </row>
    <row r="2397">
      <c r="A2397" s="18">
        <f>IF(ISNUMBER(Dossiers!$D$48),Dossiers!$A$48&amp;" · "&amp;Dossiers!$B$48,"")</f>
        <v/>
      </c>
      <c r="B2397" s="18">
        <f>IF($A2397="","",Paramètres!G21)</f>
        <v/>
      </c>
      <c r="C2397" s="18">
        <f>IF($A2397="","",IF(Paramètres!H21="","",Paramètres!H21))</f>
        <v/>
      </c>
      <c r="D2397" s="18">
        <f>IF($A2397="","",IF(Paramètres!I21="","",Paramètres!I21))</f>
        <v/>
      </c>
      <c r="E2397" s="19">
        <f>IF($A2397="","",IF(Paramètres!J21&amp;Paramètres!L21&amp;Paramètres!N21="",Dossiers!$D$48,MAX(IF(Paramètres!J21="",0,IF(Paramètres!K21="",NA(),IF(LEFT(TRIM(Paramètres!K21),1)="F",INDEX($F$2381:$F$2433,MATCH(Paramètres!J21,Paramètres!$G$5:$G$57,0)),INDEX($E$2381:$E$2433,MATCH(Paramètres!J21,Paramètres!$G$5:$G$57,0)))+IF(RIGHT(TRIM(Paramètres!K21),3)="Fin",1-$H2397,IF(LEFT(TRIM(Paramètres!K21),1)="F",1,0)))),IF(Paramètres!L21="",0,IF(Paramètres!M21="",NA(),IF(LEFT(TRIM(Paramètres!M21),1)="F",INDEX($F$2381:$F$2433,MATCH(Paramètres!L21,Paramètres!$G$5:$G$57,0)),INDEX($E$2381:$E$2433,MATCH(Paramètres!L21,Paramètres!$G$5:$G$57,0)))+IF(RIGHT(TRIM(Paramètres!M21),3)="Fin",1-$H2397,IF(LEFT(TRIM(Paramètres!M21),1)="F",1,0)))),IF(Paramètres!N21="",0,IF(Paramètres!O21="",NA(),IF(LEFT(TRIM(Paramètres!O21),1)="F",INDEX($F$2381:$F$2433,MATCH(Paramètres!N21,Paramètres!$G$5:$G$57,0)),INDEX($E$2381:$E$2433,MATCH(Paramètres!N21,Paramètres!$G$5:$G$57,0)))+IF(RIGHT(TRIM(Paramètres!O21),3)="Fin",1-$H2397,IF(LEFT(TRIM(Paramètres!O21),1)="F",1,0)))))))</f>
        <v/>
      </c>
      <c r="F2397" s="19">
        <f>IF($A2397="","",E2397+$H2397-1)</f>
        <v/>
      </c>
      <c r="G2397" s="18" t="n"/>
      <c r="H2397" s="18">
        <f>IF($A2397="","",IF(I2397&lt;&gt;"",I2397,Paramètres!B21))</f>
        <v/>
      </c>
      <c r="I2397" s="18" t="n"/>
    </row>
    <row r="2398">
      <c r="A2398" s="18">
        <f>IF(ISNUMBER(Dossiers!$D$48),Dossiers!$A$48&amp;" · "&amp;Dossiers!$B$48,"")</f>
        <v/>
      </c>
      <c r="B2398" s="18">
        <f>IF($A2398="","",Paramètres!G22)</f>
        <v/>
      </c>
      <c r="C2398" s="18">
        <f>IF($A2398="","",IF(Paramètres!H22="","",Paramètres!H22))</f>
        <v/>
      </c>
      <c r="D2398" s="18">
        <f>IF($A2398="","",IF(Paramètres!I22="","",Paramètres!I22))</f>
        <v/>
      </c>
      <c r="E2398" s="19">
        <f>IF($A2398="","",IF(Paramètres!J22&amp;Paramètres!L22&amp;Paramètres!N22="",Dossiers!$D$48,MAX(IF(Paramètres!J22="",0,IF(Paramètres!K22="",NA(),IF(LEFT(TRIM(Paramètres!K22),1)="F",INDEX($F$2381:$F$2433,MATCH(Paramètres!J22,Paramètres!$G$5:$G$57,0)),INDEX($E$2381:$E$2433,MATCH(Paramètres!J22,Paramètres!$G$5:$G$57,0)))+IF(RIGHT(TRIM(Paramètres!K22),3)="Fin",1-$H2398,IF(LEFT(TRIM(Paramètres!K22),1)="F",1,0)))),IF(Paramètres!L22="",0,IF(Paramètres!M22="",NA(),IF(LEFT(TRIM(Paramètres!M22),1)="F",INDEX($F$2381:$F$2433,MATCH(Paramètres!L22,Paramètres!$G$5:$G$57,0)),INDEX($E$2381:$E$2433,MATCH(Paramètres!L22,Paramètres!$G$5:$G$57,0)))+IF(RIGHT(TRIM(Paramètres!M22),3)="Fin",1-$H2398,IF(LEFT(TRIM(Paramètres!M22),1)="F",1,0)))),IF(Paramètres!N22="",0,IF(Paramètres!O22="",NA(),IF(LEFT(TRIM(Paramètres!O22),1)="F",INDEX($F$2381:$F$2433,MATCH(Paramètres!N22,Paramètres!$G$5:$G$57,0)),INDEX($E$2381:$E$2433,MATCH(Paramètres!N22,Paramètres!$G$5:$G$57,0)))+IF(RIGHT(TRIM(Paramètres!O22),3)="Fin",1-$H2398,IF(LEFT(TRIM(Paramètres!O22),1)="F",1,0)))))))</f>
        <v/>
      </c>
      <c r="F2398" s="19">
        <f>IF($A2398="","",E2398+$H2398-1)</f>
        <v/>
      </c>
      <c r="G2398" s="18" t="n"/>
      <c r="H2398" s="18">
        <f>IF($A2398="","",IF(I2398&lt;&gt;"",I2398,Paramètres!B22))</f>
        <v/>
      </c>
      <c r="I2398" s="18" t="n"/>
    </row>
    <row r="2399">
      <c r="A2399" s="18">
        <f>IF(ISNUMBER(Dossiers!$D$48),Dossiers!$A$48&amp;" · "&amp;Dossiers!$B$48,"")</f>
        <v/>
      </c>
      <c r="B2399" s="18">
        <f>IF($A2399="","",Paramètres!G23)</f>
        <v/>
      </c>
      <c r="C2399" s="18">
        <f>IF($A2399="","",IF(Paramètres!H23="","",Paramètres!H23))</f>
        <v/>
      </c>
      <c r="D2399" s="18">
        <f>IF($A2399="","",IF(Paramètres!I23="","",Paramètres!I23))</f>
        <v/>
      </c>
      <c r="E2399" s="19">
        <f>IF($A2399="","",IF(Paramètres!J23&amp;Paramètres!L23&amp;Paramètres!N23="",Dossiers!$D$48,MAX(IF(Paramètres!J23="",0,IF(Paramètres!K23="",NA(),IF(LEFT(TRIM(Paramètres!K23),1)="F",INDEX($F$2381:$F$2433,MATCH(Paramètres!J23,Paramètres!$G$5:$G$57,0)),INDEX($E$2381:$E$2433,MATCH(Paramètres!J23,Paramètres!$G$5:$G$57,0)))+IF(RIGHT(TRIM(Paramètres!K23),3)="Fin",1-$H2399,IF(LEFT(TRIM(Paramètres!K23),1)="F",1,0)))),IF(Paramètres!L23="",0,IF(Paramètres!M23="",NA(),IF(LEFT(TRIM(Paramètres!M23),1)="F",INDEX($F$2381:$F$2433,MATCH(Paramètres!L23,Paramètres!$G$5:$G$57,0)),INDEX($E$2381:$E$2433,MATCH(Paramètres!L23,Paramètres!$G$5:$G$57,0)))+IF(RIGHT(TRIM(Paramètres!M23),3)="Fin",1-$H2399,IF(LEFT(TRIM(Paramètres!M23),1)="F",1,0)))),IF(Paramètres!N23="",0,IF(Paramètres!O23="",NA(),IF(LEFT(TRIM(Paramètres!O23),1)="F",INDEX($F$2381:$F$2433,MATCH(Paramètres!N23,Paramètres!$G$5:$G$57,0)),INDEX($E$2381:$E$2433,MATCH(Paramètres!N23,Paramètres!$G$5:$G$57,0)))+IF(RIGHT(TRIM(Paramètres!O23),3)="Fin",1-$H2399,IF(LEFT(TRIM(Paramètres!O23),1)="F",1,0)))))))</f>
        <v/>
      </c>
      <c r="F2399" s="19">
        <f>IF($A2399="","",E2399+$H2399-1)</f>
        <v/>
      </c>
      <c r="G2399" s="18" t="n"/>
      <c r="H2399" s="18">
        <f>IF($A2399="","",IF(I2399&lt;&gt;"",I2399,Paramètres!B23))</f>
        <v/>
      </c>
      <c r="I2399" s="18" t="n"/>
    </row>
    <row r="2400">
      <c r="A2400" s="18">
        <f>IF(ISNUMBER(Dossiers!$D$48),Dossiers!$A$48&amp;" · "&amp;Dossiers!$B$48,"")</f>
        <v/>
      </c>
      <c r="B2400" s="18">
        <f>IF($A2400="","",Paramètres!G24)</f>
        <v/>
      </c>
      <c r="C2400" s="18">
        <f>IF($A2400="","",IF(Paramètres!H24="","",Paramètres!H24))</f>
        <v/>
      </c>
      <c r="D2400" s="18">
        <f>IF($A2400="","",IF(Paramètres!I24="","",Paramètres!I24))</f>
        <v/>
      </c>
      <c r="E2400" s="19">
        <f>IF($A2400="","",IF(Paramètres!J24&amp;Paramètres!L24&amp;Paramètres!N24="",Dossiers!$D$48,MAX(IF(Paramètres!J24="",0,IF(Paramètres!K24="",NA(),IF(LEFT(TRIM(Paramètres!K24),1)="F",INDEX($F$2381:$F$2433,MATCH(Paramètres!J24,Paramètres!$G$5:$G$57,0)),INDEX($E$2381:$E$2433,MATCH(Paramètres!J24,Paramètres!$G$5:$G$57,0)))+IF(RIGHT(TRIM(Paramètres!K24),3)="Fin",1-$H2400,IF(LEFT(TRIM(Paramètres!K24),1)="F",1,0)))),IF(Paramètres!L24="",0,IF(Paramètres!M24="",NA(),IF(LEFT(TRIM(Paramètres!M24),1)="F",INDEX($F$2381:$F$2433,MATCH(Paramètres!L24,Paramètres!$G$5:$G$57,0)),INDEX($E$2381:$E$2433,MATCH(Paramètres!L24,Paramètres!$G$5:$G$57,0)))+IF(RIGHT(TRIM(Paramètres!M24),3)="Fin",1-$H2400,IF(LEFT(TRIM(Paramètres!M24),1)="F",1,0)))),IF(Paramètres!N24="",0,IF(Paramètres!O24="",NA(),IF(LEFT(TRIM(Paramètres!O24),1)="F",INDEX($F$2381:$F$2433,MATCH(Paramètres!N24,Paramètres!$G$5:$G$57,0)),INDEX($E$2381:$E$2433,MATCH(Paramètres!N24,Paramètres!$G$5:$G$57,0)))+IF(RIGHT(TRIM(Paramètres!O24),3)="Fin",1-$H2400,IF(LEFT(TRIM(Paramètres!O24),1)="F",1,0)))))))</f>
        <v/>
      </c>
      <c r="F2400" s="19">
        <f>IF($A2400="","",E2400+$H2400-1)</f>
        <v/>
      </c>
      <c r="G2400" s="18" t="n"/>
      <c r="H2400" s="18">
        <f>IF($A2400="","",IF(I2400&lt;&gt;"",I2400,Paramètres!B24))</f>
        <v/>
      </c>
      <c r="I2400" s="18" t="n"/>
    </row>
    <row r="2401">
      <c r="A2401" s="18">
        <f>IF(ISNUMBER(Dossiers!$D$48),Dossiers!$A$48&amp;" · "&amp;Dossiers!$B$48,"")</f>
        <v/>
      </c>
      <c r="B2401" s="18">
        <f>IF($A2401="","",Paramètres!G25)</f>
        <v/>
      </c>
      <c r="C2401" s="18">
        <f>IF($A2401="","",IF(Paramètres!H25="","",Paramètres!H25))</f>
        <v/>
      </c>
      <c r="D2401" s="18">
        <f>IF($A2401="","",IF(Paramètres!I25="","",Paramètres!I25))</f>
        <v/>
      </c>
      <c r="E2401" s="19">
        <f>IF($A2401="","",IF(Paramètres!J25&amp;Paramètres!L25&amp;Paramètres!N25="",Dossiers!$D$48,MAX(IF(Paramètres!J25="",0,IF(Paramètres!K25="",NA(),IF(LEFT(TRIM(Paramètres!K25),1)="F",INDEX($F$2381:$F$2433,MATCH(Paramètres!J25,Paramètres!$G$5:$G$57,0)),INDEX($E$2381:$E$2433,MATCH(Paramètres!J25,Paramètres!$G$5:$G$57,0)))+IF(RIGHT(TRIM(Paramètres!K25),3)="Fin",1-$H2401,IF(LEFT(TRIM(Paramètres!K25),1)="F",1,0)))),IF(Paramètres!L25="",0,IF(Paramètres!M25="",NA(),IF(LEFT(TRIM(Paramètres!M25),1)="F",INDEX($F$2381:$F$2433,MATCH(Paramètres!L25,Paramètres!$G$5:$G$57,0)),INDEX($E$2381:$E$2433,MATCH(Paramètres!L25,Paramètres!$G$5:$G$57,0)))+IF(RIGHT(TRIM(Paramètres!M25),3)="Fin",1-$H2401,IF(LEFT(TRIM(Paramètres!M25),1)="F",1,0)))),IF(Paramètres!N25="",0,IF(Paramètres!O25="",NA(),IF(LEFT(TRIM(Paramètres!O25),1)="F",INDEX($F$2381:$F$2433,MATCH(Paramètres!N25,Paramètres!$G$5:$G$57,0)),INDEX($E$2381:$E$2433,MATCH(Paramètres!N25,Paramètres!$G$5:$G$57,0)))+IF(RIGHT(TRIM(Paramètres!O25),3)="Fin",1-$H2401,IF(LEFT(TRIM(Paramètres!O25),1)="F",1,0)))))))</f>
        <v/>
      </c>
      <c r="F2401" s="19">
        <f>IF($A2401="","",E2401+$H2401-1)</f>
        <v/>
      </c>
      <c r="G2401" s="18" t="n"/>
      <c r="H2401" s="18">
        <f>IF($A2401="","",IF(I2401&lt;&gt;"",I2401,Paramètres!B25))</f>
        <v/>
      </c>
      <c r="I2401" s="18" t="n"/>
    </row>
    <row r="2402">
      <c r="A2402" s="18">
        <f>IF(ISNUMBER(Dossiers!$D$48),Dossiers!$A$48&amp;" · "&amp;Dossiers!$B$48,"")</f>
        <v/>
      </c>
      <c r="B2402" s="18">
        <f>IF($A2402="","",Paramètres!G26)</f>
        <v/>
      </c>
      <c r="C2402" s="18">
        <f>IF($A2402="","",IF(Paramètres!H26="","",Paramètres!H26))</f>
        <v/>
      </c>
      <c r="D2402" s="18">
        <f>IF($A2402="","",IF(Paramètres!I26="","",Paramètres!I26))</f>
        <v/>
      </c>
      <c r="E2402" s="19">
        <f>IF($A2402="","",IF(Paramètres!J26&amp;Paramètres!L26&amp;Paramètres!N26="",Dossiers!$D$48,MAX(IF(Paramètres!J26="",0,IF(Paramètres!K26="",NA(),IF(LEFT(TRIM(Paramètres!K26),1)="F",INDEX($F$2381:$F$2433,MATCH(Paramètres!J26,Paramètres!$G$5:$G$57,0)),INDEX($E$2381:$E$2433,MATCH(Paramètres!J26,Paramètres!$G$5:$G$57,0)))+IF(RIGHT(TRIM(Paramètres!K26),3)="Fin",1-$H2402,IF(LEFT(TRIM(Paramètres!K26),1)="F",1,0)))),IF(Paramètres!L26="",0,IF(Paramètres!M26="",NA(),IF(LEFT(TRIM(Paramètres!M26),1)="F",INDEX($F$2381:$F$2433,MATCH(Paramètres!L26,Paramètres!$G$5:$G$57,0)),INDEX($E$2381:$E$2433,MATCH(Paramètres!L26,Paramètres!$G$5:$G$57,0)))+IF(RIGHT(TRIM(Paramètres!M26),3)="Fin",1-$H2402,IF(LEFT(TRIM(Paramètres!M26),1)="F",1,0)))),IF(Paramètres!N26="",0,IF(Paramètres!O26="",NA(),IF(LEFT(TRIM(Paramètres!O26),1)="F",INDEX($F$2381:$F$2433,MATCH(Paramètres!N26,Paramètres!$G$5:$G$57,0)),INDEX($E$2381:$E$2433,MATCH(Paramètres!N26,Paramètres!$G$5:$G$57,0)))+IF(RIGHT(TRIM(Paramètres!O26),3)="Fin",1-$H2402,IF(LEFT(TRIM(Paramètres!O26),1)="F",1,0)))))))</f>
        <v/>
      </c>
      <c r="F2402" s="19">
        <f>IF($A2402="","",E2402+$H2402-1)</f>
        <v/>
      </c>
      <c r="G2402" s="18" t="n"/>
      <c r="H2402" s="18">
        <f>IF($A2402="","",IF(I2402&lt;&gt;"",I2402,Paramètres!B26))</f>
        <v/>
      </c>
      <c r="I2402" s="18" t="n"/>
    </row>
    <row r="2403">
      <c r="A2403" s="18">
        <f>IF(ISNUMBER(Dossiers!$D$48),Dossiers!$A$48&amp;" · "&amp;Dossiers!$B$48,"")</f>
        <v/>
      </c>
      <c r="B2403" s="18">
        <f>IF($A2403="","",Paramètres!G27)</f>
        <v/>
      </c>
      <c r="C2403" s="18">
        <f>IF($A2403="","",IF(Paramètres!H27="","",Paramètres!H27))</f>
        <v/>
      </c>
      <c r="D2403" s="18">
        <f>IF($A2403="","",IF(Paramètres!I27="","",Paramètres!I27))</f>
        <v/>
      </c>
      <c r="E2403" s="19">
        <f>IF($A2403="","",IF(Paramètres!J27&amp;Paramètres!L27&amp;Paramètres!N27="",Dossiers!$D$48,MAX(IF(Paramètres!J27="",0,IF(Paramètres!K27="",NA(),IF(LEFT(TRIM(Paramètres!K27),1)="F",INDEX($F$2381:$F$2433,MATCH(Paramètres!J27,Paramètres!$G$5:$G$57,0)),INDEX($E$2381:$E$2433,MATCH(Paramètres!J27,Paramètres!$G$5:$G$57,0)))+IF(RIGHT(TRIM(Paramètres!K27),3)="Fin",1-$H2403,IF(LEFT(TRIM(Paramètres!K27),1)="F",1,0)))),IF(Paramètres!L27="",0,IF(Paramètres!M27="",NA(),IF(LEFT(TRIM(Paramètres!M27),1)="F",INDEX($F$2381:$F$2433,MATCH(Paramètres!L27,Paramètres!$G$5:$G$57,0)),INDEX($E$2381:$E$2433,MATCH(Paramètres!L27,Paramètres!$G$5:$G$57,0)))+IF(RIGHT(TRIM(Paramètres!M27),3)="Fin",1-$H2403,IF(LEFT(TRIM(Paramètres!M27),1)="F",1,0)))),IF(Paramètres!N27="",0,IF(Paramètres!O27="",NA(),IF(LEFT(TRIM(Paramètres!O27),1)="F",INDEX($F$2381:$F$2433,MATCH(Paramètres!N27,Paramètres!$G$5:$G$57,0)),INDEX($E$2381:$E$2433,MATCH(Paramètres!N27,Paramètres!$G$5:$G$57,0)))+IF(RIGHT(TRIM(Paramètres!O27),3)="Fin",1-$H2403,IF(LEFT(TRIM(Paramètres!O27),1)="F",1,0)))))))</f>
        <v/>
      </c>
      <c r="F2403" s="19">
        <f>IF($A2403="","",E2403+$H2403-1)</f>
        <v/>
      </c>
      <c r="G2403" s="18" t="n"/>
      <c r="H2403" s="18">
        <f>IF($A2403="","",IF(I2403&lt;&gt;"",I2403,Paramètres!B27))</f>
        <v/>
      </c>
      <c r="I2403" s="18" t="n"/>
    </row>
    <row r="2404">
      <c r="A2404" s="18">
        <f>IF(ISNUMBER(Dossiers!$D$48),Dossiers!$A$48&amp;" · "&amp;Dossiers!$B$48,"")</f>
        <v/>
      </c>
      <c r="B2404" s="18">
        <f>IF($A2404="","",Paramètres!G28)</f>
        <v/>
      </c>
      <c r="C2404" s="18">
        <f>IF($A2404="","",IF(Paramètres!H28="","",Paramètres!H28))</f>
        <v/>
      </c>
      <c r="D2404" s="18">
        <f>IF($A2404="","",IF(Paramètres!I28="","",Paramètres!I28))</f>
        <v/>
      </c>
      <c r="E2404" s="19">
        <f>IF($A2404="","",IF(Paramètres!J28&amp;Paramètres!L28&amp;Paramètres!N28="",Dossiers!$D$48,MAX(IF(Paramètres!J28="",0,IF(Paramètres!K28="",NA(),IF(LEFT(TRIM(Paramètres!K28),1)="F",INDEX($F$2381:$F$2433,MATCH(Paramètres!J28,Paramètres!$G$5:$G$57,0)),INDEX($E$2381:$E$2433,MATCH(Paramètres!J28,Paramètres!$G$5:$G$57,0)))+IF(RIGHT(TRIM(Paramètres!K28),3)="Fin",1-$H2404,IF(LEFT(TRIM(Paramètres!K28),1)="F",1,0)))),IF(Paramètres!L28="",0,IF(Paramètres!M28="",NA(),IF(LEFT(TRIM(Paramètres!M28),1)="F",INDEX($F$2381:$F$2433,MATCH(Paramètres!L28,Paramètres!$G$5:$G$57,0)),INDEX($E$2381:$E$2433,MATCH(Paramètres!L28,Paramètres!$G$5:$G$57,0)))+IF(RIGHT(TRIM(Paramètres!M28),3)="Fin",1-$H2404,IF(LEFT(TRIM(Paramètres!M28),1)="F",1,0)))),IF(Paramètres!N28="",0,IF(Paramètres!O28="",NA(),IF(LEFT(TRIM(Paramètres!O28),1)="F",INDEX($F$2381:$F$2433,MATCH(Paramètres!N28,Paramètres!$G$5:$G$57,0)),INDEX($E$2381:$E$2433,MATCH(Paramètres!N28,Paramètres!$G$5:$G$57,0)))+IF(RIGHT(TRIM(Paramètres!O28),3)="Fin",1-$H2404,IF(LEFT(TRIM(Paramètres!O28),1)="F",1,0)))))))</f>
        <v/>
      </c>
      <c r="F2404" s="19">
        <f>IF($A2404="","",E2404+$H2404-1)</f>
        <v/>
      </c>
      <c r="G2404" s="18" t="n"/>
      <c r="H2404" s="18">
        <f>IF($A2404="","",IF(I2404&lt;&gt;"",I2404,Paramètres!B28))</f>
        <v/>
      </c>
      <c r="I2404" s="18" t="n"/>
    </row>
    <row r="2405">
      <c r="A2405" s="18">
        <f>IF(ISNUMBER(Dossiers!$D$48),Dossiers!$A$48&amp;" · "&amp;Dossiers!$B$48,"")</f>
        <v/>
      </c>
      <c r="B2405" s="18">
        <f>IF($A2405="","",Paramètres!G29)</f>
        <v/>
      </c>
      <c r="C2405" s="18">
        <f>IF($A2405="","",IF(Paramètres!H29="","",Paramètres!H29))</f>
        <v/>
      </c>
      <c r="D2405" s="18">
        <f>IF($A2405="","",IF(Paramètres!I29="","",Paramètres!I29))</f>
        <v/>
      </c>
      <c r="E2405" s="19">
        <f>IF($A2405="","",IF(Paramètres!J29&amp;Paramètres!L29&amp;Paramètres!N29="",Dossiers!$D$48,MAX(IF(Paramètres!J29="",0,IF(Paramètres!K29="",NA(),IF(LEFT(TRIM(Paramètres!K29),1)="F",INDEX($F$2381:$F$2433,MATCH(Paramètres!J29,Paramètres!$G$5:$G$57,0)),INDEX($E$2381:$E$2433,MATCH(Paramètres!J29,Paramètres!$G$5:$G$57,0)))+IF(RIGHT(TRIM(Paramètres!K29),3)="Fin",1-$H2405,IF(LEFT(TRIM(Paramètres!K29),1)="F",1,0)))),IF(Paramètres!L29="",0,IF(Paramètres!M29="",NA(),IF(LEFT(TRIM(Paramètres!M29),1)="F",INDEX($F$2381:$F$2433,MATCH(Paramètres!L29,Paramètres!$G$5:$G$57,0)),INDEX($E$2381:$E$2433,MATCH(Paramètres!L29,Paramètres!$G$5:$G$57,0)))+IF(RIGHT(TRIM(Paramètres!M29),3)="Fin",1-$H2405,IF(LEFT(TRIM(Paramètres!M29),1)="F",1,0)))),IF(Paramètres!N29="",0,IF(Paramètres!O29="",NA(),IF(LEFT(TRIM(Paramètres!O29),1)="F",INDEX($F$2381:$F$2433,MATCH(Paramètres!N29,Paramètres!$G$5:$G$57,0)),INDEX($E$2381:$E$2433,MATCH(Paramètres!N29,Paramètres!$G$5:$G$57,0)))+IF(RIGHT(TRIM(Paramètres!O29),3)="Fin",1-$H2405,IF(LEFT(TRIM(Paramètres!O29),1)="F",1,0)))))))</f>
        <v/>
      </c>
      <c r="F2405" s="19">
        <f>IF($A2405="","",E2405+$H2405-1)</f>
        <v/>
      </c>
      <c r="G2405" s="18" t="n"/>
      <c r="H2405" s="18">
        <f>IF($A2405="","",IF(I2405&lt;&gt;"",I2405,Paramètres!B29))</f>
        <v/>
      </c>
      <c r="I2405" s="18" t="n"/>
    </row>
    <row r="2406">
      <c r="A2406" s="18">
        <f>IF(ISNUMBER(Dossiers!$D$48),Dossiers!$A$48&amp;" · "&amp;Dossiers!$B$48,"")</f>
        <v/>
      </c>
      <c r="B2406" s="18">
        <f>IF($A2406="","",Paramètres!G30)</f>
        <v/>
      </c>
      <c r="C2406" s="18">
        <f>IF($A2406="","",IF(Paramètres!H30="","",Paramètres!H30))</f>
        <v/>
      </c>
      <c r="D2406" s="18">
        <f>IF($A2406="","",IF(Paramètres!I30="","",Paramètres!I30))</f>
        <v/>
      </c>
      <c r="E2406" s="19">
        <f>IF($A2406="","",IF(Paramètres!J30&amp;Paramètres!L30&amp;Paramètres!N30="",Dossiers!$D$48,MAX(IF(Paramètres!J30="",0,IF(Paramètres!K30="",NA(),IF(LEFT(TRIM(Paramètres!K30),1)="F",INDEX($F$2381:$F$2433,MATCH(Paramètres!J30,Paramètres!$G$5:$G$57,0)),INDEX($E$2381:$E$2433,MATCH(Paramètres!J30,Paramètres!$G$5:$G$57,0)))+IF(RIGHT(TRIM(Paramètres!K30),3)="Fin",1-$H2406,IF(LEFT(TRIM(Paramètres!K30),1)="F",1,0)))),IF(Paramètres!L30="",0,IF(Paramètres!M30="",NA(),IF(LEFT(TRIM(Paramètres!M30),1)="F",INDEX($F$2381:$F$2433,MATCH(Paramètres!L30,Paramètres!$G$5:$G$57,0)),INDEX($E$2381:$E$2433,MATCH(Paramètres!L30,Paramètres!$G$5:$G$57,0)))+IF(RIGHT(TRIM(Paramètres!M30),3)="Fin",1-$H2406,IF(LEFT(TRIM(Paramètres!M30),1)="F",1,0)))),IF(Paramètres!N30="",0,IF(Paramètres!O30="",NA(),IF(LEFT(TRIM(Paramètres!O30),1)="F",INDEX($F$2381:$F$2433,MATCH(Paramètres!N30,Paramètres!$G$5:$G$57,0)),INDEX($E$2381:$E$2433,MATCH(Paramètres!N30,Paramètres!$G$5:$G$57,0)))+IF(RIGHT(TRIM(Paramètres!O30),3)="Fin",1-$H2406,IF(LEFT(TRIM(Paramètres!O30),1)="F",1,0)))))))</f>
        <v/>
      </c>
      <c r="F2406" s="19">
        <f>IF($A2406="","",E2406+$H2406-1)</f>
        <v/>
      </c>
      <c r="G2406" s="18" t="n"/>
      <c r="H2406" s="18">
        <f>IF($A2406="","",IF(I2406&lt;&gt;"",I2406,Paramètres!B30))</f>
        <v/>
      </c>
      <c r="I2406" s="18" t="n"/>
    </row>
    <row r="2407">
      <c r="A2407" s="18">
        <f>IF(ISNUMBER(Dossiers!$D$48),Dossiers!$A$48&amp;" · "&amp;Dossiers!$B$48,"")</f>
        <v/>
      </c>
      <c r="B2407" s="18">
        <f>IF($A2407="","",Paramètres!G31)</f>
        <v/>
      </c>
      <c r="C2407" s="20">
        <f>IF($A2407="","",IF(Dossiers!$F$48="","",Dossiers!$F$48))</f>
        <v/>
      </c>
      <c r="D2407" s="18">
        <f>IF($A2407="","",IF(Paramètres!I31="","",Paramètres!I31))</f>
        <v/>
      </c>
      <c r="E2407" s="19">
        <f>IF($A2407="","",IF(Paramètres!J31&amp;Paramètres!L31&amp;Paramètres!N31="",Dossiers!$D$48,MAX(IF(Paramètres!J31="",0,IF(Paramètres!K31="",NA(),IF(LEFT(TRIM(Paramètres!K31),1)="F",INDEX($F$2381:$F$2433,MATCH(Paramètres!J31,Paramètres!$G$5:$G$57,0)),INDEX($E$2381:$E$2433,MATCH(Paramètres!J31,Paramètres!$G$5:$G$57,0)))+IF(RIGHT(TRIM(Paramètres!K31),3)="Fin",1-$H2407,IF(LEFT(TRIM(Paramètres!K31),1)="F",1,0)))),IF(Paramètres!L31="",0,IF(Paramètres!M31="",NA(),IF(LEFT(TRIM(Paramètres!M31),1)="F",INDEX($F$2381:$F$2433,MATCH(Paramètres!L31,Paramètres!$G$5:$G$57,0)),INDEX($E$2381:$E$2433,MATCH(Paramètres!L31,Paramètres!$G$5:$G$57,0)))+IF(RIGHT(TRIM(Paramètres!M31),3)="Fin",1-$H2407,IF(LEFT(TRIM(Paramètres!M31),1)="F",1,0)))),IF(Paramètres!N31="",0,IF(Paramètres!O31="",NA(),IF(LEFT(TRIM(Paramètres!O31),1)="F",INDEX($F$2381:$F$2433,MATCH(Paramètres!N31,Paramètres!$G$5:$G$57,0)),INDEX($E$2381:$E$2433,MATCH(Paramètres!N31,Paramètres!$G$5:$G$57,0)))+IF(RIGHT(TRIM(Paramètres!O31),3)="Fin",1-$H2407,IF(LEFT(TRIM(Paramètres!O31),1)="F",1,0)))))))</f>
        <v/>
      </c>
      <c r="F2407" s="19">
        <f>IF($A2407="","",E2407+$H2407-1)</f>
        <v/>
      </c>
      <c r="G2407" s="18" t="n"/>
      <c r="H2407" s="18">
        <f>IF($A2407="","",IF(I2407&lt;&gt;"",I2407,Paramètres!B31))</f>
        <v/>
      </c>
      <c r="I2407" s="18" t="n"/>
    </row>
    <row r="2408">
      <c r="A2408" s="18">
        <f>IF(ISNUMBER(Dossiers!$D$48),Dossiers!$A$48&amp;" · "&amp;Dossiers!$B$48,"")</f>
        <v/>
      </c>
      <c r="B2408" s="18">
        <f>IF($A2408="","",Paramètres!G32)</f>
        <v/>
      </c>
      <c r="C2408" s="18">
        <f>IF($A2408="","",IF(Paramètres!H32="","",Paramètres!H32))</f>
        <v/>
      </c>
      <c r="D2408" s="18">
        <f>IF($A2408="","",IF(Paramètres!I32="","",Paramètres!I32))</f>
        <v/>
      </c>
      <c r="E2408" s="19">
        <f>IF($A2408="","",MIN(E2409:E2412))</f>
        <v/>
      </c>
      <c r="F2408" s="19">
        <f>IF($A2408="","",MAX(F2409:F2412))</f>
        <v/>
      </c>
      <c r="G2408" s="18" t="n"/>
      <c r="H2408" s="18">
        <f>IF($A2408="","",F2408-E2408+1)</f>
        <v/>
      </c>
      <c r="I2408" s="18" t="n"/>
    </row>
    <row r="2409">
      <c r="A2409" s="18">
        <f>IF(ISNUMBER(Dossiers!$D$48),Dossiers!$A$48&amp;" · "&amp;Dossiers!$B$48,"")</f>
        <v/>
      </c>
      <c r="B2409" s="18">
        <f>IF($A2409="","",Paramètres!G33)</f>
        <v/>
      </c>
      <c r="C2409" s="18">
        <f>IF($A2409="","",IF(Paramètres!H33="","",Paramètres!H33))</f>
        <v/>
      </c>
      <c r="D2409" s="18">
        <f>IF($A2409="","",IF(Paramètres!I33="","",Paramètres!I33))</f>
        <v/>
      </c>
      <c r="E2409" s="19">
        <f>IF($A2409="","",IF(Paramètres!J33&amp;Paramètres!L33&amp;Paramètres!N33="",Dossiers!$D$48,MAX(IF(Paramètres!J33="",0,IF(Paramètres!K33="",NA(),IF(LEFT(TRIM(Paramètres!K33),1)="F",INDEX($F$2381:$F$2433,MATCH(Paramètres!J33,Paramètres!$G$5:$G$57,0)),INDEX($E$2381:$E$2433,MATCH(Paramètres!J33,Paramètres!$G$5:$G$57,0)))+IF(RIGHT(TRIM(Paramètres!K33),3)="Fin",1-$H2409,IF(LEFT(TRIM(Paramètres!K33),1)="F",1,0)))),IF(Paramètres!L33="",0,IF(Paramètres!M33="",NA(),IF(LEFT(TRIM(Paramètres!M33),1)="F",INDEX($F$2381:$F$2433,MATCH(Paramètres!L33,Paramètres!$G$5:$G$57,0)),INDEX($E$2381:$E$2433,MATCH(Paramètres!L33,Paramètres!$G$5:$G$57,0)))+IF(RIGHT(TRIM(Paramètres!M33),3)="Fin",1-$H2409,IF(LEFT(TRIM(Paramètres!M33),1)="F",1,0)))),IF(Paramètres!N33="",0,IF(Paramètres!O33="",NA(),IF(LEFT(TRIM(Paramètres!O33),1)="F",INDEX($F$2381:$F$2433,MATCH(Paramètres!N33,Paramètres!$G$5:$G$57,0)),INDEX($E$2381:$E$2433,MATCH(Paramètres!N33,Paramètres!$G$5:$G$57,0)))+IF(RIGHT(TRIM(Paramètres!O33),3)="Fin",1-$H2409,IF(LEFT(TRIM(Paramètres!O33),1)="F",1,0)))))))</f>
        <v/>
      </c>
      <c r="F2409" s="19">
        <f>IF($A2409="","",E2409+$H2409-1)</f>
        <v/>
      </c>
      <c r="G2409" s="18" t="n"/>
      <c r="H2409" s="18">
        <f>IF($A2409="","",IF(I2409&lt;&gt;"",I2409,Paramètres!B33))</f>
        <v/>
      </c>
      <c r="I2409" s="18" t="n"/>
    </row>
    <row r="2410">
      <c r="A2410" s="18">
        <f>IF(ISNUMBER(Dossiers!$D$48),Dossiers!$A$48&amp;" · "&amp;Dossiers!$B$48,"")</f>
        <v/>
      </c>
      <c r="B2410" s="18">
        <f>IF($A2410="","",Paramètres!G34)</f>
        <v/>
      </c>
      <c r="C2410" s="18">
        <f>IF($A2410="","",IF(Paramètres!H34="","",Paramètres!H34))</f>
        <v/>
      </c>
      <c r="D2410" s="18">
        <f>IF($A2410="","",IF(Paramètres!I34="","",Paramètres!I34))</f>
        <v/>
      </c>
      <c r="E2410" s="19">
        <f>IF($A2410="","",IF(Paramètres!J34&amp;Paramètres!L34&amp;Paramètres!N34="",Dossiers!$D$48,MAX(IF(Paramètres!J34="",0,IF(Paramètres!K34="",NA(),IF(LEFT(TRIM(Paramètres!K34),1)="F",INDEX($F$2381:$F$2433,MATCH(Paramètres!J34,Paramètres!$G$5:$G$57,0)),INDEX($E$2381:$E$2433,MATCH(Paramètres!J34,Paramètres!$G$5:$G$57,0)))+IF(RIGHT(TRIM(Paramètres!K34),3)="Fin",1-$H2410,IF(LEFT(TRIM(Paramètres!K34),1)="F",1,0)))),IF(Paramètres!L34="",0,IF(Paramètres!M34="",NA(),IF(LEFT(TRIM(Paramètres!M34),1)="F",INDEX($F$2381:$F$2433,MATCH(Paramètres!L34,Paramètres!$G$5:$G$57,0)),INDEX($E$2381:$E$2433,MATCH(Paramètres!L34,Paramètres!$G$5:$G$57,0)))+IF(RIGHT(TRIM(Paramètres!M34),3)="Fin",1-$H2410,IF(LEFT(TRIM(Paramètres!M34),1)="F",1,0)))),IF(Paramètres!N34="",0,IF(Paramètres!O34="",NA(),IF(LEFT(TRIM(Paramètres!O34),1)="F",INDEX($F$2381:$F$2433,MATCH(Paramètres!N34,Paramètres!$G$5:$G$57,0)),INDEX($E$2381:$E$2433,MATCH(Paramètres!N34,Paramètres!$G$5:$G$57,0)))+IF(RIGHT(TRIM(Paramètres!O34),3)="Fin",1-$H2410,IF(LEFT(TRIM(Paramètres!O34),1)="F",1,0)))))))</f>
        <v/>
      </c>
      <c r="F2410" s="19">
        <f>IF($A2410="","",E2410+$H2410-1)</f>
        <v/>
      </c>
      <c r="G2410" s="18" t="n"/>
      <c r="H2410" s="18">
        <f>IF($A2410="","",IF(I2410&lt;&gt;"",I2410,Paramètres!B34))</f>
        <v/>
      </c>
      <c r="I2410" s="18" t="n"/>
    </row>
    <row r="2411">
      <c r="A2411" s="18">
        <f>IF(ISNUMBER(Dossiers!$D$48),Dossiers!$A$48&amp;" · "&amp;Dossiers!$B$48,"")</f>
        <v/>
      </c>
      <c r="B2411" s="18">
        <f>IF($A2411="","",Paramètres!G35)</f>
        <v/>
      </c>
      <c r="C2411" s="18">
        <f>IF($A2411="","",IF(Paramètres!H35="","",Paramètres!H35))</f>
        <v/>
      </c>
      <c r="D2411" s="18">
        <f>IF($A2411="","",IF(Paramètres!I35="","",Paramètres!I35))</f>
        <v/>
      </c>
      <c r="E2411" s="19">
        <f>IF($A2411="","",IF(Paramètres!J35&amp;Paramètres!L35&amp;Paramètres!N35="",Dossiers!$D$48,MAX(IF(Paramètres!J35="",0,IF(Paramètres!K35="",NA(),IF(LEFT(TRIM(Paramètres!K35),1)="F",INDEX($F$2381:$F$2433,MATCH(Paramètres!J35,Paramètres!$G$5:$G$57,0)),INDEX($E$2381:$E$2433,MATCH(Paramètres!J35,Paramètres!$G$5:$G$57,0)))+IF(RIGHT(TRIM(Paramètres!K35),3)="Fin",1-$H2411,IF(LEFT(TRIM(Paramètres!K35),1)="F",1,0)))),IF(Paramètres!L35="",0,IF(Paramètres!M35="",NA(),IF(LEFT(TRIM(Paramètres!M35),1)="F",INDEX($F$2381:$F$2433,MATCH(Paramètres!L35,Paramètres!$G$5:$G$57,0)),INDEX($E$2381:$E$2433,MATCH(Paramètres!L35,Paramètres!$G$5:$G$57,0)))+IF(RIGHT(TRIM(Paramètres!M35),3)="Fin",1-$H2411,IF(LEFT(TRIM(Paramètres!M35),1)="F",1,0)))),IF(Paramètres!N35="",0,IF(Paramètres!O35="",NA(),IF(LEFT(TRIM(Paramètres!O35),1)="F",INDEX($F$2381:$F$2433,MATCH(Paramètres!N35,Paramètres!$G$5:$G$57,0)),INDEX($E$2381:$E$2433,MATCH(Paramètres!N35,Paramètres!$G$5:$G$57,0)))+IF(RIGHT(TRIM(Paramètres!O35),3)="Fin",1-$H2411,IF(LEFT(TRIM(Paramètres!O35),1)="F",1,0)))))))</f>
        <v/>
      </c>
      <c r="F2411" s="19">
        <f>IF($A2411="","",E2411+$H2411-1)</f>
        <v/>
      </c>
      <c r="G2411" s="18" t="n"/>
      <c r="H2411" s="18">
        <f>IF($A2411="","",IF(I2411&lt;&gt;"",I2411,Paramètres!B35))</f>
        <v/>
      </c>
      <c r="I2411" s="18" t="n"/>
    </row>
    <row r="2412">
      <c r="A2412" s="18">
        <f>IF(ISNUMBER(Dossiers!$D$48),Dossiers!$A$48&amp;" · "&amp;Dossiers!$B$48,"")</f>
        <v/>
      </c>
      <c r="B2412" s="18">
        <f>IF($A2412="","",Paramètres!G36)</f>
        <v/>
      </c>
      <c r="C2412" s="18">
        <f>IF($A2412="","",IF(Paramètres!H36="","",Paramètres!H36))</f>
        <v/>
      </c>
      <c r="D2412" s="18">
        <f>IF($A2412="","",IF(Paramètres!I36="","",Paramètres!I36))</f>
        <v/>
      </c>
      <c r="E2412" s="19">
        <f>IF($A2412="","",IF(Paramètres!J36&amp;Paramètres!L36&amp;Paramètres!N36="",Dossiers!$D$48,MAX(IF(Paramètres!J36="",0,IF(Paramètres!K36="",NA(),IF(LEFT(TRIM(Paramètres!K36),1)="F",INDEX($F$2381:$F$2433,MATCH(Paramètres!J36,Paramètres!$G$5:$G$57,0)),INDEX($E$2381:$E$2433,MATCH(Paramètres!J36,Paramètres!$G$5:$G$57,0)))+IF(RIGHT(TRIM(Paramètres!K36),3)="Fin",1-$H2412,IF(LEFT(TRIM(Paramètres!K36),1)="F",1,0)))),IF(Paramètres!L36="",0,IF(Paramètres!M36="",NA(),IF(LEFT(TRIM(Paramètres!M36),1)="F",INDEX($F$2381:$F$2433,MATCH(Paramètres!L36,Paramètres!$G$5:$G$57,0)),INDEX($E$2381:$E$2433,MATCH(Paramètres!L36,Paramètres!$G$5:$G$57,0)))+IF(RIGHT(TRIM(Paramètres!M36),3)="Fin",1-$H2412,IF(LEFT(TRIM(Paramètres!M36),1)="F",1,0)))),IF(Paramètres!N36="",0,IF(Paramètres!O36="",NA(),IF(LEFT(TRIM(Paramètres!O36),1)="F",INDEX($F$2381:$F$2433,MATCH(Paramètres!N36,Paramètres!$G$5:$G$57,0)),INDEX($E$2381:$E$2433,MATCH(Paramètres!N36,Paramètres!$G$5:$G$57,0)))+IF(RIGHT(TRIM(Paramètres!O36),3)="Fin",1-$H2412,IF(LEFT(TRIM(Paramètres!O36),1)="F",1,0)))))))</f>
        <v/>
      </c>
      <c r="F2412" s="19">
        <f>IF($A2412="","",E2412+$H2412-1)</f>
        <v/>
      </c>
      <c r="G2412" s="18" t="n"/>
      <c r="H2412" s="18">
        <f>IF($A2412="","",IF(I2412&lt;&gt;"",I2412,Paramètres!B36))</f>
        <v/>
      </c>
      <c r="I2412" s="18" t="n"/>
    </row>
    <row r="2413">
      <c r="A2413" s="18">
        <f>IF(ISNUMBER(Dossiers!$D$48),Dossiers!$A$48&amp;" · "&amp;Dossiers!$B$48,"")</f>
        <v/>
      </c>
      <c r="B2413" s="18">
        <f>IF($A2413="","",Paramètres!G37)</f>
        <v/>
      </c>
      <c r="C2413" s="18">
        <f>IF($A2413="","",IF(Paramètres!H37="","",Paramètres!H37))</f>
        <v/>
      </c>
      <c r="D2413" s="18">
        <f>IF($A2413="","",IF(Paramètres!I37="","",Paramètres!I37))</f>
        <v/>
      </c>
      <c r="E2413" s="19">
        <f>IF($A2413="","",MIN(E2414:E2431))</f>
        <v/>
      </c>
      <c r="F2413" s="19">
        <f>IF($A2413="","",MAX(F2414:F2431))</f>
        <v/>
      </c>
      <c r="G2413" s="18" t="n"/>
      <c r="H2413" s="18">
        <f>IF($A2413="","",F2413-E2413+1)</f>
        <v/>
      </c>
      <c r="I2413" s="18" t="n"/>
    </row>
    <row r="2414">
      <c r="A2414" s="18">
        <f>IF(ISNUMBER(Dossiers!$D$48),Dossiers!$A$48&amp;" · "&amp;Dossiers!$B$48,"")</f>
        <v/>
      </c>
      <c r="B2414" s="18">
        <f>IF($A2414="","",Paramètres!G38)</f>
        <v/>
      </c>
      <c r="C2414" s="18">
        <f>IF($A2414="","",IF(Paramètres!H38="","",Paramètres!H38))</f>
        <v/>
      </c>
      <c r="D2414" s="18">
        <f>IF($A2414="","",IF(Paramètres!I38="","",Paramètres!I38))</f>
        <v/>
      </c>
      <c r="E2414" s="19">
        <f>IF($A2414="","",IF(Paramètres!J38&amp;Paramètres!L38&amp;Paramètres!N38="",Dossiers!$D$48,MAX(IF(Paramètres!J38="",0,IF(Paramètres!K38="",NA(),IF(LEFT(TRIM(Paramètres!K38),1)="F",INDEX($F$2381:$F$2433,MATCH(Paramètres!J38,Paramètres!$G$5:$G$57,0)),INDEX($E$2381:$E$2433,MATCH(Paramètres!J38,Paramètres!$G$5:$G$57,0)))+IF(RIGHT(TRIM(Paramètres!K38),3)="Fin",1-$H2414,IF(LEFT(TRIM(Paramètres!K38),1)="F",1,0)))),IF(Paramètres!L38="",0,IF(Paramètres!M38="",NA(),IF(LEFT(TRIM(Paramètres!M38),1)="F",INDEX($F$2381:$F$2433,MATCH(Paramètres!L38,Paramètres!$G$5:$G$57,0)),INDEX($E$2381:$E$2433,MATCH(Paramètres!L38,Paramètres!$G$5:$G$57,0)))+IF(RIGHT(TRIM(Paramètres!M38),3)="Fin",1-$H2414,IF(LEFT(TRIM(Paramètres!M38),1)="F",1,0)))),IF(Paramètres!N38="",0,IF(Paramètres!O38="",NA(),IF(LEFT(TRIM(Paramètres!O38),1)="F",INDEX($F$2381:$F$2433,MATCH(Paramètres!N38,Paramètres!$G$5:$G$57,0)),INDEX($E$2381:$E$2433,MATCH(Paramètres!N38,Paramètres!$G$5:$G$57,0)))+IF(RIGHT(TRIM(Paramètres!O38),3)="Fin",1-$H2414,IF(LEFT(TRIM(Paramètres!O38),1)="F",1,0)))))))</f>
        <v/>
      </c>
      <c r="F2414" s="19">
        <f>IF($A2414="","",E2414+$H2414-1)</f>
        <v/>
      </c>
      <c r="G2414" s="18" t="n"/>
      <c r="H2414" s="18">
        <f>IF($A2414="","",IF(I2414&lt;&gt;"",I2414,Paramètres!B38))</f>
        <v/>
      </c>
      <c r="I2414" s="18" t="n"/>
    </row>
    <row r="2415">
      <c r="A2415" s="18">
        <f>IF(ISNUMBER(Dossiers!$D$48),Dossiers!$A$48&amp;" · "&amp;Dossiers!$B$48,"")</f>
        <v/>
      </c>
      <c r="B2415" s="18">
        <f>IF($A2415="","",Paramètres!G39)</f>
        <v/>
      </c>
      <c r="C2415" s="18">
        <f>IF($A2415="","",IF(Paramètres!H39="","",Paramètres!H39))</f>
        <v/>
      </c>
      <c r="D2415" s="18">
        <f>IF($A2415="","",IF(Paramètres!I39="","",Paramètres!I39))</f>
        <v/>
      </c>
      <c r="E2415" s="19">
        <f>IF($A2415="","",IF(Paramètres!J39&amp;Paramètres!L39&amp;Paramètres!N39="",Dossiers!$D$48,MAX(IF(Paramètres!J39="",0,IF(Paramètres!K39="",NA(),IF(LEFT(TRIM(Paramètres!K39),1)="F",INDEX($F$2381:$F$2433,MATCH(Paramètres!J39,Paramètres!$G$5:$G$57,0)),INDEX($E$2381:$E$2433,MATCH(Paramètres!J39,Paramètres!$G$5:$G$57,0)))+IF(RIGHT(TRIM(Paramètres!K39),3)="Fin",1-$H2415,IF(LEFT(TRIM(Paramètres!K39),1)="F",1,0)))),IF(Paramètres!L39="",0,IF(Paramètres!M39="",NA(),IF(LEFT(TRIM(Paramètres!M39),1)="F",INDEX($F$2381:$F$2433,MATCH(Paramètres!L39,Paramètres!$G$5:$G$57,0)),INDEX($E$2381:$E$2433,MATCH(Paramètres!L39,Paramètres!$G$5:$G$57,0)))+IF(RIGHT(TRIM(Paramètres!M39),3)="Fin",1-$H2415,IF(LEFT(TRIM(Paramètres!M39),1)="F",1,0)))),IF(Paramètres!N39="",0,IF(Paramètres!O39="",NA(),IF(LEFT(TRIM(Paramètres!O39),1)="F",INDEX($F$2381:$F$2433,MATCH(Paramètres!N39,Paramètres!$G$5:$G$57,0)),INDEX($E$2381:$E$2433,MATCH(Paramètres!N39,Paramètres!$G$5:$G$57,0)))+IF(RIGHT(TRIM(Paramètres!O39),3)="Fin",1-$H2415,IF(LEFT(TRIM(Paramètres!O39),1)="F",1,0)))))))</f>
        <v/>
      </c>
      <c r="F2415" s="19">
        <f>IF($A2415="","",E2415+$H2415-1)</f>
        <v/>
      </c>
      <c r="G2415" s="18" t="n"/>
      <c r="H2415" s="18">
        <f>IF($A2415="","",IF(I2415&lt;&gt;"",I2415,Paramètres!B39))</f>
        <v/>
      </c>
      <c r="I2415" s="18" t="n"/>
    </row>
    <row r="2416">
      <c r="A2416" s="18">
        <f>IF(ISNUMBER(Dossiers!$D$48),Dossiers!$A$48&amp;" · "&amp;Dossiers!$B$48,"")</f>
        <v/>
      </c>
      <c r="B2416" s="18">
        <f>IF($A2416="","",Paramètres!G40)</f>
        <v/>
      </c>
      <c r="C2416" s="18">
        <f>IF($A2416="","",IF(Paramètres!H40="","",Paramètres!H40))</f>
        <v/>
      </c>
      <c r="D2416" s="18">
        <f>IF($A2416="","",IF(Paramètres!I40="","",Paramètres!I40))</f>
        <v/>
      </c>
      <c r="E2416" s="19">
        <f>IF($A2416="","",IF(Paramètres!J40&amp;Paramètres!L40&amp;Paramètres!N40="",Dossiers!$D$48,MAX(IF(Paramètres!J40="",0,IF(Paramètres!K40="",NA(),IF(LEFT(TRIM(Paramètres!K40),1)="F",INDEX($F$2381:$F$2433,MATCH(Paramètres!J40,Paramètres!$G$5:$G$57,0)),INDEX($E$2381:$E$2433,MATCH(Paramètres!J40,Paramètres!$G$5:$G$57,0)))+IF(RIGHT(TRIM(Paramètres!K40),3)="Fin",1-$H2416,IF(LEFT(TRIM(Paramètres!K40),1)="F",1,0)))),IF(Paramètres!L40="",0,IF(Paramètres!M40="",NA(),IF(LEFT(TRIM(Paramètres!M40),1)="F",INDEX($F$2381:$F$2433,MATCH(Paramètres!L40,Paramètres!$G$5:$G$57,0)),INDEX($E$2381:$E$2433,MATCH(Paramètres!L40,Paramètres!$G$5:$G$57,0)))+IF(RIGHT(TRIM(Paramètres!M40),3)="Fin",1-$H2416,IF(LEFT(TRIM(Paramètres!M40),1)="F",1,0)))),IF(Paramètres!N40="",0,IF(Paramètres!O40="",NA(),IF(LEFT(TRIM(Paramètres!O40),1)="F",INDEX($F$2381:$F$2433,MATCH(Paramètres!N40,Paramètres!$G$5:$G$57,0)),INDEX($E$2381:$E$2433,MATCH(Paramètres!N40,Paramètres!$G$5:$G$57,0)))+IF(RIGHT(TRIM(Paramètres!O40),3)="Fin",1-$H2416,IF(LEFT(TRIM(Paramètres!O40),1)="F",1,0)))))))</f>
        <v/>
      </c>
      <c r="F2416" s="19">
        <f>IF($A2416="","",E2416+$H2416-1)</f>
        <v/>
      </c>
      <c r="G2416" s="18" t="n"/>
      <c r="H2416" s="18">
        <f>IF($A2416="","",IF(I2416&lt;&gt;"",I2416,Paramètres!B40))</f>
        <v/>
      </c>
      <c r="I2416" s="18" t="n"/>
    </row>
    <row r="2417">
      <c r="A2417" s="18">
        <f>IF(ISNUMBER(Dossiers!$D$48),Dossiers!$A$48&amp;" · "&amp;Dossiers!$B$48,"")</f>
        <v/>
      </c>
      <c r="B2417" s="18">
        <f>IF($A2417="","",Paramètres!G41)</f>
        <v/>
      </c>
      <c r="C2417" s="18">
        <f>IF($A2417="","",IF(Paramètres!H41="","",Paramètres!H41))</f>
        <v/>
      </c>
      <c r="D2417" s="18">
        <f>IF($A2417="","",IF(Paramètres!I41="","",Paramètres!I41))</f>
        <v/>
      </c>
      <c r="E2417" s="19">
        <f>IF($A2417="","",IF(Paramètres!J41&amp;Paramètres!L41&amp;Paramètres!N41="",Dossiers!$D$48,MAX(IF(Paramètres!J41="",0,IF(Paramètres!K41="",NA(),IF(LEFT(TRIM(Paramètres!K41),1)="F",INDEX($F$2381:$F$2433,MATCH(Paramètres!J41,Paramètres!$G$5:$G$57,0)),INDEX($E$2381:$E$2433,MATCH(Paramètres!J41,Paramètres!$G$5:$G$57,0)))+IF(RIGHT(TRIM(Paramètres!K41),3)="Fin",1-$H2417,IF(LEFT(TRIM(Paramètres!K41),1)="F",1,0)))),IF(Paramètres!L41="",0,IF(Paramètres!M41="",NA(),IF(LEFT(TRIM(Paramètres!M41),1)="F",INDEX($F$2381:$F$2433,MATCH(Paramètres!L41,Paramètres!$G$5:$G$57,0)),INDEX($E$2381:$E$2433,MATCH(Paramètres!L41,Paramètres!$G$5:$G$57,0)))+IF(RIGHT(TRIM(Paramètres!M41),3)="Fin",1-$H2417,IF(LEFT(TRIM(Paramètres!M41),1)="F",1,0)))),IF(Paramètres!N41="",0,IF(Paramètres!O41="",NA(),IF(LEFT(TRIM(Paramètres!O41),1)="F",INDEX($F$2381:$F$2433,MATCH(Paramètres!N41,Paramètres!$G$5:$G$57,0)),INDEX($E$2381:$E$2433,MATCH(Paramètres!N41,Paramètres!$G$5:$G$57,0)))+IF(RIGHT(TRIM(Paramètres!O41),3)="Fin",1-$H2417,IF(LEFT(TRIM(Paramètres!O41),1)="F",1,0)))))))</f>
        <v/>
      </c>
      <c r="F2417" s="19">
        <f>IF($A2417="","",E2417+$H2417-1)</f>
        <v/>
      </c>
      <c r="G2417" s="18" t="n"/>
      <c r="H2417" s="18">
        <f>IF($A2417="","",IF(I2417&lt;&gt;"",I2417,Paramètres!B41))</f>
        <v/>
      </c>
      <c r="I2417" s="18" t="n"/>
    </row>
    <row r="2418">
      <c r="A2418" s="18">
        <f>IF(ISNUMBER(Dossiers!$D$48),Dossiers!$A$48&amp;" · "&amp;Dossiers!$B$48,"")</f>
        <v/>
      </c>
      <c r="B2418" s="18">
        <f>IF($A2418="","",Paramètres!G42)</f>
        <v/>
      </c>
      <c r="C2418" s="18">
        <f>IF($A2418="","",IF(Paramètres!H42="","",Paramètres!H42))</f>
        <v/>
      </c>
      <c r="D2418" s="18">
        <f>IF($A2418="","",IF(Paramètres!I42="","",Paramètres!I42))</f>
        <v/>
      </c>
      <c r="E2418" s="19">
        <f>IF($A2418="","",IF(Paramètres!J42&amp;Paramètres!L42&amp;Paramètres!N42="",Dossiers!$D$48,MAX(IF(Paramètres!J42="",0,IF(Paramètres!K42="",NA(),IF(LEFT(TRIM(Paramètres!K42),1)="F",INDEX($F$2381:$F$2433,MATCH(Paramètres!J42,Paramètres!$G$5:$G$57,0)),INDEX($E$2381:$E$2433,MATCH(Paramètres!J42,Paramètres!$G$5:$G$57,0)))+IF(RIGHT(TRIM(Paramètres!K42),3)="Fin",1-$H2418,IF(LEFT(TRIM(Paramètres!K42),1)="F",1,0)))),IF(Paramètres!L42="",0,IF(Paramètres!M42="",NA(),IF(LEFT(TRIM(Paramètres!M42),1)="F",INDEX($F$2381:$F$2433,MATCH(Paramètres!L42,Paramètres!$G$5:$G$57,0)),INDEX($E$2381:$E$2433,MATCH(Paramètres!L42,Paramètres!$G$5:$G$57,0)))+IF(RIGHT(TRIM(Paramètres!M42),3)="Fin",1-$H2418,IF(LEFT(TRIM(Paramètres!M42),1)="F",1,0)))),IF(Paramètres!N42="",0,IF(Paramètres!O42="",NA(),IF(LEFT(TRIM(Paramètres!O42),1)="F",INDEX($F$2381:$F$2433,MATCH(Paramètres!N42,Paramètres!$G$5:$G$57,0)),INDEX($E$2381:$E$2433,MATCH(Paramètres!N42,Paramètres!$G$5:$G$57,0)))+IF(RIGHT(TRIM(Paramètres!O42),3)="Fin",1-$H2418,IF(LEFT(TRIM(Paramètres!O42),1)="F",1,0)))))))</f>
        <v/>
      </c>
      <c r="F2418" s="19">
        <f>IF($A2418="","",E2418+$H2418-1)</f>
        <v/>
      </c>
      <c r="G2418" s="18" t="n"/>
      <c r="H2418" s="18">
        <f>IF($A2418="","",IF(I2418&lt;&gt;"",I2418,Paramètres!B42))</f>
        <v/>
      </c>
      <c r="I2418" s="18" t="n"/>
    </row>
    <row r="2419">
      <c r="A2419" s="18">
        <f>IF(ISNUMBER(Dossiers!$D$48),Dossiers!$A$48&amp;" · "&amp;Dossiers!$B$48,"")</f>
        <v/>
      </c>
      <c r="B2419" s="18">
        <f>IF($A2419="","",Paramètres!G43)</f>
        <v/>
      </c>
      <c r="C2419" s="18">
        <f>IF($A2419="","",IF(Paramètres!H43="","",Paramètres!H43))</f>
        <v/>
      </c>
      <c r="D2419" s="18">
        <f>IF($A2419="","",IF(Paramètres!I43="","",Paramètres!I43))</f>
        <v/>
      </c>
      <c r="E2419" s="19">
        <f>IF($A2419="","",IF(Paramètres!J43&amp;Paramètres!L43&amp;Paramètres!N43="",Dossiers!$D$48,MAX(IF(Paramètres!J43="",0,IF(Paramètres!K43="",NA(),IF(LEFT(TRIM(Paramètres!K43),1)="F",INDEX($F$2381:$F$2433,MATCH(Paramètres!J43,Paramètres!$G$5:$G$57,0)),INDEX($E$2381:$E$2433,MATCH(Paramètres!J43,Paramètres!$G$5:$G$57,0)))+IF(RIGHT(TRIM(Paramètres!K43),3)="Fin",1-$H2419,IF(LEFT(TRIM(Paramètres!K43),1)="F",1,0)))),IF(Paramètres!L43="",0,IF(Paramètres!M43="",NA(),IF(LEFT(TRIM(Paramètres!M43),1)="F",INDEX($F$2381:$F$2433,MATCH(Paramètres!L43,Paramètres!$G$5:$G$57,0)),INDEX($E$2381:$E$2433,MATCH(Paramètres!L43,Paramètres!$G$5:$G$57,0)))+IF(RIGHT(TRIM(Paramètres!M43),3)="Fin",1-$H2419,IF(LEFT(TRIM(Paramètres!M43),1)="F",1,0)))),IF(Paramètres!N43="",0,IF(Paramètres!O43="",NA(),IF(LEFT(TRIM(Paramètres!O43),1)="F",INDEX($F$2381:$F$2433,MATCH(Paramètres!N43,Paramètres!$G$5:$G$57,0)),INDEX($E$2381:$E$2433,MATCH(Paramètres!N43,Paramètres!$G$5:$G$57,0)))+IF(RIGHT(TRIM(Paramètres!O43),3)="Fin",1-$H2419,IF(LEFT(TRIM(Paramètres!O43),1)="F",1,0)))))))</f>
        <v/>
      </c>
      <c r="F2419" s="19">
        <f>IF($A2419="","",E2419+$H2419-1)</f>
        <v/>
      </c>
      <c r="G2419" s="18" t="n"/>
      <c r="H2419" s="18">
        <f>IF($A2419="","",IF(I2419&lt;&gt;"",I2419,Paramètres!B43))</f>
        <v/>
      </c>
      <c r="I2419" s="18" t="n"/>
    </row>
    <row r="2420">
      <c r="A2420" s="18">
        <f>IF(ISNUMBER(Dossiers!$D$48),Dossiers!$A$48&amp;" · "&amp;Dossiers!$B$48,"")</f>
        <v/>
      </c>
      <c r="B2420" s="18">
        <f>IF($A2420="","",Paramètres!G44)</f>
        <v/>
      </c>
      <c r="C2420" s="18">
        <f>IF($A2420="","",IF(Paramètres!H44="","",Paramètres!H44))</f>
        <v/>
      </c>
      <c r="D2420" s="18">
        <f>IF($A2420="","",IF(Paramètres!I44="","",Paramètres!I44))</f>
        <v/>
      </c>
      <c r="E2420" s="19">
        <f>IF($A2420="","",IF(Paramètres!J44&amp;Paramètres!L44&amp;Paramètres!N44="",Dossiers!$D$48,MAX(IF(Paramètres!J44="",0,IF(Paramètres!K44="",NA(),IF(LEFT(TRIM(Paramètres!K44),1)="F",INDEX($F$2381:$F$2433,MATCH(Paramètres!J44,Paramètres!$G$5:$G$57,0)),INDEX($E$2381:$E$2433,MATCH(Paramètres!J44,Paramètres!$G$5:$G$57,0)))+IF(RIGHT(TRIM(Paramètres!K44),3)="Fin",1-$H2420,IF(LEFT(TRIM(Paramètres!K44),1)="F",1,0)))),IF(Paramètres!L44="",0,IF(Paramètres!M44="",NA(),IF(LEFT(TRIM(Paramètres!M44),1)="F",INDEX($F$2381:$F$2433,MATCH(Paramètres!L44,Paramètres!$G$5:$G$57,0)),INDEX($E$2381:$E$2433,MATCH(Paramètres!L44,Paramètres!$G$5:$G$57,0)))+IF(RIGHT(TRIM(Paramètres!M44),3)="Fin",1-$H2420,IF(LEFT(TRIM(Paramètres!M44),1)="F",1,0)))),IF(Paramètres!N44="",0,IF(Paramètres!O44="",NA(),IF(LEFT(TRIM(Paramètres!O44),1)="F",INDEX($F$2381:$F$2433,MATCH(Paramètres!N44,Paramètres!$G$5:$G$57,0)),INDEX($E$2381:$E$2433,MATCH(Paramètres!N44,Paramètres!$G$5:$G$57,0)))+IF(RIGHT(TRIM(Paramètres!O44),3)="Fin",1-$H2420,IF(LEFT(TRIM(Paramètres!O44),1)="F",1,0)))))))</f>
        <v/>
      </c>
      <c r="F2420" s="19">
        <f>IF($A2420="","",E2420+$H2420-1)</f>
        <v/>
      </c>
      <c r="G2420" s="18" t="n"/>
      <c r="H2420" s="18">
        <f>IF($A2420="","",IF(I2420&lt;&gt;"",I2420,Paramètres!B44))</f>
        <v/>
      </c>
      <c r="I2420" s="18" t="n"/>
    </row>
    <row r="2421">
      <c r="A2421" s="18">
        <f>IF(ISNUMBER(Dossiers!$D$48),Dossiers!$A$48&amp;" · "&amp;Dossiers!$B$48,"")</f>
        <v/>
      </c>
      <c r="B2421" s="18">
        <f>IF($A2421="","",Paramètres!G45)</f>
        <v/>
      </c>
      <c r="C2421" s="20">
        <f>IF($A2421="","",IF(Dossiers!$G$48="","",Dossiers!$G$48))</f>
        <v/>
      </c>
      <c r="D2421" s="18">
        <f>IF($A2421="","",IF(Paramètres!I45="","",Paramètres!I45))</f>
        <v/>
      </c>
      <c r="E2421" s="19">
        <f>IF($A2421="","",IF(Paramètres!J45&amp;Paramètres!L45&amp;Paramètres!N45="",Dossiers!$D$48,MAX(IF(Paramètres!J45="",0,IF(Paramètres!K45="",NA(),IF(LEFT(TRIM(Paramètres!K45),1)="F",INDEX($F$2381:$F$2433,MATCH(Paramètres!J45,Paramètres!$G$5:$G$57,0)),INDEX($E$2381:$E$2433,MATCH(Paramètres!J45,Paramètres!$G$5:$G$57,0)))+IF(RIGHT(TRIM(Paramètres!K45),3)="Fin",1-$H2421,IF(LEFT(TRIM(Paramètres!K45),1)="F",1,0)))),IF(Paramètres!L45="",0,IF(Paramètres!M45="",NA(),IF(LEFT(TRIM(Paramètres!M45),1)="F",INDEX($F$2381:$F$2433,MATCH(Paramètres!L45,Paramètres!$G$5:$G$57,0)),INDEX($E$2381:$E$2433,MATCH(Paramètres!L45,Paramètres!$G$5:$G$57,0)))+IF(RIGHT(TRIM(Paramètres!M45),3)="Fin",1-$H2421,IF(LEFT(TRIM(Paramètres!M45),1)="F",1,0)))),IF(Paramètres!N45="",0,IF(Paramètres!O45="",NA(),IF(LEFT(TRIM(Paramètres!O45),1)="F",INDEX($F$2381:$F$2433,MATCH(Paramètres!N45,Paramètres!$G$5:$G$57,0)),INDEX($E$2381:$E$2433,MATCH(Paramètres!N45,Paramètres!$G$5:$G$57,0)))+IF(RIGHT(TRIM(Paramètres!O45),3)="Fin",1-$H2421,IF(LEFT(TRIM(Paramètres!O45),1)="F",1,0)))))))</f>
        <v/>
      </c>
      <c r="F2421" s="19">
        <f>IF($A2421="","",E2421+$H2421-1)</f>
        <v/>
      </c>
      <c r="G2421" s="18" t="n"/>
      <c r="H2421" s="18">
        <f>IF($A2421="","",IF(I2421&lt;&gt;"",I2421,Paramètres!B45))</f>
        <v/>
      </c>
      <c r="I2421" s="18" t="n"/>
    </row>
    <row r="2422">
      <c r="A2422" s="18">
        <f>IF(ISNUMBER(Dossiers!$D$48),Dossiers!$A$48&amp;" · "&amp;Dossiers!$B$48,"")</f>
        <v/>
      </c>
      <c r="B2422" s="18">
        <f>IF($A2422="","",Paramètres!G46)</f>
        <v/>
      </c>
      <c r="C2422" s="18">
        <f>IF($A2422="","",IF(Paramètres!H46="","",Paramètres!H46))</f>
        <v/>
      </c>
      <c r="D2422" s="18">
        <f>IF($A2422="","",IF(Paramètres!I46="","",Paramètres!I46))</f>
        <v/>
      </c>
      <c r="E2422" s="19">
        <f>IF($A2422="","",IF(Paramètres!J46&amp;Paramètres!L46&amp;Paramètres!N46="",Dossiers!$D$48,MAX(IF(Paramètres!J46="",0,IF(Paramètres!K46="",NA(),IF(LEFT(TRIM(Paramètres!K46),1)="F",INDEX($F$2381:$F$2433,MATCH(Paramètres!J46,Paramètres!$G$5:$G$57,0)),INDEX($E$2381:$E$2433,MATCH(Paramètres!J46,Paramètres!$G$5:$G$57,0)))+IF(RIGHT(TRIM(Paramètres!K46),3)="Fin",1-$H2422,IF(LEFT(TRIM(Paramètres!K46),1)="F",1,0)))),IF(Paramètres!L46="",0,IF(Paramètres!M46="",NA(),IF(LEFT(TRIM(Paramètres!M46),1)="F",INDEX($F$2381:$F$2433,MATCH(Paramètres!L46,Paramètres!$G$5:$G$57,0)),INDEX($E$2381:$E$2433,MATCH(Paramètres!L46,Paramètres!$G$5:$G$57,0)))+IF(RIGHT(TRIM(Paramètres!M46),3)="Fin",1-$H2422,IF(LEFT(TRIM(Paramètres!M46),1)="F",1,0)))),IF(Paramètres!N46="",0,IF(Paramètres!O46="",NA(),IF(LEFT(TRIM(Paramètres!O46),1)="F",INDEX($F$2381:$F$2433,MATCH(Paramètres!N46,Paramètres!$G$5:$G$57,0)),INDEX($E$2381:$E$2433,MATCH(Paramètres!N46,Paramètres!$G$5:$G$57,0)))+IF(RIGHT(TRIM(Paramètres!O46),3)="Fin",1-$H2422,IF(LEFT(TRIM(Paramètres!O46),1)="F",1,0)))))))</f>
        <v/>
      </c>
      <c r="F2422" s="19">
        <f>IF($A2422="","",E2422+$H2422-1)</f>
        <v/>
      </c>
      <c r="G2422" s="18" t="n"/>
      <c r="H2422" s="18">
        <f>IF($A2422="","",IF(I2422&lt;&gt;"",I2422,Paramètres!B46))</f>
        <v/>
      </c>
      <c r="I2422" s="18" t="n"/>
    </row>
    <row r="2423">
      <c r="A2423" s="18">
        <f>IF(ISNUMBER(Dossiers!$D$48),Dossiers!$A$48&amp;" · "&amp;Dossiers!$B$48,"")</f>
        <v/>
      </c>
      <c r="B2423" s="18">
        <f>IF($A2423="","",Paramètres!G47)</f>
        <v/>
      </c>
      <c r="C2423" s="18">
        <f>IF($A2423="","",IF(Paramètres!H47="","",Paramètres!H47))</f>
        <v/>
      </c>
      <c r="D2423" s="18">
        <f>IF($A2423="","",IF(Paramètres!I47="","",Paramètres!I47))</f>
        <v/>
      </c>
      <c r="E2423" s="19">
        <f>IF($A2423="","",IF(Paramètres!J47&amp;Paramètres!L47&amp;Paramètres!N47="",Dossiers!$D$48,MAX(IF(Paramètres!J47="",0,IF(Paramètres!K47="",NA(),IF(LEFT(TRIM(Paramètres!K47),1)="F",INDEX($F$2381:$F$2433,MATCH(Paramètres!J47,Paramètres!$G$5:$G$57,0)),INDEX($E$2381:$E$2433,MATCH(Paramètres!J47,Paramètres!$G$5:$G$57,0)))+IF(RIGHT(TRIM(Paramètres!K47),3)="Fin",1-$H2423,IF(LEFT(TRIM(Paramètres!K47),1)="F",1,0)))),IF(Paramètres!L47="",0,IF(Paramètres!M47="",NA(),IF(LEFT(TRIM(Paramètres!M47),1)="F",INDEX($F$2381:$F$2433,MATCH(Paramètres!L47,Paramètres!$G$5:$G$57,0)),INDEX($E$2381:$E$2433,MATCH(Paramètres!L47,Paramètres!$G$5:$G$57,0)))+IF(RIGHT(TRIM(Paramètres!M47),3)="Fin",1-$H2423,IF(LEFT(TRIM(Paramètres!M47),1)="F",1,0)))),IF(Paramètres!N47="",0,IF(Paramètres!O47="",NA(),IF(LEFT(TRIM(Paramètres!O47),1)="F",INDEX($F$2381:$F$2433,MATCH(Paramètres!N47,Paramètres!$G$5:$G$57,0)),INDEX($E$2381:$E$2433,MATCH(Paramètres!N47,Paramètres!$G$5:$G$57,0)))+IF(RIGHT(TRIM(Paramètres!O47),3)="Fin",1-$H2423,IF(LEFT(TRIM(Paramètres!O47),1)="F",1,0)))))))</f>
        <v/>
      </c>
      <c r="F2423" s="19">
        <f>IF($A2423="","",E2423+$H2423-1)</f>
        <v/>
      </c>
      <c r="G2423" s="18" t="n"/>
      <c r="H2423" s="18">
        <f>IF($A2423="","",IF(I2423&lt;&gt;"",I2423,Paramètres!B47))</f>
        <v/>
      </c>
      <c r="I2423" s="18" t="n"/>
    </row>
    <row r="2424">
      <c r="A2424" s="18">
        <f>IF(ISNUMBER(Dossiers!$D$48),Dossiers!$A$48&amp;" · "&amp;Dossiers!$B$48,"")</f>
        <v/>
      </c>
      <c r="B2424" s="18">
        <f>IF($A2424="","",Paramètres!G48)</f>
        <v/>
      </c>
      <c r="C2424" s="18">
        <f>IF($A2424="","",IF(Paramètres!H48="","",Paramètres!H48))</f>
        <v/>
      </c>
      <c r="D2424" s="18">
        <f>IF($A2424="","",IF(Paramètres!I48="","",Paramètres!I48))</f>
        <v/>
      </c>
      <c r="E2424" s="19">
        <f>IF($A2424="","",IF(Paramètres!J48&amp;Paramètres!L48&amp;Paramètres!N48="",Dossiers!$D$48,MAX(IF(Paramètres!J48="",0,IF(Paramètres!K48="",NA(),IF(LEFT(TRIM(Paramètres!K48),1)="F",INDEX($F$2381:$F$2433,MATCH(Paramètres!J48,Paramètres!$G$5:$G$57,0)),INDEX($E$2381:$E$2433,MATCH(Paramètres!J48,Paramètres!$G$5:$G$57,0)))+IF(RIGHT(TRIM(Paramètres!K48),3)="Fin",1-$H2424,IF(LEFT(TRIM(Paramètres!K48),1)="F",1,0)))),IF(Paramètres!L48="",0,IF(Paramètres!M48="",NA(),IF(LEFT(TRIM(Paramètres!M48),1)="F",INDEX($F$2381:$F$2433,MATCH(Paramètres!L48,Paramètres!$G$5:$G$57,0)),INDEX($E$2381:$E$2433,MATCH(Paramètres!L48,Paramètres!$G$5:$G$57,0)))+IF(RIGHT(TRIM(Paramètres!M48),3)="Fin",1-$H2424,IF(LEFT(TRIM(Paramètres!M48),1)="F",1,0)))),IF(Paramètres!N48="",0,IF(Paramètres!O48="",NA(),IF(LEFT(TRIM(Paramètres!O48),1)="F",INDEX($F$2381:$F$2433,MATCH(Paramètres!N48,Paramètres!$G$5:$G$57,0)),INDEX($E$2381:$E$2433,MATCH(Paramètres!N48,Paramètres!$G$5:$G$57,0)))+IF(RIGHT(TRIM(Paramètres!O48),3)="Fin",1-$H2424,IF(LEFT(TRIM(Paramètres!O48),1)="F",1,0)))))))</f>
        <v/>
      </c>
      <c r="F2424" s="19">
        <f>IF($A2424="","",E2424+$H2424-1)</f>
        <v/>
      </c>
      <c r="G2424" s="18" t="n"/>
      <c r="H2424" s="18">
        <f>IF($A2424="","",IF(I2424&lt;&gt;"",I2424,Paramètres!B48))</f>
        <v/>
      </c>
      <c r="I2424" s="18" t="n"/>
    </row>
    <row r="2425">
      <c r="A2425" s="18">
        <f>IF(ISNUMBER(Dossiers!$D$48),Dossiers!$A$48&amp;" · "&amp;Dossiers!$B$48,"")</f>
        <v/>
      </c>
      <c r="B2425" s="18">
        <f>IF($A2425="","",Paramètres!G49)</f>
        <v/>
      </c>
      <c r="C2425" s="18">
        <f>IF($A2425="","",IF(Paramètres!H49="","",Paramètres!H49))</f>
        <v/>
      </c>
      <c r="D2425" s="18">
        <f>IF($A2425="","",IF(Paramètres!I49="","",Paramètres!I49))</f>
        <v/>
      </c>
      <c r="E2425" s="19">
        <f>IF($A2425="","",IF(Paramètres!J49&amp;Paramètres!L49&amp;Paramètres!N49="",Dossiers!$D$48,MAX(IF(Paramètres!J49="",0,IF(Paramètres!K49="",NA(),IF(LEFT(TRIM(Paramètres!K49),1)="F",INDEX($F$2381:$F$2433,MATCH(Paramètres!J49,Paramètres!$G$5:$G$57,0)),INDEX($E$2381:$E$2433,MATCH(Paramètres!J49,Paramètres!$G$5:$G$57,0)))+IF(RIGHT(TRIM(Paramètres!K49),3)="Fin",1-$H2425,IF(LEFT(TRIM(Paramètres!K49),1)="F",1,0)))),IF(Paramètres!L49="",0,IF(Paramètres!M49="",NA(),IF(LEFT(TRIM(Paramètres!M49),1)="F",INDEX($F$2381:$F$2433,MATCH(Paramètres!L49,Paramètres!$G$5:$G$57,0)),INDEX($E$2381:$E$2433,MATCH(Paramètres!L49,Paramètres!$G$5:$G$57,0)))+IF(RIGHT(TRIM(Paramètres!M49),3)="Fin",1-$H2425,IF(LEFT(TRIM(Paramètres!M49),1)="F",1,0)))),IF(Paramètres!N49="",0,IF(Paramètres!O49="",NA(),IF(LEFT(TRIM(Paramètres!O49),1)="F",INDEX($F$2381:$F$2433,MATCH(Paramètres!N49,Paramètres!$G$5:$G$57,0)),INDEX($E$2381:$E$2433,MATCH(Paramètres!N49,Paramètres!$G$5:$G$57,0)))+IF(RIGHT(TRIM(Paramètres!O49),3)="Fin",1-$H2425,IF(LEFT(TRIM(Paramètres!O49),1)="F",1,0)))))))</f>
        <v/>
      </c>
      <c r="F2425" s="19">
        <f>IF($A2425="","",E2425+$H2425-1)</f>
        <v/>
      </c>
      <c r="G2425" s="18" t="n"/>
      <c r="H2425" s="18">
        <f>IF($A2425="","",IF(I2425&lt;&gt;"",I2425,Paramètres!B49))</f>
        <v/>
      </c>
      <c r="I2425" s="18" t="n"/>
    </row>
    <row r="2426">
      <c r="A2426" s="18">
        <f>IF(ISNUMBER(Dossiers!$D$48),Dossiers!$A$48&amp;" · "&amp;Dossiers!$B$48,"")</f>
        <v/>
      </c>
      <c r="B2426" s="18">
        <f>IF($A2426="","",Paramètres!G50)</f>
        <v/>
      </c>
      <c r="C2426" s="18">
        <f>IF($A2426="","",IF(Paramètres!H50="","",Paramètres!H50))</f>
        <v/>
      </c>
      <c r="D2426" s="18">
        <f>IF($A2426="","",IF(Paramètres!I50="","",Paramètres!I50))</f>
        <v/>
      </c>
      <c r="E2426" s="19">
        <f>IF($A2426="","",IF(Paramètres!J50&amp;Paramètres!L50&amp;Paramètres!N50="",Dossiers!$D$48,MAX(IF(Paramètres!J50="",0,IF(Paramètres!K50="",NA(),IF(LEFT(TRIM(Paramètres!K50),1)="F",INDEX($F$2381:$F$2433,MATCH(Paramètres!J50,Paramètres!$G$5:$G$57,0)),INDEX($E$2381:$E$2433,MATCH(Paramètres!J50,Paramètres!$G$5:$G$57,0)))+IF(RIGHT(TRIM(Paramètres!K50),3)="Fin",1-$H2426,IF(LEFT(TRIM(Paramètres!K50),1)="F",1,0)))),IF(Paramètres!L50="",0,IF(Paramètres!M50="",NA(),IF(LEFT(TRIM(Paramètres!M50),1)="F",INDEX($F$2381:$F$2433,MATCH(Paramètres!L50,Paramètres!$G$5:$G$57,0)),INDEX($E$2381:$E$2433,MATCH(Paramètres!L50,Paramètres!$G$5:$G$57,0)))+IF(RIGHT(TRIM(Paramètres!M50),3)="Fin",1-$H2426,IF(LEFT(TRIM(Paramètres!M50),1)="F",1,0)))),IF(Paramètres!N50="",0,IF(Paramètres!O50="",NA(),IF(LEFT(TRIM(Paramètres!O50),1)="F",INDEX($F$2381:$F$2433,MATCH(Paramètres!N50,Paramètres!$G$5:$G$57,0)),INDEX($E$2381:$E$2433,MATCH(Paramètres!N50,Paramètres!$G$5:$G$57,0)))+IF(RIGHT(TRIM(Paramètres!O50),3)="Fin",1-$H2426,IF(LEFT(TRIM(Paramètres!O50),1)="F",1,0)))))))</f>
        <v/>
      </c>
      <c r="F2426" s="19">
        <f>IF($A2426="","",E2426+$H2426-1)</f>
        <v/>
      </c>
      <c r="G2426" s="18" t="n"/>
      <c r="H2426" s="18">
        <f>IF($A2426="","",IF(I2426&lt;&gt;"",I2426,Paramètres!B50))</f>
        <v/>
      </c>
      <c r="I2426" s="18" t="n"/>
    </row>
    <row r="2427">
      <c r="A2427" s="18">
        <f>IF(ISNUMBER(Dossiers!$D$48),Dossiers!$A$48&amp;" · "&amp;Dossiers!$B$48,"")</f>
        <v/>
      </c>
      <c r="B2427" s="18">
        <f>IF($A2427="","",Paramètres!G51)</f>
        <v/>
      </c>
      <c r="C2427" s="18">
        <f>IF($A2427="","",IF(Paramètres!H51="","",Paramètres!H51))</f>
        <v/>
      </c>
      <c r="D2427" s="18">
        <f>IF($A2427="","",IF(Paramètres!I51="","",Paramètres!I51))</f>
        <v/>
      </c>
      <c r="E2427" s="19">
        <f>IF($A2427="","",IF(Paramètres!J51&amp;Paramètres!L51&amp;Paramètres!N51="",Dossiers!$D$48,MAX(IF(Paramètres!J51="",0,IF(Paramètres!K51="",NA(),IF(LEFT(TRIM(Paramètres!K51),1)="F",INDEX($F$2381:$F$2433,MATCH(Paramètres!J51,Paramètres!$G$5:$G$57,0)),INDEX($E$2381:$E$2433,MATCH(Paramètres!J51,Paramètres!$G$5:$G$57,0)))+IF(RIGHT(TRIM(Paramètres!K51),3)="Fin",1-$H2427,IF(LEFT(TRIM(Paramètres!K51),1)="F",1,0)))),IF(Paramètres!L51="",0,IF(Paramètres!M51="",NA(),IF(LEFT(TRIM(Paramètres!M51),1)="F",INDEX($F$2381:$F$2433,MATCH(Paramètres!L51,Paramètres!$G$5:$G$57,0)),INDEX($E$2381:$E$2433,MATCH(Paramètres!L51,Paramètres!$G$5:$G$57,0)))+IF(RIGHT(TRIM(Paramètres!M51),3)="Fin",1-$H2427,IF(LEFT(TRIM(Paramètres!M51),1)="F",1,0)))),IF(Paramètres!N51="",0,IF(Paramètres!O51="",NA(),IF(LEFT(TRIM(Paramètres!O51),1)="F",INDEX($F$2381:$F$2433,MATCH(Paramètres!N51,Paramètres!$G$5:$G$57,0)),INDEX($E$2381:$E$2433,MATCH(Paramètres!N51,Paramètres!$G$5:$G$57,0)))+IF(RIGHT(TRIM(Paramètres!O51),3)="Fin",1-$H2427,IF(LEFT(TRIM(Paramètres!O51),1)="F",1,0)))))))</f>
        <v/>
      </c>
      <c r="F2427" s="19">
        <f>IF($A2427="","",E2427+$H2427-1)</f>
        <v/>
      </c>
      <c r="G2427" s="18" t="n"/>
      <c r="H2427" s="18">
        <f>IF($A2427="","",IF(I2427&lt;&gt;"",I2427,Paramètres!B51))</f>
        <v/>
      </c>
      <c r="I2427" s="18" t="n"/>
    </row>
    <row r="2428">
      <c r="A2428" s="18">
        <f>IF(ISNUMBER(Dossiers!$D$48),Dossiers!$A$48&amp;" · "&amp;Dossiers!$B$48,"")</f>
        <v/>
      </c>
      <c r="B2428" s="18">
        <f>IF($A2428="","",Paramètres!G52)</f>
        <v/>
      </c>
      <c r="C2428" s="18">
        <f>IF($A2428="","",IF(Paramètres!H52="","",Paramètres!H52))</f>
        <v/>
      </c>
      <c r="D2428" s="18">
        <f>IF($A2428="","",IF(Paramètres!I52="","",Paramètres!I52))</f>
        <v/>
      </c>
      <c r="E2428" s="19">
        <f>IF($A2428="","",IF(Paramètres!J52&amp;Paramètres!L52&amp;Paramètres!N52="",Dossiers!$D$48,MAX(IF(Paramètres!J52="",0,IF(Paramètres!K52="",NA(),IF(LEFT(TRIM(Paramètres!K52),1)="F",INDEX($F$2381:$F$2433,MATCH(Paramètres!J52,Paramètres!$G$5:$G$57,0)),INDEX($E$2381:$E$2433,MATCH(Paramètres!J52,Paramètres!$G$5:$G$57,0)))+IF(RIGHT(TRIM(Paramètres!K52),3)="Fin",1-$H2428,IF(LEFT(TRIM(Paramètres!K52),1)="F",1,0)))),IF(Paramètres!L52="",0,IF(Paramètres!M52="",NA(),IF(LEFT(TRIM(Paramètres!M52),1)="F",INDEX($F$2381:$F$2433,MATCH(Paramètres!L52,Paramètres!$G$5:$G$57,0)),INDEX($E$2381:$E$2433,MATCH(Paramètres!L52,Paramètres!$G$5:$G$57,0)))+IF(RIGHT(TRIM(Paramètres!M52),3)="Fin",1-$H2428,IF(LEFT(TRIM(Paramètres!M52),1)="F",1,0)))),IF(Paramètres!N52="",0,IF(Paramètres!O52="",NA(),IF(LEFT(TRIM(Paramètres!O52),1)="F",INDEX($F$2381:$F$2433,MATCH(Paramètres!N52,Paramètres!$G$5:$G$57,0)),INDEX($E$2381:$E$2433,MATCH(Paramètres!N52,Paramètres!$G$5:$G$57,0)))+IF(RIGHT(TRIM(Paramètres!O52),3)="Fin",1-$H2428,IF(LEFT(TRIM(Paramètres!O52),1)="F",1,0)))))))</f>
        <v/>
      </c>
      <c r="F2428" s="19">
        <f>IF($A2428="","",E2428+$H2428-1)</f>
        <v/>
      </c>
      <c r="G2428" s="18" t="n"/>
      <c r="H2428" s="18">
        <f>IF($A2428="","",IF(I2428&lt;&gt;"",I2428,Paramètres!B52))</f>
        <v/>
      </c>
      <c r="I2428" s="18" t="n"/>
    </row>
    <row r="2429">
      <c r="A2429" s="18">
        <f>IF(ISNUMBER(Dossiers!$D$48),Dossiers!$A$48&amp;" · "&amp;Dossiers!$B$48,"")</f>
        <v/>
      </c>
      <c r="B2429" s="18">
        <f>IF($A2429="","",Paramètres!G53)</f>
        <v/>
      </c>
      <c r="C2429" s="18">
        <f>IF($A2429="","",IF(Paramètres!H53="","",Paramètres!H53))</f>
        <v/>
      </c>
      <c r="D2429" s="18">
        <f>IF($A2429="","",IF(Paramètres!I53="","",Paramètres!I53))</f>
        <v/>
      </c>
      <c r="E2429" s="19">
        <f>IF($A2429="","",IF(Paramètres!J53&amp;Paramètres!L53&amp;Paramètres!N53="",Dossiers!$D$48,MAX(IF(Paramètres!J53="",0,IF(Paramètres!K53="",NA(),IF(LEFT(TRIM(Paramètres!K53),1)="F",INDEX($F$2381:$F$2433,MATCH(Paramètres!J53,Paramètres!$G$5:$G$57,0)),INDEX($E$2381:$E$2433,MATCH(Paramètres!J53,Paramètres!$G$5:$G$57,0)))+IF(RIGHT(TRIM(Paramètres!K53),3)="Fin",1-$H2429,IF(LEFT(TRIM(Paramètres!K53),1)="F",1,0)))),IF(Paramètres!L53="",0,IF(Paramètres!M53="",NA(),IF(LEFT(TRIM(Paramètres!M53),1)="F",INDEX($F$2381:$F$2433,MATCH(Paramètres!L53,Paramètres!$G$5:$G$57,0)),INDEX($E$2381:$E$2433,MATCH(Paramètres!L53,Paramètres!$G$5:$G$57,0)))+IF(RIGHT(TRIM(Paramètres!M53),3)="Fin",1-$H2429,IF(LEFT(TRIM(Paramètres!M53),1)="F",1,0)))),IF(Paramètres!N53="",0,IF(Paramètres!O53="",NA(),IF(LEFT(TRIM(Paramètres!O53),1)="F",INDEX($F$2381:$F$2433,MATCH(Paramètres!N53,Paramètres!$G$5:$G$57,0)),INDEX($E$2381:$E$2433,MATCH(Paramètres!N53,Paramètres!$G$5:$G$57,0)))+IF(RIGHT(TRIM(Paramètres!O53),3)="Fin",1-$H2429,IF(LEFT(TRIM(Paramètres!O53),1)="F",1,0)))))))</f>
        <v/>
      </c>
      <c r="F2429" s="19">
        <f>IF($A2429="","",E2429+$H2429-1)</f>
        <v/>
      </c>
      <c r="G2429" s="18" t="n"/>
      <c r="H2429" s="18">
        <f>IF($A2429="","",IF(I2429&lt;&gt;"",I2429,Paramètres!B53))</f>
        <v/>
      </c>
      <c r="I2429" s="18" t="n"/>
    </row>
    <row r="2430">
      <c r="A2430" s="18">
        <f>IF(ISNUMBER(Dossiers!$D$48),Dossiers!$A$48&amp;" · "&amp;Dossiers!$B$48,"")</f>
        <v/>
      </c>
      <c r="B2430" s="18">
        <f>IF($A2430="","",Paramètres!G54)</f>
        <v/>
      </c>
      <c r="C2430" s="18">
        <f>IF($A2430="","",IF(Paramètres!H54="","",Paramètres!H54))</f>
        <v/>
      </c>
      <c r="D2430" s="18">
        <f>IF($A2430="","",IF(Paramètres!I54="","",Paramètres!I54))</f>
        <v/>
      </c>
      <c r="E2430" s="19">
        <f>IF($A2430="","",IF(Paramètres!J54&amp;Paramètres!L54&amp;Paramètres!N54="",Dossiers!$D$48,MAX(IF(Paramètres!J54="",0,IF(Paramètres!K54="",NA(),IF(LEFT(TRIM(Paramètres!K54),1)="F",INDEX($F$2381:$F$2433,MATCH(Paramètres!J54,Paramètres!$G$5:$G$57,0)),INDEX($E$2381:$E$2433,MATCH(Paramètres!J54,Paramètres!$G$5:$G$57,0)))+IF(RIGHT(TRIM(Paramètres!K54),3)="Fin",1-$H2430,IF(LEFT(TRIM(Paramètres!K54),1)="F",1,0)))),IF(Paramètres!L54="",0,IF(Paramètres!M54="",NA(),IF(LEFT(TRIM(Paramètres!M54),1)="F",INDEX($F$2381:$F$2433,MATCH(Paramètres!L54,Paramètres!$G$5:$G$57,0)),INDEX($E$2381:$E$2433,MATCH(Paramètres!L54,Paramètres!$G$5:$G$57,0)))+IF(RIGHT(TRIM(Paramètres!M54),3)="Fin",1-$H2430,IF(LEFT(TRIM(Paramètres!M54),1)="F",1,0)))),IF(Paramètres!N54="",0,IF(Paramètres!O54="",NA(),IF(LEFT(TRIM(Paramètres!O54),1)="F",INDEX($F$2381:$F$2433,MATCH(Paramètres!N54,Paramètres!$G$5:$G$57,0)),INDEX($E$2381:$E$2433,MATCH(Paramètres!N54,Paramètres!$G$5:$G$57,0)))+IF(RIGHT(TRIM(Paramètres!O54),3)="Fin",1-$H2430,IF(LEFT(TRIM(Paramètres!O54),1)="F",1,0)))))))</f>
        <v/>
      </c>
      <c r="F2430" s="19">
        <f>IF($A2430="","",E2430+$H2430-1)</f>
        <v/>
      </c>
      <c r="G2430" s="18" t="n"/>
      <c r="H2430" s="18">
        <f>IF($A2430="","",IF(I2430&lt;&gt;"",I2430,Paramètres!B54))</f>
        <v/>
      </c>
      <c r="I2430" s="18" t="n"/>
    </row>
    <row r="2431">
      <c r="A2431" s="18">
        <f>IF(ISNUMBER(Dossiers!$D$48),Dossiers!$A$48&amp;" · "&amp;Dossiers!$B$48,"")</f>
        <v/>
      </c>
      <c r="B2431" s="18">
        <f>IF($A2431="","",Paramètres!G55)</f>
        <v/>
      </c>
      <c r="C2431" s="18">
        <f>IF($A2431="","",IF(Paramètres!H55="","",Paramètres!H55))</f>
        <v/>
      </c>
      <c r="D2431" s="18">
        <f>IF($A2431="","",IF(Paramètres!I55="","",Paramètres!I55))</f>
        <v/>
      </c>
      <c r="E2431" s="19">
        <f>IF($A2431="","",IF(Paramètres!J55&amp;Paramètres!L55&amp;Paramètres!N55="",Dossiers!$D$48,MAX(IF(Paramètres!J55="",0,IF(Paramètres!K55="",NA(),IF(LEFT(TRIM(Paramètres!K55),1)="F",INDEX($F$2381:$F$2433,MATCH(Paramètres!J55,Paramètres!$G$5:$G$57,0)),INDEX($E$2381:$E$2433,MATCH(Paramètres!J55,Paramètres!$G$5:$G$57,0)))+IF(RIGHT(TRIM(Paramètres!K55),3)="Fin",1-$H2431,IF(LEFT(TRIM(Paramètres!K55),1)="F",1,0)))),IF(Paramètres!L55="",0,IF(Paramètres!M55="",NA(),IF(LEFT(TRIM(Paramètres!M55),1)="F",INDEX($F$2381:$F$2433,MATCH(Paramètres!L55,Paramètres!$G$5:$G$57,0)),INDEX($E$2381:$E$2433,MATCH(Paramètres!L55,Paramètres!$G$5:$G$57,0)))+IF(RIGHT(TRIM(Paramètres!M55),3)="Fin",1-$H2431,IF(LEFT(TRIM(Paramètres!M55),1)="F",1,0)))),IF(Paramètres!N55="",0,IF(Paramètres!O55="",NA(),IF(LEFT(TRIM(Paramètres!O55),1)="F",INDEX($F$2381:$F$2433,MATCH(Paramètres!N55,Paramètres!$G$5:$G$57,0)),INDEX($E$2381:$E$2433,MATCH(Paramètres!N55,Paramètres!$G$5:$G$57,0)))+IF(RIGHT(TRIM(Paramètres!O55),3)="Fin",1-$H2431,IF(LEFT(TRIM(Paramètres!O55),1)="F",1,0)))))))</f>
        <v/>
      </c>
      <c r="F2431" s="19">
        <f>IF($A2431="","",E2431+$H2431-1)</f>
        <v/>
      </c>
      <c r="G2431" s="18" t="n"/>
      <c r="H2431" s="18">
        <f>IF($A2431="","",IF(I2431&lt;&gt;"",I2431,Paramètres!B55))</f>
        <v/>
      </c>
      <c r="I2431" s="18" t="n"/>
    </row>
    <row r="2432">
      <c r="A2432" s="18">
        <f>IF(ISNUMBER(Dossiers!$D$48),Dossiers!$A$48&amp;" · "&amp;Dossiers!$B$48,"")</f>
        <v/>
      </c>
      <c r="B2432" s="18">
        <f>IF($A2432="","",Paramètres!G56)</f>
        <v/>
      </c>
      <c r="C2432" s="18">
        <f>IF($A2432="","",IF(Paramètres!H56="","",Paramètres!H56))</f>
        <v/>
      </c>
      <c r="D2432" s="18">
        <f>IF($A2432="","",IF(Paramètres!I56="","",Paramètres!I56))</f>
        <v/>
      </c>
      <c r="E2432" s="19">
        <f>IF($A2432="","",MIN(E2433:E2433))</f>
        <v/>
      </c>
      <c r="F2432" s="19">
        <f>IF($A2432="","",MAX(F2433:F2433))</f>
        <v/>
      </c>
      <c r="G2432" s="18" t="n"/>
      <c r="H2432" s="18">
        <f>IF($A2432="","",F2432-E2432+1)</f>
        <v/>
      </c>
      <c r="I2432" s="18" t="n"/>
    </row>
    <row r="2433">
      <c r="A2433" s="18">
        <f>IF(ISNUMBER(Dossiers!$D$48),Dossiers!$A$48&amp;" · "&amp;Dossiers!$B$48,"")</f>
        <v/>
      </c>
      <c r="B2433" s="18">
        <f>IF($A2433="","",Paramètres!G57)</f>
        <v/>
      </c>
      <c r="C2433" s="18">
        <f>IF($A2433="","",IF(Paramètres!H57="","",Paramètres!H57))</f>
        <v/>
      </c>
      <c r="D2433" s="18">
        <f>IF($A2433="","",IF(Paramètres!I57="","",Paramètres!I57))</f>
        <v/>
      </c>
      <c r="E2433" s="19">
        <f>IF($A2433="","",IF(Paramètres!J57&amp;Paramètres!L57&amp;Paramètres!N57="",Dossiers!$D$48,MAX(IF(Paramètres!J57="",0,IF(Paramètres!K57="",NA(),IF(LEFT(TRIM(Paramètres!K57),1)="F",INDEX($F$2381:$F$2433,MATCH(Paramètres!J57,Paramètres!$G$5:$G$57,0)),INDEX($E$2381:$E$2433,MATCH(Paramètres!J57,Paramètres!$G$5:$G$57,0)))+IF(RIGHT(TRIM(Paramètres!K57),3)="Fin",1-$H2433,IF(LEFT(TRIM(Paramètres!K57),1)="F",1,0)))),IF(Paramètres!L57="",0,IF(Paramètres!M57="",NA(),IF(LEFT(TRIM(Paramètres!M57),1)="F",INDEX($F$2381:$F$2433,MATCH(Paramètres!L57,Paramètres!$G$5:$G$57,0)),INDEX($E$2381:$E$2433,MATCH(Paramètres!L57,Paramètres!$G$5:$G$57,0)))+IF(RIGHT(TRIM(Paramètres!M57),3)="Fin",1-$H2433,IF(LEFT(TRIM(Paramètres!M57),1)="F",1,0)))),IF(Paramètres!N57="",0,IF(Paramètres!O57="",NA(),IF(LEFT(TRIM(Paramètres!O57),1)="F",INDEX($F$2381:$F$2433,MATCH(Paramètres!N57,Paramètres!$G$5:$G$57,0)),INDEX($E$2381:$E$2433,MATCH(Paramètres!N57,Paramètres!$G$5:$G$57,0)))+IF(RIGHT(TRIM(Paramètres!O57),3)="Fin",1-$H2433,IF(LEFT(TRIM(Paramètres!O57),1)="F",1,0)))))))</f>
        <v/>
      </c>
      <c r="F2433" s="19">
        <f>IF($A2433="","",E2433+$H2433-1)</f>
        <v/>
      </c>
      <c r="G2433" s="18" t="n"/>
      <c r="H2433" s="18">
        <f>IF($A2433="","",IF(I2433&lt;&gt;"",I2433,Paramètres!B57))</f>
        <v/>
      </c>
      <c r="I2433" s="18" t="n"/>
    </row>
    <row r="2434">
      <c r="A2434" s="16">
        <f>IF(ISNUMBER(Dossiers!$D$49),Dossiers!$E$49,"")</f>
        <v/>
      </c>
      <c r="B2434" s="16">
        <f>IF($A2434="","","Identifiant")</f>
        <v/>
      </c>
      <c r="C2434" s="16">
        <f>IF($A2434="","","Macro Etape")</f>
        <v/>
      </c>
      <c r="D2434" s="16">
        <f>IF($A2434="","","Etape")</f>
        <v/>
      </c>
      <c r="E2434" s="17">
        <f>IF($A2434="","","Début le")</f>
        <v/>
      </c>
      <c r="F2434" s="17">
        <f>IF($A2434="","","Fin prévue le")</f>
        <v/>
      </c>
      <c r="G2434" s="16">
        <f>IF($A2434="","","Statut")</f>
        <v/>
      </c>
      <c r="H2434" s="16">
        <f>IF($A2434="","","Durée (jours)")</f>
        <v/>
      </c>
      <c r="I2434" s="16">
        <f>IF($A2434="","","Durée particulière")</f>
        <v/>
      </c>
      <c r="J2434" s="10">
        <f>IF($A2434="","",HYPERLINK("#'Tableau de bord'!A1","↑ Tableau de bord"))</f>
        <v/>
      </c>
    </row>
    <row r="2435">
      <c r="A2435" s="18">
        <f>IF(ISNUMBER(Dossiers!$D$49),Dossiers!$A$49&amp;" · "&amp;Dossiers!$B$49,"")</f>
        <v/>
      </c>
      <c r="B2435" s="18">
        <f>IF($A2435="","",Paramètres!G5)</f>
        <v/>
      </c>
      <c r="C2435" s="18">
        <f>IF($A2435="","",IF(Paramètres!H5="","",Paramètres!H5))</f>
        <v/>
      </c>
      <c r="D2435" s="18">
        <f>IF($A2435="","",IF(Paramètres!I5="","",Paramètres!I5))</f>
        <v/>
      </c>
      <c r="E2435" s="19">
        <f>IF($A2435="","",MIN(E2436:E2439))</f>
        <v/>
      </c>
      <c r="F2435" s="19">
        <f>IF($A2435="","",MAX(F2436:F2439))</f>
        <v/>
      </c>
      <c r="G2435" s="18" t="n"/>
      <c r="H2435" s="18">
        <f>IF($A2435="","",F2435-E2435+1)</f>
        <v/>
      </c>
      <c r="I2435" s="18" t="n"/>
    </row>
    <row r="2436">
      <c r="A2436" s="18">
        <f>IF(ISNUMBER(Dossiers!$D$49),Dossiers!$A$49&amp;" · "&amp;Dossiers!$B$49,"")</f>
        <v/>
      </c>
      <c r="B2436" s="18">
        <f>IF($A2436="","",Paramètres!G6)</f>
        <v/>
      </c>
      <c r="C2436" s="18">
        <f>IF($A2436="","",IF(Paramètres!H6="","",Paramètres!H6))</f>
        <v/>
      </c>
      <c r="D2436" s="18">
        <f>IF($A2436="","",IF(Paramètres!I6="","",Paramètres!I6))</f>
        <v/>
      </c>
      <c r="E2436" s="19">
        <f>IF($A2436="","",IF(Paramètres!J6&amp;Paramètres!L6&amp;Paramètres!N6="",Dossiers!$D$49,MAX(IF(Paramètres!J6="",0,IF(Paramètres!K6="",NA(),IF(LEFT(TRIM(Paramètres!K6),1)="F",INDEX($F$2435:$F$2487,MATCH(Paramètres!J6,Paramètres!$G$5:$G$57,0)),INDEX($E$2435:$E$2487,MATCH(Paramètres!J6,Paramètres!$G$5:$G$57,0)))+IF(RIGHT(TRIM(Paramètres!K6),3)="Fin",1-$H2436,IF(LEFT(TRIM(Paramètres!K6),1)="F",1,0)))),IF(Paramètres!L6="",0,IF(Paramètres!M6="",NA(),IF(LEFT(TRIM(Paramètres!M6),1)="F",INDEX($F$2435:$F$2487,MATCH(Paramètres!L6,Paramètres!$G$5:$G$57,0)),INDEX($E$2435:$E$2487,MATCH(Paramètres!L6,Paramètres!$G$5:$G$57,0)))+IF(RIGHT(TRIM(Paramètres!M6),3)="Fin",1-$H2436,IF(LEFT(TRIM(Paramètres!M6),1)="F",1,0)))),IF(Paramètres!N6="",0,IF(Paramètres!O6="",NA(),IF(LEFT(TRIM(Paramètres!O6),1)="F",INDEX($F$2435:$F$2487,MATCH(Paramètres!N6,Paramètres!$G$5:$G$57,0)),INDEX($E$2435:$E$2487,MATCH(Paramètres!N6,Paramètres!$G$5:$G$57,0)))+IF(RIGHT(TRIM(Paramètres!O6),3)="Fin",1-$H2436,IF(LEFT(TRIM(Paramètres!O6),1)="F",1,0)))))))</f>
        <v/>
      </c>
      <c r="F2436" s="19">
        <f>IF($A2436="","",E2436+$H2436-1)</f>
        <v/>
      </c>
      <c r="G2436" s="18" t="n"/>
      <c r="H2436" s="18">
        <f>IF($A2436="","",IF(I2436&lt;&gt;"",I2436,Paramètres!B6))</f>
        <v/>
      </c>
      <c r="I2436" s="18" t="n"/>
    </row>
    <row r="2437">
      <c r="A2437" s="18">
        <f>IF(ISNUMBER(Dossiers!$D$49),Dossiers!$A$49&amp;" · "&amp;Dossiers!$B$49,"")</f>
        <v/>
      </c>
      <c r="B2437" s="18">
        <f>IF($A2437="","",Paramètres!G7)</f>
        <v/>
      </c>
      <c r="C2437" s="18">
        <f>IF($A2437="","",IF(Paramètres!H7="","",Paramètres!H7))</f>
        <v/>
      </c>
      <c r="D2437" s="18">
        <f>IF($A2437="","",IF(Paramètres!I7="","",Paramètres!I7))</f>
        <v/>
      </c>
      <c r="E2437" s="19">
        <f>IF($A2437="","",IF(Paramètres!J7&amp;Paramètres!L7&amp;Paramètres!N7="",Dossiers!$D$49,MAX(IF(Paramètres!J7="",0,IF(Paramètres!K7="",NA(),IF(LEFT(TRIM(Paramètres!K7),1)="F",INDEX($F$2435:$F$2487,MATCH(Paramètres!J7,Paramètres!$G$5:$G$57,0)),INDEX($E$2435:$E$2487,MATCH(Paramètres!J7,Paramètres!$G$5:$G$57,0)))+IF(RIGHT(TRIM(Paramètres!K7),3)="Fin",1-$H2437,IF(LEFT(TRIM(Paramètres!K7),1)="F",1,0)))),IF(Paramètres!L7="",0,IF(Paramètres!M7="",NA(),IF(LEFT(TRIM(Paramètres!M7),1)="F",INDEX($F$2435:$F$2487,MATCH(Paramètres!L7,Paramètres!$G$5:$G$57,0)),INDEX($E$2435:$E$2487,MATCH(Paramètres!L7,Paramètres!$G$5:$G$57,0)))+IF(RIGHT(TRIM(Paramètres!M7),3)="Fin",1-$H2437,IF(LEFT(TRIM(Paramètres!M7),1)="F",1,0)))),IF(Paramètres!N7="",0,IF(Paramètres!O7="",NA(),IF(LEFT(TRIM(Paramètres!O7),1)="F",INDEX($F$2435:$F$2487,MATCH(Paramètres!N7,Paramètres!$G$5:$G$57,0)),INDEX($E$2435:$E$2487,MATCH(Paramètres!N7,Paramètres!$G$5:$G$57,0)))+IF(RIGHT(TRIM(Paramètres!O7),3)="Fin",1-$H2437,IF(LEFT(TRIM(Paramètres!O7),1)="F",1,0)))))))</f>
        <v/>
      </c>
      <c r="F2437" s="19">
        <f>IF($A2437="","",E2437+$H2437-1)</f>
        <v/>
      </c>
      <c r="G2437" s="18" t="n"/>
      <c r="H2437" s="18">
        <f>IF($A2437="","",IF(I2437&lt;&gt;"",I2437,Paramètres!B7))</f>
        <v/>
      </c>
      <c r="I2437" s="18" t="n"/>
    </row>
    <row r="2438">
      <c r="A2438" s="18">
        <f>IF(ISNUMBER(Dossiers!$D$49),Dossiers!$A$49&amp;" · "&amp;Dossiers!$B$49,"")</f>
        <v/>
      </c>
      <c r="B2438" s="18">
        <f>IF($A2438="","",Paramètres!G8)</f>
        <v/>
      </c>
      <c r="C2438" s="18">
        <f>IF($A2438="","",IF(Paramètres!H8="","",Paramètres!H8))</f>
        <v/>
      </c>
      <c r="D2438" s="18">
        <f>IF($A2438="","",IF(Paramètres!I8="","",Paramètres!I8))</f>
        <v/>
      </c>
      <c r="E2438" s="19">
        <f>IF($A2438="","",IF(Paramètres!J8&amp;Paramètres!L8&amp;Paramètres!N8="",Dossiers!$D$49,MAX(IF(Paramètres!J8="",0,IF(Paramètres!K8="",NA(),IF(LEFT(TRIM(Paramètres!K8),1)="F",INDEX($F$2435:$F$2487,MATCH(Paramètres!J8,Paramètres!$G$5:$G$57,0)),INDEX($E$2435:$E$2487,MATCH(Paramètres!J8,Paramètres!$G$5:$G$57,0)))+IF(RIGHT(TRIM(Paramètres!K8),3)="Fin",1-$H2438,IF(LEFT(TRIM(Paramètres!K8),1)="F",1,0)))),IF(Paramètres!L8="",0,IF(Paramètres!M8="",NA(),IF(LEFT(TRIM(Paramètres!M8),1)="F",INDEX($F$2435:$F$2487,MATCH(Paramètres!L8,Paramètres!$G$5:$G$57,0)),INDEX($E$2435:$E$2487,MATCH(Paramètres!L8,Paramètres!$G$5:$G$57,0)))+IF(RIGHT(TRIM(Paramètres!M8),3)="Fin",1-$H2438,IF(LEFT(TRIM(Paramètres!M8),1)="F",1,0)))),IF(Paramètres!N8="",0,IF(Paramètres!O8="",NA(),IF(LEFT(TRIM(Paramètres!O8),1)="F",INDEX($F$2435:$F$2487,MATCH(Paramètres!N8,Paramètres!$G$5:$G$57,0)),INDEX($E$2435:$E$2487,MATCH(Paramètres!N8,Paramètres!$G$5:$G$57,0)))+IF(RIGHT(TRIM(Paramètres!O8),3)="Fin",1-$H2438,IF(LEFT(TRIM(Paramètres!O8),1)="F",1,0)))))))</f>
        <v/>
      </c>
      <c r="F2438" s="19">
        <f>IF($A2438="","",E2438+$H2438-1)</f>
        <v/>
      </c>
      <c r="G2438" s="18" t="n"/>
      <c r="H2438" s="18">
        <f>IF($A2438="","",IF(I2438&lt;&gt;"",I2438,Paramètres!B8))</f>
        <v/>
      </c>
      <c r="I2438" s="18" t="n"/>
    </row>
    <row r="2439">
      <c r="A2439" s="18">
        <f>IF(ISNUMBER(Dossiers!$D$49),Dossiers!$A$49&amp;" · "&amp;Dossiers!$B$49,"")</f>
        <v/>
      </c>
      <c r="B2439" s="18">
        <f>IF($A2439="","",Paramètres!G9)</f>
        <v/>
      </c>
      <c r="C2439" s="18">
        <f>IF($A2439="","",IF(Paramètres!H9="","",Paramètres!H9))</f>
        <v/>
      </c>
      <c r="D2439" s="18">
        <f>IF($A2439="","",IF(Paramètres!I9="","",Paramètres!I9))</f>
        <v/>
      </c>
      <c r="E2439" s="19">
        <f>IF($A2439="","",IF(Paramètres!J9&amp;Paramètres!L9&amp;Paramètres!N9="",Dossiers!$D$49,MAX(IF(Paramètres!J9="",0,IF(Paramètres!K9="",NA(),IF(LEFT(TRIM(Paramètres!K9),1)="F",INDEX($F$2435:$F$2487,MATCH(Paramètres!J9,Paramètres!$G$5:$G$57,0)),INDEX($E$2435:$E$2487,MATCH(Paramètres!J9,Paramètres!$G$5:$G$57,0)))+IF(RIGHT(TRIM(Paramètres!K9),3)="Fin",1-$H2439,IF(LEFT(TRIM(Paramètres!K9),1)="F",1,0)))),IF(Paramètres!L9="",0,IF(Paramètres!M9="",NA(),IF(LEFT(TRIM(Paramètres!M9),1)="F",INDEX($F$2435:$F$2487,MATCH(Paramètres!L9,Paramètres!$G$5:$G$57,0)),INDEX($E$2435:$E$2487,MATCH(Paramètres!L9,Paramètres!$G$5:$G$57,0)))+IF(RIGHT(TRIM(Paramètres!M9),3)="Fin",1-$H2439,IF(LEFT(TRIM(Paramètres!M9),1)="F",1,0)))),IF(Paramètres!N9="",0,IF(Paramètres!O9="",NA(),IF(LEFT(TRIM(Paramètres!O9),1)="F",INDEX($F$2435:$F$2487,MATCH(Paramètres!N9,Paramètres!$G$5:$G$57,0)),INDEX($E$2435:$E$2487,MATCH(Paramètres!N9,Paramètres!$G$5:$G$57,0)))+IF(RIGHT(TRIM(Paramètres!O9),3)="Fin",1-$H2439,IF(LEFT(TRIM(Paramètres!O9),1)="F",1,0)))))))</f>
        <v/>
      </c>
      <c r="F2439" s="19">
        <f>IF($A2439="","",E2439+$H2439-1)</f>
        <v/>
      </c>
      <c r="G2439" s="18" t="n"/>
      <c r="H2439" s="18">
        <f>IF($A2439="","",IF(I2439&lt;&gt;"",I2439,Paramètres!B9))</f>
        <v/>
      </c>
      <c r="I2439" s="18" t="n"/>
    </row>
    <row r="2440">
      <c r="A2440" s="18">
        <f>IF(ISNUMBER(Dossiers!$D$49),Dossiers!$A$49&amp;" · "&amp;Dossiers!$B$49,"")</f>
        <v/>
      </c>
      <c r="B2440" s="18">
        <f>IF($A2440="","",Paramètres!G10)</f>
        <v/>
      </c>
      <c r="C2440" s="18">
        <f>IF($A2440="","",IF(Paramètres!H10="","",Paramètres!H10))</f>
        <v/>
      </c>
      <c r="D2440" s="18">
        <f>IF($A2440="","",IF(Paramètres!I10="","",Paramètres!I10))</f>
        <v/>
      </c>
      <c r="E2440" s="19">
        <f>IF($A2440="","",MIN(E2441:E2444))</f>
        <v/>
      </c>
      <c r="F2440" s="19">
        <f>IF($A2440="","",MAX(F2441:F2444))</f>
        <v/>
      </c>
      <c r="G2440" s="18" t="n"/>
      <c r="H2440" s="18">
        <f>IF($A2440="","",F2440-E2440+1)</f>
        <v/>
      </c>
      <c r="I2440" s="18" t="n"/>
    </row>
    <row r="2441">
      <c r="A2441" s="18">
        <f>IF(ISNUMBER(Dossiers!$D$49),Dossiers!$A$49&amp;" · "&amp;Dossiers!$B$49,"")</f>
        <v/>
      </c>
      <c r="B2441" s="18">
        <f>IF($A2441="","",Paramètres!G11)</f>
        <v/>
      </c>
      <c r="C2441" s="18">
        <f>IF($A2441="","",IF(Paramètres!H11="","",Paramètres!H11))</f>
        <v/>
      </c>
      <c r="D2441" s="18">
        <f>IF($A2441="","",IF(Paramètres!I11="","",Paramètres!I11))</f>
        <v/>
      </c>
      <c r="E2441" s="19">
        <f>IF($A2441="","",IF(Paramètres!J11&amp;Paramètres!L11&amp;Paramètres!N11="",Dossiers!$D$49,MAX(IF(Paramètres!J11="",0,IF(Paramètres!K11="",NA(),IF(LEFT(TRIM(Paramètres!K11),1)="F",INDEX($F$2435:$F$2487,MATCH(Paramètres!J11,Paramètres!$G$5:$G$57,0)),INDEX($E$2435:$E$2487,MATCH(Paramètres!J11,Paramètres!$G$5:$G$57,0)))+IF(RIGHT(TRIM(Paramètres!K11),3)="Fin",1-$H2441,IF(LEFT(TRIM(Paramètres!K11),1)="F",1,0)))),IF(Paramètres!L11="",0,IF(Paramètres!M11="",NA(),IF(LEFT(TRIM(Paramètres!M11),1)="F",INDEX($F$2435:$F$2487,MATCH(Paramètres!L11,Paramètres!$G$5:$G$57,0)),INDEX($E$2435:$E$2487,MATCH(Paramètres!L11,Paramètres!$G$5:$G$57,0)))+IF(RIGHT(TRIM(Paramètres!M11),3)="Fin",1-$H2441,IF(LEFT(TRIM(Paramètres!M11),1)="F",1,0)))),IF(Paramètres!N11="",0,IF(Paramètres!O11="",NA(),IF(LEFT(TRIM(Paramètres!O11),1)="F",INDEX($F$2435:$F$2487,MATCH(Paramètres!N11,Paramètres!$G$5:$G$57,0)),INDEX($E$2435:$E$2487,MATCH(Paramètres!N11,Paramètres!$G$5:$G$57,0)))+IF(RIGHT(TRIM(Paramètres!O11),3)="Fin",1-$H2441,IF(LEFT(TRIM(Paramètres!O11),1)="F",1,0)))))))</f>
        <v/>
      </c>
      <c r="F2441" s="19">
        <f>IF($A2441="","",E2441+$H2441-1)</f>
        <v/>
      </c>
      <c r="G2441" s="18" t="n"/>
      <c r="H2441" s="18">
        <f>IF($A2441="","",IF(I2441&lt;&gt;"",I2441,Paramètres!B11))</f>
        <v/>
      </c>
      <c r="I2441" s="18" t="n"/>
    </row>
    <row r="2442">
      <c r="A2442" s="18">
        <f>IF(ISNUMBER(Dossiers!$D$49),Dossiers!$A$49&amp;" · "&amp;Dossiers!$B$49,"")</f>
        <v/>
      </c>
      <c r="B2442" s="18">
        <f>IF($A2442="","",Paramètres!G12)</f>
        <v/>
      </c>
      <c r="C2442" s="18">
        <f>IF($A2442="","",IF(Paramètres!H12="","",Paramètres!H12))</f>
        <v/>
      </c>
      <c r="D2442" s="18">
        <f>IF($A2442="","",IF(Paramètres!I12="","",Paramètres!I12))</f>
        <v/>
      </c>
      <c r="E2442" s="19">
        <f>IF($A2442="","",IF(Paramètres!J12&amp;Paramètres!L12&amp;Paramètres!N12="",Dossiers!$D$49,MAX(IF(Paramètres!J12="",0,IF(Paramètres!K12="",NA(),IF(LEFT(TRIM(Paramètres!K12),1)="F",INDEX($F$2435:$F$2487,MATCH(Paramètres!J12,Paramètres!$G$5:$G$57,0)),INDEX($E$2435:$E$2487,MATCH(Paramètres!J12,Paramètres!$G$5:$G$57,0)))+IF(RIGHT(TRIM(Paramètres!K12),3)="Fin",1-$H2442,IF(LEFT(TRIM(Paramètres!K12),1)="F",1,0)))),IF(Paramètres!L12="",0,IF(Paramètres!M12="",NA(),IF(LEFT(TRIM(Paramètres!M12),1)="F",INDEX($F$2435:$F$2487,MATCH(Paramètres!L12,Paramètres!$G$5:$G$57,0)),INDEX($E$2435:$E$2487,MATCH(Paramètres!L12,Paramètres!$G$5:$G$57,0)))+IF(RIGHT(TRIM(Paramètres!M12),3)="Fin",1-$H2442,IF(LEFT(TRIM(Paramètres!M12),1)="F",1,0)))),IF(Paramètres!N12="",0,IF(Paramètres!O12="",NA(),IF(LEFT(TRIM(Paramètres!O12),1)="F",INDEX($F$2435:$F$2487,MATCH(Paramètres!N12,Paramètres!$G$5:$G$57,0)),INDEX($E$2435:$E$2487,MATCH(Paramètres!N12,Paramètres!$G$5:$G$57,0)))+IF(RIGHT(TRIM(Paramètres!O12),3)="Fin",1-$H2442,IF(LEFT(TRIM(Paramètres!O12),1)="F",1,0)))))))</f>
        <v/>
      </c>
      <c r="F2442" s="19">
        <f>IF($A2442="","",E2442+$H2442-1)</f>
        <v/>
      </c>
      <c r="G2442" s="18" t="n"/>
      <c r="H2442" s="18">
        <f>IF($A2442="","",IF(I2442&lt;&gt;"",I2442,Paramètres!B12))</f>
        <v/>
      </c>
      <c r="I2442" s="18" t="n"/>
    </row>
    <row r="2443">
      <c r="A2443" s="18">
        <f>IF(ISNUMBER(Dossiers!$D$49),Dossiers!$A$49&amp;" · "&amp;Dossiers!$B$49,"")</f>
        <v/>
      </c>
      <c r="B2443" s="18">
        <f>IF($A2443="","",Paramètres!G13)</f>
        <v/>
      </c>
      <c r="C2443" s="18">
        <f>IF($A2443="","",IF(Paramètres!H13="","",Paramètres!H13))</f>
        <v/>
      </c>
      <c r="D2443" s="18">
        <f>IF($A2443="","",IF(Paramètres!I13="","",Paramètres!I13))</f>
        <v/>
      </c>
      <c r="E2443" s="19">
        <f>IF($A2443="","",IF(Paramètres!J13&amp;Paramètres!L13&amp;Paramètres!N13="",Dossiers!$D$49,MAX(IF(Paramètres!J13="",0,IF(Paramètres!K13="",NA(),IF(LEFT(TRIM(Paramètres!K13),1)="F",INDEX($F$2435:$F$2487,MATCH(Paramètres!J13,Paramètres!$G$5:$G$57,0)),INDEX($E$2435:$E$2487,MATCH(Paramètres!J13,Paramètres!$G$5:$G$57,0)))+IF(RIGHT(TRIM(Paramètres!K13),3)="Fin",1-$H2443,IF(LEFT(TRIM(Paramètres!K13),1)="F",1,0)))),IF(Paramètres!L13="",0,IF(Paramètres!M13="",NA(),IF(LEFT(TRIM(Paramètres!M13),1)="F",INDEX($F$2435:$F$2487,MATCH(Paramètres!L13,Paramètres!$G$5:$G$57,0)),INDEX($E$2435:$E$2487,MATCH(Paramètres!L13,Paramètres!$G$5:$G$57,0)))+IF(RIGHT(TRIM(Paramètres!M13),3)="Fin",1-$H2443,IF(LEFT(TRIM(Paramètres!M13),1)="F",1,0)))),IF(Paramètres!N13="",0,IF(Paramètres!O13="",NA(),IF(LEFT(TRIM(Paramètres!O13),1)="F",INDEX($F$2435:$F$2487,MATCH(Paramètres!N13,Paramètres!$G$5:$G$57,0)),INDEX($E$2435:$E$2487,MATCH(Paramètres!N13,Paramètres!$G$5:$G$57,0)))+IF(RIGHT(TRIM(Paramètres!O13),3)="Fin",1-$H2443,IF(LEFT(TRIM(Paramètres!O13),1)="F",1,0)))))))</f>
        <v/>
      </c>
      <c r="F2443" s="19">
        <f>IF($A2443="","",E2443+$H2443-1)</f>
        <v/>
      </c>
      <c r="G2443" s="18" t="n"/>
      <c r="H2443" s="18">
        <f>IF($A2443="","",IF(I2443&lt;&gt;"",I2443,Paramètres!B13))</f>
        <v/>
      </c>
      <c r="I2443" s="18" t="n"/>
    </row>
    <row r="2444">
      <c r="A2444" s="18">
        <f>IF(ISNUMBER(Dossiers!$D$49),Dossiers!$A$49&amp;" · "&amp;Dossiers!$B$49,"")</f>
        <v/>
      </c>
      <c r="B2444" s="18">
        <f>IF($A2444="","",Paramètres!G14)</f>
        <v/>
      </c>
      <c r="C2444" s="18">
        <f>IF($A2444="","",IF(Paramètres!H14="","",Paramètres!H14))</f>
        <v/>
      </c>
      <c r="D2444" s="18">
        <f>IF($A2444="","",IF(Paramètres!I14="","",Paramètres!I14))</f>
        <v/>
      </c>
      <c r="E2444" s="19">
        <f>IF($A2444="","",IF(Paramètres!J14&amp;Paramètres!L14&amp;Paramètres!N14="",Dossiers!$D$49,MAX(IF(Paramètres!J14="",0,IF(Paramètres!K14="",NA(),IF(LEFT(TRIM(Paramètres!K14),1)="F",INDEX($F$2435:$F$2487,MATCH(Paramètres!J14,Paramètres!$G$5:$G$57,0)),INDEX($E$2435:$E$2487,MATCH(Paramètres!J14,Paramètres!$G$5:$G$57,0)))+IF(RIGHT(TRIM(Paramètres!K14),3)="Fin",1-$H2444,IF(LEFT(TRIM(Paramètres!K14),1)="F",1,0)))),IF(Paramètres!L14="",0,IF(Paramètres!M14="",NA(),IF(LEFT(TRIM(Paramètres!M14),1)="F",INDEX($F$2435:$F$2487,MATCH(Paramètres!L14,Paramètres!$G$5:$G$57,0)),INDEX($E$2435:$E$2487,MATCH(Paramètres!L14,Paramètres!$G$5:$G$57,0)))+IF(RIGHT(TRIM(Paramètres!M14),3)="Fin",1-$H2444,IF(LEFT(TRIM(Paramètres!M14),1)="F",1,0)))),IF(Paramètres!N14="",0,IF(Paramètres!O14="",NA(),IF(LEFT(TRIM(Paramètres!O14),1)="F",INDEX($F$2435:$F$2487,MATCH(Paramètres!N14,Paramètres!$G$5:$G$57,0)),INDEX($E$2435:$E$2487,MATCH(Paramètres!N14,Paramètres!$G$5:$G$57,0)))+IF(RIGHT(TRIM(Paramètres!O14),3)="Fin",1-$H2444,IF(LEFT(TRIM(Paramètres!O14),1)="F",1,0)))))))</f>
        <v/>
      </c>
      <c r="F2444" s="19">
        <f>IF($A2444="","",E2444+$H2444-1)</f>
        <v/>
      </c>
      <c r="G2444" s="18" t="n"/>
      <c r="H2444" s="18">
        <f>IF($A2444="","",IF(I2444&lt;&gt;"",I2444,Paramètres!B14))</f>
        <v/>
      </c>
      <c r="I2444" s="18" t="n"/>
    </row>
    <row r="2445">
      <c r="A2445" s="18">
        <f>IF(ISNUMBER(Dossiers!$D$49),Dossiers!$A$49&amp;" · "&amp;Dossiers!$B$49,"")</f>
        <v/>
      </c>
      <c r="B2445" s="18">
        <f>IF($A2445="","",Paramètres!G15)</f>
        <v/>
      </c>
      <c r="C2445" s="18">
        <f>IF($A2445="","",IF(Paramètres!H15="","",Paramètres!H15))</f>
        <v/>
      </c>
      <c r="D2445" s="18">
        <f>IF($A2445="","",IF(Paramètres!I15="","",Paramètres!I15))</f>
        <v/>
      </c>
      <c r="E2445" s="19">
        <f>IF($A2445="","",MIN(E2446:E2461))</f>
        <v/>
      </c>
      <c r="F2445" s="19">
        <f>IF($A2445="","",MAX(F2446:F2461))</f>
        <v/>
      </c>
      <c r="G2445" s="18" t="n"/>
      <c r="H2445" s="18">
        <f>IF($A2445="","",F2445-E2445+1)</f>
        <v/>
      </c>
      <c r="I2445" s="18" t="n"/>
    </row>
    <row r="2446">
      <c r="A2446" s="18">
        <f>IF(ISNUMBER(Dossiers!$D$49),Dossiers!$A$49&amp;" · "&amp;Dossiers!$B$49,"")</f>
        <v/>
      </c>
      <c r="B2446" s="18">
        <f>IF($A2446="","",Paramètres!G16)</f>
        <v/>
      </c>
      <c r="C2446" s="18">
        <f>IF($A2446="","",IF(Paramètres!H16="","",Paramètres!H16))</f>
        <v/>
      </c>
      <c r="D2446" s="18">
        <f>IF($A2446="","",IF(Paramètres!I16="","",Paramètres!I16))</f>
        <v/>
      </c>
      <c r="E2446" s="19">
        <f>IF($A2446="","",IF(Paramètres!J16&amp;Paramètres!L16&amp;Paramètres!N16="",Dossiers!$D$49,MAX(IF(Paramètres!J16="",0,IF(Paramètres!K16="",NA(),IF(LEFT(TRIM(Paramètres!K16),1)="F",INDEX($F$2435:$F$2487,MATCH(Paramètres!J16,Paramètres!$G$5:$G$57,0)),INDEX($E$2435:$E$2487,MATCH(Paramètres!J16,Paramètres!$G$5:$G$57,0)))+IF(RIGHT(TRIM(Paramètres!K16),3)="Fin",1-$H2446,IF(LEFT(TRIM(Paramètres!K16),1)="F",1,0)))),IF(Paramètres!L16="",0,IF(Paramètres!M16="",NA(),IF(LEFT(TRIM(Paramètres!M16),1)="F",INDEX($F$2435:$F$2487,MATCH(Paramètres!L16,Paramètres!$G$5:$G$57,0)),INDEX($E$2435:$E$2487,MATCH(Paramètres!L16,Paramètres!$G$5:$G$57,0)))+IF(RIGHT(TRIM(Paramètres!M16),3)="Fin",1-$H2446,IF(LEFT(TRIM(Paramètres!M16),1)="F",1,0)))),IF(Paramètres!N16="",0,IF(Paramètres!O16="",NA(),IF(LEFT(TRIM(Paramètres!O16),1)="F",INDEX($F$2435:$F$2487,MATCH(Paramètres!N16,Paramètres!$G$5:$G$57,0)),INDEX($E$2435:$E$2487,MATCH(Paramètres!N16,Paramètres!$G$5:$G$57,0)))+IF(RIGHT(TRIM(Paramètres!O16),3)="Fin",1-$H2446,IF(LEFT(TRIM(Paramètres!O16),1)="F",1,0)))))))</f>
        <v/>
      </c>
      <c r="F2446" s="19">
        <f>IF($A2446="","",E2446+$H2446-1)</f>
        <v/>
      </c>
      <c r="G2446" s="18" t="n"/>
      <c r="H2446" s="18">
        <f>IF($A2446="","",IF(I2446&lt;&gt;"",I2446,Paramètres!B16))</f>
        <v/>
      </c>
      <c r="I2446" s="18" t="n"/>
    </row>
    <row r="2447">
      <c r="A2447" s="18">
        <f>IF(ISNUMBER(Dossiers!$D$49),Dossiers!$A$49&amp;" · "&amp;Dossiers!$B$49,"")</f>
        <v/>
      </c>
      <c r="B2447" s="18">
        <f>IF($A2447="","",Paramètres!G17)</f>
        <v/>
      </c>
      <c r="C2447" s="18">
        <f>IF($A2447="","",IF(Paramètres!H17="","",Paramètres!H17))</f>
        <v/>
      </c>
      <c r="D2447" s="18">
        <f>IF($A2447="","",IF(Paramètres!I17="","",Paramètres!I17))</f>
        <v/>
      </c>
      <c r="E2447" s="19">
        <f>IF($A2447="","",IF(Paramètres!J17&amp;Paramètres!L17&amp;Paramètres!N17="",Dossiers!$D$49,MAX(IF(Paramètres!J17="",0,IF(Paramètres!K17="",NA(),IF(LEFT(TRIM(Paramètres!K17),1)="F",INDEX($F$2435:$F$2487,MATCH(Paramètres!J17,Paramètres!$G$5:$G$57,0)),INDEX($E$2435:$E$2487,MATCH(Paramètres!J17,Paramètres!$G$5:$G$57,0)))+IF(RIGHT(TRIM(Paramètres!K17),3)="Fin",1-$H2447,IF(LEFT(TRIM(Paramètres!K17),1)="F",1,0)))),IF(Paramètres!L17="",0,IF(Paramètres!M17="",NA(),IF(LEFT(TRIM(Paramètres!M17),1)="F",INDEX($F$2435:$F$2487,MATCH(Paramètres!L17,Paramètres!$G$5:$G$57,0)),INDEX($E$2435:$E$2487,MATCH(Paramètres!L17,Paramètres!$G$5:$G$57,0)))+IF(RIGHT(TRIM(Paramètres!M17),3)="Fin",1-$H2447,IF(LEFT(TRIM(Paramètres!M17),1)="F",1,0)))),IF(Paramètres!N17="",0,IF(Paramètres!O17="",NA(),IF(LEFT(TRIM(Paramètres!O17),1)="F",INDEX($F$2435:$F$2487,MATCH(Paramètres!N17,Paramètres!$G$5:$G$57,0)),INDEX($E$2435:$E$2487,MATCH(Paramètres!N17,Paramètres!$G$5:$G$57,0)))+IF(RIGHT(TRIM(Paramètres!O17),3)="Fin",1-$H2447,IF(LEFT(TRIM(Paramètres!O17),1)="F",1,0)))))))</f>
        <v/>
      </c>
      <c r="F2447" s="19">
        <f>IF($A2447="","",E2447+$H2447-1)</f>
        <v/>
      </c>
      <c r="G2447" s="18" t="n"/>
      <c r="H2447" s="18">
        <f>IF($A2447="","",IF(I2447&lt;&gt;"",I2447,Paramètres!B17))</f>
        <v/>
      </c>
      <c r="I2447" s="18" t="n"/>
    </row>
    <row r="2448">
      <c r="A2448" s="18">
        <f>IF(ISNUMBER(Dossiers!$D$49),Dossiers!$A$49&amp;" · "&amp;Dossiers!$B$49,"")</f>
        <v/>
      </c>
      <c r="B2448" s="18">
        <f>IF($A2448="","",Paramètres!G18)</f>
        <v/>
      </c>
      <c r="C2448" s="18">
        <f>IF($A2448="","",IF(Paramètres!H18="","",Paramètres!H18))</f>
        <v/>
      </c>
      <c r="D2448" s="18">
        <f>IF($A2448="","",IF(Paramètres!I18="","",Paramètres!I18))</f>
        <v/>
      </c>
      <c r="E2448" s="19">
        <f>IF($A2448="","",IF(Paramètres!J18&amp;Paramètres!L18&amp;Paramètres!N18="",Dossiers!$D$49,MAX(IF(Paramètres!J18="",0,IF(Paramètres!K18="",NA(),IF(LEFT(TRIM(Paramètres!K18),1)="F",INDEX($F$2435:$F$2487,MATCH(Paramètres!J18,Paramètres!$G$5:$G$57,0)),INDEX($E$2435:$E$2487,MATCH(Paramètres!J18,Paramètres!$G$5:$G$57,0)))+IF(RIGHT(TRIM(Paramètres!K18),3)="Fin",1-$H2448,IF(LEFT(TRIM(Paramètres!K18),1)="F",1,0)))),IF(Paramètres!L18="",0,IF(Paramètres!M18="",NA(),IF(LEFT(TRIM(Paramètres!M18),1)="F",INDEX($F$2435:$F$2487,MATCH(Paramètres!L18,Paramètres!$G$5:$G$57,0)),INDEX($E$2435:$E$2487,MATCH(Paramètres!L18,Paramètres!$G$5:$G$57,0)))+IF(RIGHT(TRIM(Paramètres!M18),3)="Fin",1-$H2448,IF(LEFT(TRIM(Paramètres!M18),1)="F",1,0)))),IF(Paramètres!N18="",0,IF(Paramètres!O18="",NA(),IF(LEFT(TRIM(Paramètres!O18),1)="F",INDEX($F$2435:$F$2487,MATCH(Paramètres!N18,Paramètres!$G$5:$G$57,0)),INDEX($E$2435:$E$2487,MATCH(Paramètres!N18,Paramètres!$G$5:$G$57,0)))+IF(RIGHT(TRIM(Paramètres!O18),3)="Fin",1-$H2448,IF(LEFT(TRIM(Paramètres!O18),1)="F",1,0)))))))</f>
        <v/>
      </c>
      <c r="F2448" s="19">
        <f>IF($A2448="","",E2448+$H2448-1)</f>
        <v/>
      </c>
      <c r="G2448" s="18" t="n"/>
      <c r="H2448" s="18">
        <f>IF($A2448="","",IF(I2448&lt;&gt;"",I2448,Paramètres!B18))</f>
        <v/>
      </c>
      <c r="I2448" s="18" t="n"/>
    </row>
    <row r="2449">
      <c r="A2449" s="18">
        <f>IF(ISNUMBER(Dossiers!$D$49),Dossiers!$A$49&amp;" · "&amp;Dossiers!$B$49,"")</f>
        <v/>
      </c>
      <c r="B2449" s="18">
        <f>IF($A2449="","",Paramètres!G19)</f>
        <v/>
      </c>
      <c r="C2449" s="18">
        <f>IF($A2449="","",IF(Paramètres!H19="","",Paramètres!H19))</f>
        <v/>
      </c>
      <c r="D2449" s="18">
        <f>IF($A2449="","",IF(Paramètres!I19="","",Paramètres!I19))</f>
        <v/>
      </c>
      <c r="E2449" s="19">
        <f>IF($A2449="","",IF(Paramètres!J19&amp;Paramètres!L19&amp;Paramètres!N19="",Dossiers!$D$49,MAX(IF(Paramètres!J19="",0,IF(Paramètres!K19="",NA(),IF(LEFT(TRIM(Paramètres!K19),1)="F",INDEX($F$2435:$F$2487,MATCH(Paramètres!J19,Paramètres!$G$5:$G$57,0)),INDEX($E$2435:$E$2487,MATCH(Paramètres!J19,Paramètres!$G$5:$G$57,0)))+IF(RIGHT(TRIM(Paramètres!K19),3)="Fin",1-$H2449,IF(LEFT(TRIM(Paramètres!K19),1)="F",1,0)))),IF(Paramètres!L19="",0,IF(Paramètres!M19="",NA(),IF(LEFT(TRIM(Paramètres!M19),1)="F",INDEX($F$2435:$F$2487,MATCH(Paramètres!L19,Paramètres!$G$5:$G$57,0)),INDEX($E$2435:$E$2487,MATCH(Paramètres!L19,Paramètres!$G$5:$G$57,0)))+IF(RIGHT(TRIM(Paramètres!M19),3)="Fin",1-$H2449,IF(LEFT(TRIM(Paramètres!M19),1)="F",1,0)))),IF(Paramètres!N19="",0,IF(Paramètres!O19="",NA(),IF(LEFT(TRIM(Paramètres!O19),1)="F",INDEX($F$2435:$F$2487,MATCH(Paramètres!N19,Paramètres!$G$5:$G$57,0)),INDEX($E$2435:$E$2487,MATCH(Paramètres!N19,Paramètres!$G$5:$G$57,0)))+IF(RIGHT(TRIM(Paramètres!O19),3)="Fin",1-$H2449,IF(LEFT(TRIM(Paramètres!O19),1)="F",1,0)))))))</f>
        <v/>
      </c>
      <c r="F2449" s="19">
        <f>IF($A2449="","",E2449+$H2449-1)</f>
        <v/>
      </c>
      <c r="G2449" s="18" t="n"/>
      <c r="H2449" s="18">
        <f>IF($A2449="","",IF(I2449&lt;&gt;"",I2449,Paramètres!B19))</f>
        <v/>
      </c>
      <c r="I2449" s="18" t="n"/>
    </row>
    <row r="2450">
      <c r="A2450" s="18">
        <f>IF(ISNUMBER(Dossiers!$D$49),Dossiers!$A$49&amp;" · "&amp;Dossiers!$B$49,"")</f>
        <v/>
      </c>
      <c r="B2450" s="18">
        <f>IF($A2450="","",Paramètres!G20)</f>
        <v/>
      </c>
      <c r="C2450" s="18">
        <f>IF($A2450="","",IF(Paramètres!H20="","",Paramètres!H20))</f>
        <v/>
      </c>
      <c r="D2450" s="18">
        <f>IF($A2450="","",IF(Paramètres!I20="","",Paramètres!I20))</f>
        <v/>
      </c>
      <c r="E2450" s="19">
        <f>IF($A2450="","",IF(Paramètres!J20&amp;Paramètres!L20&amp;Paramètres!N20="",Dossiers!$D$49,MAX(IF(Paramètres!J20="",0,IF(Paramètres!K20="",NA(),IF(LEFT(TRIM(Paramètres!K20),1)="F",INDEX($F$2435:$F$2487,MATCH(Paramètres!J20,Paramètres!$G$5:$G$57,0)),INDEX($E$2435:$E$2487,MATCH(Paramètres!J20,Paramètres!$G$5:$G$57,0)))+IF(RIGHT(TRIM(Paramètres!K20),3)="Fin",1-$H2450,IF(LEFT(TRIM(Paramètres!K20),1)="F",1,0)))),IF(Paramètres!L20="",0,IF(Paramètres!M20="",NA(),IF(LEFT(TRIM(Paramètres!M20),1)="F",INDEX($F$2435:$F$2487,MATCH(Paramètres!L20,Paramètres!$G$5:$G$57,0)),INDEX($E$2435:$E$2487,MATCH(Paramètres!L20,Paramètres!$G$5:$G$57,0)))+IF(RIGHT(TRIM(Paramètres!M20),3)="Fin",1-$H2450,IF(LEFT(TRIM(Paramètres!M20),1)="F",1,0)))),IF(Paramètres!N20="",0,IF(Paramètres!O20="",NA(),IF(LEFT(TRIM(Paramètres!O20),1)="F",INDEX($F$2435:$F$2487,MATCH(Paramètres!N20,Paramètres!$G$5:$G$57,0)),INDEX($E$2435:$E$2487,MATCH(Paramètres!N20,Paramètres!$G$5:$G$57,0)))+IF(RIGHT(TRIM(Paramètres!O20),3)="Fin",1-$H2450,IF(LEFT(TRIM(Paramètres!O20),1)="F",1,0)))))))</f>
        <v/>
      </c>
      <c r="F2450" s="19">
        <f>IF($A2450="","",E2450+$H2450-1)</f>
        <v/>
      </c>
      <c r="G2450" s="18" t="n"/>
      <c r="H2450" s="18">
        <f>IF($A2450="","",IF(I2450&lt;&gt;"",I2450,Paramètres!B20))</f>
        <v/>
      </c>
      <c r="I2450" s="18" t="n"/>
    </row>
    <row r="2451">
      <c r="A2451" s="18">
        <f>IF(ISNUMBER(Dossiers!$D$49),Dossiers!$A$49&amp;" · "&amp;Dossiers!$B$49,"")</f>
        <v/>
      </c>
      <c r="B2451" s="18">
        <f>IF($A2451="","",Paramètres!G21)</f>
        <v/>
      </c>
      <c r="C2451" s="18">
        <f>IF($A2451="","",IF(Paramètres!H21="","",Paramètres!H21))</f>
        <v/>
      </c>
      <c r="D2451" s="18">
        <f>IF($A2451="","",IF(Paramètres!I21="","",Paramètres!I21))</f>
        <v/>
      </c>
      <c r="E2451" s="19">
        <f>IF($A2451="","",IF(Paramètres!J21&amp;Paramètres!L21&amp;Paramètres!N21="",Dossiers!$D$49,MAX(IF(Paramètres!J21="",0,IF(Paramètres!K21="",NA(),IF(LEFT(TRIM(Paramètres!K21),1)="F",INDEX($F$2435:$F$2487,MATCH(Paramètres!J21,Paramètres!$G$5:$G$57,0)),INDEX($E$2435:$E$2487,MATCH(Paramètres!J21,Paramètres!$G$5:$G$57,0)))+IF(RIGHT(TRIM(Paramètres!K21),3)="Fin",1-$H2451,IF(LEFT(TRIM(Paramètres!K21),1)="F",1,0)))),IF(Paramètres!L21="",0,IF(Paramètres!M21="",NA(),IF(LEFT(TRIM(Paramètres!M21),1)="F",INDEX($F$2435:$F$2487,MATCH(Paramètres!L21,Paramètres!$G$5:$G$57,0)),INDEX($E$2435:$E$2487,MATCH(Paramètres!L21,Paramètres!$G$5:$G$57,0)))+IF(RIGHT(TRIM(Paramètres!M21),3)="Fin",1-$H2451,IF(LEFT(TRIM(Paramètres!M21),1)="F",1,0)))),IF(Paramètres!N21="",0,IF(Paramètres!O21="",NA(),IF(LEFT(TRIM(Paramètres!O21),1)="F",INDEX($F$2435:$F$2487,MATCH(Paramètres!N21,Paramètres!$G$5:$G$57,0)),INDEX($E$2435:$E$2487,MATCH(Paramètres!N21,Paramètres!$G$5:$G$57,0)))+IF(RIGHT(TRIM(Paramètres!O21),3)="Fin",1-$H2451,IF(LEFT(TRIM(Paramètres!O21),1)="F",1,0)))))))</f>
        <v/>
      </c>
      <c r="F2451" s="19">
        <f>IF($A2451="","",E2451+$H2451-1)</f>
        <v/>
      </c>
      <c r="G2451" s="18" t="n"/>
      <c r="H2451" s="18">
        <f>IF($A2451="","",IF(I2451&lt;&gt;"",I2451,Paramètres!B21))</f>
        <v/>
      </c>
      <c r="I2451" s="18" t="n"/>
    </row>
    <row r="2452">
      <c r="A2452" s="18">
        <f>IF(ISNUMBER(Dossiers!$D$49),Dossiers!$A$49&amp;" · "&amp;Dossiers!$B$49,"")</f>
        <v/>
      </c>
      <c r="B2452" s="18">
        <f>IF($A2452="","",Paramètres!G22)</f>
        <v/>
      </c>
      <c r="C2452" s="18">
        <f>IF($A2452="","",IF(Paramètres!H22="","",Paramètres!H22))</f>
        <v/>
      </c>
      <c r="D2452" s="18">
        <f>IF($A2452="","",IF(Paramètres!I22="","",Paramètres!I22))</f>
        <v/>
      </c>
      <c r="E2452" s="19">
        <f>IF($A2452="","",IF(Paramètres!J22&amp;Paramètres!L22&amp;Paramètres!N22="",Dossiers!$D$49,MAX(IF(Paramètres!J22="",0,IF(Paramètres!K22="",NA(),IF(LEFT(TRIM(Paramètres!K22),1)="F",INDEX($F$2435:$F$2487,MATCH(Paramètres!J22,Paramètres!$G$5:$G$57,0)),INDEX($E$2435:$E$2487,MATCH(Paramètres!J22,Paramètres!$G$5:$G$57,0)))+IF(RIGHT(TRIM(Paramètres!K22),3)="Fin",1-$H2452,IF(LEFT(TRIM(Paramètres!K22),1)="F",1,0)))),IF(Paramètres!L22="",0,IF(Paramètres!M22="",NA(),IF(LEFT(TRIM(Paramètres!M22),1)="F",INDEX($F$2435:$F$2487,MATCH(Paramètres!L22,Paramètres!$G$5:$G$57,0)),INDEX($E$2435:$E$2487,MATCH(Paramètres!L22,Paramètres!$G$5:$G$57,0)))+IF(RIGHT(TRIM(Paramètres!M22),3)="Fin",1-$H2452,IF(LEFT(TRIM(Paramètres!M22),1)="F",1,0)))),IF(Paramètres!N22="",0,IF(Paramètres!O22="",NA(),IF(LEFT(TRIM(Paramètres!O22),1)="F",INDEX($F$2435:$F$2487,MATCH(Paramètres!N22,Paramètres!$G$5:$G$57,0)),INDEX($E$2435:$E$2487,MATCH(Paramètres!N22,Paramètres!$G$5:$G$57,0)))+IF(RIGHT(TRIM(Paramètres!O22),3)="Fin",1-$H2452,IF(LEFT(TRIM(Paramètres!O22),1)="F",1,0)))))))</f>
        <v/>
      </c>
      <c r="F2452" s="19">
        <f>IF($A2452="","",E2452+$H2452-1)</f>
        <v/>
      </c>
      <c r="G2452" s="18" t="n"/>
      <c r="H2452" s="18">
        <f>IF($A2452="","",IF(I2452&lt;&gt;"",I2452,Paramètres!B22))</f>
        <v/>
      </c>
      <c r="I2452" s="18" t="n"/>
    </row>
    <row r="2453">
      <c r="A2453" s="18">
        <f>IF(ISNUMBER(Dossiers!$D$49),Dossiers!$A$49&amp;" · "&amp;Dossiers!$B$49,"")</f>
        <v/>
      </c>
      <c r="B2453" s="18">
        <f>IF($A2453="","",Paramètres!G23)</f>
        <v/>
      </c>
      <c r="C2453" s="18">
        <f>IF($A2453="","",IF(Paramètres!H23="","",Paramètres!H23))</f>
        <v/>
      </c>
      <c r="D2453" s="18">
        <f>IF($A2453="","",IF(Paramètres!I23="","",Paramètres!I23))</f>
        <v/>
      </c>
      <c r="E2453" s="19">
        <f>IF($A2453="","",IF(Paramètres!J23&amp;Paramètres!L23&amp;Paramètres!N23="",Dossiers!$D$49,MAX(IF(Paramètres!J23="",0,IF(Paramètres!K23="",NA(),IF(LEFT(TRIM(Paramètres!K23),1)="F",INDEX($F$2435:$F$2487,MATCH(Paramètres!J23,Paramètres!$G$5:$G$57,0)),INDEX($E$2435:$E$2487,MATCH(Paramètres!J23,Paramètres!$G$5:$G$57,0)))+IF(RIGHT(TRIM(Paramètres!K23),3)="Fin",1-$H2453,IF(LEFT(TRIM(Paramètres!K23),1)="F",1,0)))),IF(Paramètres!L23="",0,IF(Paramètres!M23="",NA(),IF(LEFT(TRIM(Paramètres!M23),1)="F",INDEX($F$2435:$F$2487,MATCH(Paramètres!L23,Paramètres!$G$5:$G$57,0)),INDEX($E$2435:$E$2487,MATCH(Paramètres!L23,Paramètres!$G$5:$G$57,0)))+IF(RIGHT(TRIM(Paramètres!M23),3)="Fin",1-$H2453,IF(LEFT(TRIM(Paramètres!M23),1)="F",1,0)))),IF(Paramètres!N23="",0,IF(Paramètres!O23="",NA(),IF(LEFT(TRIM(Paramètres!O23),1)="F",INDEX($F$2435:$F$2487,MATCH(Paramètres!N23,Paramètres!$G$5:$G$57,0)),INDEX($E$2435:$E$2487,MATCH(Paramètres!N23,Paramètres!$G$5:$G$57,0)))+IF(RIGHT(TRIM(Paramètres!O23),3)="Fin",1-$H2453,IF(LEFT(TRIM(Paramètres!O23),1)="F",1,0)))))))</f>
        <v/>
      </c>
      <c r="F2453" s="19">
        <f>IF($A2453="","",E2453+$H2453-1)</f>
        <v/>
      </c>
      <c r="G2453" s="18" t="n"/>
      <c r="H2453" s="18">
        <f>IF($A2453="","",IF(I2453&lt;&gt;"",I2453,Paramètres!B23))</f>
        <v/>
      </c>
      <c r="I2453" s="18" t="n"/>
    </row>
    <row r="2454">
      <c r="A2454" s="18">
        <f>IF(ISNUMBER(Dossiers!$D$49),Dossiers!$A$49&amp;" · "&amp;Dossiers!$B$49,"")</f>
        <v/>
      </c>
      <c r="B2454" s="18">
        <f>IF($A2454="","",Paramètres!G24)</f>
        <v/>
      </c>
      <c r="C2454" s="18">
        <f>IF($A2454="","",IF(Paramètres!H24="","",Paramètres!H24))</f>
        <v/>
      </c>
      <c r="D2454" s="18">
        <f>IF($A2454="","",IF(Paramètres!I24="","",Paramètres!I24))</f>
        <v/>
      </c>
      <c r="E2454" s="19">
        <f>IF($A2454="","",IF(Paramètres!J24&amp;Paramètres!L24&amp;Paramètres!N24="",Dossiers!$D$49,MAX(IF(Paramètres!J24="",0,IF(Paramètres!K24="",NA(),IF(LEFT(TRIM(Paramètres!K24),1)="F",INDEX($F$2435:$F$2487,MATCH(Paramètres!J24,Paramètres!$G$5:$G$57,0)),INDEX($E$2435:$E$2487,MATCH(Paramètres!J24,Paramètres!$G$5:$G$57,0)))+IF(RIGHT(TRIM(Paramètres!K24),3)="Fin",1-$H2454,IF(LEFT(TRIM(Paramètres!K24),1)="F",1,0)))),IF(Paramètres!L24="",0,IF(Paramètres!M24="",NA(),IF(LEFT(TRIM(Paramètres!M24),1)="F",INDEX($F$2435:$F$2487,MATCH(Paramètres!L24,Paramètres!$G$5:$G$57,0)),INDEX($E$2435:$E$2487,MATCH(Paramètres!L24,Paramètres!$G$5:$G$57,0)))+IF(RIGHT(TRIM(Paramètres!M24),3)="Fin",1-$H2454,IF(LEFT(TRIM(Paramètres!M24),1)="F",1,0)))),IF(Paramètres!N24="",0,IF(Paramètres!O24="",NA(),IF(LEFT(TRIM(Paramètres!O24),1)="F",INDEX($F$2435:$F$2487,MATCH(Paramètres!N24,Paramètres!$G$5:$G$57,0)),INDEX($E$2435:$E$2487,MATCH(Paramètres!N24,Paramètres!$G$5:$G$57,0)))+IF(RIGHT(TRIM(Paramètres!O24),3)="Fin",1-$H2454,IF(LEFT(TRIM(Paramètres!O24),1)="F",1,0)))))))</f>
        <v/>
      </c>
      <c r="F2454" s="19">
        <f>IF($A2454="","",E2454+$H2454-1)</f>
        <v/>
      </c>
      <c r="G2454" s="18" t="n"/>
      <c r="H2454" s="18">
        <f>IF($A2454="","",IF(I2454&lt;&gt;"",I2454,Paramètres!B24))</f>
        <v/>
      </c>
      <c r="I2454" s="18" t="n"/>
    </row>
    <row r="2455">
      <c r="A2455" s="18">
        <f>IF(ISNUMBER(Dossiers!$D$49),Dossiers!$A$49&amp;" · "&amp;Dossiers!$B$49,"")</f>
        <v/>
      </c>
      <c r="B2455" s="18">
        <f>IF($A2455="","",Paramètres!G25)</f>
        <v/>
      </c>
      <c r="C2455" s="18">
        <f>IF($A2455="","",IF(Paramètres!H25="","",Paramètres!H25))</f>
        <v/>
      </c>
      <c r="D2455" s="18">
        <f>IF($A2455="","",IF(Paramètres!I25="","",Paramètres!I25))</f>
        <v/>
      </c>
      <c r="E2455" s="19">
        <f>IF($A2455="","",IF(Paramètres!J25&amp;Paramètres!L25&amp;Paramètres!N25="",Dossiers!$D$49,MAX(IF(Paramètres!J25="",0,IF(Paramètres!K25="",NA(),IF(LEFT(TRIM(Paramètres!K25),1)="F",INDEX($F$2435:$F$2487,MATCH(Paramètres!J25,Paramètres!$G$5:$G$57,0)),INDEX($E$2435:$E$2487,MATCH(Paramètres!J25,Paramètres!$G$5:$G$57,0)))+IF(RIGHT(TRIM(Paramètres!K25),3)="Fin",1-$H2455,IF(LEFT(TRIM(Paramètres!K25),1)="F",1,0)))),IF(Paramètres!L25="",0,IF(Paramètres!M25="",NA(),IF(LEFT(TRIM(Paramètres!M25),1)="F",INDEX($F$2435:$F$2487,MATCH(Paramètres!L25,Paramètres!$G$5:$G$57,0)),INDEX($E$2435:$E$2487,MATCH(Paramètres!L25,Paramètres!$G$5:$G$57,0)))+IF(RIGHT(TRIM(Paramètres!M25),3)="Fin",1-$H2455,IF(LEFT(TRIM(Paramètres!M25),1)="F",1,0)))),IF(Paramètres!N25="",0,IF(Paramètres!O25="",NA(),IF(LEFT(TRIM(Paramètres!O25),1)="F",INDEX($F$2435:$F$2487,MATCH(Paramètres!N25,Paramètres!$G$5:$G$57,0)),INDEX($E$2435:$E$2487,MATCH(Paramètres!N25,Paramètres!$G$5:$G$57,0)))+IF(RIGHT(TRIM(Paramètres!O25),3)="Fin",1-$H2455,IF(LEFT(TRIM(Paramètres!O25),1)="F",1,0)))))))</f>
        <v/>
      </c>
      <c r="F2455" s="19">
        <f>IF($A2455="","",E2455+$H2455-1)</f>
        <v/>
      </c>
      <c r="G2455" s="18" t="n"/>
      <c r="H2455" s="18">
        <f>IF($A2455="","",IF(I2455&lt;&gt;"",I2455,Paramètres!B25))</f>
        <v/>
      </c>
      <c r="I2455" s="18" t="n"/>
    </row>
    <row r="2456">
      <c r="A2456" s="18">
        <f>IF(ISNUMBER(Dossiers!$D$49),Dossiers!$A$49&amp;" · "&amp;Dossiers!$B$49,"")</f>
        <v/>
      </c>
      <c r="B2456" s="18">
        <f>IF($A2456="","",Paramètres!G26)</f>
        <v/>
      </c>
      <c r="C2456" s="18">
        <f>IF($A2456="","",IF(Paramètres!H26="","",Paramètres!H26))</f>
        <v/>
      </c>
      <c r="D2456" s="18">
        <f>IF($A2456="","",IF(Paramètres!I26="","",Paramètres!I26))</f>
        <v/>
      </c>
      <c r="E2456" s="19">
        <f>IF($A2456="","",IF(Paramètres!J26&amp;Paramètres!L26&amp;Paramètres!N26="",Dossiers!$D$49,MAX(IF(Paramètres!J26="",0,IF(Paramètres!K26="",NA(),IF(LEFT(TRIM(Paramètres!K26),1)="F",INDEX($F$2435:$F$2487,MATCH(Paramètres!J26,Paramètres!$G$5:$G$57,0)),INDEX($E$2435:$E$2487,MATCH(Paramètres!J26,Paramètres!$G$5:$G$57,0)))+IF(RIGHT(TRIM(Paramètres!K26),3)="Fin",1-$H2456,IF(LEFT(TRIM(Paramètres!K26),1)="F",1,0)))),IF(Paramètres!L26="",0,IF(Paramètres!M26="",NA(),IF(LEFT(TRIM(Paramètres!M26),1)="F",INDEX($F$2435:$F$2487,MATCH(Paramètres!L26,Paramètres!$G$5:$G$57,0)),INDEX($E$2435:$E$2487,MATCH(Paramètres!L26,Paramètres!$G$5:$G$57,0)))+IF(RIGHT(TRIM(Paramètres!M26),3)="Fin",1-$H2456,IF(LEFT(TRIM(Paramètres!M26),1)="F",1,0)))),IF(Paramètres!N26="",0,IF(Paramètres!O26="",NA(),IF(LEFT(TRIM(Paramètres!O26),1)="F",INDEX($F$2435:$F$2487,MATCH(Paramètres!N26,Paramètres!$G$5:$G$57,0)),INDEX($E$2435:$E$2487,MATCH(Paramètres!N26,Paramètres!$G$5:$G$57,0)))+IF(RIGHT(TRIM(Paramètres!O26),3)="Fin",1-$H2456,IF(LEFT(TRIM(Paramètres!O26),1)="F",1,0)))))))</f>
        <v/>
      </c>
      <c r="F2456" s="19">
        <f>IF($A2456="","",E2456+$H2456-1)</f>
        <v/>
      </c>
      <c r="G2456" s="18" t="n"/>
      <c r="H2456" s="18">
        <f>IF($A2456="","",IF(I2456&lt;&gt;"",I2456,Paramètres!B26))</f>
        <v/>
      </c>
      <c r="I2456" s="18" t="n"/>
    </row>
    <row r="2457">
      <c r="A2457" s="18">
        <f>IF(ISNUMBER(Dossiers!$D$49),Dossiers!$A$49&amp;" · "&amp;Dossiers!$B$49,"")</f>
        <v/>
      </c>
      <c r="B2457" s="18">
        <f>IF($A2457="","",Paramètres!G27)</f>
        <v/>
      </c>
      <c r="C2457" s="18">
        <f>IF($A2457="","",IF(Paramètres!H27="","",Paramètres!H27))</f>
        <v/>
      </c>
      <c r="D2457" s="18">
        <f>IF($A2457="","",IF(Paramètres!I27="","",Paramètres!I27))</f>
        <v/>
      </c>
      <c r="E2457" s="19">
        <f>IF($A2457="","",IF(Paramètres!J27&amp;Paramètres!L27&amp;Paramètres!N27="",Dossiers!$D$49,MAX(IF(Paramètres!J27="",0,IF(Paramètres!K27="",NA(),IF(LEFT(TRIM(Paramètres!K27),1)="F",INDEX($F$2435:$F$2487,MATCH(Paramètres!J27,Paramètres!$G$5:$G$57,0)),INDEX($E$2435:$E$2487,MATCH(Paramètres!J27,Paramètres!$G$5:$G$57,0)))+IF(RIGHT(TRIM(Paramètres!K27),3)="Fin",1-$H2457,IF(LEFT(TRIM(Paramètres!K27),1)="F",1,0)))),IF(Paramètres!L27="",0,IF(Paramètres!M27="",NA(),IF(LEFT(TRIM(Paramètres!M27),1)="F",INDEX($F$2435:$F$2487,MATCH(Paramètres!L27,Paramètres!$G$5:$G$57,0)),INDEX($E$2435:$E$2487,MATCH(Paramètres!L27,Paramètres!$G$5:$G$57,0)))+IF(RIGHT(TRIM(Paramètres!M27),3)="Fin",1-$H2457,IF(LEFT(TRIM(Paramètres!M27),1)="F",1,0)))),IF(Paramètres!N27="",0,IF(Paramètres!O27="",NA(),IF(LEFT(TRIM(Paramètres!O27),1)="F",INDEX($F$2435:$F$2487,MATCH(Paramètres!N27,Paramètres!$G$5:$G$57,0)),INDEX($E$2435:$E$2487,MATCH(Paramètres!N27,Paramètres!$G$5:$G$57,0)))+IF(RIGHT(TRIM(Paramètres!O27),3)="Fin",1-$H2457,IF(LEFT(TRIM(Paramètres!O27),1)="F",1,0)))))))</f>
        <v/>
      </c>
      <c r="F2457" s="19">
        <f>IF($A2457="","",E2457+$H2457-1)</f>
        <v/>
      </c>
      <c r="G2457" s="18" t="n"/>
      <c r="H2457" s="18">
        <f>IF($A2457="","",IF(I2457&lt;&gt;"",I2457,Paramètres!B27))</f>
        <v/>
      </c>
      <c r="I2457" s="18" t="n"/>
    </row>
    <row r="2458">
      <c r="A2458" s="18">
        <f>IF(ISNUMBER(Dossiers!$D$49),Dossiers!$A$49&amp;" · "&amp;Dossiers!$B$49,"")</f>
        <v/>
      </c>
      <c r="B2458" s="18">
        <f>IF($A2458="","",Paramètres!G28)</f>
        <v/>
      </c>
      <c r="C2458" s="18">
        <f>IF($A2458="","",IF(Paramètres!H28="","",Paramètres!H28))</f>
        <v/>
      </c>
      <c r="D2458" s="18">
        <f>IF($A2458="","",IF(Paramètres!I28="","",Paramètres!I28))</f>
        <v/>
      </c>
      <c r="E2458" s="19">
        <f>IF($A2458="","",IF(Paramètres!J28&amp;Paramètres!L28&amp;Paramètres!N28="",Dossiers!$D$49,MAX(IF(Paramètres!J28="",0,IF(Paramètres!K28="",NA(),IF(LEFT(TRIM(Paramètres!K28),1)="F",INDEX($F$2435:$F$2487,MATCH(Paramètres!J28,Paramètres!$G$5:$G$57,0)),INDEX($E$2435:$E$2487,MATCH(Paramètres!J28,Paramètres!$G$5:$G$57,0)))+IF(RIGHT(TRIM(Paramètres!K28),3)="Fin",1-$H2458,IF(LEFT(TRIM(Paramètres!K28),1)="F",1,0)))),IF(Paramètres!L28="",0,IF(Paramètres!M28="",NA(),IF(LEFT(TRIM(Paramètres!M28),1)="F",INDEX($F$2435:$F$2487,MATCH(Paramètres!L28,Paramètres!$G$5:$G$57,0)),INDEX($E$2435:$E$2487,MATCH(Paramètres!L28,Paramètres!$G$5:$G$57,0)))+IF(RIGHT(TRIM(Paramètres!M28),3)="Fin",1-$H2458,IF(LEFT(TRIM(Paramètres!M28),1)="F",1,0)))),IF(Paramètres!N28="",0,IF(Paramètres!O28="",NA(),IF(LEFT(TRIM(Paramètres!O28),1)="F",INDEX($F$2435:$F$2487,MATCH(Paramètres!N28,Paramètres!$G$5:$G$57,0)),INDEX($E$2435:$E$2487,MATCH(Paramètres!N28,Paramètres!$G$5:$G$57,0)))+IF(RIGHT(TRIM(Paramètres!O28),3)="Fin",1-$H2458,IF(LEFT(TRIM(Paramètres!O28),1)="F",1,0)))))))</f>
        <v/>
      </c>
      <c r="F2458" s="19">
        <f>IF($A2458="","",E2458+$H2458-1)</f>
        <v/>
      </c>
      <c r="G2458" s="18" t="n"/>
      <c r="H2458" s="18">
        <f>IF($A2458="","",IF(I2458&lt;&gt;"",I2458,Paramètres!B28))</f>
        <v/>
      </c>
      <c r="I2458" s="18" t="n"/>
    </row>
    <row r="2459">
      <c r="A2459" s="18">
        <f>IF(ISNUMBER(Dossiers!$D$49),Dossiers!$A$49&amp;" · "&amp;Dossiers!$B$49,"")</f>
        <v/>
      </c>
      <c r="B2459" s="18">
        <f>IF($A2459="","",Paramètres!G29)</f>
        <v/>
      </c>
      <c r="C2459" s="18">
        <f>IF($A2459="","",IF(Paramètres!H29="","",Paramètres!H29))</f>
        <v/>
      </c>
      <c r="D2459" s="18">
        <f>IF($A2459="","",IF(Paramètres!I29="","",Paramètres!I29))</f>
        <v/>
      </c>
      <c r="E2459" s="19">
        <f>IF($A2459="","",IF(Paramètres!J29&amp;Paramètres!L29&amp;Paramètres!N29="",Dossiers!$D$49,MAX(IF(Paramètres!J29="",0,IF(Paramètres!K29="",NA(),IF(LEFT(TRIM(Paramètres!K29),1)="F",INDEX($F$2435:$F$2487,MATCH(Paramètres!J29,Paramètres!$G$5:$G$57,0)),INDEX($E$2435:$E$2487,MATCH(Paramètres!J29,Paramètres!$G$5:$G$57,0)))+IF(RIGHT(TRIM(Paramètres!K29),3)="Fin",1-$H2459,IF(LEFT(TRIM(Paramètres!K29),1)="F",1,0)))),IF(Paramètres!L29="",0,IF(Paramètres!M29="",NA(),IF(LEFT(TRIM(Paramètres!M29),1)="F",INDEX($F$2435:$F$2487,MATCH(Paramètres!L29,Paramètres!$G$5:$G$57,0)),INDEX($E$2435:$E$2487,MATCH(Paramètres!L29,Paramètres!$G$5:$G$57,0)))+IF(RIGHT(TRIM(Paramètres!M29),3)="Fin",1-$H2459,IF(LEFT(TRIM(Paramètres!M29),1)="F",1,0)))),IF(Paramètres!N29="",0,IF(Paramètres!O29="",NA(),IF(LEFT(TRIM(Paramètres!O29),1)="F",INDEX($F$2435:$F$2487,MATCH(Paramètres!N29,Paramètres!$G$5:$G$57,0)),INDEX($E$2435:$E$2487,MATCH(Paramètres!N29,Paramètres!$G$5:$G$57,0)))+IF(RIGHT(TRIM(Paramètres!O29),3)="Fin",1-$H2459,IF(LEFT(TRIM(Paramètres!O29),1)="F",1,0)))))))</f>
        <v/>
      </c>
      <c r="F2459" s="19">
        <f>IF($A2459="","",E2459+$H2459-1)</f>
        <v/>
      </c>
      <c r="G2459" s="18" t="n"/>
      <c r="H2459" s="18">
        <f>IF($A2459="","",IF(I2459&lt;&gt;"",I2459,Paramètres!B29))</f>
        <v/>
      </c>
      <c r="I2459" s="18" t="n"/>
    </row>
    <row r="2460">
      <c r="A2460" s="18">
        <f>IF(ISNUMBER(Dossiers!$D$49),Dossiers!$A$49&amp;" · "&amp;Dossiers!$B$49,"")</f>
        <v/>
      </c>
      <c r="B2460" s="18">
        <f>IF($A2460="","",Paramètres!G30)</f>
        <v/>
      </c>
      <c r="C2460" s="18">
        <f>IF($A2460="","",IF(Paramètres!H30="","",Paramètres!H30))</f>
        <v/>
      </c>
      <c r="D2460" s="18">
        <f>IF($A2460="","",IF(Paramètres!I30="","",Paramètres!I30))</f>
        <v/>
      </c>
      <c r="E2460" s="19">
        <f>IF($A2460="","",IF(Paramètres!J30&amp;Paramètres!L30&amp;Paramètres!N30="",Dossiers!$D$49,MAX(IF(Paramètres!J30="",0,IF(Paramètres!K30="",NA(),IF(LEFT(TRIM(Paramètres!K30),1)="F",INDEX($F$2435:$F$2487,MATCH(Paramètres!J30,Paramètres!$G$5:$G$57,0)),INDEX($E$2435:$E$2487,MATCH(Paramètres!J30,Paramètres!$G$5:$G$57,0)))+IF(RIGHT(TRIM(Paramètres!K30),3)="Fin",1-$H2460,IF(LEFT(TRIM(Paramètres!K30),1)="F",1,0)))),IF(Paramètres!L30="",0,IF(Paramètres!M30="",NA(),IF(LEFT(TRIM(Paramètres!M30),1)="F",INDEX($F$2435:$F$2487,MATCH(Paramètres!L30,Paramètres!$G$5:$G$57,0)),INDEX($E$2435:$E$2487,MATCH(Paramètres!L30,Paramètres!$G$5:$G$57,0)))+IF(RIGHT(TRIM(Paramètres!M30),3)="Fin",1-$H2460,IF(LEFT(TRIM(Paramètres!M30),1)="F",1,0)))),IF(Paramètres!N30="",0,IF(Paramètres!O30="",NA(),IF(LEFT(TRIM(Paramètres!O30),1)="F",INDEX($F$2435:$F$2487,MATCH(Paramètres!N30,Paramètres!$G$5:$G$57,0)),INDEX($E$2435:$E$2487,MATCH(Paramètres!N30,Paramètres!$G$5:$G$57,0)))+IF(RIGHT(TRIM(Paramètres!O30),3)="Fin",1-$H2460,IF(LEFT(TRIM(Paramètres!O30),1)="F",1,0)))))))</f>
        <v/>
      </c>
      <c r="F2460" s="19">
        <f>IF($A2460="","",E2460+$H2460-1)</f>
        <v/>
      </c>
      <c r="G2460" s="18" t="n"/>
      <c r="H2460" s="18">
        <f>IF($A2460="","",IF(I2460&lt;&gt;"",I2460,Paramètres!B30))</f>
        <v/>
      </c>
      <c r="I2460" s="18" t="n"/>
    </row>
    <row r="2461">
      <c r="A2461" s="18">
        <f>IF(ISNUMBER(Dossiers!$D$49),Dossiers!$A$49&amp;" · "&amp;Dossiers!$B$49,"")</f>
        <v/>
      </c>
      <c r="B2461" s="18">
        <f>IF($A2461="","",Paramètres!G31)</f>
        <v/>
      </c>
      <c r="C2461" s="20">
        <f>IF($A2461="","",IF(Dossiers!$F$49="","",Dossiers!$F$49))</f>
        <v/>
      </c>
      <c r="D2461" s="18">
        <f>IF($A2461="","",IF(Paramètres!I31="","",Paramètres!I31))</f>
        <v/>
      </c>
      <c r="E2461" s="19">
        <f>IF($A2461="","",IF(Paramètres!J31&amp;Paramètres!L31&amp;Paramètres!N31="",Dossiers!$D$49,MAX(IF(Paramètres!J31="",0,IF(Paramètres!K31="",NA(),IF(LEFT(TRIM(Paramètres!K31),1)="F",INDEX($F$2435:$F$2487,MATCH(Paramètres!J31,Paramètres!$G$5:$G$57,0)),INDEX($E$2435:$E$2487,MATCH(Paramètres!J31,Paramètres!$G$5:$G$57,0)))+IF(RIGHT(TRIM(Paramètres!K31),3)="Fin",1-$H2461,IF(LEFT(TRIM(Paramètres!K31),1)="F",1,0)))),IF(Paramètres!L31="",0,IF(Paramètres!M31="",NA(),IF(LEFT(TRIM(Paramètres!M31),1)="F",INDEX($F$2435:$F$2487,MATCH(Paramètres!L31,Paramètres!$G$5:$G$57,0)),INDEX($E$2435:$E$2487,MATCH(Paramètres!L31,Paramètres!$G$5:$G$57,0)))+IF(RIGHT(TRIM(Paramètres!M31),3)="Fin",1-$H2461,IF(LEFT(TRIM(Paramètres!M31),1)="F",1,0)))),IF(Paramètres!N31="",0,IF(Paramètres!O31="",NA(),IF(LEFT(TRIM(Paramètres!O31),1)="F",INDEX($F$2435:$F$2487,MATCH(Paramètres!N31,Paramètres!$G$5:$G$57,0)),INDEX($E$2435:$E$2487,MATCH(Paramètres!N31,Paramètres!$G$5:$G$57,0)))+IF(RIGHT(TRIM(Paramètres!O31),3)="Fin",1-$H2461,IF(LEFT(TRIM(Paramètres!O31),1)="F",1,0)))))))</f>
        <v/>
      </c>
      <c r="F2461" s="19">
        <f>IF($A2461="","",E2461+$H2461-1)</f>
        <v/>
      </c>
      <c r="G2461" s="18" t="n"/>
      <c r="H2461" s="18">
        <f>IF($A2461="","",IF(I2461&lt;&gt;"",I2461,Paramètres!B31))</f>
        <v/>
      </c>
      <c r="I2461" s="18" t="n"/>
    </row>
    <row r="2462">
      <c r="A2462" s="18">
        <f>IF(ISNUMBER(Dossiers!$D$49),Dossiers!$A$49&amp;" · "&amp;Dossiers!$B$49,"")</f>
        <v/>
      </c>
      <c r="B2462" s="18">
        <f>IF($A2462="","",Paramètres!G32)</f>
        <v/>
      </c>
      <c r="C2462" s="18">
        <f>IF($A2462="","",IF(Paramètres!H32="","",Paramètres!H32))</f>
        <v/>
      </c>
      <c r="D2462" s="18">
        <f>IF($A2462="","",IF(Paramètres!I32="","",Paramètres!I32))</f>
        <v/>
      </c>
      <c r="E2462" s="19">
        <f>IF($A2462="","",MIN(E2463:E2466))</f>
        <v/>
      </c>
      <c r="F2462" s="19">
        <f>IF($A2462="","",MAX(F2463:F2466))</f>
        <v/>
      </c>
      <c r="G2462" s="18" t="n"/>
      <c r="H2462" s="18">
        <f>IF($A2462="","",F2462-E2462+1)</f>
        <v/>
      </c>
      <c r="I2462" s="18" t="n"/>
    </row>
    <row r="2463">
      <c r="A2463" s="18">
        <f>IF(ISNUMBER(Dossiers!$D$49),Dossiers!$A$49&amp;" · "&amp;Dossiers!$B$49,"")</f>
        <v/>
      </c>
      <c r="B2463" s="18">
        <f>IF($A2463="","",Paramètres!G33)</f>
        <v/>
      </c>
      <c r="C2463" s="18">
        <f>IF($A2463="","",IF(Paramètres!H33="","",Paramètres!H33))</f>
        <v/>
      </c>
      <c r="D2463" s="18">
        <f>IF($A2463="","",IF(Paramètres!I33="","",Paramètres!I33))</f>
        <v/>
      </c>
      <c r="E2463" s="19">
        <f>IF($A2463="","",IF(Paramètres!J33&amp;Paramètres!L33&amp;Paramètres!N33="",Dossiers!$D$49,MAX(IF(Paramètres!J33="",0,IF(Paramètres!K33="",NA(),IF(LEFT(TRIM(Paramètres!K33),1)="F",INDEX($F$2435:$F$2487,MATCH(Paramètres!J33,Paramètres!$G$5:$G$57,0)),INDEX($E$2435:$E$2487,MATCH(Paramètres!J33,Paramètres!$G$5:$G$57,0)))+IF(RIGHT(TRIM(Paramètres!K33),3)="Fin",1-$H2463,IF(LEFT(TRIM(Paramètres!K33),1)="F",1,0)))),IF(Paramètres!L33="",0,IF(Paramètres!M33="",NA(),IF(LEFT(TRIM(Paramètres!M33),1)="F",INDEX($F$2435:$F$2487,MATCH(Paramètres!L33,Paramètres!$G$5:$G$57,0)),INDEX($E$2435:$E$2487,MATCH(Paramètres!L33,Paramètres!$G$5:$G$57,0)))+IF(RIGHT(TRIM(Paramètres!M33),3)="Fin",1-$H2463,IF(LEFT(TRIM(Paramètres!M33),1)="F",1,0)))),IF(Paramètres!N33="",0,IF(Paramètres!O33="",NA(),IF(LEFT(TRIM(Paramètres!O33),1)="F",INDEX($F$2435:$F$2487,MATCH(Paramètres!N33,Paramètres!$G$5:$G$57,0)),INDEX($E$2435:$E$2487,MATCH(Paramètres!N33,Paramètres!$G$5:$G$57,0)))+IF(RIGHT(TRIM(Paramètres!O33),3)="Fin",1-$H2463,IF(LEFT(TRIM(Paramètres!O33),1)="F",1,0)))))))</f>
        <v/>
      </c>
      <c r="F2463" s="19">
        <f>IF($A2463="","",E2463+$H2463-1)</f>
        <v/>
      </c>
      <c r="G2463" s="18" t="n"/>
      <c r="H2463" s="18">
        <f>IF($A2463="","",IF(I2463&lt;&gt;"",I2463,Paramètres!B33))</f>
        <v/>
      </c>
      <c r="I2463" s="18" t="n"/>
    </row>
    <row r="2464">
      <c r="A2464" s="18">
        <f>IF(ISNUMBER(Dossiers!$D$49),Dossiers!$A$49&amp;" · "&amp;Dossiers!$B$49,"")</f>
        <v/>
      </c>
      <c r="B2464" s="18">
        <f>IF($A2464="","",Paramètres!G34)</f>
        <v/>
      </c>
      <c r="C2464" s="18">
        <f>IF($A2464="","",IF(Paramètres!H34="","",Paramètres!H34))</f>
        <v/>
      </c>
      <c r="D2464" s="18">
        <f>IF($A2464="","",IF(Paramètres!I34="","",Paramètres!I34))</f>
        <v/>
      </c>
      <c r="E2464" s="19">
        <f>IF($A2464="","",IF(Paramètres!J34&amp;Paramètres!L34&amp;Paramètres!N34="",Dossiers!$D$49,MAX(IF(Paramètres!J34="",0,IF(Paramètres!K34="",NA(),IF(LEFT(TRIM(Paramètres!K34),1)="F",INDEX($F$2435:$F$2487,MATCH(Paramètres!J34,Paramètres!$G$5:$G$57,0)),INDEX($E$2435:$E$2487,MATCH(Paramètres!J34,Paramètres!$G$5:$G$57,0)))+IF(RIGHT(TRIM(Paramètres!K34),3)="Fin",1-$H2464,IF(LEFT(TRIM(Paramètres!K34),1)="F",1,0)))),IF(Paramètres!L34="",0,IF(Paramètres!M34="",NA(),IF(LEFT(TRIM(Paramètres!M34),1)="F",INDEX($F$2435:$F$2487,MATCH(Paramètres!L34,Paramètres!$G$5:$G$57,0)),INDEX($E$2435:$E$2487,MATCH(Paramètres!L34,Paramètres!$G$5:$G$57,0)))+IF(RIGHT(TRIM(Paramètres!M34),3)="Fin",1-$H2464,IF(LEFT(TRIM(Paramètres!M34),1)="F",1,0)))),IF(Paramètres!N34="",0,IF(Paramètres!O34="",NA(),IF(LEFT(TRIM(Paramètres!O34),1)="F",INDEX($F$2435:$F$2487,MATCH(Paramètres!N34,Paramètres!$G$5:$G$57,0)),INDEX($E$2435:$E$2487,MATCH(Paramètres!N34,Paramètres!$G$5:$G$57,0)))+IF(RIGHT(TRIM(Paramètres!O34),3)="Fin",1-$H2464,IF(LEFT(TRIM(Paramètres!O34),1)="F",1,0)))))))</f>
        <v/>
      </c>
      <c r="F2464" s="19">
        <f>IF($A2464="","",E2464+$H2464-1)</f>
        <v/>
      </c>
      <c r="G2464" s="18" t="n"/>
      <c r="H2464" s="18">
        <f>IF($A2464="","",IF(I2464&lt;&gt;"",I2464,Paramètres!B34))</f>
        <v/>
      </c>
      <c r="I2464" s="18" t="n"/>
    </row>
    <row r="2465">
      <c r="A2465" s="18">
        <f>IF(ISNUMBER(Dossiers!$D$49),Dossiers!$A$49&amp;" · "&amp;Dossiers!$B$49,"")</f>
        <v/>
      </c>
      <c r="B2465" s="18">
        <f>IF($A2465="","",Paramètres!G35)</f>
        <v/>
      </c>
      <c r="C2465" s="18">
        <f>IF($A2465="","",IF(Paramètres!H35="","",Paramètres!H35))</f>
        <v/>
      </c>
      <c r="D2465" s="18">
        <f>IF($A2465="","",IF(Paramètres!I35="","",Paramètres!I35))</f>
        <v/>
      </c>
      <c r="E2465" s="19">
        <f>IF($A2465="","",IF(Paramètres!J35&amp;Paramètres!L35&amp;Paramètres!N35="",Dossiers!$D$49,MAX(IF(Paramètres!J35="",0,IF(Paramètres!K35="",NA(),IF(LEFT(TRIM(Paramètres!K35),1)="F",INDEX($F$2435:$F$2487,MATCH(Paramètres!J35,Paramètres!$G$5:$G$57,0)),INDEX($E$2435:$E$2487,MATCH(Paramètres!J35,Paramètres!$G$5:$G$57,0)))+IF(RIGHT(TRIM(Paramètres!K35),3)="Fin",1-$H2465,IF(LEFT(TRIM(Paramètres!K35),1)="F",1,0)))),IF(Paramètres!L35="",0,IF(Paramètres!M35="",NA(),IF(LEFT(TRIM(Paramètres!M35),1)="F",INDEX($F$2435:$F$2487,MATCH(Paramètres!L35,Paramètres!$G$5:$G$57,0)),INDEX($E$2435:$E$2487,MATCH(Paramètres!L35,Paramètres!$G$5:$G$57,0)))+IF(RIGHT(TRIM(Paramètres!M35),3)="Fin",1-$H2465,IF(LEFT(TRIM(Paramètres!M35),1)="F",1,0)))),IF(Paramètres!N35="",0,IF(Paramètres!O35="",NA(),IF(LEFT(TRIM(Paramètres!O35),1)="F",INDEX($F$2435:$F$2487,MATCH(Paramètres!N35,Paramètres!$G$5:$G$57,0)),INDEX($E$2435:$E$2487,MATCH(Paramètres!N35,Paramètres!$G$5:$G$57,0)))+IF(RIGHT(TRIM(Paramètres!O35),3)="Fin",1-$H2465,IF(LEFT(TRIM(Paramètres!O35),1)="F",1,0)))))))</f>
        <v/>
      </c>
      <c r="F2465" s="19">
        <f>IF($A2465="","",E2465+$H2465-1)</f>
        <v/>
      </c>
      <c r="G2465" s="18" t="n"/>
      <c r="H2465" s="18">
        <f>IF($A2465="","",IF(I2465&lt;&gt;"",I2465,Paramètres!B35))</f>
        <v/>
      </c>
      <c r="I2465" s="18" t="n"/>
    </row>
    <row r="2466">
      <c r="A2466" s="18">
        <f>IF(ISNUMBER(Dossiers!$D$49),Dossiers!$A$49&amp;" · "&amp;Dossiers!$B$49,"")</f>
        <v/>
      </c>
      <c r="B2466" s="18">
        <f>IF($A2466="","",Paramètres!G36)</f>
        <v/>
      </c>
      <c r="C2466" s="18">
        <f>IF($A2466="","",IF(Paramètres!H36="","",Paramètres!H36))</f>
        <v/>
      </c>
      <c r="D2466" s="18">
        <f>IF($A2466="","",IF(Paramètres!I36="","",Paramètres!I36))</f>
        <v/>
      </c>
      <c r="E2466" s="19">
        <f>IF($A2466="","",IF(Paramètres!J36&amp;Paramètres!L36&amp;Paramètres!N36="",Dossiers!$D$49,MAX(IF(Paramètres!J36="",0,IF(Paramètres!K36="",NA(),IF(LEFT(TRIM(Paramètres!K36),1)="F",INDEX($F$2435:$F$2487,MATCH(Paramètres!J36,Paramètres!$G$5:$G$57,0)),INDEX($E$2435:$E$2487,MATCH(Paramètres!J36,Paramètres!$G$5:$G$57,0)))+IF(RIGHT(TRIM(Paramètres!K36),3)="Fin",1-$H2466,IF(LEFT(TRIM(Paramètres!K36),1)="F",1,0)))),IF(Paramètres!L36="",0,IF(Paramètres!M36="",NA(),IF(LEFT(TRIM(Paramètres!M36),1)="F",INDEX($F$2435:$F$2487,MATCH(Paramètres!L36,Paramètres!$G$5:$G$57,0)),INDEX($E$2435:$E$2487,MATCH(Paramètres!L36,Paramètres!$G$5:$G$57,0)))+IF(RIGHT(TRIM(Paramètres!M36),3)="Fin",1-$H2466,IF(LEFT(TRIM(Paramètres!M36),1)="F",1,0)))),IF(Paramètres!N36="",0,IF(Paramètres!O36="",NA(),IF(LEFT(TRIM(Paramètres!O36),1)="F",INDEX($F$2435:$F$2487,MATCH(Paramètres!N36,Paramètres!$G$5:$G$57,0)),INDEX($E$2435:$E$2487,MATCH(Paramètres!N36,Paramètres!$G$5:$G$57,0)))+IF(RIGHT(TRIM(Paramètres!O36),3)="Fin",1-$H2466,IF(LEFT(TRIM(Paramètres!O36),1)="F",1,0)))))))</f>
        <v/>
      </c>
      <c r="F2466" s="19">
        <f>IF($A2466="","",E2466+$H2466-1)</f>
        <v/>
      </c>
      <c r="G2466" s="18" t="n"/>
      <c r="H2466" s="18">
        <f>IF($A2466="","",IF(I2466&lt;&gt;"",I2466,Paramètres!B36))</f>
        <v/>
      </c>
      <c r="I2466" s="18" t="n"/>
    </row>
    <row r="2467">
      <c r="A2467" s="18">
        <f>IF(ISNUMBER(Dossiers!$D$49),Dossiers!$A$49&amp;" · "&amp;Dossiers!$B$49,"")</f>
        <v/>
      </c>
      <c r="B2467" s="18">
        <f>IF($A2467="","",Paramètres!G37)</f>
        <v/>
      </c>
      <c r="C2467" s="18">
        <f>IF($A2467="","",IF(Paramètres!H37="","",Paramètres!H37))</f>
        <v/>
      </c>
      <c r="D2467" s="18">
        <f>IF($A2467="","",IF(Paramètres!I37="","",Paramètres!I37))</f>
        <v/>
      </c>
      <c r="E2467" s="19">
        <f>IF($A2467="","",MIN(E2468:E2485))</f>
        <v/>
      </c>
      <c r="F2467" s="19">
        <f>IF($A2467="","",MAX(F2468:F2485))</f>
        <v/>
      </c>
      <c r="G2467" s="18" t="n"/>
      <c r="H2467" s="18">
        <f>IF($A2467="","",F2467-E2467+1)</f>
        <v/>
      </c>
      <c r="I2467" s="18" t="n"/>
    </row>
    <row r="2468">
      <c r="A2468" s="18">
        <f>IF(ISNUMBER(Dossiers!$D$49),Dossiers!$A$49&amp;" · "&amp;Dossiers!$B$49,"")</f>
        <v/>
      </c>
      <c r="B2468" s="18">
        <f>IF($A2468="","",Paramètres!G38)</f>
        <v/>
      </c>
      <c r="C2468" s="18">
        <f>IF($A2468="","",IF(Paramètres!H38="","",Paramètres!H38))</f>
        <v/>
      </c>
      <c r="D2468" s="18">
        <f>IF($A2468="","",IF(Paramètres!I38="","",Paramètres!I38))</f>
        <v/>
      </c>
      <c r="E2468" s="19">
        <f>IF($A2468="","",IF(Paramètres!J38&amp;Paramètres!L38&amp;Paramètres!N38="",Dossiers!$D$49,MAX(IF(Paramètres!J38="",0,IF(Paramètres!K38="",NA(),IF(LEFT(TRIM(Paramètres!K38),1)="F",INDEX($F$2435:$F$2487,MATCH(Paramètres!J38,Paramètres!$G$5:$G$57,0)),INDEX($E$2435:$E$2487,MATCH(Paramètres!J38,Paramètres!$G$5:$G$57,0)))+IF(RIGHT(TRIM(Paramètres!K38),3)="Fin",1-$H2468,IF(LEFT(TRIM(Paramètres!K38),1)="F",1,0)))),IF(Paramètres!L38="",0,IF(Paramètres!M38="",NA(),IF(LEFT(TRIM(Paramètres!M38),1)="F",INDEX($F$2435:$F$2487,MATCH(Paramètres!L38,Paramètres!$G$5:$G$57,0)),INDEX($E$2435:$E$2487,MATCH(Paramètres!L38,Paramètres!$G$5:$G$57,0)))+IF(RIGHT(TRIM(Paramètres!M38),3)="Fin",1-$H2468,IF(LEFT(TRIM(Paramètres!M38),1)="F",1,0)))),IF(Paramètres!N38="",0,IF(Paramètres!O38="",NA(),IF(LEFT(TRIM(Paramètres!O38),1)="F",INDEX($F$2435:$F$2487,MATCH(Paramètres!N38,Paramètres!$G$5:$G$57,0)),INDEX($E$2435:$E$2487,MATCH(Paramètres!N38,Paramètres!$G$5:$G$57,0)))+IF(RIGHT(TRIM(Paramètres!O38),3)="Fin",1-$H2468,IF(LEFT(TRIM(Paramètres!O38),1)="F",1,0)))))))</f>
        <v/>
      </c>
      <c r="F2468" s="19">
        <f>IF($A2468="","",E2468+$H2468-1)</f>
        <v/>
      </c>
      <c r="G2468" s="18" t="n"/>
      <c r="H2468" s="18">
        <f>IF($A2468="","",IF(I2468&lt;&gt;"",I2468,Paramètres!B38))</f>
        <v/>
      </c>
      <c r="I2468" s="18" t="n"/>
    </row>
    <row r="2469">
      <c r="A2469" s="18">
        <f>IF(ISNUMBER(Dossiers!$D$49),Dossiers!$A$49&amp;" · "&amp;Dossiers!$B$49,"")</f>
        <v/>
      </c>
      <c r="B2469" s="18">
        <f>IF($A2469="","",Paramètres!G39)</f>
        <v/>
      </c>
      <c r="C2469" s="18">
        <f>IF($A2469="","",IF(Paramètres!H39="","",Paramètres!H39))</f>
        <v/>
      </c>
      <c r="D2469" s="18">
        <f>IF($A2469="","",IF(Paramètres!I39="","",Paramètres!I39))</f>
        <v/>
      </c>
      <c r="E2469" s="19">
        <f>IF($A2469="","",IF(Paramètres!J39&amp;Paramètres!L39&amp;Paramètres!N39="",Dossiers!$D$49,MAX(IF(Paramètres!J39="",0,IF(Paramètres!K39="",NA(),IF(LEFT(TRIM(Paramètres!K39),1)="F",INDEX($F$2435:$F$2487,MATCH(Paramètres!J39,Paramètres!$G$5:$G$57,0)),INDEX($E$2435:$E$2487,MATCH(Paramètres!J39,Paramètres!$G$5:$G$57,0)))+IF(RIGHT(TRIM(Paramètres!K39),3)="Fin",1-$H2469,IF(LEFT(TRIM(Paramètres!K39),1)="F",1,0)))),IF(Paramètres!L39="",0,IF(Paramètres!M39="",NA(),IF(LEFT(TRIM(Paramètres!M39),1)="F",INDEX($F$2435:$F$2487,MATCH(Paramètres!L39,Paramètres!$G$5:$G$57,0)),INDEX($E$2435:$E$2487,MATCH(Paramètres!L39,Paramètres!$G$5:$G$57,0)))+IF(RIGHT(TRIM(Paramètres!M39),3)="Fin",1-$H2469,IF(LEFT(TRIM(Paramètres!M39),1)="F",1,0)))),IF(Paramètres!N39="",0,IF(Paramètres!O39="",NA(),IF(LEFT(TRIM(Paramètres!O39),1)="F",INDEX($F$2435:$F$2487,MATCH(Paramètres!N39,Paramètres!$G$5:$G$57,0)),INDEX($E$2435:$E$2487,MATCH(Paramètres!N39,Paramètres!$G$5:$G$57,0)))+IF(RIGHT(TRIM(Paramètres!O39),3)="Fin",1-$H2469,IF(LEFT(TRIM(Paramètres!O39),1)="F",1,0)))))))</f>
        <v/>
      </c>
      <c r="F2469" s="19">
        <f>IF($A2469="","",E2469+$H2469-1)</f>
        <v/>
      </c>
      <c r="G2469" s="18" t="n"/>
      <c r="H2469" s="18">
        <f>IF($A2469="","",IF(I2469&lt;&gt;"",I2469,Paramètres!B39))</f>
        <v/>
      </c>
      <c r="I2469" s="18" t="n"/>
    </row>
    <row r="2470">
      <c r="A2470" s="18">
        <f>IF(ISNUMBER(Dossiers!$D$49),Dossiers!$A$49&amp;" · "&amp;Dossiers!$B$49,"")</f>
        <v/>
      </c>
      <c r="B2470" s="18">
        <f>IF($A2470="","",Paramètres!G40)</f>
        <v/>
      </c>
      <c r="C2470" s="18">
        <f>IF($A2470="","",IF(Paramètres!H40="","",Paramètres!H40))</f>
        <v/>
      </c>
      <c r="D2470" s="18">
        <f>IF($A2470="","",IF(Paramètres!I40="","",Paramètres!I40))</f>
        <v/>
      </c>
      <c r="E2470" s="19">
        <f>IF($A2470="","",IF(Paramètres!J40&amp;Paramètres!L40&amp;Paramètres!N40="",Dossiers!$D$49,MAX(IF(Paramètres!J40="",0,IF(Paramètres!K40="",NA(),IF(LEFT(TRIM(Paramètres!K40),1)="F",INDEX($F$2435:$F$2487,MATCH(Paramètres!J40,Paramètres!$G$5:$G$57,0)),INDEX($E$2435:$E$2487,MATCH(Paramètres!J40,Paramètres!$G$5:$G$57,0)))+IF(RIGHT(TRIM(Paramètres!K40),3)="Fin",1-$H2470,IF(LEFT(TRIM(Paramètres!K40),1)="F",1,0)))),IF(Paramètres!L40="",0,IF(Paramètres!M40="",NA(),IF(LEFT(TRIM(Paramètres!M40),1)="F",INDEX($F$2435:$F$2487,MATCH(Paramètres!L40,Paramètres!$G$5:$G$57,0)),INDEX($E$2435:$E$2487,MATCH(Paramètres!L40,Paramètres!$G$5:$G$57,0)))+IF(RIGHT(TRIM(Paramètres!M40),3)="Fin",1-$H2470,IF(LEFT(TRIM(Paramètres!M40),1)="F",1,0)))),IF(Paramètres!N40="",0,IF(Paramètres!O40="",NA(),IF(LEFT(TRIM(Paramètres!O40),1)="F",INDEX($F$2435:$F$2487,MATCH(Paramètres!N40,Paramètres!$G$5:$G$57,0)),INDEX($E$2435:$E$2487,MATCH(Paramètres!N40,Paramètres!$G$5:$G$57,0)))+IF(RIGHT(TRIM(Paramètres!O40),3)="Fin",1-$H2470,IF(LEFT(TRIM(Paramètres!O40),1)="F",1,0)))))))</f>
        <v/>
      </c>
      <c r="F2470" s="19">
        <f>IF($A2470="","",E2470+$H2470-1)</f>
        <v/>
      </c>
      <c r="G2470" s="18" t="n"/>
      <c r="H2470" s="18">
        <f>IF($A2470="","",IF(I2470&lt;&gt;"",I2470,Paramètres!B40))</f>
        <v/>
      </c>
      <c r="I2470" s="18" t="n"/>
    </row>
    <row r="2471">
      <c r="A2471" s="18">
        <f>IF(ISNUMBER(Dossiers!$D$49),Dossiers!$A$49&amp;" · "&amp;Dossiers!$B$49,"")</f>
        <v/>
      </c>
      <c r="B2471" s="18">
        <f>IF($A2471="","",Paramètres!G41)</f>
        <v/>
      </c>
      <c r="C2471" s="18">
        <f>IF($A2471="","",IF(Paramètres!H41="","",Paramètres!H41))</f>
        <v/>
      </c>
      <c r="D2471" s="18">
        <f>IF($A2471="","",IF(Paramètres!I41="","",Paramètres!I41))</f>
        <v/>
      </c>
      <c r="E2471" s="19">
        <f>IF($A2471="","",IF(Paramètres!J41&amp;Paramètres!L41&amp;Paramètres!N41="",Dossiers!$D$49,MAX(IF(Paramètres!J41="",0,IF(Paramètres!K41="",NA(),IF(LEFT(TRIM(Paramètres!K41),1)="F",INDEX($F$2435:$F$2487,MATCH(Paramètres!J41,Paramètres!$G$5:$G$57,0)),INDEX($E$2435:$E$2487,MATCH(Paramètres!J41,Paramètres!$G$5:$G$57,0)))+IF(RIGHT(TRIM(Paramètres!K41),3)="Fin",1-$H2471,IF(LEFT(TRIM(Paramètres!K41),1)="F",1,0)))),IF(Paramètres!L41="",0,IF(Paramètres!M41="",NA(),IF(LEFT(TRIM(Paramètres!M41),1)="F",INDEX($F$2435:$F$2487,MATCH(Paramètres!L41,Paramètres!$G$5:$G$57,0)),INDEX($E$2435:$E$2487,MATCH(Paramètres!L41,Paramètres!$G$5:$G$57,0)))+IF(RIGHT(TRIM(Paramètres!M41),3)="Fin",1-$H2471,IF(LEFT(TRIM(Paramètres!M41),1)="F",1,0)))),IF(Paramètres!N41="",0,IF(Paramètres!O41="",NA(),IF(LEFT(TRIM(Paramètres!O41),1)="F",INDEX($F$2435:$F$2487,MATCH(Paramètres!N41,Paramètres!$G$5:$G$57,0)),INDEX($E$2435:$E$2487,MATCH(Paramètres!N41,Paramètres!$G$5:$G$57,0)))+IF(RIGHT(TRIM(Paramètres!O41),3)="Fin",1-$H2471,IF(LEFT(TRIM(Paramètres!O41),1)="F",1,0)))))))</f>
        <v/>
      </c>
      <c r="F2471" s="19">
        <f>IF($A2471="","",E2471+$H2471-1)</f>
        <v/>
      </c>
      <c r="G2471" s="18" t="n"/>
      <c r="H2471" s="18">
        <f>IF($A2471="","",IF(I2471&lt;&gt;"",I2471,Paramètres!B41))</f>
        <v/>
      </c>
      <c r="I2471" s="18" t="n"/>
    </row>
    <row r="2472">
      <c r="A2472" s="18">
        <f>IF(ISNUMBER(Dossiers!$D$49),Dossiers!$A$49&amp;" · "&amp;Dossiers!$B$49,"")</f>
        <v/>
      </c>
      <c r="B2472" s="18">
        <f>IF($A2472="","",Paramètres!G42)</f>
        <v/>
      </c>
      <c r="C2472" s="18">
        <f>IF($A2472="","",IF(Paramètres!H42="","",Paramètres!H42))</f>
        <v/>
      </c>
      <c r="D2472" s="18">
        <f>IF($A2472="","",IF(Paramètres!I42="","",Paramètres!I42))</f>
        <v/>
      </c>
      <c r="E2472" s="19">
        <f>IF($A2472="","",IF(Paramètres!J42&amp;Paramètres!L42&amp;Paramètres!N42="",Dossiers!$D$49,MAX(IF(Paramètres!J42="",0,IF(Paramètres!K42="",NA(),IF(LEFT(TRIM(Paramètres!K42),1)="F",INDEX($F$2435:$F$2487,MATCH(Paramètres!J42,Paramètres!$G$5:$G$57,0)),INDEX($E$2435:$E$2487,MATCH(Paramètres!J42,Paramètres!$G$5:$G$57,0)))+IF(RIGHT(TRIM(Paramètres!K42),3)="Fin",1-$H2472,IF(LEFT(TRIM(Paramètres!K42),1)="F",1,0)))),IF(Paramètres!L42="",0,IF(Paramètres!M42="",NA(),IF(LEFT(TRIM(Paramètres!M42),1)="F",INDEX($F$2435:$F$2487,MATCH(Paramètres!L42,Paramètres!$G$5:$G$57,0)),INDEX($E$2435:$E$2487,MATCH(Paramètres!L42,Paramètres!$G$5:$G$57,0)))+IF(RIGHT(TRIM(Paramètres!M42),3)="Fin",1-$H2472,IF(LEFT(TRIM(Paramètres!M42),1)="F",1,0)))),IF(Paramètres!N42="",0,IF(Paramètres!O42="",NA(),IF(LEFT(TRIM(Paramètres!O42),1)="F",INDEX($F$2435:$F$2487,MATCH(Paramètres!N42,Paramètres!$G$5:$G$57,0)),INDEX($E$2435:$E$2487,MATCH(Paramètres!N42,Paramètres!$G$5:$G$57,0)))+IF(RIGHT(TRIM(Paramètres!O42),3)="Fin",1-$H2472,IF(LEFT(TRIM(Paramètres!O42),1)="F",1,0)))))))</f>
        <v/>
      </c>
      <c r="F2472" s="19">
        <f>IF($A2472="","",E2472+$H2472-1)</f>
        <v/>
      </c>
      <c r="G2472" s="18" t="n"/>
      <c r="H2472" s="18">
        <f>IF($A2472="","",IF(I2472&lt;&gt;"",I2472,Paramètres!B42))</f>
        <v/>
      </c>
      <c r="I2472" s="18" t="n"/>
    </row>
    <row r="2473">
      <c r="A2473" s="18">
        <f>IF(ISNUMBER(Dossiers!$D$49),Dossiers!$A$49&amp;" · "&amp;Dossiers!$B$49,"")</f>
        <v/>
      </c>
      <c r="B2473" s="18">
        <f>IF($A2473="","",Paramètres!G43)</f>
        <v/>
      </c>
      <c r="C2473" s="18">
        <f>IF($A2473="","",IF(Paramètres!H43="","",Paramètres!H43))</f>
        <v/>
      </c>
      <c r="D2473" s="18">
        <f>IF($A2473="","",IF(Paramètres!I43="","",Paramètres!I43))</f>
        <v/>
      </c>
      <c r="E2473" s="19">
        <f>IF($A2473="","",IF(Paramètres!J43&amp;Paramètres!L43&amp;Paramètres!N43="",Dossiers!$D$49,MAX(IF(Paramètres!J43="",0,IF(Paramètres!K43="",NA(),IF(LEFT(TRIM(Paramètres!K43),1)="F",INDEX($F$2435:$F$2487,MATCH(Paramètres!J43,Paramètres!$G$5:$G$57,0)),INDEX($E$2435:$E$2487,MATCH(Paramètres!J43,Paramètres!$G$5:$G$57,0)))+IF(RIGHT(TRIM(Paramètres!K43),3)="Fin",1-$H2473,IF(LEFT(TRIM(Paramètres!K43),1)="F",1,0)))),IF(Paramètres!L43="",0,IF(Paramètres!M43="",NA(),IF(LEFT(TRIM(Paramètres!M43),1)="F",INDEX($F$2435:$F$2487,MATCH(Paramètres!L43,Paramètres!$G$5:$G$57,0)),INDEX($E$2435:$E$2487,MATCH(Paramètres!L43,Paramètres!$G$5:$G$57,0)))+IF(RIGHT(TRIM(Paramètres!M43),3)="Fin",1-$H2473,IF(LEFT(TRIM(Paramètres!M43),1)="F",1,0)))),IF(Paramètres!N43="",0,IF(Paramètres!O43="",NA(),IF(LEFT(TRIM(Paramètres!O43),1)="F",INDEX($F$2435:$F$2487,MATCH(Paramètres!N43,Paramètres!$G$5:$G$57,0)),INDEX($E$2435:$E$2487,MATCH(Paramètres!N43,Paramètres!$G$5:$G$57,0)))+IF(RIGHT(TRIM(Paramètres!O43),3)="Fin",1-$H2473,IF(LEFT(TRIM(Paramètres!O43),1)="F",1,0)))))))</f>
        <v/>
      </c>
      <c r="F2473" s="19">
        <f>IF($A2473="","",E2473+$H2473-1)</f>
        <v/>
      </c>
      <c r="G2473" s="18" t="n"/>
      <c r="H2473" s="18">
        <f>IF($A2473="","",IF(I2473&lt;&gt;"",I2473,Paramètres!B43))</f>
        <v/>
      </c>
      <c r="I2473" s="18" t="n"/>
    </row>
    <row r="2474">
      <c r="A2474" s="18">
        <f>IF(ISNUMBER(Dossiers!$D$49),Dossiers!$A$49&amp;" · "&amp;Dossiers!$B$49,"")</f>
        <v/>
      </c>
      <c r="B2474" s="18">
        <f>IF($A2474="","",Paramètres!G44)</f>
        <v/>
      </c>
      <c r="C2474" s="18">
        <f>IF($A2474="","",IF(Paramètres!H44="","",Paramètres!H44))</f>
        <v/>
      </c>
      <c r="D2474" s="18">
        <f>IF($A2474="","",IF(Paramètres!I44="","",Paramètres!I44))</f>
        <v/>
      </c>
      <c r="E2474" s="19">
        <f>IF($A2474="","",IF(Paramètres!J44&amp;Paramètres!L44&amp;Paramètres!N44="",Dossiers!$D$49,MAX(IF(Paramètres!J44="",0,IF(Paramètres!K44="",NA(),IF(LEFT(TRIM(Paramètres!K44),1)="F",INDEX($F$2435:$F$2487,MATCH(Paramètres!J44,Paramètres!$G$5:$G$57,0)),INDEX($E$2435:$E$2487,MATCH(Paramètres!J44,Paramètres!$G$5:$G$57,0)))+IF(RIGHT(TRIM(Paramètres!K44),3)="Fin",1-$H2474,IF(LEFT(TRIM(Paramètres!K44),1)="F",1,0)))),IF(Paramètres!L44="",0,IF(Paramètres!M44="",NA(),IF(LEFT(TRIM(Paramètres!M44),1)="F",INDEX($F$2435:$F$2487,MATCH(Paramètres!L44,Paramètres!$G$5:$G$57,0)),INDEX($E$2435:$E$2487,MATCH(Paramètres!L44,Paramètres!$G$5:$G$57,0)))+IF(RIGHT(TRIM(Paramètres!M44),3)="Fin",1-$H2474,IF(LEFT(TRIM(Paramètres!M44),1)="F",1,0)))),IF(Paramètres!N44="",0,IF(Paramètres!O44="",NA(),IF(LEFT(TRIM(Paramètres!O44),1)="F",INDEX($F$2435:$F$2487,MATCH(Paramètres!N44,Paramètres!$G$5:$G$57,0)),INDEX($E$2435:$E$2487,MATCH(Paramètres!N44,Paramètres!$G$5:$G$57,0)))+IF(RIGHT(TRIM(Paramètres!O44),3)="Fin",1-$H2474,IF(LEFT(TRIM(Paramètres!O44),1)="F",1,0)))))))</f>
        <v/>
      </c>
      <c r="F2474" s="19">
        <f>IF($A2474="","",E2474+$H2474-1)</f>
        <v/>
      </c>
      <c r="G2474" s="18" t="n"/>
      <c r="H2474" s="18">
        <f>IF($A2474="","",IF(I2474&lt;&gt;"",I2474,Paramètres!B44))</f>
        <v/>
      </c>
      <c r="I2474" s="18" t="n"/>
    </row>
    <row r="2475">
      <c r="A2475" s="18">
        <f>IF(ISNUMBER(Dossiers!$D$49),Dossiers!$A$49&amp;" · "&amp;Dossiers!$B$49,"")</f>
        <v/>
      </c>
      <c r="B2475" s="18">
        <f>IF($A2475="","",Paramètres!G45)</f>
        <v/>
      </c>
      <c r="C2475" s="20">
        <f>IF($A2475="","",IF(Dossiers!$G$49="","",Dossiers!$G$49))</f>
        <v/>
      </c>
      <c r="D2475" s="18">
        <f>IF($A2475="","",IF(Paramètres!I45="","",Paramètres!I45))</f>
        <v/>
      </c>
      <c r="E2475" s="19">
        <f>IF($A2475="","",IF(Paramètres!J45&amp;Paramètres!L45&amp;Paramètres!N45="",Dossiers!$D$49,MAX(IF(Paramètres!J45="",0,IF(Paramètres!K45="",NA(),IF(LEFT(TRIM(Paramètres!K45),1)="F",INDEX($F$2435:$F$2487,MATCH(Paramètres!J45,Paramètres!$G$5:$G$57,0)),INDEX($E$2435:$E$2487,MATCH(Paramètres!J45,Paramètres!$G$5:$G$57,0)))+IF(RIGHT(TRIM(Paramètres!K45),3)="Fin",1-$H2475,IF(LEFT(TRIM(Paramètres!K45),1)="F",1,0)))),IF(Paramètres!L45="",0,IF(Paramètres!M45="",NA(),IF(LEFT(TRIM(Paramètres!M45),1)="F",INDEX($F$2435:$F$2487,MATCH(Paramètres!L45,Paramètres!$G$5:$G$57,0)),INDEX($E$2435:$E$2487,MATCH(Paramètres!L45,Paramètres!$G$5:$G$57,0)))+IF(RIGHT(TRIM(Paramètres!M45),3)="Fin",1-$H2475,IF(LEFT(TRIM(Paramètres!M45),1)="F",1,0)))),IF(Paramètres!N45="",0,IF(Paramètres!O45="",NA(),IF(LEFT(TRIM(Paramètres!O45),1)="F",INDEX($F$2435:$F$2487,MATCH(Paramètres!N45,Paramètres!$G$5:$G$57,0)),INDEX($E$2435:$E$2487,MATCH(Paramètres!N45,Paramètres!$G$5:$G$57,0)))+IF(RIGHT(TRIM(Paramètres!O45),3)="Fin",1-$H2475,IF(LEFT(TRIM(Paramètres!O45),1)="F",1,0)))))))</f>
        <v/>
      </c>
      <c r="F2475" s="19">
        <f>IF($A2475="","",E2475+$H2475-1)</f>
        <v/>
      </c>
      <c r="G2475" s="18" t="n"/>
      <c r="H2475" s="18">
        <f>IF($A2475="","",IF(I2475&lt;&gt;"",I2475,Paramètres!B45))</f>
        <v/>
      </c>
      <c r="I2475" s="18" t="n"/>
    </row>
    <row r="2476">
      <c r="A2476" s="18">
        <f>IF(ISNUMBER(Dossiers!$D$49),Dossiers!$A$49&amp;" · "&amp;Dossiers!$B$49,"")</f>
        <v/>
      </c>
      <c r="B2476" s="18">
        <f>IF($A2476="","",Paramètres!G46)</f>
        <v/>
      </c>
      <c r="C2476" s="18">
        <f>IF($A2476="","",IF(Paramètres!H46="","",Paramètres!H46))</f>
        <v/>
      </c>
      <c r="D2476" s="18">
        <f>IF($A2476="","",IF(Paramètres!I46="","",Paramètres!I46))</f>
        <v/>
      </c>
      <c r="E2476" s="19">
        <f>IF($A2476="","",IF(Paramètres!J46&amp;Paramètres!L46&amp;Paramètres!N46="",Dossiers!$D$49,MAX(IF(Paramètres!J46="",0,IF(Paramètres!K46="",NA(),IF(LEFT(TRIM(Paramètres!K46),1)="F",INDEX($F$2435:$F$2487,MATCH(Paramètres!J46,Paramètres!$G$5:$G$57,0)),INDEX($E$2435:$E$2487,MATCH(Paramètres!J46,Paramètres!$G$5:$G$57,0)))+IF(RIGHT(TRIM(Paramètres!K46),3)="Fin",1-$H2476,IF(LEFT(TRIM(Paramètres!K46),1)="F",1,0)))),IF(Paramètres!L46="",0,IF(Paramètres!M46="",NA(),IF(LEFT(TRIM(Paramètres!M46),1)="F",INDEX($F$2435:$F$2487,MATCH(Paramètres!L46,Paramètres!$G$5:$G$57,0)),INDEX($E$2435:$E$2487,MATCH(Paramètres!L46,Paramètres!$G$5:$G$57,0)))+IF(RIGHT(TRIM(Paramètres!M46),3)="Fin",1-$H2476,IF(LEFT(TRIM(Paramètres!M46),1)="F",1,0)))),IF(Paramètres!N46="",0,IF(Paramètres!O46="",NA(),IF(LEFT(TRIM(Paramètres!O46),1)="F",INDEX($F$2435:$F$2487,MATCH(Paramètres!N46,Paramètres!$G$5:$G$57,0)),INDEX($E$2435:$E$2487,MATCH(Paramètres!N46,Paramètres!$G$5:$G$57,0)))+IF(RIGHT(TRIM(Paramètres!O46),3)="Fin",1-$H2476,IF(LEFT(TRIM(Paramètres!O46),1)="F",1,0)))))))</f>
        <v/>
      </c>
      <c r="F2476" s="19">
        <f>IF($A2476="","",E2476+$H2476-1)</f>
        <v/>
      </c>
      <c r="G2476" s="18" t="n"/>
      <c r="H2476" s="18">
        <f>IF($A2476="","",IF(I2476&lt;&gt;"",I2476,Paramètres!B46))</f>
        <v/>
      </c>
      <c r="I2476" s="18" t="n"/>
    </row>
    <row r="2477">
      <c r="A2477" s="18">
        <f>IF(ISNUMBER(Dossiers!$D$49),Dossiers!$A$49&amp;" · "&amp;Dossiers!$B$49,"")</f>
        <v/>
      </c>
      <c r="B2477" s="18">
        <f>IF($A2477="","",Paramètres!G47)</f>
        <v/>
      </c>
      <c r="C2477" s="18">
        <f>IF($A2477="","",IF(Paramètres!H47="","",Paramètres!H47))</f>
        <v/>
      </c>
      <c r="D2477" s="18">
        <f>IF($A2477="","",IF(Paramètres!I47="","",Paramètres!I47))</f>
        <v/>
      </c>
      <c r="E2477" s="19">
        <f>IF($A2477="","",IF(Paramètres!J47&amp;Paramètres!L47&amp;Paramètres!N47="",Dossiers!$D$49,MAX(IF(Paramètres!J47="",0,IF(Paramètres!K47="",NA(),IF(LEFT(TRIM(Paramètres!K47),1)="F",INDEX($F$2435:$F$2487,MATCH(Paramètres!J47,Paramètres!$G$5:$G$57,0)),INDEX($E$2435:$E$2487,MATCH(Paramètres!J47,Paramètres!$G$5:$G$57,0)))+IF(RIGHT(TRIM(Paramètres!K47),3)="Fin",1-$H2477,IF(LEFT(TRIM(Paramètres!K47),1)="F",1,0)))),IF(Paramètres!L47="",0,IF(Paramètres!M47="",NA(),IF(LEFT(TRIM(Paramètres!M47),1)="F",INDEX($F$2435:$F$2487,MATCH(Paramètres!L47,Paramètres!$G$5:$G$57,0)),INDEX($E$2435:$E$2487,MATCH(Paramètres!L47,Paramètres!$G$5:$G$57,0)))+IF(RIGHT(TRIM(Paramètres!M47),3)="Fin",1-$H2477,IF(LEFT(TRIM(Paramètres!M47),1)="F",1,0)))),IF(Paramètres!N47="",0,IF(Paramètres!O47="",NA(),IF(LEFT(TRIM(Paramètres!O47),1)="F",INDEX($F$2435:$F$2487,MATCH(Paramètres!N47,Paramètres!$G$5:$G$57,0)),INDEX($E$2435:$E$2487,MATCH(Paramètres!N47,Paramètres!$G$5:$G$57,0)))+IF(RIGHT(TRIM(Paramètres!O47),3)="Fin",1-$H2477,IF(LEFT(TRIM(Paramètres!O47),1)="F",1,0)))))))</f>
        <v/>
      </c>
      <c r="F2477" s="19">
        <f>IF($A2477="","",E2477+$H2477-1)</f>
        <v/>
      </c>
      <c r="G2477" s="18" t="n"/>
      <c r="H2477" s="18">
        <f>IF($A2477="","",IF(I2477&lt;&gt;"",I2477,Paramètres!B47))</f>
        <v/>
      </c>
      <c r="I2477" s="18" t="n"/>
    </row>
    <row r="2478">
      <c r="A2478" s="18">
        <f>IF(ISNUMBER(Dossiers!$D$49),Dossiers!$A$49&amp;" · "&amp;Dossiers!$B$49,"")</f>
        <v/>
      </c>
      <c r="B2478" s="18">
        <f>IF($A2478="","",Paramètres!G48)</f>
        <v/>
      </c>
      <c r="C2478" s="18">
        <f>IF($A2478="","",IF(Paramètres!H48="","",Paramètres!H48))</f>
        <v/>
      </c>
      <c r="D2478" s="18">
        <f>IF($A2478="","",IF(Paramètres!I48="","",Paramètres!I48))</f>
        <v/>
      </c>
      <c r="E2478" s="19">
        <f>IF($A2478="","",IF(Paramètres!J48&amp;Paramètres!L48&amp;Paramètres!N48="",Dossiers!$D$49,MAX(IF(Paramètres!J48="",0,IF(Paramètres!K48="",NA(),IF(LEFT(TRIM(Paramètres!K48),1)="F",INDEX($F$2435:$F$2487,MATCH(Paramètres!J48,Paramètres!$G$5:$G$57,0)),INDEX($E$2435:$E$2487,MATCH(Paramètres!J48,Paramètres!$G$5:$G$57,0)))+IF(RIGHT(TRIM(Paramètres!K48),3)="Fin",1-$H2478,IF(LEFT(TRIM(Paramètres!K48),1)="F",1,0)))),IF(Paramètres!L48="",0,IF(Paramètres!M48="",NA(),IF(LEFT(TRIM(Paramètres!M48),1)="F",INDEX($F$2435:$F$2487,MATCH(Paramètres!L48,Paramètres!$G$5:$G$57,0)),INDEX($E$2435:$E$2487,MATCH(Paramètres!L48,Paramètres!$G$5:$G$57,0)))+IF(RIGHT(TRIM(Paramètres!M48),3)="Fin",1-$H2478,IF(LEFT(TRIM(Paramètres!M48),1)="F",1,0)))),IF(Paramètres!N48="",0,IF(Paramètres!O48="",NA(),IF(LEFT(TRIM(Paramètres!O48),1)="F",INDEX($F$2435:$F$2487,MATCH(Paramètres!N48,Paramètres!$G$5:$G$57,0)),INDEX($E$2435:$E$2487,MATCH(Paramètres!N48,Paramètres!$G$5:$G$57,0)))+IF(RIGHT(TRIM(Paramètres!O48),3)="Fin",1-$H2478,IF(LEFT(TRIM(Paramètres!O48),1)="F",1,0)))))))</f>
        <v/>
      </c>
      <c r="F2478" s="19">
        <f>IF($A2478="","",E2478+$H2478-1)</f>
        <v/>
      </c>
      <c r="G2478" s="18" t="n"/>
      <c r="H2478" s="18">
        <f>IF($A2478="","",IF(I2478&lt;&gt;"",I2478,Paramètres!B48))</f>
        <v/>
      </c>
      <c r="I2478" s="18" t="n"/>
    </row>
    <row r="2479">
      <c r="A2479" s="18">
        <f>IF(ISNUMBER(Dossiers!$D$49),Dossiers!$A$49&amp;" · "&amp;Dossiers!$B$49,"")</f>
        <v/>
      </c>
      <c r="B2479" s="18">
        <f>IF($A2479="","",Paramètres!G49)</f>
        <v/>
      </c>
      <c r="C2479" s="18">
        <f>IF($A2479="","",IF(Paramètres!H49="","",Paramètres!H49))</f>
        <v/>
      </c>
      <c r="D2479" s="18">
        <f>IF($A2479="","",IF(Paramètres!I49="","",Paramètres!I49))</f>
        <v/>
      </c>
      <c r="E2479" s="19">
        <f>IF($A2479="","",IF(Paramètres!J49&amp;Paramètres!L49&amp;Paramètres!N49="",Dossiers!$D$49,MAX(IF(Paramètres!J49="",0,IF(Paramètres!K49="",NA(),IF(LEFT(TRIM(Paramètres!K49),1)="F",INDEX($F$2435:$F$2487,MATCH(Paramètres!J49,Paramètres!$G$5:$G$57,0)),INDEX($E$2435:$E$2487,MATCH(Paramètres!J49,Paramètres!$G$5:$G$57,0)))+IF(RIGHT(TRIM(Paramètres!K49),3)="Fin",1-$H2479,IF(LEFT(TRIM(Paramètres!K49),1)="F",1,0)))),IF(Paramètres!L49="",0,IF(Paramètres!M49="",NA(),IF(LEFT(TRIM(Paramètres!M49),1)="F",INDEX($F$2435:$F$2487,MATCH(Paramètres!L49,Paramètres!$G$5:$G$57,0)),INDEX($E$2435:$E$2487,MATCH(Paramètres!L49,Paramètres!$G$5:$G$57,0)))+IF(RIGHT(TRIM(Paramètres!M49),3)="Fin",1-$H2479,IF(LEFT(TRIM(Paramètres!M49),1)="F",1,0)))),IF(Paramètres!N49="",0,IF(Paramètres!O49="",NA(),IF(LEFT(TRIM(Paramètres!O49),1)="F",INDEX($F$2435:$F$2487,MATCH(Paramètres!N49,Paramètres!$G$5:$G$57,0)),INDEX($E$2435:$E$2487,MATCH(Paramètres!N49,Paramètres!$G$5:$G$57,0)))+IF(RIGHT(TRIM(Paramètres!O49),3)="Fin",1-$H2479,IF(LEFT(TRIM(Paramètres!O49),1)="F",1,0)))))))</f>
        <v/>
      </c>
      <c r="F2479" s="19">
        <f>IF($A2479="","",E2479+$H2479-1)</f>
        <v/>
      </c>
      <c r="G2479" s="18" t="n"/>
      <c r="H2479" s="18">
        <f>IF($A2479="","",IF(I2479&lt;&gt;"",I2479,Paramètres!B49))</f>
        <v/>
      </c>
      <c r="I2479" s="18" t="n"/>
    </row>
    <row r="2480">
      <c r="A2480" s="18">
        <f>IF(ISNUMBER(Dossiers!$D$49),Dossiers!$A$49&amp;" · "&amp;Dossiers!$B$49,"")</f>
        <v/>
      </c>
      <c r="B2480" s="18">
        <f>IF($A2480="","",Paramètres!G50)</f>
        <v/>
      </c>
      <c r="C2480" s="18">
        <f>IF($A2480="","",IF(Paramètres!H50="","",Paramètres!H50))</f>
        <v/>
      </c>
      <c r="D2480" s="18">
        <f>IF($A2480="","",IF(Paramètres!I50="","",Paramètres!I50))</f>
        <v/>
      </c>
      <c r="E2480" s="19">
        <f>IF($A2480="","",IF(Paramètres!J50&amp;Paramètres!L50&amp;Paramètres!N50="",Dossiers!$D$49,MAX(IF(Paramètres!J50="",0,IF(Paramètres!K50="",NA(),IF(LEFT(TRIM(Paramètres!K50),1)="F",INDEX($F$2435:$F$2487,MATCH(Paramètres!J50,Paramètres!$G$5:$G$57,0)),INDEX($E$2435:$E$2487,MATCH(Paramètres!J50,Paramètres!$G$5:$G$57,0)))+IF(RIGHT(TRIM(Paramètres!K50),3)="Fin",1-$H2480,IF(LEFT(TRIM(Paramètres!K50),1)="F",1,0)))),IF(Paramètres!L50="",0,IF(Paramètres!M50="",NA(),IF(LEFT(TRIM(Paramètres!M50),1)="F",INDEX($F$2435:$F$2487,MATCH(Paramètres!L50,Paramètres!$G$5:$G$57,0)),INDEX($E$2435:$E$2487,MATCH(Paramètres!L50,Paramètres!$G$5:$G$57,0)))+IF(RIGHT(TRIM(Paramètres!M50),3)="Fin",1-$H2480,IF(LEFT(TRIM(Paramètres!M50),1)="F",1,0)))),IF(Paramètres!N50="",0,IF(Paramètres!O50="",NA(),IF(LEFT(TRIM(Paramètres!O50),1)="F",INDEX($F$2435:$F$2487,MATCH(Paramètres!N50,Paramètres!$G$5:$G$57,0)),INDEX($E$2435:$E$2487,MATCH(Paramètres!N50,Paramètres!$G$5:$G$57,0)))+IF(RIGHT(TRIM(Paramètres!O50),3)="Fin",1-$H2480,IF(LEFT(TRIM(Paramètres!O50),1)="F",1,0)))))))</f>
        <v/>
      </c>
      <c r="F2480" s="19">
        <f>IF($A2480="","",E2480+$H2480-1)</f>
        <v/>
      </c>
      <c r="G2480" s="18" t="n"/>
      <c r="H2480" s="18">
        <f>IF($A2480="","",IF(I2480&lt;&gt;"",I2480,Paramètres!B50))</f>
        <v/>
      </c>
      <c r="I2480" s="18" t="n"/>
    </row>
    <row r="2481">
      <c r="A2481" s="18">
        <f>IF(ISNUMBER(Dossiers!$D$49),Dossiers!$A$49&amp;" · "&amp;Dossiers!$B$49,"")</f>
        <v/>
      </c>
      <c r="B2481" s="18">
        <f>IF($A2481="","",Paramètres!G51)</f>
        <v/>
      </c>
      <c r="C2481" s="18">
        <f>IF($A2481="","",IF(Paramètres!H51="","",Paramètres!H51))</f>
        <v/>
      </c>
      <c r="D2481" s="18">
        <f>IF($A2481="","",IF(Paramètres!I51="","",Paramètres!I51))</f>
        <v/>
      </c>
      <c r="E2481" s="19">
        <f>IF($A2481="","",IF(Paramètres!J51&amp;Paramètres!L51&amp;Paramètres!N51="",Dossiers!$D$49,MAX(IF(Paramètres!J51="",0,IF(Paramètres!K51="",NA(),IF(LEFT(TRIM(Paramètres!K51),1)="F",INDEX($F$2435:$F$2487,MATCH(Paramètres!J51,Paramètres!$G$5:$G$57,0)),INDEX($E$2435:$E$2487,MATCH(Paramètres!J51,Paramètres!$G$5:$G$57,0)))+IF(RIGHT(TRIM(Paramètres!K51),3)="Fin",1-$H2481,IF(LEFT(TRIM(Paramètres!K51),1)="F",1,0)))),IF(Paramètres!L51="",0,IF(Paramètres!M51="",NA(),IF(LEFT(TRIM(Paramètres!M51),1)="F",INDEX($F$2435:$F$2487,MATCH(Paramètres!L51,Paramètres!$G$5:$G$57,0)),INDEX($E$2435:$E$2487,MATCH(Paramètres!L51,Paramètres!$G$5:$G$57,0)))+IF(RIGHT(TRIM(Paramètres!M51),3)="Fin",1-$H2481,IF(LEFT(TRIM(Paramètres!M51),1)="F",1,0)))),IF(Paramètres!N51="",0,IF(Paramètres!O51="",NA(),IF(LEFT(TRIM(Paramètres!O51),1)="F",INDEX($F$2435:$F$2487,MATCH(Paramètres!N51,Paramètres!$G$5:$G$57,0)),INDEX($E$2435:$E$2487,MATCH(Paramètres!N51,Paramètres!$G$5:$G$57,0)))+IF(RIGHT(TRIM(Paramètres!O51),3)="Fin",1-$H2481,IF(LEFT(TRIM(Paramètres!O51),1)="F",1,0)))))))</f>
        <v/>
      </c>
      <c r="F2481" s="19">
        <f>IF($A2481="","",E2481+$H2481-1)</f>
        <v/>
      </c>
      <c r="G2481" s="18" t="n"/>
      <c r="H2481" s="18">
        <f>IF($A2481="","",IF(I2481&lt;&gt;"",I2481,Paramètres!B51))</f>
        <v/>
      </c>
      <c r="I2481" s="18" t="n"/>
    </row>
    <row r="2482">
      <c r="A2482" s="18">
        <f>IF(ISNUMBER(Dossiers!$D$49),Dossiers!$A$49&amp;" · "&amp;Dossiers!$B$49,"")</f>
        <v/>
      </c>
      <c r="B2482" s="18">
        <f>IF($A2482="","",Paramètres!G52)</f>
        <v/>
      </c>
      <c r="C2482" s="18">
        <f>IF($A2482="","",IF(Paramètres!H52="","",Paramètres!H52))</f>
        <v/>
      </c>
      <c r="D2482" s="18">
        <f>IF($A2482="","",IF(Paramètres!I52="","",Paramètres!I52))</f>
        <v/>
      </c>
      <c r="E2482" s="19">
        <f>IF($A2482="","",IF(Paramètres!J52&amp;Paramètres!L52&amp;Paramètres!N52="",Dossiers!$D$49,MAX(IF(Paramètres!J52="",0,IF(Paramètres!K52="",NA(),IF(LEFT(TRIM(Paramètres!K52),1)="F",INDEX($F$2435:$F$2487,MATCH(Paramètres!J52,Paramètres!$G$5:$G$57,0)),INDEX($E$2435:$E$2487,MATCH(Paramètres!J52,Paramètres!$G$5:$G$57,0)))+IF(RIGHT(TRIM(Paramètres!K52),3)="Fin",1-$H2482,IF(LEFT(TRIM(Paramètres!K52),1)="F",1,0)))),IF(Paramètres!L52="",0,IF(Paramètres!M52="",NA(),IF(LEFT(TRIM(Paramètres!M52),1)="F",INDEX($F$2435:$F$2487,MATCH(Paramètres!L52,Paramètres!$G$5:$G$57,0)),INDEX($E$2435:$E$2487,MATCH(Paramètres!L52,Paramètres!$G$5:$G$57,0)))+IF(RIGHT(TRIM(Paramètres!M52),3)="Fin",1-$H2482,IF(LEFT(TRIM(Paramètres!M52),1)="F",1,0)))),IF(Paramètres!N52="",0,IF(Paramètres!O52="",NA(),IF(LEFT(TRIM(Paramètres!O52),1)="F",INDEX($F$2435:$F$2487,MATCH(Paramètres!N52,Paramètres!$G$5:$G$57,0)),INDEX($E$2435:$E$2487,MATCH(Paramètres!N52,Paramètres!$G$5:$G$57,0)))+IF(RIGHT(TRIM(Paramètres!O52),3)="Fin",1-$H2482,IF(LEFT(TRIM(Paramètres!O52),1)="F",1,0)))))))</f>
        <v/>
      </c>
      <c r="F2482" s="19">
        <f>IF($A2482="","",E2482+$H2482-1)</f>
        <v/>
      </c>
      <c r="G2482" s="18" t="n"/>
      <c r="H2482" s="18">
        <f>IF($A2482="","",IF(I2482&lt;&gt;"",I2482,Paramètres!B52))</f>
        <v/>
      </c>
      <c r="I2482" s="18" t="n"/>
    </row>
    <row r="2483">
      <c r="A2483" s="18">
        <f>IF(ISNUMBER(Dossiers!$D$49),Dossiers!$A$49&amp;" · "&amp;Dossiers!$B$49,"")</f>
        <v/>
      </c>
      <c r="B2483" s="18">
        <f>IF($A2483="","",Paramètres!G53)</f>
        <v/>
      </c>
      <c r="C2483" s="18">
        <f>IF($A2483="","",IF(Paramètres!H53="","",Paramètres!H53))</f>
        <v/>
      </c>
      <c r="D2483" s="18">
        <f>IF($A2483="","",IF(Paramètres!I53="","",Paramètres!I53))</f>
        <v/>
      </c>
      <c r="E2483" s="19">
        <f>IF($A2483="","",IF(Paramètres!J53&amp;Paramètres!L53&amp;Paramètres!N53="",Dossiers!$D$49,MAX(IF(Paramètres!J53="",0,IF(Paramètres!K53="",NA(),IF(LEFT(TRIM(Paramètres!K53),1)="F",INDEX($F$2435:$F$2487,MATCH(Paramètres!J53,Paramètres!$G$5:$G$57,0)),INDEX($E$2435:$E$2487,MATCH(Paramètres!J53,Paramètres!$G$5:$G$57,0)))+IF(RIGHT(TRIM(Paramètres!K53),3)="Fin",1-$H2483,IF(LEFT(TRIM(Paramètres!K53),1)="F",1,0)))),IF(Paramètres!L53="",0,IF(Paramètres!M53="",NA(),IF(LEFT(TRIM(Paramètres!M53),1)="F",INDEX($F$2435:$F$2487,MATCH(Paramètres!L53,Paramètres!$G$5:$G$57,0)),INDEX($E$2435:$E$2487,MATCH(Paramètres!L53,Paramètres!$G$5:$G$57,0)))+IF(RIGHT(TRIM(Paramètres!M53),3)="Fin",1-$H2483,IF(LEFT(TRIM(Paramètres!M53),1)="F",1,0)))),IF(Paramètres!N53="",0,IF(Paramètres!O53="",NA(),IF(LEFT(TRIM(Paramètres!O53),1)="F",INDEX($F$2435:$F$2487,MATCH(Paramètres!N53,Paramètres!$G$5:$G$57,0)),INDEX($E$2435:$E$2487,MATCH(Paramètres!N53,Paramètres!$G$5:$G$57,0)))+IF(RIGHT(TRIM(Paramètres!O53),3)="Fin",1-$H2483,IF(LEFT(TRIM(Paramètres!O53),1)="F",1,0)))))))</f>
        <v/>
      </c>
      <c r="F2483" s="19">
        <f>IF($A2483="","",E2483+$H2483-1)</f>
        <v/>
      </c>
      <c r="G2483" s="18" t="n"/>
      <c r="H2483" s="18">
        <f>IF($A2483="","",IF(I2483&lt;&gt;"",I2483,Paramètres!B53))</f>
        <v/>
      </c>
      <c r="I2483" s="18" t="n"/>
    </row>
    <row r="2484">
      <c r="A2484" s="18">
        <f>IF(ISNUMBER(Dossiers!$D$49),Dossiers!$A$49&amp;" · "&amp;Dossiers!$B$49,"")</f>
        <v/>
      </c>
      <c r="B2484" s="18">
        <f>IF($A2484="","",Paramètres!G54)</f>
        <v/>
      </c>
      <c r="C2484" s="18">
        <f>IF($A2484="","",IF(Paramètres!H54="","",Paramètres!H54))</f>
        <v/>
      </c>
      <c r="D2484" s="18">
        <f>IF($A2484="","",IF(Paramètres!I54="","",Paramètres!I54))</f>
        <v/>
      </c>
      <c r="E2484" s="19">
        <f>IF($A2484="","",IF(Paramètres!J54&amp;Paramètres!L54&amp;Paramètres!N54="",Dossiers!$D$49,MAX(IF(Paramètres!J54="",0,IF(Paramètres!K54="",NA(),IF(LEFT(TRIM(Paramètres!K54),1)="F",INDEX($F$2435:$F$2487,MATCH(Paramètres!J54,Paramètres!$G$5:$G$57,0)),INDEX($E$2435:$E$2487,MATCH(Paramètres!J54,Paramètres!$G$5:$G$57,0)))+IF(RIGHT(TRIM(Paramètres!K54),3)="Fin",1-$H2484,IF(LEFT(TRIM(Paramètres!K54),1)="F",1,0)))),IF(Paramètres!L54="",0,IF(Paramètres!M54="",NA(),IF(LEFT(TRIM(Paramètres!M54),1)="F",INDEX($F$2435:$F$2487,MATCH(Paramètres!L54,Paramètres!$G$5:$G$57,0)),INDEX($E$2435:$E$2487,MATCH(Paramètres!L54,Paramètres!$G$5:$G$57,0)))+IF(RIGHT(TRIM(Paramètres!M54),3)="Fin",1-$H2484,IF(LEFT(TRIM(Paramètres!M54),1)="F",1,0)))),IF(Paramètres!N54="",0,IF(Paramètres!O54="",NA(),IF(LEFT(TRIM(Paramètres!O54),1)="F",INDEX($F$2435:$F$2487,MATCH(Paramètres!N54,Paramètres!$G$5:$G$57,0)),INDEX($E$2435:$E$2487,MATCH(Paramètres!N54,Paramètres!$G$5:$G$57,0)))+IF(RIGHT(TRIM(Paramètres!O54),3)="Fin",1-$H2484,IF(LEFT(TRIM(Paramètres!O54),1)="F",1,0)))))))</f>
        <v/>
      </c>
      <c r="F2484" s="19">
        <f>IF($A2484="","",E2484+$H2484-1)</f>
        <v/>
      </c>
      <c r="G2484" s="18" t="n"/>
      <c r="H2484" s="18">
        <f>IF($A2484="","",IF(I2484&lt;&gt;"",I2484,Paramètres!B54))</f>
        <v/>
      </c>
      <c r="I2484" s="18" t="n"/>
    </row>
    <row r="2485">
      <c r="A2485" s="18">
        <f>IF(ISNUMBER(Dossiers!$D$49),Dossiers!$A$49&amp;" · "&amp;Dossiers!$B$49,"")</f>
        <v/>
      </c>
      <c r="B2485" s="18">
        <f>IF($A2485="","",Paramètres!G55)</f>
        <v/>
      </c>
      <c r="C2485" s="18">
        <f>IF($A2485="","",IF(Paramètres!H55="","",Paramètres!H55))</f>
        <v/>
      </c>
      <c r="D2485" s="18">
        <f>IF($A2485="","",IF(Paramètres!I55="","",Paramètres!I55))</f>
        <v/>
      </c>
      <c r="E2485" s="19">
        <f>IF($A2485="","",IF(Paramètres!J55&amp;Paramètres!L55&amp;Paramètres!N55="",Dossiers!$D$49,MAX(IF(Paramètres!J55="",0,IF(Paramètres!K55="",NA(),IF(LEFT(TRIM(Paramètres!K55),1)="F",INDEX($F$2435:$F$2487,MATCH(Paramètres!J55,Paramètres!$G$5:$G$57,0)),INDEX($E$2435:$E$2487,MATCH(Paramètres!J55,Paramètres!$G$5:$G$57,0)))+IF(RIGHT(TRIM(Paramètres!K55),3)="Fin",1-$H2485,IF(LEFT(TRIM(Paramètres!K55),1)="F",1,0)))),IF(Paramètres!L55="",0,IF(Paramètres!M55="",NA(),IF(LEFT(TRIM(Paramètres!M55),1)="F",INDEX($F$2435:$F$2487,MATCH(Paramètres!L55,Paramètres!$G$5:$G$57,0)),INDEX($E$2435:$E$2487,MATCH(Paramètres!L55,Paramètres!$G$5:$G$57,0)))+IF(RIGHT(TRIM(Paramètres!M55),3)="Fin",1-$H2485,IF(LEFT(TRIM(Paramètres!M55),1)="F",1,0)))),IF(Paramètres!N55="",0,IF(Paramètres!O55="",NA(),IF(LEFT(TRIM(Paramètres!O55),1)="F",INDEX($F$2435:$F$2487,MATCH(Paramètres!N55,Paramètres!$G$5:$G$57,0)),INDEX($E$2435:$E$2487,MATCH(Paramètres!N55,Paramètres!$G$5:$G$57,0)))+IF(RIGHT(TRIM(Paramètres!O55),3)="Fin",1-$H2485,IF(LEFT(TRIM(Paramètres!O55),1)="F",1,0)))))))</f>
        <v/>
      </c>
      <c r="F2485" s="19">
        <f>IF($A2485="","",E2485+$H2485-1)</f>
        <v/>
      </c>
      <c r="G2485" s="18" t="n"/>
      <c r="H2485" s="18">
        <f>IF($A2485="","",IF(I2485&lt;&gt;"",I2485,Paramètres!B55))</f>
        <v/>
      </c>
      <c r="I2485" s="18" t="n"/>
    </row>
    <row r="2486">
      <c r="A2486" s="18">
        <f>IF(ISNUMBER(Dossiers!$D$49),Dossiers!$A$49&amp;" · "&amp;Dossiers!$B$49,"")</f>
        <v/>
      </c>
      <c r="B2486" s="18">
        <f>IF($A2486="","",Paramètres!G56)</f>
        <v/>
      </c>
      <c r="C2486" s="18">
        <f>IF($A2486="","",IF(Paramètres!H56="","",Paramètres!H56))</f>
        <v/>
      </c>
      <c r="D2486" s="18">
        <f>IF($A2486="","",IF(Paramètres!I56="","",Paramètres!I56))</f>
        <v/>
      </c>
      <c r="E2486" s="19">
        <f>IF($A2486="","",MIN(E2487:E2487))</f>
        <v/>
      </c>
      <c r="F2486" s="19">
        <f>IF($A2486="","",MAX(F2487:F2487))</f>
        <v/>
      </c>
      <c r="G2486" s="18" t="n"/>
      <c r="H2486" s="18">
        <f>IF($A2486="","",F2486-E2486+1)</f>
        <v/>
      </c>
      <c r="I2486" s="18" t="n"/>
    </row>
    <row r="2487">
      <c r="A2487" s="18">
        <f>IF(ISNUMBER(Dossiers!$D$49),Dossiers!$A$49&amp;" · "&amp;Dossiers!$B$49,"")</f>
        <v/>
      </c>
      <c r="B2487" s="18">
        <f>IF($A2487="","",Paramètres!G57)</f>
        <v/>
      </c>
      <c r="C2487" s="18">
        <f>IF($A2487="","",IF(Paramètres!H57="","",Paramètres!H57))</f>
        <v/>
      </c>
      <c r="D2487" s="18">
        <f>IF($A2487="","",IF(Paramètres!I57="","",Paramètres!I57))</f>
        <v/>
      </c>
      <c r="E2487" s="19">
        <f>IF($A2487="","",IF(Paramètres!J57&amp;Paramètres!L57&amp;Paramètres!N57="",Dossiers!$D$49,MAX(IF(Paramètres!J57="",0,IF(Paramètres!K57="",NA(),IF(LEFT(TRIM(Paramètres!K57),1)="F",INDEX($F$2435:$F$2487,MATCH(Paramètres!J57,Paramètres!$G$5:$G$57,0)),INDEX($E$2435:$E$2487,MATCH(Paramètres!J57,Paramètres!$G$5:$G$57,0)))+IF(RIGHT(TRIM(Paramètres!K57),3)="Fin",1-$H2487,IF(LEFT(TRIM(Paramètres!K57),1)="F",1,0)))),IF(Paramètres!L57="",0,IF(Paramètres!M57="",NA(),IF(LEFT(TRIM(Paramètres!M57),1)="F",INDEX($F$2435:$F$2487,MATCH(Paramètres!L57,Paramètres!$G$5:$G$57,0)),INDEX($E$2435:$E$2487,MATCH(Paramètres!L57,Paramètres!$G$5:$G$57,0)))+IF(RIGHT(TRIM(Paramètres!M57),3)="Fin",1-$H2487,IF(LEFT(TRIM(Paramètres!M57),1)="F",1,0)))),IF(Paramètres!N57="",0,IF(Paramètres!O57="",NA(),IF(LEFT(TRIM(Paramètres!O57),1)="F",INDEX($F$2435:$F$2487,MATCH(Paramètres!N57,Paramètres!$G$5:$G$57,0)),INDEX($E$2435:$E$2487,MATCH(Paramètres!N57,Paramètres!$G$5:$G$57,0)))+IF(RIGHT(TRIM(Paramètres!O57),3)="Fin",1-$H2487,IF(LEFT(TRIM(Paramètres!O57),1)="F",1,0)))))))</f>
        <v/>
      </c>
      <c r="F2487" s="19">
        <f>IF($A2487="","",E2487+$H2487-1)</f>
        <v/>
      </c>
      <c r="G2487" s="18" t="n"/>
      <c r="H2487" s="18">
        <f>IF($A2487="","",IF(I2487&lt;&gt;"",I2487,Paramètres!B57))</f>
        <v/>
      </c>
      <c r="I2487" s="18" t="n"/>
    </row>
    <row r="2488">
      <c r="A2488" s="16">
        <f>IF(ISNUMBER(Dossiers!$D$50),Dossiers!$E$50,"")</f>
        <v/>
      </c>
      <c r="B2488" s="16">
        <f>IF($A2488="","","Identifiant")</f>
        <v/>
      </c>
      <c r="C2488" s="16">
        <f>IF($A2488="","","Macro Etape")</f>
        <v/>
      </c>
      <c r="D2488" s="16">
        <f>IF($A2488="","","Etape")</f>
        <v/>
      </c>
      <c r="E2488" s="17">
        <f>IF($A2488="","","Début le")</f>
        <v/>
      </c>
      <c r="F2488" s="17">
        <f>IF($A2488="","","Fin prévue le")</f>
        <v/>
      </c>
      <c r="G2488" s="16">
        <f>IF($A2488="","","Statut")</f>
        <v/>
      </c>
      <c r="H2488" s="16">
        <f>IF($A2488="","","Durée (jours)")</f>
        <v/>
      </c>
      <c r="I2488" s="16">
        <f>IF($A2488="","","Durée particulière")</f>
        <v/>
      </c>
      <c r="J2488" s="10">
        <f>IF($A2488="","",HYPERLINK("#'Tableau de bord'!A1","↑ Tableau de bord"))</f>
        <v/>
      </c>
    </row>
    <row r="2489">
      <c r="A2489" s="18">
        <f>IF(ISNUMBER(Dossiers!$D$50),Dossiers!$A$50&amp;" · "&amp;Dossiers!$B$50,"")</f>
        <v/>
      </c>
      <c r="B2489" s="18">
        <f>IF($A2489="","",Paramètres!G5)</f>
        <v/>
      </c>
      <c r="C2489" s="18">
        <f>IF($A2489="","",IF(Paramètres!H5="","",Paramètres!H5))</f>
        <v/>
      </c>
      <c r="D2489" s="18">
        <f>IF($A2489="","",IF(Paramètres!I5="","",Paramètres!I5))</f>
        <v/>
      </c>
      <c r="E2489" s="19">
        <f>IF($A2489="","",MIN(E2490:E2493))</f>
        <v/>
      </c>
      <c r="F2489" s="19">
        <f>IF($A2489="","",MAX(F2490:F2493))</f>
        <v/>
      </c>
      <c r="G2489" s="18" t="n"/>
      <c r="H2489" s="18">
        <f>IF($A2489="","",F2489-E2489+1)</f>
        <v/>
      </c>
      <c r="I2489" s="18" t="n"/>
    </row>
    <row r="2490">
      <c r="A2490" s="18">
        <f>IF(ISNUMBER(Dossiers!$D$50),Dossiers!$A$50&amp;" · "&amp;Dossiers!$B$50,"")</f>
        <v/>
      </c>
      <c r="B2490" s="18">
        <f>IF($A2490="","",Paramètres!G6)</f>
        <v/>
      </c>
      <c r="C2490" s="18">
        <f>IF($A2490="","",IF(Paramètres!H6="","",Paramètres!H6))</f>
        <v/>
      </c>
      <c r="D2490" s="18">
        <f>IF($A2490="","",IF(Paramètres!I6="","",Paramètres!I6))</f>
        <v/>
      </c>
      <c r="E2490" s="19">
        <f>IF($A2490="","",IF(Paramètres!J6&amp;Paramètres!L6&amp;Paramètres!N6="",Dossiers!$D$50,MAX(IF(Paramètres!J6="",0,IF(Paramètres!K6="",NA(),IF(LEFT(TRIM(Paramètres!K6),1)="F",INDEX($F$2489:$F$2541,MATCH(Paramètres!J6,Paramètres!$G$5:$G$57,0)),INDEX($E$2489:$E$2541,MATCH(Paramètres!J6,Paramètres!$G$5:$G$57,0)))+IF(RIGHT(TRIM(Paramètres!K6),3)="Fin",1-$H2490,IF(LEFT(TRIM(Paramètres!K6),1)="F",1,0)))),IF(Paramètres!L6="",0,IF(Paramètres!M6="",NA(),IF(LEFT(TRIM(Paramètres!M6),1)="F",INDEX($F$2489:$F$2541,MATCH(Paramètres!L6,Paramètres!$G$5:$G$57,0)),INDEX($E$2489:$E$2541,MATCH(Paramètres!L6,Paramètres!$G$5:$G$57,0)))+IF(RIGHT(TRIM(Paramètres!M6),3)="Fin",1-$H2490,IF(LEFT(TRIM(Paramètres!M6),1)="F",1,0)))),IF(Paramètres!N6="",0,IF(Paramètres!O6="",NA(),IF(LEFT(TRIM(Paramètres!O6),1)="F",INDEX($F$2489:$F$2541,MATCH(Paramètres!N6,Paramètres!$G$5:$G$57,0)),INDEX($E$2489:$E$2541,MATCH(Paramètres!N6,Paramètres!$G$5:$G$57,0)))+IF(RIGHT(TRIM(Paramètres!O6),3)="Fin",1-$H2490,IF(LEFT(TRIM(Paramètres!O6),1)="F",1,0)))))))</f>
        <v/>
      </c>
      <c r="F2490" s="19">
        <f>IF($A2490="","",E2490+$H2490-1)</f>
        <v/>
      </c>
      <c r="G2490" s="18" t="n"/>
      <c r="H2490" s="18">
        <f>IF($A2490="","",IF(I2490&lt;&gt;"",I2490,Paramètres!B6))</f>
        <v/>
      </c>
      <c r="I2490" s="18" t="n"/>
    </row>
    <row r="2491">
      <c r="A2491" s="18">
        <f>IF(ISNUMBER(Dossiers!$D$50),Dossiers!$A$50&amp;" · "&amp;Dossiers!$B$50,"")</f>
        <v/>
      </c>
      <c r="B2491" s="18">
        <f>IF($A2491="","",Paramètres!G7)</f>
        <v/>
      </c>
      <c r="C2491" s="18">
        <f>IF($A2491="","",IF(Paramètres!H7="","",Paramètres!H7))</f>
        <v/>
      </c>
      <c r="D2491" s="18">
        <f>IF($A2491="","",IF(Paramètres!I7="","",Paramètres!I7))</f>
        <v/>
      </c>
      <c r="E2491" s="19">
        <f>IF($A2491="","",IF(Paramètres!J7&amp;Paramètres!L7&amp;Paramètres!N7="",Dossiers!$D$50,MAX(IF(Paramètres!J7="",0,IF(Paramètres!K7="",NA(),IF(LEFT(TRIM(Paramètres!K7),1)="F",INDEX($F$2489:$F$2541,MATCH(Paramètres!J7,Paramètres!$G$5:$G$57,0)),INDEX($E$2489:$E$2541,MATCH(Paramètres!J7,Paramètres!$G$5:$G$57,0)))+IF(RIGHT(TRIM(Paramètres!K7),3)="Fin",1-$H2491,IF(LEFT(TRIM(Paramètres!K7),1)="F",1,0)))),IF(Paramètres!L7="",0,IF(Paramètres!M7="",NA(),IF(LEFT(TRIM(Paramètres!M7),1)="F",INDEX($F$2489:$F$2541,MATCH(Paramètres!L7,Paramètres!$G$5:$G$57,0)),INDEX($E$2489:$E$2541,MATCH(Paramètres!L7,Paramètres!$G$5:$G$57,0)))+IF(RIGHT(TRIM(Paramètres!M7),3)="Fin",1-$H2491,IF(LEFT(TRIM(Paramètres!M7),1)="F",1,0)))),IF(Paramètres!N7="",0,IF(Paramètres!O7="",NA(),IF(LEFT(TRIM(Paramètres!O7),1)="F",INDEX($F$2489:$F$2541,MATCH(Paramètres!N7,Paramètres!$G$5:$G$57,0)),INDEX($E$2489:$E$2541,MATCH(Paramètres!N7,Paramètres!$G$5:$G$57,0)))+IF(RIGHT(TRIM(Paramètres!O7),3)="Fin",1-$H2491,IF(LEFT(TRIM(Paramètres!O7),1)="F",1,0)))))))</f>
        <v/>
      </c>
      <c r="F2491" s="19">
        <f>IF($A2491="","",E2491+$H2491-1)</f>
        <v/>
      </c>
      <c r="G2491" s="18" t="n"/>
      <c r="H2491" s="18">
        <f>IF($A2491="","",IF(I2491&lt;&gt;"",I2491,Paramètres!B7))</f>
        <v/>
      </c>
      <c r="I2491" s="18" t="n"/>
    </row>
    <row r="2492">
      <c r="A2492" s="18">
        <f>IF(ISNUMBER(Dossiers!$D$50),Dossiers!$A$50&amp;" · "&amp;Dossiers!$B$50,"")</f>
        <v/>
      </c>
      <c r="B2492" s="18">
        <f>IF($A2492="","",Paramètres!G8)</f>
        <v/>
      </c>
      <c r="C2492" s="18">
        <f>IF($A2492="","",IF(Paramètres!H8="","",Paramètres!H8))</f>
        <v/>
      </c>
      <c r="D2492" s="18">
        <f>IF($A2492="","",IF(Paramètres!I8="","",Paramètres!I8))</f>
        <v/>
      </c>
      <c r="E2492" s="19">
        <f>IF($A2492="","",IF(Paramètres!J8&amp;Paramètres!L8&amp;Paramètres!N8="",Dossiers!$D$50,MAX(IF(Paramètres!J8="",0,IF(Paramètres!K8="",NA(),IF(LEFT(TRIM(Paramètres!K8),1)="F",INDEX($F$2489:$F$2541,MATCH(Paramètres!J8,Paramètres!$G$5:$G$57,0)),INDEX($E$2489:$E$2541,MATCH(Paramètres!J8,Paramètres!$G$5:$G$57,0)))+IF(RIGHT(TRIM(Paramètres!K8),3)="Fin",1-$H2492,IF(LEFT(TRIM(Paramètres!K8),1)="F",1,0)))),IF(Paramètres!L8="",0,IF(Paramètres!M8="",NA(),IF(LEFT(TRIM(Paramètres!M8),1)="F",INDEX($F$2489:$F$2541,MATCH(Paramètres!L8,Paramètres!$G$5:$G$57,0)),INDEX($E$2489:$E$2541,MATCH(Paramètres!L8,Paramètres!$G$5:$G$57,0)))+IF(RIGHT(TRIM(Paramètres!M8),3)="Fin",1-$H2492,IF(LEFT(TRIM(Paramètres!M8),1)="F",1,0)))),IF(Paramètres!N8="",0,IF(Paramètres!O8="",NA(),IF(LEFT(TRIM(Paramètres!O8),1)="F",INDEX($F$2489:$F$2541,MATCH(Paramètres!N8,Paramètres!$G$5:$G$57,0)),INDEX($E$2489:$E$2541,MATCH(Paramètres!N8,Paramètres!$G$5:$G$57,0)))+IF(RIGHT(TRIM(Paramètres!O8),3)="Fin",1-$H2492,IF(LEFT(TRIM(Paramètres!O8),1)="F",1,0)))))))</f>
        <v/>
      </c>
      <c r="F2492" s="19">
        <f>IF($A2492="","",E2492+$H2492-1)</f>
        <v/>
      </c>
      <c r="G2492" s="18" t="n"/>
      <c r="H2492" s="18">
        <f>IF($A2492="","",IF(I2492&lt;&gt;"",I2492,Paramètres!B8))</f>
        <v/>
      </c>
      <c r="I2492" s="18" t="n"/>
    </row>
    <row r="2493">
      <c r="A2493" s="18">
        <f>IF(ISNUMBER(Dossiers!$D$50),Dossiers!$A$50&amp;" · "&amp;Dossiers!$B$50,"")</f>
        <v/>
      </c>
      <c r="B2493" s="18">
        <f>IF($A2493="","",Paramètres!G9)</f>
        <v/>
      </c>
      <c r="C2493" s="18">
        <f>IF($A2493="","",IF(Paramètres!H9="","",Paramètres!H9))</f>
        <v/>
      </c>
      <c r="D2493" s="18">
        <f>IF($A2493="","",IF(Paramètres!I9="","",Paramètres!I9))</f>
        <v/>
      </c>
      <c r="E2493" s="19">
        <f>IF($A2493="","",IF(Paramètres!J9&amp;Paramètres!L9&amp;Paramètres!N9="",Dossiers!$D$50,MAX(IF(Paramètres!J9="",0,IF(Paramètres!K9="",NA(),IF(LEFT(TRIM(Paramètres!K9),1)="F",INDEX($F$2489:$F$2541,MATCH(Paramètres!J9,Paramètres!$G$5:$G$57,0)),INDEX($E$2489:$E$2541,MATCH(Paramètres!J9,Paramètres!$G$5:$G$57,0)))+IF(RIGHT(TRIM(Paramètres!K9),3)="Fin",1-$H2493,IF(LEFT(TRIM(Paramètres!K9),1)="F",1,0)))),IF(Paramètres!L9="",0,IF(Paramètres!M9="",NA(),IF(LEFT(TRIM(Paramètres!M9),1)="F",INDEX($F$2489:$F$2541,MATCH(Paramètres!L9,Paramètres!$G$5:$G$57,0)),INDEX($E$2489:$E$2541,MATCH(Paramètres!L9,Paramètres!$G$5:$G$57,0)))+IF(RIGHT(TRIM(Paramètres!M9),3)="Fin",1-$H2493,IF(LEFT(TRIM(Paramètres!M9),1)="F",1,0)))),IF(Paramètres!N9="",0,IF(Paramètres!O9="",NA(),IF(LEFT(TRIM(Paramètres!O9),1)="F",INDEX($F$2489:$F$2541,MATCH(Paramètres!N9,Paramètres!$G$5:$G$57,0)),INDEX($E$2489:$E$2541,MATCH(Paramètres!N9,Paramètres!$G$5:$G$57,0)))+IF(RIGHT(TRIM(Paramètres!O9),3)="Fin",1-$H2493,IF(LEFT(TRIM(Paramètres!O9),1)="F",1,0)))))))</f>
        <v/>
      </c>
      <c r="F2493" s="19">
        <f>IF($A2493="","",E2493+$H2493-1)</f>
        <v/>
      </c>
      <c r="G2493" s="18" t="n"/>
      <c r="H2493" s="18">
        <f>IF($A2493="","",IF(I2493&lt;&gt;"",I2493,Paramètres!B9))</f>
        <v/>
      </c>
      <c r="I2493" s="18" t="n"/>
    </row>
    <row r="2494">
      <c r="A2494" s="18">
        <f>IF(ISNUMBER(Dossiers!$D$50),Dossiers!$A$50&amp;" · "&amp;Dossiers!$B$50,"")</f>
        <v/>
      </c>
      <c r="B2494" s="18">
        <f>IF($A2494="","",Paramètres!G10)</f>
        <v/>
      </c>
      <c r="C2494" s="18">
        <f>IF($A2494="","",IF(Paramètres!H10="","",Paramètres!H10))</f>
        <v/>
      </c>
      <c r="D2494" s="18">
        <f>IF($A2494="","",IF(Paramètres!I10="","",Paramètres!I10))</f>
        <v/>
      </c>
      <c r="E2494" s="19">
        <f>IF($A2494="","",MIN(E2495:E2498))</f>
        <v/>
      </c>
      <c r="F2494" s="19">
        <f>IF($A2494="","",MAX(F2495:F2498))</f>
        <v/>
      </c>
      <c r="G2494" s="18" t="n"/>
      <c r="H2494" s="18">
        <f>IF($A2494="","",F2494-E2494+1)</f>
        <v/>
      </c>
      <c r="I2494" s="18" t="n"/>
    </row>
    <row r="2495">
      <c r="A2495" s="18">
        <f>IF(ISNUMBER(Dossiers!$D$50),Dossiers!$A$50&amp;" · "&amp;Dossiers!$B$50,"")</f>
        <v/>
      </c>
      <c r="B2495" s="18">
        <f>IF($A2495="","",Paramètres!G11)</f>
        <v/>
      </c>
      <c r="C2495" s="18">
        <f>IF($A2495="","",IF(Paramètres!H11="","",Paramètres!H11))</f>
        <v/>
      </c>
      <c r="D2495" s="18">
        <f>IF($A2495="","",IF(Paramètres!I11="","",Paramètres!I11))</f>
        <v/>
      </c>
      <c r="E2495" s="19">
        <f>IF($A2495="","",IF(Paramètres!J11&amp;Paramètres!L11&amp;Paramètres!N11="",Dossiers!$D$50,MAX(IF(Paramètres!J11="",0,IF(Paramètres!K11="",NA(),IF(LEFT(TRIM(Paramètres!K11),1)="F",INDEX($F$2489:$F$2541,MATCH(Paramètres!J11,Paramètres!$G$5:$G$57,0)),INDEX($E$2489:$E$2541,MATCH(Paramètres!J11,Paramètres!$G$5:$G$57,0)))+IF(RIGHT(TRIM(Paramètres!K11),3)="Fin",1-$H2495,IF(LEFT(TRIM(Paramètres!K11),1)="F",1,0)))),IF(Paramètres!L11="",0,IF(Paramètres!M11="",NA(),IF(LEFT(TRIM(Paramètres!M11),1)="F",INDEX($F$2489:$F$2541,MATCH(Paramètres!L11,Paramètres!$G$5:$G$57,0)),INDEX($E$2489:$E$2541,MATCH(Paramètres!L11,Paramètres!$G$5:$G$57,0)))+IF(RIGHT(TRIM(Paramètres!M11),3)="Fin",1-$H2495,IF(LEFT(TRIM(Paramètres!M11),1)="F",1,0)))),IF(Paramètres!N11="",0,IF(Paramètres!O11="",NA(),IF(LEFT(TRIM(Paramètres!O11),1)="F",INDEX($F$2489:$F$2541,MATCH(Paramètres!N11,Paramètres!$G$5:$G$57,0)),INDEX($E$2489:$E$2541,MATCH(Paramètres!N11,Paramètres!$G$5:$G$57,0)))+IF(RIGHT(TRIM(Paramètres!O11),3)="Fin",1-$H2495,IF(LEFT(TRIM(Paramètres!O11),1)="F",1,0)))))))</f>
        <v/>
      </c>
      <c r="F2495" s="19">
        <f>IF($A2495="","",E2495+$H2495-1)</f>
        <v/>
      </c>
      <c r="G2495" s="18" t="n"/>
      <c r="H2495" s="18">
        <f>IF($A2495="","",IF(I2495&lt;&gt;"",I2495,Paramètres!B11))</f>
        <v/>
      </c>
      <c r="I2495" s="18" t="n"/>
    </row>
    <row r="2496">
      <c r="A2496" s="18">
        <f>IF(ISNUMBER(Dossiers!$D$50),Dossiers!$A$50&amp;" · "&amp;Dossiers!$B$50,"")</f>
        <v/>
      </c>
      <c r="B2496" s="18">
        <f>IF($A2496="","",Paramètres!G12)</f>
        <v/>
      </c>
      <c r="C2496" s="18">
        <f>IF($A2496="","",IF(Paramètres!H12="","",Paramètres!H12))</f>
        <v/>
      </c>
      <c r="D2496" s="18">
        <f>IF($A2496="","",IF(Paramètres!I12="","",Paramètres!I12))</f>
        <v/>
      </c>
      <c r="E2496" s="19">
        <f>IF($A2496="","",IF(Paramètres!J12&amp;Paramètres!L12&amp;Paramètres!N12="",Dossiers!$D$50,MAX(IF(Paramètres!J12="",0,IF(Paramètres!K12="",NA(),IF(LEFT(TRIM(Paramètres!K12),1)="F",INDEX($F$2489:$F$2541,MATCH(Paramètres!J12,Paramètres!$G$5:$G$57,0)),INDEX($E$2489:$E$2541,MATCH(Paramètres!J12,Paramètres!$G$5:$G$57,0)))+IF(RIGHT(TRIM(Paramètres!K12),3)="Fin",1-$H2496,IF(LEFT(TRIM(Paramètres!K12),1)="F",1,0)))),IF(Paramètres!L12="",0,IF(Paramètres!M12="",NA(),IF(LEFT(TRIM(Paramètres!M12),1)="F",INDEX($F$2489:$F$2541,MATCH(Paramètres!L12,Paramètres!$G$5:$G$57,0)),INDEX($E$2489:$E$2541,MATCH(Paramètres!L12,Paramètres!$G$5:$G$57,0)))+IF(RIGHT(TRIM(Paramètres!M12),3)="Fin",1-$H2496,IF(LEFT(TRIM(Paramètres!M12),1)="F",1,0)))),IF(Paramètres!N12="",0,IF(Paramètres!O12="",NA(),IF(LEFT(TRIM(Paramètres!O12),1)="F",INDEX($F$2489:$F$2541,MATCH(Paramètres!N12,Paramètres!$G$5:$G$57,0)),INDEX($E$2489:$E$2541,MATCH(Paramètres!N12,Paramètres!$G$5:$G$57,0)))+IF(RIGHT(TRIM(Paramètres!O12),3)="Fin",1-$H2496,IF(LEFT(TRIM(Paramètres!O12),1)="F",1,0)))))))</f>
        <v/>
      </c>
      <c r="F2496" s="19">
        <f>IF($A2496="","",E2496+$H2496-1)</f>
        <v/>
      </c>
      <c r="G2496" s="18" t="n"/>
      <c r="H2496" s="18">
        <f>IF($A2496="","",IF(I2496&lt;&gt;"",I2496,Paramètres!B12))</f>
        <v/>
      </c>
      <c r="I2496" s="18" t="n"/>
    </row>
    <row r="2497">
      <c r="A2497" s="18">
        <f>IF(ISNUMBER(Dossiers!$D$50),Dossiers!$A$50&amp;" · "&amp;Dossiers!$B$50,"")</f>
        <v/>
      </c>
      <c r="B2497" s="18">
        <f>IF($A2497="","",Paramètres!G13)</f>
        <v/>
      </c>
      <c r="C2497" s="18">
        <f>IF($A2497="","",IF(Paramètres!H13="","",Paramètres!H13))</f>
        <v/>
      </c>
      <c r="D2497" s="18">
        <f>IF($A2497="","",IF(Paramètres!I13="","",Paramètres!I13))</f>
        <v/>
      </c>
      <c r="E2497" s="19">
        <f>IF($A2497="","",IF(Paramètres!J13&amp;Paramètres!L13&amp;Paramètres!N13="",Dossiers!$D$50,MAX(IF(Paramètres!J13="",0,IF(Paramètres!K13="",NA(),IF(LEFT(TRIM(Paramètres!K13),1)="F",INDEX($F$2489:$F$2541,MATCH(Paramètres!J13,Paramètres!$G$5:$G$57,0)),INDEX($E$2489:$E$2541,MATCH(Paramètres!J13,Paramètres!$G$5:$G$57,0)))+IF(RIGHT(TRIM(Paramètres!K13),3)="Fin",1-$H2497,IF(LEFT(TRIM(Paramètres!K13),1)="F",1,0)))),IF(Paramètres!L13="",0,IF(Paramètres!M13="",NA(),IF(LEFT(TRIM(Paramètres!M13),1)="F",INDEX($F$2489:$F$2541,MATCH(Paramètres!L13,Paramètres!$G$5:$G$57,0)),INDEX($E$2489:$E$2541,MATCH(Paramètres!L13,Paramètres!$G$5:$G$57,0)))+IF(RIGHT(TRIM(Paramètres!M13),3)="Fin",1-$H2497,IF(LEFT(TRIM(Paramètres!M13),1)="F",1,0)))),IF(Paramètres!N13="",0,IF(Paramètres!O13="",NA(),IF(LEFT(TRIM(Paramètres!O13),1)="F",INDEX($F$2489:$F$2541,MATCH(Paramètres!N13,Paramètres!$G$5:$G$57,0)),INDEX($E$2489:$E$2541,MATCH(Paramètres!N13,Paramètres!$G$5:$G$57,0)))+IF(RIGHT(TRIM(Paramètres!O13),3)="Fin",1-$H2497,IF(LEFT(TRIM(Paramètres!O13),1)="F",1,0)))))))</f>
        <v/>
      </c>
      <c r="F2497" s="19">
        <f>IF($A2497="","",E2497+$H2497-1)</f>
        <v/>
      </c>
      <c r="G2497" s="18" t="n"/>
      <c r="H2497" s="18">
        <f>IF($A2497="","",IF(I2497&lt;&gt;"",I2497,Paramètres!B13))</f>
        <v/>
      </c>
      <c r="I2497" s="18" t="n"/>
    </row>
    <row r="2498">
      <c r="A2498" s="18">
        <f>IF(ISNUMBER(Dossiers!$D$50),Dossiers!$A$50&amp;" · "&amp;Dossiers!$B$50,"")</f>
        <v/>
      </c>
      <c r="B2498" s="18">
        <f>IF($A2498="","",Paramètres!G14)</f>
        <v/>
      </c>
      <c r="C2498" s="18">
        <f>IF($A2498="","",IF(Paramètres!H14="","",Paramètres!H14))</f>
        <v/>
      </c>
      <c r="D2498" s="18">
        <f>IF($A2498="","",IF(Paramètres!I14="","",Paramètres!I14))</f>
        <v/>
      </c>
      <c r="E2498" s="19">
        <f>IF($A2498="","",IF(Paramètres!J14&amp;Paramètres!L14&amp;Paramètres!N14="",Dossiers!$D$50,MAX(IF(Paramètres!J14="",0,IF(Paramètres!K14="",NA(),IF(LEFT(TRIM(Paramètres!K14),1)="F",INDEX($F$2489:$F$2541,MATCH(Paramètres!J14,Paramètres!$G$5:$G$57,0)),INDEX($E$2489:$E$2541,MATCH(Paramètres!J14,Paramètres!$G$5:$G$57,0)))+IF(RIGHT(TRIM(Paramètres!K14),3)="Fin",1-$H2498,IF(LEFT(TRIM(Paramètres!K14),1)="F",1,0)))),IF(Paramètres!L14="",0,IF(Paramètres!M14="",NA(),IF(LEFT(TRIM(Paramètres!M14),1)="F",INDEX($F$2489:$F$2541,MATCH(Paramètres!L14,Paramètres!$G$5:$G$57,0)),INDEX($E$2489:$E$2541,MATCH(Paramètres!L14,Paramètres!$G$5:$G$57,0)))+IF(RIGHT(TRIM(Paramètres!M14),3)="Fin",1-$H2498,IF(LEFT(TRIM(Paramètres!M14),1)="F",1,0)))),IF(Paramètres!N14="",0,IF(Paramètres!O14="",NA(),IF(LEFT(TRIM(Paramètres!O14),1)="F",INDEX($F$2489:$F$2541,MATCH(Paramètres!N14,Paramètres!$G$5:$G$57,0)),INDEX($E$2489:$E$2541,MATCH(Paramètres!N14,Paramètres!$G$5:$G$57,0)))+IF(RIGHT(TRIM(Paramètres!O14),3)="Fin",1-$H2498,IF(LEFT(TRIM(Paramètres!O14),1)="F",1,0)))))))</f>
        <v/>
      </c>
      <c r="F2498" s="19">
        <f>IF($A2498="","",E2498+$H2498-1)</f>
        <v/>
      </c>
      <c r="G2498" s="18" t="n"/>
      <c r="H2498" s="18">
        <f>IF($A2498="","",IF(I2498&lt;&gt;"",I2498,Paramètres!B14))</f>
        <v/>
      </c>
      <c r="I2498" s="18" t="n"/>
    </row>
    <row r="2499">
      <c r="A2499" s="18">
        <f>IF(ISNUMBER(Dossiers!$D$50),Dossiers!$A$50&amp;" · "&amp;Dossiers!$B$50,"")</f>
        <v/>
      </c>
      <c r="B2499" s="18">
        <f>IF($A2499="","",Paramètres!G15)</f>
        <v/>
      </c>
      <c r="C2499" s="18">
        <f>IF($A2499="","",IF(Paramètres!H15="","",Paramètres!H15))</f>
        <v/>
      </c>
      <c r="D2499" s="18">
        <f>IF($A2499="","",IF(Paramètres!I15="","",Paramètres!I15))</f>
        <v/>
      </c>
      <c r="E2499" s="19">
        <f>IF($A2499="","",MIN(E2500:E2515))</f>
        <v/>
      </c>
      <c r="F2499" s="19">
        <f>IF($A2499="","",MAX(F2500:F2515))</f>
        <v/>
      </c>
      <c r="G2499" s="18" t="n"/>
      <c r="H2499" s="18">
        <f>IF($A2499="","",F2499-E2499+1)</f>
        <v/>
      </c>
      <c r="I2499" s="18" t="n"/>
    </row>
    <row r="2500">
      <c r="A2500" s="18">
        <f>IF(ISNUMBER(Dossiers!$D$50),Dossiers!$A$50&amp;" · "&amp;Dossiers!$B$50,"")</f>
        <v/>
      </c>
      <c r="B2500" s="18">
        <f>IF($A2500="","",Paramètres!G16)</f>
        <v/>
      </c>
      <c r="C2500" s="18">
        <f>IF($A2500="","",IF(Paramètres!H16="","",Paramètres!H16))</f>
        <v/>
      </c>
      <c r="D2500" s="18">
        <f>IF($A2500="","",IF(Paramètres!I16="","",Paramètres!I16))</f>
        <v/>
      </c>
      <c r="E2500" s="19">
        <f>IF($A2500="","",IF(Paramètres!J16&amp;Paramètres!L16&amp;Paramètres!N16="",Dossiers!$D$50,MAX(IF(Paramètres!J16="",0,IF(Paramètres!K16="",NA(),IF(LEFT(TRIM(Paramètres!K16),1)="F",INDEX($F$2489:$F$2541,MATCH(Paramètres!J16,Paramètres!$G$5:$G$57,0)),INDEX($E$2489:$E$2541,MATCH(Paramètres!J16,Paramètres!$G$5:$G$57,0)))+IF(RIGHT(TRIM(Paramètres!K16),3)="Fin",1-$H2500,IF(LEFT(TRIM(Paramètres!K16),1)="F",1,0)))),IF(Paramètres!L16="",0,IF(Paramètres!M16="",NA(),IF(LEFT(TRIM(Paramètres!M16),1)="F",INDEX($F$2489:$F$2541,MATCH(Paramètres!L16,Paramètres!$G$5:$G$57,0)),INDEX($E$2489:$E$2541,MATCH(Paramètres!L16,Paramètres!$G$5:$G$57,0)))+IF(RIGHT(TRIM(Paramètres!M16),3)="Fin",1-$H2500,IF(LEFT(TRIM(Paramètres!M16),1)="F",1,0)))),IF(Paramètres!N16="",0,IF(Paramètres!O16="",NA(),IF(LEFT(TRIM(Paramètres!O16),1)="F",INDEX($F$2489:$F$2541,MATCH(Paramètres!N16,Paramètres!$G$5:$G$57,0)),INDEX($E$2489:$E$2541,MATCH(Paramètres!N16,Paramètres!$G$5:$G$57,0)))+IF(RIGHT(TRIM(Paramètres!O16),3)="Fin",1-$H2500,IF(LEFT(TRIM(Paramètres!O16),1)="F",1,0)))))))</f>
        <v/>
      </c>
      <c r="F2500" s="19">
        <f>IF($A2500="","",E2500+$H2500-1)</f>
        <v/>
      </c>
      <c r="G2500" s="18" t="n"/>
      <c r="H2500" s="18">
        <f>IF($A2500="","",IF(I2500&lt;&gt;"",I2500,Paramètres!B16))</f>
        <v/>
      </c>
      <c r="I2500" s="18" t="n"/>
    </row>
    <row r="2501">
      <c r="A2501" s="18">
        <f>IF(ISNUMBER(Dossiers!$D$50),Dossiers!$A$50&amp;" · "&amp;Dossiers!$B$50,"")</f>
        <v/>
      </c>
      <c r="B2501" s="18">
        <f>IF($A2501="","",Paramètres!G17)</f>
        <v/>
      </c>
      <c r="C2501" s="18">
        <f>IF($A2501="","",IF(Paramètres!H17="","",Paramètres!H17))</f>
        <v/>
      </c>
      <c r="D2501" s="18">
        <f>IF($A2501="","",IF(Paramètres!I17="","",Paramètres!I17))</f>
        <v/>
      </c>
      <c r="E2501" s="19">
        <f>IF($A2501="","",IF(Paramètres!J17&amp;Paramètres!L17&amp;Paramètres!N17="",Dossiers!$D$50,MAX(IF(Paramètres!J17="",0,IF(Paramètres!K17="",NA(),IF(LEFT(TRIM(Paramètres!K17),1)="F",INDEX($F$2489:$F$2541,MATCH(Paramètres!J17,Paramètres!$G$5:$G$57,0)),INDEX($E$2489:$E$2541,MATCH(Paramètres!J17,Paramètres!$G$5:$G$57,0)))+IF(RIGHT(TRIM(Paramètres!K17),3)="Fin",1-$H2501,IF(LEFT(TRIM(Paramètres!K17),1)="F",1,0)))),IF(Paramètres!L17="",0,IF(Paramètres!M17="",NA(),IF(LEFT(TRIM(Paramètres!M17),1)="F",INDEX($F$2489:$F$2541,MATCH(Paramètres!L17,Paramètres!$G$5:$G$57,0)),INDEX($E$2489:$E$2541,MATCH(Paramètres!L17,Paramètres!$G$5:$G$57,0)))+IF(RIGHT(TRIM(Paramètres!M17),3)="Fin",1-$H2501,IF(LEFT(TRIM(Paramètres!M17),1)="F",1,0)))),IF(Paramètres!N17="",0,IF(Paramètres!O17="",NA(),IF(LEFT(TRIM(Paramètres!O17),1)="F",INDEX($F$2489:$F$2541,MATCH(Paramètres!N17,Paramètres!$G$5:$G$57,0)),INDEX($E$2489:$E$2541,MATCH(Paramètres!N17,Paramètres!$G$5:$G$57,0)))+IF(RIGHT(TRIM(Paramètres!O17),3)="Fin",1-$H2501,IF(LEFT(TRIM(Paramètres!O17),1)="F",1,0)))))))</f>
        <v/>
      </c>
      <c r="F2501" s="19">
        <f>IF($A2501="","",E2501+$H2501-1)</f>
        <v/>
      </c>
      <c r="G2501" s="18" t="n"/>
      <c r="H2501" s="18">
        <f>IF($A2501="","",IF(I2501&lt;&gt;"",I2501,Paramètres!B17))</f>
        <v/>
      </c>
      <c r="I2501" s="18" t="n"/>
    </row>
    <row r="2502">
      <c r="A2502" s="18">
        <f>IF(ISNUMBER(Dossiers!$D$50),Dossiers!$A$50&amp;" · "&amp;Dossiers!$B$50,"")</f>
        <v/>
      </c>
      <c r="B2502" s="18">
        <f>IF($A2502="","",Paramètres!G18)</f>
        <v/>
      </c>
      <c r="C2502" s="18">
        <f>IF($A2502="","",IF(Paramètres!H18="","",Paramètres!H18))</f>
        <v/>
      </c>
      <c r="D2502" s="18">
        <f>IF($A2502="","",IF(Paramètres!I18="","",Paramètres!I18))</f>
        <v/>
      </c>
      <c r="E2502" s="19">
        <f>IF($A2502="","",IF(Paramètres!J18&amp;Paramètres!L18&amp;Paramètres!N18="",Dossiers!$D$50,MAX(IF(Paramètres!J18="",0,IF(Paramètres!K18="",NA(),IF(LEFT(TRIM(Paramètres!K18),1)="F",INDEX($F$2489:$F$2541,MATCH(Paramètres!J18,Paramètres!$G$5:$G$57,0)),INDEX($E$2489:$E$2541,MATCH(Paramètres!J18,Paramètres!$G$5:$G$57,0)))+IF(RIGHT(TRIM(Paramètres!K18),3)="Fin",1-$H2502,IF(LEFT(TRIM(Paramètres!K18),1)="F",1,0)))),IF(Paramètres!L18="",0,IF(Paramètres!M18="",NA(),IF(LEFT(TRIM(Paramètres!M18),1)="F",INDEX($F$2489:$F$2541,MATCH(Paramètres!L18,Paramètres!$G$5:$G$57,0)),INDEX($E$2489:$E$2541,MATCH(Paramètres!L18,Paramètres!$G$5:$G$57,0)))+IF(RIGHT(TRIM(Paramètres!M18),3)="Fin",1-$H2502,IF(LEFT(TRIM(Paramètres!M18),1)="F",1,0)))),IF(Paramètres!N18="",0,IF(Paramètres!O18="",NA(),IF(LEFT(TRIM(Paramètres!O18),1)="F",INDEX($F$2489:$F$2541,MATCH(Paramètres!N18,Paramètres!$G$5:$G$57,0)),INDEX($E$2489:$E$2541,MATCH(Paramètres!N18,Paramètres!$G$5:$G$57,0)))+IF(RIGHT(TRIM(Paramètres!O18),3)="Fin",1-$H2502,IF(LEFT(TRIM(Paramètres!O18),1)="F",1,0)))))))</f>
        <v/>
      </c>
      <c r="F2502" s="19">
        <f>IF($A2502="","",E2502+$H2502-1)</f>
        <v/>
      </c>
      <c r="G2502" s="18" t="n"/>
      <c r="H2502" s="18">
        <f>IF($A2502="","",IF(I2502&lt;&gt;"",I2502,Paramètres!B18))</f>
        <v/>
      </c>
      <c r="I2502" s="18" t="n"/>
    </row>
    <row r="2503">
      <c r="A2503" s="18">
        <f>IF(ISNUMBER(Dossiers!$D$50),Dossiers!$A$50&amp;" · "&amp;Dossiers!$B$50,"")</f>
        <v/>
      </c>
      <c r="B2503" s="18">
        <f>IF($A2503="","",Paramètres!G19)</f>
        <v/>
      </c>
      <c r="C2503" s="18">
        <f>IF($A2503="","",IF(Paramètres!H19="","",Paramètres!H19))</f>
        <v/>
      </c>
      <c r="D2503" s="18">
        <f>IF($A2503="","",IF(Paramètres!I19="","",Paramètres!I19))</f>
        <v/>
      </c>
      <c r="E2503" s="19">
        <f>IF($A2503="","",IF(Paramètres!J19&amp;Paramètres!L19&amp;Paramètres!N19="",Dossiers!$D$50,MAX(IF(Paramètres!J19="",0,IF(Paramètres!K19="",NA(),IF(LEFT(TRIM(Paramètres!K19),1)="F",INDEX($F$2489:$F$2541,MATCH(Paramètres!J19,Paramètres!$G$5:$G$57,0)),INDEX($E$2489:$E$2541,MATCH(Paramètres!J19,Paramètres!$G$5:$G$57,0)))+IF(RIGHT(TRIM(Paramètres!K19),3)="Fin",1-$H2503,IF(LEFT(TRIM(Paramètres!K19),1)="F",1,0)))),IF(Paramètres!L19="",0,IF(Paramètres!M19="",NA(),IF(LEFT(TRIM(Paramètres!M19),1)="F",INDEX($F$2489:$F$2541,MATCH(Paramètres!L19,Paramètres!$G$5:$G$57,0)),INDEX($E$2489:$E$2541,MATCH(Paramètres!L19,Paramètres!$G$5:$G$57,0)))+IF(RIGHT(TRIM(Paramètres!M19),3)="Fin",1-$H2503,IF(LEFT(TRIM(Paramètres!M19),1)="F",1,0)))),IF(Paramètres!N19="",0,IF(Paramètres!O19="",NA(),IF(LEFT(TRIM(Paramètres!O19),1)="F",INDEX($F$2489:$F$2541,MATCH(Paramètres!N19,Paramètres!$G$5:$G$57,0)),INDEX($E$2489:$E$2541,MATCH(Paramètres!N19,Paramètres!$G$5:$G$57,0)))+IF(RIGHT(TRIM(Paramètres!O19),3)="Fin",1-$H2503,IF(LEFT(TRIM(Paramètres!O19),1)="F",1,0)))))))</f>
        <v/>
      </c>
      <c r="F2503" s="19">
        <f>IF($A2503="","",E2503+$H2503-1)</f>
        <v/>
      </c>
      <c r="G2503" s="18" t="n"/>
      <c r="H2503" s="18">
        <f>IF($A2503="","",IF(I2503&lt;&gt;"",I2503,Paramètres!B19))</f>
        <v/>
      </c>
      <c r="I2503" s="18" t="n"/>
    </row>
    <row r="2504">
      <c r="A2504" s="18">
        <f>IF(ISNUMBER(Dossiers!$D$50),Dossiers!$A$50&amp;" · "&amp;Dossiers!$B$50,"")</f>
        <v/>
      </c>
      <c r="B2504" s="18">
        <f>IF($A2504="","",Paramètres!G20)</f>
        <v/>
      </c>
      <c r="C2504" s="18">
        <f>IF($A2504="","",IF(Paramètres!H20="","",Paramètres!H20))</f>
        <v/>
      </c>
      <c r="D2504" s="18">
        <f>IF($A2504="","",IF(Paramètres!I20="","",Paramètres!I20))</f>
        <v/>
      </c>
      <c r="E2504" s="19">
        <f>IF($A2504="","",IF(Paramètres!J20&amp;Paramètres!L20&amp;Paramètres!N20="",Dossiers!$D$50,MAX(IF(Paramètres!J20="",0,IF(Paramètres!K20="",NA(),IF(LEFT(TRIM(Paramètres!K20),1)="F",INDEX($F$2489:$F$2541,MATCH(Paramètres!J20,Paramètres!$G$5:$G$57,0)),INDEX($E$2489:$E$2541,MATCH(Paramètres!J20,Paramètres!$G$5:$G$57,0)))+IF(RIGHT(TRIM(Paramètres!K20),3)="Fin",1-$H2504,IF(LEFT(TRIM(Paramètres!K20),1)="F",1,0)))),IF(Paramètres!L20="",0,IF(Paramètres!M20="",NA(),IF(LEFT(TRIM(Paramètres!M20),1)="F",INDEX($F$2489:$F$2541,MATCH(Paramètres!L20,Paramètres!$G$5:$G$57,0)),INDEX($E$2489:$E$2541,MATCH(Paramètres!L20,Paramètres!$G$5:$G$57,0)))+IF(RIGHT(TRIM(Paramètres!M20),3)="Fin",1-$H2504,IF(LEFT(TRIM(Paramètres!M20),1)="F",1,0)))),IF(Paramètres!N20="",0,IF(Paramètres!O20="",NA(),IF(LEFT(TRIM(Paramètres!O20),1)="F",INDEX($F$2489:$F$2541,MATCH(Paramètres!N20,Paramètres!$G$5:$G$57,0)),INDEX($E$2489:$E$2541,MATCH(Paramètres!N20,Paramètres!$G$5:$G$57,0)))+IF(RIGHT(TRIM(Paramètres!O20),3)="Fin",1-$H2504,IF(LEFT(TRIM(Paramètres!O20),1)="F",1,0)))))))</f>
        <v/>
      </c>
      <c r="F2504" s="19">
        <f>IF($A2504="","",E2504+$H2504-1)</f>
        <v/>
      </c>
      <c r="G2504" s="18" t="n"/>
      <c r="H2504" s="18">
        <f>IF($A2504="","",IF(I2504&lt;&gt;"",I2504,Paramètres!B20))</f>
        <v/>
      </c>
      <c r="I2504" s="18" t="n"/>
    </row>
    <row r="2505">
      <c r="A2505" s="18">
        <f>IF(ISNUMBER(Dossiers!$D$50),Dossiers!$A$50&amp;" · "&amp;Dossiers!$B$50,"")</f>
        <v/>
      </c>
      <c r="B2505" s="18">
        <f>IF($A2505="","",Paramètres!G21)</f>
        <v/>
      </c>
      <c r="C2505" s="18">
        <f>IF($A2505="","",IF(Paramètres!H21="","",Paramètres!H21))</f>
        <v/>
      </c>
      <c r="D2505" s="18">
        <f>IF($A2505="","",IF(Paramètres!I21="","",Paramètres!I21))</f>
        <v/>
      </c>
      <c r="E2505" s="19">
        <f>IF($A2505="","",IF(Paramètres!J21&amp;Paramètres!L21&amp;Paramètres!N21="",Dossiers!$D$50,MAX(IF(Paramètres!J21="",0,IF(Paramètres!K21="",NA(),IF(LEFT(TRIM(Paramètres!K21),1)="F",INDEX($F$2489:$F$2541,MATCH(Paramètres!J21,Paramètres!$G$5:$G$57,0)),INDEX($E$2489:$E$2541,MATCH(Paramètres!J21,Paramètres!$G$5:$G$57,0)))+IF(RIGHT(TRIM(Paramètres!K21),3)="Fin",1-$H2505,IF(LEFT(TRIM(Paramètres!K21),1)="F",1,0)))),IF(Paramètres!L21="",0,IF(Paramètres!M21="",NA(),IF(LEFT(TRIM(Paramètres!M21),1)="F",INDEX($F$2489:$F$2541,MATCH(Paramètres!L21,Paramètres!$G$5:$G$57,0)),INDEX($E$2489:$E$2541,MATCH(Paramètres!L21,Paramètres!$G$5:$G$57,0)))+IF(RIGHT(TRIM(Paramètres!M21),3)="Fin",1-$H2505,IF(LEFT(TRIM(Paramètres!M21),1)="F",1,0)))),IF(Paramètres!N21="",0,IF(Paramètres!O21="",NA(),IF(LEFT(TRIM(Paramètres!O21),1)="F",INDEX($F$2489:$F$2541,MATCH(Paramètres!N21,Paramètres!$G$5:$G$57,0)),INDEX($E$2489:$E$2541,MATCH(Paramètres!N21,Paramètres!$G$5:$G$57,0)))+IF(RIGHT(TRIM(Paramètres!O21),3)="Fin",1-$H2505,IF(LEFT(TRIM(Paramètres!O21),1)="F",1,0)))))))</f>
        <v/>
      </c>
      <c r="F2505" s="19">
        <f>IF($A2505="","",E2505+$H2505-1)</f>
        <v/>
      </c>
      <c r="G2505" s="18" t="n"/>
      <c r="H2505" s="18">
        <f>IF($A2505="","",IF(I2505&lt;&gt;"",I2505,Paramètres!B21))</f>
        <v/>
      </c>
      <c r="I2505" s="18" t="n"/>
    </row>
    <row r="2506">
      <c r="A2506" s="18">
        <f>IF(ISNUMBER(Dossiers!$D$50),Dossiers!$A$50&amp;" · "&amp;Dossiers!$B$50,"")</f>
        <v/>
      </c>
      <c r="B2506" s="18">
        <f>IF($A2506="","",Paramètres!G22)</f>
        <v/>
      </c>
      <c r="C2506" s="18">
        <f>IF($A2506="","",IF(Paramètres!H22="","",Paramètres!H22))</f>
        <v/>
      </c>
      <c r="D2506" s="18">
        <f>IF($A2506="","",IF(Paramètres!I22="","",Paramètres!I22))</f>
        <v/>
      </c>
      <c r="E2506" s="19">
        <f>IF($A2506="","",IF(Paramètres!J22&amp;Paramètres!L22&amp;Paramètres!N22="",Dossiers!$D$50,MAX(IF(Paramètres!J22="",0,IF(Paramètres!K22="",NA(),IF(LEFT(TRIM(Paramètres!K22),1)="F",INDEX($F$2489:$F$2541,MATCH(Paramètres!J22,Paramètres!$G$5:$G$57,0)),INDEX($E$2489:$E$2541,MATCH(Paramètres!J22,Paramètres!$G$5:$G$57,0)))+IF(RIGHT(TRIM(Paramètres!K22),3)="Fin",1-$H2506,IF(LEFT(TRIM(Paramètres!K22),1)="F",1,0)))),IF(Paramètres!L22="",0,IF(Paramètres!M22="",NA(),IF(LEFT(TRIM(Paramètres!M22),1)="F",INDEX($F$2489:$F$2541,MATCH(Paramètres!L22,Paramètres!$G$5:$G$57,0)),INDEX($E$2489:$E$2541,MATCH(Paramètres!L22,Paramètres!$G$5:$G$57,0)))+IF(RIGHT(TRIM(Paramètres!M22),3)="Fin",1-$H2506,IF(LEFT(TRIM(Paramètres!M22),1)="F",1,0)))),IF(Paramètres!N22="",0,IF(Paramètres!O22="",NA(),IF(LEFT(TRIM(Paramètres!O22),1)="F",INDEX($F$2489:$F$2541,MATCH(Paramètres!N22,Paramètres!$G$5:$G$57,0)),INDEX($E$2489:$E$2541,MATCH(Paramètres!N22,Paramètres!$G$5:$G$57,0)))+IF(RIGHT(TRIM(Paramètres!O22),3)="Fin",1-$H2506,IF(LEFT(TRIM(Paramètres!O22),1)="F",1,0)))))))</f>
        <v/>
      </c>
      <c r="F2506" s="19">
        <f>IF($A2506="","",E2506+$H2506-1)</f>
        <v/>
      </c>
      <c r="G2506" s="18" t="n"/>
      <c r="H2506" s="18">
        <f>IF($A2506="","",IF(I2506&lt;&gt;"",I2506,Paramètres!B22))</f>
        <v/>
      </c>
      <c r="I2506" s="18" t="n"/>
    </row>
    <row r="2507">
      <c r="A2507" s="18">
        <f>IF(ISNUMBER(Dossiers!$D$50),Dossiers!$A$50&amp;" · "&amp;Dossiers!$B$50,"")</f>
        <v/>
      </c>
      <c r="B2507" s="18">
        <f>IF($A2507="","",Paramètres!G23)</f>
        <v/>
      </c>
      <c r="C2507" s="18">
        <f>IF($A2507="","",IF(Paramètres!H23="","",Paramètres!H23))</f>
        <v/>
      </c>
      <c r="D2507" s="18">
        <f>IF($A2507="","",IF(Paramètres!I23="","",Paramètres!I23))</f>
        <v/>
      </c>
      <c r="E2507" s="19">
        <f>IF($A2507="","",IF(Paramètres!J23&amp;Paramètres!L23&amp;Paramètres!N23="",Dossiers!$D$50,MAX(IF(Paramètres!J23="",0,IF(Paramètres!K23="",NA(),IF(LEFT(TRIM(Paramètres!K23),1)="F",INDEX($F$2489:$F$2541,MATCH(Paramètres!J23,Paramètres!$G$5:$G$57,0)),INDEX($E$2489:$E$2541,MATCH(Paramètres!J23,Paramètres!$G$5:$G$57,0)))+IF(RIGHT(TRIM(Paramètres!K23),3)="Fin",1-$H2507,IF(LEFT(TRIM(Paramètres!K23),1)="F",1,0)))),IF(Paramètres!L23="",0,IF(Paramètres!M23="",NA(),IF(LEFT(TRIM(Paramètres!M23),1)="F",INDEX($F$2489:$F$2541,MATCH(Paramètres!L23,Paramètres!$G$5:$G$57,0)),INDEX($E$2489:$E$2541,MATCH(Paramètres!L23,Paramètres!$G$5:$G$57,0)))+IF(RIGHT(TRIM(Paramètres!M23),3)="Fin",1-$H2507,IF(LEFT(TRIM(Paramètres!M23),1)="F",1,0)))),IF(Paramètres!N23="",0,IF(Paramètres!O23="",NA(),IF(LEFT(TRIM(Paramètres!O23),1)="F",INDEX($F$2489:$F$2541,MATCH(Paramètres!N23,Paramètres!$G$5:$G$57,0)),INDEX($E$2489:$E$2541,MATCH(Paramètres!N23,Paramètres!$G$5:$G$57,0)))+IF(RIGHT(TRIM(Paramètres!O23),3)="Fin",1-$H2507,IF(LEFT(TRIM(Paramètres!O23),1)="F",1,0)))))))</f>
        <v/>
      </c>
      <c r="F2507" s="19">
        <f>IF($A2507="","",E2507+$H2507-1)</f>
        <v/>
      </c>
      <c r="G2507" s="18" t="n"/>
      <c r="H2507" s="18">
        <f>IF($A2507="","",IF(I2507&lt;&gt;"",I2507,Paramètres!B23))</f>
        <v/>
      </c>
      <c r="I2507" s="18" t="n"/>
    </row>
    <row r="2508">
      <c r="A2508" s="18">
        <f>IF(ISNUMBER(Dossiers!$D$50),Dossiers!$A$50&amp;" · "&amp;Dossiers!$B$50,"")</f>
        <v/>
      </c>
      <c r="B2508" s="18">
        <f>IF($A2508="","",Paramètres!G24)</f>
        <v/>
      </c>
      <c r="C2508" s="18">
        <f>IF($A2508="","",IF(Paramètres!H24="","",Paramètres!H24))</f>
        <v/>
      </c>
      <c r="D2508" s="18">
        <f>IF($A2508="","",IF(Paramètres!I24="","",Paramètres!I24))</f>
        <v/>
      </c>
      <c r="E2508" s="19">
        <f>IF($A2508="","",IF(Paramètres!J24&amp;Paramètres!L24&amp;Paramètres!N24="",Dossiers!$D$50,MAX(IF(Paramètres!J24="",0,IF(Paramètres!K24="",NA(),IF(LEFT(TRIM(Paramètres!K24),1)="F",INDEX($F$2489:$F$2541,MATCH(Paramètres!J24,Paramètres!$G$5:$G$57,0)),INDEX($E$2489:$E$2541,MATCH(Paramètres!J24,Paramètres!$G$5:$G$57,0)))+IF(RIGHT(TRIM(Paramètres!K24),3)="Fin",1-$H2508,IF(LEFT(TRIM(Paramètres!K24),1)="F",1,0)))),IF(Paramètres!L24="",0,IF(Paramètres!M24="",NA(),IF(LEFT(TRIM(Paramètres!M24),1)="F",INDEX($F$2489:$F$2541,MATCH(Paramètres!L24,Paramètres!$G$5:$G$57,0)),INDEX($E$2489:$E$2541,MATCH(Paramètres!L24,Paramètres!$G$5:$G$57,0)))+IF(RIGHT(TRIM(Paramètres!M24),3)="Fin",1-$H2508,IF(LEFT(TRIM(Paramètres!M24),1)="F",1,0)))),IF(Paramètres!N24="",0,IF(Paramètres!O24="",NA(),IF(LEFT(TRIM(Paramètres!O24),1)="F",INDEX($F$2489:$F$2541,MATCH(Paramètres!N24,Paramètres!$G$5:$G$57,0)),INDEX($E$2489:$E$2541,MATCH(Paramètres!N24,Paramètres!$G$5:$G$57,0)))+IF(RIGHT(TRIM(Paramètres!O24),3)="Fin",1-$H2508,IF(LEFT(TRIM(Paramètres!O24),1)="F",1,0)))))))</f>
        <v/>
      </c>
      <c r="F2508" s="19">
        <f>IF($A2508="","",E2508+$H2508-1)</f>
        <v/>
      </c>
      <c r="G2508" s="18" t="n"/>
      <c r="H2508" s="18">
        <f>IF($A2508="","",IF(I2508&lt;&gt;"",I2508,Paramètres!B24))</f>
        <v/>
      </c>
      <c r="I2508" s="18" t="n"/>
    </row>
    <row r="2509">
      <c r="A2509" s="18">
        <f>IF(ISNUMBER(Dossiers!$D$50),Dossiers!$A$50&amp;" · "&amp;Dossiers!$B$50,"")</f>
        <v/>
      </c>
      <c r="B2509" s="18">
        <f>IF($A2509="","",Paramètres!G25)</f>
        <v/>
      </c>
      <c r="C2509" s="18">
        <f>IF($A2509="","",IF(Paramètres!H25="","",Paramètres!H25))</f>
        <v/>
      </c>
      <c r="D2509" s="18">
        <f>IF($A2509="","",IF(Paramètres!I25="","",Paramètres!I25))</f>
        <v/>
      </c>
      <c r="E2509" s="19">
        <f>IF($A2509="","",IF(Paramètres!J25&amp;Paramètres!L25&amp;Paramètres!N25="",Dossiers!$D$50,MAX(IF(Paramètres!J25="",0,IF(Paramètres!K25="",NA(),IF(LEFT(TRIM(Paramètres!K25),1)="F",INDEX($F$2489:$F$2541,MATCH(Paramètres!J25,Paramètres!$G$5:$G$57,0)),INDEX($E$2489:$E$2541,MATCH(Paramètres!J25,Paramètres!$G$5:$G$57,0)))+IF(RIGHT(TRIM(Paramètres!K25),3)="Fin",1-$H2509,IF(LEFT(TRIM(Paramètres!K25),1)="F",1,0)))),IF(Paramètres!L25="",0,IF(Paramètres!M25="",NA(),IF(LEFT(TRIM(Paramètres!M25),1)="F",INDEX($F$2489:$F$2541,MATCH(Paramètres!L25,Paramètres!$G$5:$G$57,0)),INDEX($E$2489:$E$2541,MATCH(Paramètres!L25,Paramètres!$G$5:$G$57,0)))+IF(RIGHT(TRIM(Paramètres!M25),3)="Fin",1-$H2509,IF(LEFT(TRIM(Paramètres!M25),1)="F",1,0)))),IF(Paramètres!N25="",0,IF(Paramètres!O25="",NA(),IF(LEFT(TRIM(Paramètres!O25),1)="F",INDEX($F$2489:$F$2541,MATCH(Paramètres!N25,Paramètres!$G$5:$G$57,0)),INDEX($E$2489:$E$2541,MATCH(Paramètres!N25,Paramètres!$G$5:$G$57,0)))+IF(RIGHT(TRIM(Paramètres!O25),3)="Fin",1-$H2509,IF(LEFT(TRIM(Paramètres!O25),1)="F",1,0)))))))</f>
        <v/>
      </c>
      <c r="F2509" s="19">
        <f>IF($A2509="","",E2509+$H2509-1)</f>
        <v/>
      </c>
      <c r="G2509" s="18" t="n"/>
      <c r="H2509" s="18">
        <f>IF($A2509="","",IF(I2509&lt;&gt;"",I2509,Paramètres!B25))</f>
        <v/>
      </c>
      <c r="I2509" s="18" t="n"/>
    </row>
    <row r="2510">
      <c r="A2510" s="18">
        <f>IF(ISNUMBER(Dossiers!$D$50),Dossiers!$A$50&amp;" · "&amp;Dossiers!$B$50,"")</f>
        <v/>
      </c>
      <c r="B2510" s="18">
        <f>IF($A2510="","",Paramètres!G26)</f>
        <v/>
      </c>
      <c r="C2510" s="18">
        <f>IF($A2510="","",IF(Paramètres!H26="","",Paramètres!H26))</f>
        <v/>
      </c>
      <c r="D2510" s="18">
        <f>IF($A2510="","",IF(Paramètres!I26="","",Paramètres!I26))</f>
        <v/>
      </c>
      <c r="E2510" s="19">
        <f>IF($A2510="","",IF(Paramètres!J26&amp;Paramètres!L26&amp;Paramètres!N26="",Dossiers!$D$50,MAX(IF(Paramètres!J26="",0,IF(Paramètres!K26="",NA(),IF(LEFT(TRIM(Paramètres!K26),1)="F",INDEX($F$2489:$F$2541,MATCH(Paramètres!J26,Paramètres!$G$5:$G$57,0)),INDEX($E$2489:$E$2541,MATCH(Paramètres!J26,Paramètres!$G$5:$G$57,0)))+IF(RIGHT(TRIM(Paramètres!K26),3)="Fin",1-$H2510,IF(LEFT(TRIM(Paramètres!K26),1)="F",1,0)))),IF(Paramètres!L26="",0,IF(Paramètres!M26="",NA(),IF(LEFT(TRIM(Paramètres!M26),1)="F",INDEX($F$2489:$F$2541,MATCH(Paramètres!L26,Paramètres!$G$5:$G$57,0)),INDEX($E$2489:$E$2541,MATCH(Paramètres!L26,Paramètres!$G$5:$G$57,0)))+IF(RIGHT(TRIM(Paramètres!M26),3)="Fin",1-$H2510,IF(LEFT(TRIM(Paramètres!M26),1)="F",1,0)))),IF(Paramètres!N26="",0,IF(Paramètres!O26="",NA(),IF(LEFT(TRIM(Paramètres!O26),1)="F",INDEX($F$2489:$F$2541,MATCH(Paramètres!N26,Paramètres!$G$5:$G$57,0)),INDEX($E$2489:$E$2541,MATCH(Paramètres!N26,Paramètres!$G$5:$G$57,0)))+IF(RIGHT(TRIM(Paramètres!O26),3)="Fin",1-$H2510,IF(LEFT(TRIM(Paramètres!O26),1)="F",1,0)))))))</f>
        <v/>
      </c>
      <c r="F2510" s="19">
        <f>IF($A2510="","",E2510+$H2510-1)</f>
        <v/>
      </c>
      <c r="G2510" s="18" t="n"/>
      <c r="H2510" s="18">
        <f>IF($A2510="","",IF(I2510&lt;&gt;"",I2510,Paramètres!B26))</f>
        <v/>
      </c>
      <c r="I2510" s="18" t="n"/>
    </row>
    <row r="2511">
      <c r="A2511" s="18">
        <f>IF(ISNUMBER(Dossiers!$D$50),Dossiers!$A$50&amp;" · "&amp;Dossiers!$B$50,"")</f>
        <v/>
      </c>
      <c r="B2511" s="18">
        <f>IF($A2511="","",Paramètres!G27)</f>
        <v/>
      </c>
      <c r="C2511" s="18">
        <f>IF($A2511="","",IF(Paramètres!H27="","",Paramètres!H27))</f>
        <v/>
      </c>
      <c r="D2511" s="18">
        <f>IF($A2511="","",IF(Paramètres!I27="","",Paramètres!I27))</f>
        <v/>
      </c>
      <c r="E2511" s="19">
        <f>IF($A2511="","",IF(Paramètres!J27&amp;Paramètres!L27&amp;Paramètres!N27="",Dossiers!$D$50,MAX(IF(Paramètres!J27="",0,IF(Paramètres!K27="",NA(),IF(LEFT(TRIM(Paramètres!K27),1)="F",INDEX($F$2489:$F$2541,MATCH(Paramètres!J27,Paramètres!$G$5:$G$57,0)),INDEX($E$2489:$E$2541,MATCH(Paramètres!J27,Paramètres!$G$5:$G$57,0)))+IF(RIGHT(TRIM(Paramètres!K27),3)="Fin",1-$H2511,IF(LEFT(TRIM(Paramètres!K27),1)="F",1,0)))),IF(Paramètres!L27="",0,IF(Paramètres!M27="",NA(),IF(LEFT(TRIM(Paramètres!M27),1)="F",INDEX($F$2489:$F$2541,MATCH(Paramètres!L27,Paramètres!$G$5:$G$57,0)),INDEX($E$2489:$E$2541,MATCH(Paramètres!L27,Paramètres!$G$5:$G$57,0)))+IF(RIGHT(TRIM(Paramètres!M27),3)="Fin",1-$H2511,IF(LEFT(TRIM(Paramètres!M27),1)="F",1,0)))),IF(Paramètres!N27="",0,IF(Paramètres!O27="",NA(),IF(LEFT(TRIM(Paramètres!O27),1)="F",INDEX($F$2489:$F$2541,MATCH(Paramètres!N27,Paramètres!$G$5:$G$57,0)),INDEX($E$2489:$E$2541,MATCH(Paramètres!N27,Paramètres!$G$5:$G$57,0)))+IF(RIGHT(TRIM(Paramètres!O27),3)="Fin",1-$H2511,IF(LEFT(TRIM(Paramètres!O27),1)="F",1,0)))))))</f>
        <v/>
      </c>
      <c r="F2511" s="19">
        <f>IF($A2511="","",E2511+$H2511-1)</f>
        <v/>
      </c>
      <c r="G2511" s="18" t="n"/>
      <c r="H2511" s="18">
        <f>IF($A2511="","",IF(I2511&lt;&gt;"",I2511,Paramètres!B27))</f>
        <v/>
      </c>
      <c r="I2511" s="18" t="n"/>
    </row>
    <row r="2512">
      <c r="A2512" s="18">
        <f>IF(ISNUMBER(Dossiers!$D$50),Dossiers!$A$50&amp;" · "&amp;Dossiers!$B$50,"")</f>
        <v/>
      </c>
      <c r="B2512" s="18">
        <f>IF($A2512="","",Paramètres!G28)</f>
        <v/>
      </c>
      <c r="C2512" s="18">
        <f>IF($A2512="","",IF(Paramètres!H28="","",Paramètres!H28))</f>
        <v/>
      </c>
      <c r="D2512" s="18">
        <f>IF($A2512="","",IF(Paramètres!I28="","",Paramètres!I28))</f>
        <v/>
      </c>
      <c r="E2512" s="19">
        <f>IF($A2512="","",IF(Paramètres!J28&amp;Paramètres!L28&amp;Paramètres!N28="",Dossiers!$D$50,MAX(IF(Paramètres!J28="",0,IF(Paramètres!K28="",NA(),IF(LEFT(TRIM(Paramètres!K28),1)="F",INDEX($F$2489:$F$2541,MATCH(Paramètres!J28,Paramètres!$G$5:$G$57,0)),INDEX($E$2489:$E$2541,MATCH(Paramètres!J28,Paramètres!$G$5:$G$57,0)))+IF(RIGHT(TRIM(Paramètres!K28),3)="Fin",1-$H2512,IF(LEFT(TRIM(Paramètres!K28),1)="F",1,0)))),IF(Paramètres!L28="",0,IF(Paramètres!M28="",NA(),IF(LEFT(TRIM(Paramètres!M28),1)="F",INDEX($F$2489:$F$2541,MATCH(Paramètres!L28,Paramètres!$G$5:$G$57,0)),INDEX($E$2489:$E$2541,MATCH(Paramètres!L28,Paramètres!$G$5:$G$57,0)))+IF(RIGHT(TRIM(Paramètres!M28),3)="Fin",1-$H2512,IF(LEFT(TRIM(Paramètres!M28),1)="F",1,0)))),IF(Paramètres!N28="",0,IF(Paramètres!O28="",NA(),IF(LEFT(TRIM(Paramètres!O28),1)="F",INDEX($F$2489:$F$2541,MATCH(Paramètres!N28,Paramètres!$G$5:$G$57,0)),INDEX($E$2489:$E$2541,MATCH(Paramètres!N28,Paramètres!$G$5:$G$57,0)))+IF(RIGHT(TRIM(Paramètres!O28),3)="Fin",1-$H2512,IF(LEFT(TRIM(Paramètres!O28),1)="F",1,0)))))))</f>
        <v/>
      </c>
      <c r="F2512" s="19">
        <f>IF($A2512="","",E2512+$H2512-1)</f>
        <v/>
      </c>
      <c r="G2512" s="18" t="n"/>
      <c r="H2512" s="18">
        <f>IF($A2512="","",IF(I2512&lt;&gt;"",I2512,Paramètres!B28))</f>
        <v/>
      </c>
      <c r="I2512" s="18" t="n"/>
    </row>
    <row r="2513">
      <c r="A2513" s="18">
        <f>IF(ISNUMBER(Dossiers!$D$50),Dossiers!$A$50&amp;" · "&amp;Dossiers!$B$50,"")</f>
        <v/>
      </c>
      <c r="B2513" s="18">
        <f>IF($A2513="","",Paramètres!G29)</f>
        <v/>
      </c>
      <c r="C2513" s="18">
        <f>IF($A2513="","",IF(Paramètres!H29="","",Paramètres!H29))</f>
        <v/>
      </c>
      <c r="D2513" s="18">
        <f>IF($A2513="","",IF(Paramètres!I29="","",Paramètres!I29))</f>
        <v/>
      </c>
      <c r="E2513" s="19">
        <f>IF($A2513="","",IF(Paramètres!J29&amp;Paramètres!L29&amp;Paramètres!N29="",Dossiers!$D$50,MAX(IF(Paramètres!J29="",0,IF(Paramètres!K29="",NA(),IF(LEFT(TRIM(Paramètres!K29),1)="F",INDEX($F$2489:$F$2541,MATCH(Paramètres!J29,Paramètres!$G$5:$G$57,0)),INDEX($E$2489:$E$2541,MATCH(Paramètres!J29,Paramètres!$G$5:$G$57,0)))+IF(RIGHT(TRIM(Paramètres!K29),3)="Fin",1-$H2513,IF(LEFT(TRIM(Paramètres!K29),1)="F",1,0)))),IF(Paramètres!L29="",0,IF(Paramètres!M29="",NA(),IF(LEFT(TRIM(Paramètres!M29),1)="F",INDEX($F$2489:$F$2541,MATCH(Paramètres!L29,Paramètres!$G$5:$G$57,0)),INDEX($E$2489:$E$2541,MATCH(Paramètres!L29,Paramètres!$G$5:$G$57,0)))+IF(RIGHT(TRIM(Paramètres!M29),3)="Fin",1-$H2513,IF(LEFT(TRIM(Paramètres!M29),1)="F",1,0)))),IF(Paramètres!N29="",0,IF(Paramètres!O29="",NA(),IF(LEFT(TRIM(Paramètres!O29),1)="F",INDEX($F$2489:$F$2541,MATCH(Paramètres!N29,Paramètres!$G$5:$G$57,0)),INDEX($E$2489:$E$2541,MATCH(Paramètres!N29,Paramètres!$G$5:$G$57,0)))+IF(RIGHT(TRIM(Paramètres!O29),3)="Fin",1-$H2513,IF(LEFT(TRIM(Paramètres!O29),1)="F",1,0)))))))</f>
        <v/>
      </c>
      <c r="F2513" s="19">
        <f>IF($A2513="","",E2513+$H2513-1)</f>
        <v/>
      </c>
      <c r="G2513" s="18" t="n"/>
      <c r="H2513" s="18">
        <f>IF($A2513="","",IF(I2513&lt;&gt;"",I2513,Paramètres!B29))</f>
        <v/>
      </c>
      <c r="I2513" s="18" t="n"/>
    </row>
    <row r="2514">
      <c r="A2514" s="18">
        <f>IF(ISNUMBER(Dossiers!$D$50),Dossiers!$A$50&amp;" · "&amp;Dossiers!$B$50,"")</f>
        <v/>
      </c>
      <c r="B2514" s="18">
        <f>IF($A2514="","",Paramètres!G30)</f>
        <v/>
      </c>
      <c r="C2514" s="18">
        <f>IF($A2514="","",IF(Paramètres!H30="","",Paramètres!H30))</f>
        <v/>
      </c>
      <c r="D2514" s="18">
        <f>IF($A2514="","",IF(Paramètres!I30="","",Paramètres!I30))</f>
        <v/>
      </c>
      <c r="E2514" s="19">
        <f>IF($A2514="","",IF(Paramètres!J30&amp;Paramètres!L30&amp;Paramètres!N30="",Dossiers!$D$50,MAX(IF(Paramètres!J30="",0,IF(Paramètres!K30="",NA(),IF(LEFT(TRIM(Paramètres!K30),1)="F",INDEX($F$2489:$F$2541,MATCH(Paramètres!J30,Paramètres!$G$5:$G$57,0)),INDEX($E$2489:$E$2541,MATCH(Paramètres!J30,Paramètres!$G$5:$G$57,0)))+IF(RIGHT(TRIM(Paramètres!K30),3)="Fin",1-$H2514,IF(LEFT(TRIM(Paramètres!K30),1)="F",1,0)))),IF(Paramètres!L30="",0,IF(Paramètres!M30="",NA(),IF(LEFT(TRIM(Paramètres!M30),1)="F",INDEX($F$2489:$F$2541,MATCH(Paramètres!L30,Paramètres!$G$5:$G$57,0)),INDEX($E$2489:$E$2541,MATCH(Paramètres!L30,Paramètres!$G$5:$G$57,0)))+IF(RIGHT(TRIM(Paramètres!M30),3)="Fin",1-$H2514,IF(LEFT(TRIM(Paramètres!M30),1)="F",1,0)))),IF(Paramètres!N30="",0,IF(Paramètres!O30="",NA(),IF(LEFT(TRIM(Paramètres!O30),1)="F",INDEX($F$2489:$F$2541,MATCH(Paramètres!N30,Paramètres!$G$5:$G$57,0)),INDEX($E$2489:$E$2541,MATCH(Paramètres!N30,Paramètres!$G$5:$G$57,0)))+IF(RIGHT(TRIM(Paramètres!O30),3)="Fin",1-$H2514,IF(LEFT(TRIM(Paramètres!O30),1)="F",1,0)))))))</f>
        <v/>
      </c>
      <c r="F2514" s="19">
        <f>IF($A2514="","",E2514+$H2514-1)</f>
        <v/>
      </c>
      <c r="G2514" s="18" t="n"/>
      <c r="H2514" s="18">
        <f>IF($A2514="","",IF(I2514&lt;&gt;"",I2514,Paramètres!B30))</f>
        <v/>
      </c>
      <c r="I2514" s="18" t="n"/>
    </row>
    <row r="2515">
      <c r="A2515" s="18">
        <f>IF(ISNUMBER(Dossiers!$D$50),Dossiers!$A$50&amp;" · "&amp;Dossiers!$B$50,"")</f>
        <v/>
      </c>
      <c r="B2515" s="18">
        <f>IF($A2515="","",Paramètres!G31)</f>
        <v/>
      </c>
      <c r="C2515" s="20">
        <f>IF($A2515="","",IF(Dossiers!$F$50="","",Dossiers!$F$50))</f>
        <v/>
      </c>
      <c r="D2515" s="18">
        <f>IF($A2515="","",IF(Paramètres!I31="","",Paramètres!I31))</f>
        <v/>
      </c>
      <c r="E2515" s="19">
        <f>IF($A2515="","",IF(Paramètres!J31&amp;Paramètres!L31&amp;Paramètres!N31="",Dossiers!$D$50,MAX(IF(Paramètres!J31="",0,IF(Paramètres!K31="",NA(),IF(LEFT(TRIM(Paramètres!K31),1)="F",INDEX($F$2489:$F$2541,MATCH(Paramètres!J31,Paramètres!$G$5:$G$57,0)),INDEX($E$2489:$E$2541,MATCH(Paramètres!J31,Paramètres!$G$5:$G$57,0)))+IF(RIGHT(TRIM(Paramètres!K31),3)="Fin",1-$H2515,IF(LEFT(TRIM(Paramètres!K31),1)="F",1,0)))),IF(Paramètres!L31="",0,IF(Paramètres!M31="",NA(),IF(LEFT(TRIM(Paramètres!M31),1)="F",INDEX($F$2489:$F$2541,MATCH(Paramètres!L31,Paramètres!$G$5:$G$57,0)),INDEX($E$2489:$E$2541,MATCH(Paramètres!L31,Paramètres!$G$5:$G$57,0)))+IF(RIGHT(TRIM(Paramètres!M31),3)="Fin",1-$H2515,IF(LEFT(TRIM(Paramètres!M31),1)="F",1,0)))),IF(Paramètres!N31="",0,IF(Paramètres!O31="",NA(),IF(LEFT(TRIM(Paramètres!O31),1)="F",INDEX($F$2489:$F$2541,MATCH(Paramètres!N31,Paramètres!$G$5:$G$57,0)),INDEX($E$2489:$E$2541,MATCH(Paramètres!N31,Paramètres!$G$5:$G$57,0)))+IF(RIGHT(TRIM(Paramètres!O31),3)="Fin",1-$H2515,IF(LEFT(TRIM(Paramètres!O31),1)="F",1,0)))))))</f>
        <v/>
      </c>
      <c r="F2515" s="19">
        <f>IF($A2515="","",E2515+$H2515-1)</f>
        <v/>
      </c>
      <c r="G2515" s="18" t="n"/>
      <c r="H2515" s="18">
        <f>IF($A2515="","",IF(I2515&lt;&gt;"",I2515,Paramètres!B31))</f>
        <v/>
      </c>
      <c r="I2515" s="18" t="n"/>
    </row>
    <row r="2516">
      <c r="A2516" s="18">
        <f>IF(ISNUMBER(Dossiers!$D$50),Dossiers!$A$50&amp;" · "&amp;Dossiers!$B$50,"")</f>
        <v/>
      </c>
      <c r="B2516" s="18">
        <f>IF($A2516="","",Paramètres!G32)</f>
        <v/>
      </c>
      <c r="C2516" s="18">
        <f>IF($A2516="","",IF(Paramètres!H32="","",Paramètres!H32))</f>
        <v/>
      </c>
      <c r="D2516" s="18">
        <f>IF($A2516="","",IF(Paramètres!I32="","",Paramètres!I32))</f>
        <v/>
      </c>
      <c r="E2516" s="19">
        <f>IF($A2516="","",MIN(E2517:E2520))</f>
        <v/>
      </c>
      <c r="F2516" s="19">
        <f>IF($A2516="","",MAX(F2517:F2520))</f>
        <v/>
      </c>
      <c r="G2516" s="18" t="n"/>
      <c r="H2516" s="18">
        <f>IF($A2516="","",F2516-E2516+1)</f>
        <v/>
      </c>
      <c r="I2516" s="18" t="n"/>
    </row>
    <row r="2517">
      <c r="A2517" s="18">
        <f>IF(ISNUMBER(Dossiers!$D$50),Dossiers!$A$50&amp;" · "&amp;Dossiers!$B$50,"")</f>
        <v/>
      </c>
      <c r="B2517" s="18">
        <f>IF($A2517="","",Paramètres!G33)</f>
        <v/>
      </c>
      <c r="C2517" s="18">
        <f>IF($A2517="","",IF(Paramètres!H33="","",Paramètres!H33))</f>
        <v/>
      </c>
      <c r="D2517" s="18">
        <f>IF($A2517="","",IF(Paramètres!I33="","",Paramètres!I33))</f>
        <v/>
      </c>
      <c r="E2517" s="19">
        <f>IF($A2517="","",IF(Paramètres!J33&amp;Paramètres!L33&amp;Paramètres!N33="",Dossiers!$D$50,MAX(IF(Paramètres!J33="",0,IF(Paramètres!K33="",NA(),IF(LEFT(TRIM(Paramètres!K33),1)="F",INDEX($F$2489:$F$2541,MATCH(Paramètres!J33,Paramètres!$G$5:$G$57,0)),INDEX($E$2489:$E$2541,MATCH(Paramètres!J33,Paramètres!$G$5:$G$57,0)))+IF(RIGHT(TRIM(Paramètres!K33),3)="Fin",1-$H2517,IF(LEFT(TRIM(Paramètres!K33),1)="F",1,0)))),IF(Paramètres!L33="",0,IF(Paramètres!M33="",NA(),IF(LEFT(TRIM(Paramètres!M33),1)="F",INDEX($F$2489:$F$2541,MATCH(Paramètres!L33,Paramètres!$G$5:$G$57,0)),INDEX($E$2489:$E$2541,MATCH(Paramètres!L33,Paramètres!$G$5:$G$57,0)))+IF(RIGHT(TRIM(Paramètres!M33),3)="Fin",1-$H2517,IF(LEFT(TRIM(Paramètres!M33),1)="F",1,0)))),IF(Paramètres!N33="",0,IF(Paramètres!O33="",NA(),IF(LEFT(TRIM(Paramètres!O33),1)="F",INDEX($F$2489:$F$2541,MATCH(Paramètres!N33,Paramètres!$G$5:$G$57,0)),INDEX($E$2489:$E$2541,MATCH(Paramètres!N33,Paramètres!$G$5:$G$57,0)))+IF(RIGHT(TRIM(Paramètres!O33),3)="Fin",1-$H2517,IF(LEFT(TRIM(Paramètres!O33),1)="F",1,0)))))))</f>
        <v/>
      </c>
      <c r="F2517" s="19">
        <f>IF($A2517="","",E2517+$H2517-1)</f>
        <v/>
      </c>
      <c r="G2517" s="18" t="n"/>
      <c r="H2517" s="18">
        <f>IF($A2517="","",IF(I2517&lt;&gt;"",I2517,Paramètres!B33))</f>
        <v/>
      </c>
      <c r="I2517" s="18" t="n"/>
    </row>
    <row r="2518">
      <c r="A2518" s="18">
        <f>IF(ISNUMBER(Dossiers!$D$50),Dossiers!$A$50&amp;" · "&amp;Dossiers!$B$50,"")</f>
        <v/>
      </c>
      <c r="B2518" s="18">
        <f>IF($A2518="","",Paramètres!G34)</f>
        <v/>
      </c>
      <c r="C2518" s="18">
        <f>IF($A2518="","",IF(Paramètres!H34="","",Paramètres!H34))</f>
        <v/>
      </c>
      <c r="D2518" s="18">
        <f>IF($A2518="","",IF(Paramètres!I34="","",Paramètres!I34))</f>
        <v/>
      </c>
      <c r="E2518" s="19">
        <f>IF($A2518="","",IF(Paramètres!J34&amp;Paramètres!L34&amp;Paramètres!N34="",Dossiers!$D$50,MAX(IF(Paramètres!J34="",0,IF(Paramètres!K34="",NA(),IF(LEFT(TRIM(Paramètres!K34),1)="F",INDEX($F$2489:$F$2541,MATCH(Paramètres!J34,Paramètres!$G$5:$G$57,0)),INDEX($E$2489:$E$2541,MATCH(Paramètres!J34,Paramètres!$G$5:$G$57,0)))+IF(RIGHT(TRIM(Paramètres!K34),3)="Fin",1-$H2518,IF(LEFT(TRIM(Paramètres!K34),1)="F",1,0)))),IF(Paramètres!L34="",0,IF(Paramètres!M34="",NA(),IF(LEFT(TRIM(Paramètres!M34),1)="F",INDEX($F$2489:$F$2541,MATCH(Paramètres!L34,Paramètres!$G$5:$G$57,0)),INDEX($E$2489:$E$2541,MATCH(Paramètres!L34,Paramètres!$G$5:$G$57,0)))+IF(RIGHT(TRIM(Paramètres!M34),3)="Fin",1-$H2518,IF(LEFT(TRIM(Paramètres!M34),1)="F",1,0)))),IF(Paramètres!N34="",0,IF(Paramètres!O34="",NA(),IF(LEFT(TRIM(Paramètres!O34),1)="F",INDEX($F$2489:$F$2541,MATCH(Paramètres!N34,Paramètres!$G$5:$G$57,0)),INDEX($E$2489:$E$2541,MATCH(Paramètres!N34,Paramètres!$G$5:$G$57,0)))+IF(RIGHT(TRIM(Paramètres!O34),3)="Fin",1-$H2518,IF(LEFT(TRIM(Paramètres!O34),1)="F",1,0)))))))</f>
        <v/>
      </c>
      <c r="F2518" s="19">
        <f>IF($A2518="","",E2518+$H2518-1)</f>
        <v/>
      </c>
      <c r="G2518" s="18" t="n"/>
      <c r="H2518" s="18">
        <f>IF($A2518="","",IF(I2518&lt;&gt;"",I2518,Paramètres!B34))</f>
        <v/>
      </c>
      <c r="I2518" s="18" t="n"/>
    </row>
    <row r="2519">
      <c r="A2519" s="18">
        <f>IF(ISNUMBER(Dossiers!$D$50),Dossiers!$A$50&amp;" · "&amp;Dossiers!$B$50,"")</f>
        <v/>
      </c>
      <c r="B2519" s="18">
        <f>IF($A2519="","",Paramètres!G35)</f>
        <v/>
      </c>
      <c r="C2519" s="18">
        <f>IF($A2519="","",IF(Paramètres!H35="","",Paramètres!H35))</f>
        <v/>
      </c>
      <c r="D2519" s="18">
        <f>IF($A2519="","",IF(Paramètres!I35="","",Paramètres!I35))</f>
        <v/>
      </c>
      <c r="E2519" s="19">
        <f>IF($A2519="","",IF(Paramètres!J35&amp;Paramètres!L35&amp;Paramètres!N35="",Dossiers!$D$50,MAX(IF(Paramètres!J35="",0,IF(Paramètres!K35="",NA(),IF(LEFT(TRIM(Paramètres!K35),1)="F",INDEX($F$2489:$F$2541,MATCH(Paramètres!J35,Paramètres!$G$5:$G$57,0)),INDEX($E$2489:$E$2541,MATCH(Paramètres!J35,Paramètres!$G$5:$G$57,0)))+IF(RIGHT(TRIM(Paramètres!K35),3)="Fin",1-$H2519,IF(LEFT(TRIM(Paramètres!K35),1)="F",1,0)))),IF(Paramètres!L35="",0,IF(Paramètres!M35="",NA(),IF(LEFT(TRIM(Paramètres!M35),1)="F",INDEX($F$2489:$F$2541,MATCH(Paramètres!L35,Paramètres!$G$5:$G$57,0)),INDEX($E$2489:$E$2541,MATCH(Paramètres!L35,Paramètres!$G$5:$G$57,0)))+IF(RIGHT(TRIM(Paramètres!M35),3)="Fin",1-$H2519,IF(LEFT(TRIM(Paramètres!M35),1)="F",1,0)))),IF(Paramètres!N35="",0,IF(Paramètres!O35="",NA(),IF(LEFT(TRIM(Paramètres!O35),1)="F",INDEX($F$2489:$F$2541,MATCH(Paramètres!N35,Paramètres!$G$5:$G$57,0)),INDEX($E$2489:$E$2541,MATCH(Paramètres!N35,Paramètres!$G$5:$G$57,0)))+IF(RIGHT(TRIM(Paramètres!O35),3)="Fin",1-$H2519,IF(LEFT(TRIM(Paramètres!O35),1)="F",1,0)))))))</f>
        <v/>
      </c>
      <c r="F2519" s="19">
        <f>IF($A2519="","",E2519+$H2519-1)</f>
        <v/>
      </c>
      <c r="G2519" s="18" t="n"/>
      <c r="H2519" s="18">
        <f>IF($A2519="","",IF(I2519&lt;&gt;"",I2519,Paramètres!B35))</f>
        <v/>
      </c>
      <c r="I2519" s="18" t="n"/>
    </row>
    <row r="2520">
      <c r="A2520" s="18">
        <f>IF(ISNUMBER(Dossiers!$D$50),Dossiers!$A$50&amp;" · "&amp;Dossiers!$B$50,"")</f>
        <v/>
      </c>
      <c r="B2520" s="18">
        <f>IF($A2520="","",Paramètres!G36)</f>
        <v/>
      </c>
      <c r="C2520" s="18">
        <f>IF($A2520="","",IF(Paramètres!H36="","",Paramètres!H36))</f>
        <v/>
      </c>
      <c r="D2520" s="18">
        <f>IF($A2520="","",IF(Paramètres!I36="","",Paramètres!I36))</f>
        <v/>
      </c>
      <c r="E2520" s="19">
        <f>IF($A2520="","",IF(Paramètres!J36&amp;Paramètres!L36&amp;Paramètres!N36="",Dossiers!$D$50,MAX(IF(Paramètres!J36="",0,IF(Paramètres!K36="",NA(),IF(LEFT(TRIM(Paramètres!K36),1)="F",INDEX($F$2489:$F$2541,MATCH(Paramètres!J36,Paramètres!$G$5:$G$57,0)),INDEX($E$2489:$E$2541,MATCH(Paramètres!J36,Paramètres!$G$5:$G$57,0)))+IF(RIGHT(TRIM(Paramètres!K36),3)="Fin",1-$H2520,IF(LEFT(TRIM(Paramètres!K36),1)="F",1,0)))),IF(Paramètres!L36="",0,IF(Paramètres!M36="",NA(),IF(LEFT(TRIM(Paramètres!M36),1)="F",INDEX($F$2489:$F$2541,MATCH(Paramètres!L36,Paramètres!$G$5:$G$57,0)),INDEX($E$2489:$E$2541,MATCH(Paramètres!L36,Paramètres!$G$5:$G$57,0)))+IF(RIGHT(TRIM(Paramètres!M36),3)="Fin",1-$H2520,IF(LEFT(TRIM(Paramètres!M36),1)="F",1,0)))),IF(Paramètres!N36="",0,IF(Paramètres!O36="",NA(),IF(LEFT(TRIM(Paramètres!O36),1)="F",INDEX($F$2489:$F$2541,MATCH(Paramètres!N36,Paramètres!$G$5:$G$57,0)),INDEX($E$2489:$E$2541,MATCH(Paramètres!N36,Paramètres!$G$5:$G$57,0)))+IF(RIGHT(TRIM(Paramètres!O36),3)="Fin",1-$H2520,IF(LEFT(TRIM(Paramètres!O36),1)="F",1,0)))))))</f>
        <v/>
      </c>
      <c r="F2520" s="19">
        <f>IF($A2520="","",E2520+$H2520-1)</f>
        <v/>
      </c>
      <c r="G2520" s="18" t="n"/>
      <c r="H2520" s="18">
        <f>IF($A2520="","",IF(I2520&lt;&gt;"",I2520,Paramètres!B36))</f>
        <v/>
      </c>
      <c r="I2520" s="18" t="n"/>
    </row>
    <row r="2521">
      <c r="A2521" s="18">
        <f>IF(ISNUMBER(Dossiers!$D$50),Dossiers!$A$50&amp;" · "&amp;Dossiers!$B$50,"")</f>
        <v/>
      </c>
      <c r="B2521" s="18">
        <f>IF($A2521="","",Paramètres!G37)</f>
        <v/>
      </c>
      <c r="C2521" s="18">
        <f>IF($A2521="","",IF(Paramètres!H37="","",Paramètres!H37))</f>
        <v/>
      </c>
      <c r="D2521" s="18">
        <f>IF($A2521="","",IF(Paramètres!I37="","",Paramètres!I37))</f>
        <v/>
      </c>
      <c r="E2521" s="19">
        <f>IF($A2521="","",MIN(E2522:E2539))</f>
        <v/>
      </c>
      <c r="F2521" s="19">
        <f>IF($A2521="","",MAX(F2522:F2539))</f>
        <v/>
      </c>
      <c r="G2521" s="18" t="n"/>
      <c r="H2521" s="18">
        <f>IF($A2521="","",F2521-E2521+1)</f>
        <v/>
      </c>
      <c r="I2521" s="18" t="n"/>
    </row>
    <row r="2522">
      <c r="A2522" s="18">
        <f>IF(ISNUMBER(Dossiers!$D$50),Dossiers!$A$50&amp;" · "&amp;Dossiers!$B$50,"")</f>
        <v/>
      </c>
      <c r="B2522" s="18">
        <f>IF($A2522="","",Paramètres!G38)</f>
        <v/>
      </c>
      <c r="C2522" s="18">
        <f>IF($A2522="","",IF(Paramètres!H38="","",Paramètres!H38))</f>
        <v/>
      </c>
      <c r="D2522" s="18">
        <f>IF($A2522="","",IF(Paramètres!I38="","",Paramètres!I38))</f>
        <v/>
      </c>
      <c r="E2522" s="19">
        <f>IF($A2522="","",IF(Paramètres!J38&amp;Paramètres!L38&amp;Paramètres!N38="",Dossiers!$D$50,MAX(IF(Paramètres!J38="",0,IF(Paramètres!K38="",NA(),IF(LEFT(TRIM(Paramètres!K38),1)="F",INDEX($F$2489:$F$2541,MATCH(Paramètres!J38,Paramètres!$G$5:$G$57,0)),INDEX($E$2489:$E$2541,MATCH(Paramètres!J38,Paramètres!$G$5:$G$57,0)))+IF(RIGHT(TRIM(Paramètres!K38),3)="Fin",1-$H2522,IF(LEFT(TRIM(Paramètres!K38),1)="F",1,0)))),IF(Paramètres!L38="",0,IF(Paramètres!M38="",NA(),IF(LEFT(TRIM(Paramètres!M38),1)="F",INDEX($F$2489:$F$2541,MATCH(Paramètres!L38,Paramètres!$G$5:$G$57,0)),INDEX($E$2489:$E$2541,MATCH(Paramètres!L38,Paramètres!$G$5:$G$57,0)))+IF(RIGHT(TRIM(Paramètres!M38),3)="Fin",1-$H2522,IF(LEFT(TRIM(Paramètres!M38),1)="F",1,0)))),IF(Paramètres!N38="",0,IF(Paramètres!O38="",NA(),IF(LEFT(TRIM(Paramètres!O38),1)="F",INDEX($F$2489:$F$2541,MATCH(Paramètres!N38,Paramètres!$G$5:$G$57,0)),INDEX($E$2489:$E$2541,MATCH(Paramètres!N38,Paramètres!$G$5:$G$57,0)))+IF(RIGHT(TRIM(Paramètres!O38),3)="Fin",1-$H2522,IF(LEFT(TRIM(Paramètres!O38),1)="F",1,0)))))))</f>
        <v/>
      </c>
      <c r="F2522" s="19">
        <f>IF($A2522="","",E2522+$H2522-1)</f>
        <v/>
      </c>
      <c r="G2522" s="18" t="n"/>
      <c r="H2522" s="18">
        <f>IF($A2522="","",IF(I2522&lt;&gt;"",I2522,Paramètres!B38))</f>
        <v/>
      </c>
      <c r="I2522" s="18" t="n"/>
    </row>
    <row r="2523">
      <c r="A2523" s="18">
        <f>IF(ISNUMBER(Dossiers!$D$50),Dossiers!$A$50&amp;" · "&amp;Dossiers!$B$50,"")</f>
        <v/>
      </c>
      <c r="B2523" s="18">
        <f>IF($A2523="","",Paramètres!G39)</f>
        <v/>
      </c>
      <c r="C2523" s="18">
        <f>IF($A2523="","",IF(Paramètres!H39="","",Paramètres!H39))</f>
        <v/>
      </c>
      <c r="D2523" s="18">
        <f>IF($A2523="","",IF(Paramètres!I39="","",Paramètres!I39))</f>
        <v/>
      </c>
      <c r="E2523" s="19">
        <f>IF($A2523="","",IF(Paramètres!J39&amp;Paramètres!L39&amp;Paramètres!N39="",Dossiers!$D$50,MAX(IF(Paramètres!J39="",0,IF(Paramètres!K39="",NA(),IF(LEFT(TRIM(Paramètres!K39),1)="F",INDEX($F$2489:$F$2541,MATCH(Paramètres!J39,Paramètres!$G$5:$G$57,0)),INDEX($E$2489:$E$2541,MATCH(Paramètres!J39,Paramètres!$G$5:$G$57,0)))+IF(RIGHT(TRIM(Paramètres!K39),3)="Fin",1-$H2523,IF(LEFT(TRIM(Paramètres!K39),1)="F",1,0)))),IF(Paramètres!L39="",0,IF(Paramètres!M39="",NA(),IF(LEFT(TRIM(Paramètres!M39),1)="F",INDEX($F$2489:$F$2541,MATCH(Paramètres!L39,Paramètres!$G$5:$G$57,0)),INDEX($E$2489:$E$2541,MATCH(Paramètres!L39,Paramètres!$G$5:$G$57,0)))+IF(RIGHT(TRIM(Paramètres!M39),3)="Fin",1-$H2523,IF(LEFT(TRIM(Paramètres!M39),1)="F",1,0)))),IF(Paramètres!N39="",0,IF(Paramètres!O39="",NA(),IF(LEFT(TRIM(Paramètres!O39),1)="F",INDEX($F$2489:$F$2541,MATCH(Paramètres!N39,Paramètres!$G$5:$G$57,0)),INDEX($E$2489:$E$2541,MATCH(Paramètres!N39,Paramètres!$G$5:$G$57,0)))+IF(RIGHT(TRIM(Paramètres!O39),3)="Fin",1-$H2523,IF(LEFT(TRIM(Paramètres!O39),1)="F",1,0)))))))</f>
        <v/>
      </c>
      <c r="F2523" s="19">
        <f>IF($A2523="","",E2523+$H2523-1)</f>
        <v/>
      </c>
      <c r="G2523" s="18" t="n"/>
      <c r="H2523" s="18">
        <f>IF($A2523="","",IF(I2523&lt;&gt;"",I2523,Paramètres!B39))</f>
        <v/>
      </c>
      <c r="I2523" s="18" t="n"/>
    </row>
    <row r="2524">
      <c r="A2524" s="18">
        <f>IF(ISNUMBER(Dossiers!$D$50),Dossiers!$A$50&amp;" · "&amp;Dossiers!$B$50,"")</f>
        <v/>
      </c>
      <c r="B2524" s="18">
        <f>IF($A2524="","",Paramètres!G40)</f>
        <v/>
      </c>
      <c r="C2524" s="18">
        <f>IF($A2524="","",IF(Paramètres!H40="","",Paramètres!H40))</f>
        <v/>
      </c>
      <c r="D2524" s="18">
        <f>IF($A2524="","",IF(Paramètres!I40="","",Paramètres!I40))</f>
        <v/>
      </c>
      <c r="E2524" s="19">
        <f>IF($A2524="","",IF(Paramètres!J40&amp;Paramètres!L40&amp;Paramètres!N40="",Dossiers!$D$50,MAX(IF(Paramètres!J40="",0,IF(Paramètres!K40="",NA(),IF(LEFT(TRIM(Paramètres!K40),1)="F",INDEX($F$2489:$F$2541,MATCH(Paramètres!J40,Paramètres!$G$5:$G$57,0)),INDEX($E$2489:$E$2541,MATCH(Paramètres!J40,Paramètres!$G$5:$G$57,0)))+IF(RIGHT(TRIM(Paramètres!K40),3)="Fin",1-$H2524,IF(LEFT(TRIM(Paramètres!K40),1)="F",1,0)))),IF(Paramètres!L40="",0,IF(Paramètres!M40="",NA(),IF(LEFT(TRIM(Paramètres!M40),1)="F",INDEX($F$2489:$F$2541,MATCH(Paramètres!L40,Paramètres!$G$5:$G$57,0)),INDEX($E$2489:$E$2541,MATCH(Paramètres!L40,Paramètres!$G$5:$G$57,0)))+IF(RIGHT(TRIM(Paramètres!M40),3)="Fin",1-$H2524,IF(LEFT(TRIM(Paramètres!M40),1)="F",1,0)))),IF(Paramètres!N40="",0,IF(Paramètres!O40="",NA(),IF(LEFT(TRIM(Paramètres!O40),1)="F",INDEX($F$2489:$F$2541,MATCH(Paramètres!N40,Paramètres!$G$5:$G$57,0)),INDEX($E$2489:$E$2541,MATCH(Paramètres!N40,Paramètres!$G$5:$G$57,0)))+IF(RIGHT(TRIM(Paramètres!O40),3)="Fin",1-$H2524,IF(LEFT(TRIM(Paramètres!O40),1)="F",1,0)))))))</f>
        <v/>
      </c>
      <c r="F2524" s="19">
        <f>IF($A2524="","",E2524+$H2524-1)</f>
        <v/>
      </c>
      <c r="G2524" s="18" t="n"/>
      <c r="H2524" s="18">
        <f>IF($A2524="","",IF(I2524&lt;&gt;"",I2524,Paramètres!B40))</f>
        <v/>
      </c>
      <c r="I2524" s="18" t="n"/>
    </row>
    <row r="2525">
      <c r="A2525" s="18">
        <f>IF(ISNUMBER(Dossiers!$D$50),Dossiers!$A$50&amp;" · "&amp;Dossiers!$B$50,"")</f>
        <v/>
      </c>
      <c r="B2525" s="18">
        <f>IF($A2525="","",Paramètres!G41)</f>
        <v/>
      </c>
      <c r="C2525" s="18">
        <f>IF($A2525="","",IF(Paramètres!H41="","",Paramètres!H41))</f>
        <v/>
      </c>
      <c r="D2525" s="18">
        <f>IF($A2525="","",IF(Paramètres!I41="","",Paramètres!I41))</f>
        <v/>
      </c>
      <c r="E2525" s="19">
        <f>IF($A2525="","",IF(Paramètres!J41&amp;Paramètres!L41&amp;Paramètres!N41="",Dossiers!$D$50,MAX(IF(Paramètres!J41="",0,IF(Paramètres!K41="",NA(),IF(LEFT(TRIM(Paramètres!K41),1)="F",INDEX($F$2489:$F$2541,MATCH(Paramètres!J41,Paramètres!$G$5:$G$57,0)),INDEX($E$2489:$E$2541,MATCH(Paramètres!J41,Paramètres!$G$5:$G$57,0)))+IF(RIGHT(TRIM(Paramètres!K41),3)="Fin",1-$H2525,IF(LEFT(TRIM(Paramètres!K41),1)="F",1,0)))),IF(Paramètres!L41="",0,IF(Paramètres!M41="",NA(),IF(LEFT(TRIM(Paramètres!M41),1)="F",INDEX($F$2489:$F$2541,MATCH(Paramètres!L41,Paramètres!$G$5:$G$57,0)),INDEX($E$2489:$E$2541,MATCH(Paramètres!L41,Paramètres!$G$5:$G$57,0)))+IF(RIGHT(TRIM(Paramètres!M41),3)="Fin",1-$H2525,IF(LEFT(TRIM(Paramètres!M41),1)="F",1,0)))),IF(Paramètres!N41="",0,IF(Paramètres!O41="",NA(),IF(LEFT(TRIM(Paramètres!O41),1)="F",INDEX($F$2489:$F$2541,MATCH(Paramètres!N41,Paramètres!$G$5:$G$57,0)),INDEX($E$2489:$E$2541,MATCH(Paramètres!N41,Paramètres!$G$5:$G$57,0)))+IF(RIGHT(TRIM(Paramètres!O41),3)="Fin",1-$H2525,IF(LEFT(TRIM(Paramètres!O41),1)="F",1,0)))))))</f>
        <v/>
      </c>
      <c r="F2525" s="19">
        <f>IF($A2525="","",E2525+$H2525-1)</f>
        <v/>
      </c>
      <c r="G2525" s="18" t="n"/>
      <c r="H2525" s="18">
        <f>IF($A2525="","",IF(I2525&lt;&gt;"",I2525,Paramètres!B41))</f>
        <v/>
      </c>
      <c r="I2525" s="18" t="n"/>
    </row>
    <row r="2526">
      <c r="A2526" s="18">
        <f>IF(ISNUMBER(Dossiers!$D$50),Dossiers!$A$50&amp;" · "&amp;Dossiers!$B$50,"")</f>
        <v/>
      </c>
      <c r="B2526" s="18">
        <f>IF($A2526="","",Paramètres!G42)</f>
        <v/>
      </c>
      <c r="C2526" s="18">
        <f>IF($A2526="","",IF(Paramètres!H42="","",Paramètres!H42))</f>
        <v/>
      </c>
      <c r="D2526" s="18">
        <f>IF($A2526="","",IF(Paramètres!I42="","",Paramètres!I42))</f>
        <v/>
      </c>
      <c r="E2526" s="19">
        <f>IF($A2526="","",IF(Paramètres!J42&amp;Paramètres!L42&amp;Paramètres!N42="",Dossiers!$D$50,MAX(IF(Paramètres!J42="",0,IF(Paramètres!K42="",NA(),IF(LEFT(TRIM(Paramètres!K42),1)="F",INDEX($F$2489:$F$2541,MATCH(Paramètres!J42,Paramètres!$G$5:$G$57,0)),INDEX($E$2489:$E$2541,MATCH(Paramètres!J42,Paramètres!$G$5:$G$57,0)))+IF(RIGHT(TRIM(Paramètres!K42),3)="Fin",1-$H2526,IF(LEFT(TRIM(Paramètres!K42),1)="F",1,0)))),IF(Paramètres!L42="",0,IF(Paramètres!M42="",NA(),IF(LEFT(TRIM(Paramètres!M42),1)="F",INDEX($F$2489:$F$2541,MATCH(Paramètres!L42,Paramètres!$G$5:$G$57,0)),INDEX($E$2489:$E$2541,MATCH(Paramètres!L42,Paramètres!$G$5:$G$57,0)))+IF(RIGHT(TRIM(Paramètres!M42),3)="Fin",1-$H2526,IF(LEFT(TRIM(Paramètres!M42),1)="F",1,0)))),IF(Paramètres!N42="",0,IF(Paramètres!O42="",NA(),IF(LEFT(TRIM(Paramètres!O42),1)="F",INDEX($F$2489:$F$2541,MATCH(Paramètres!N42,Paramètres!$G$5:$G$57,0)),INDEX($E$2489:$E$2541,MATCH(Paramètres!N42,Paramètres!$G$5:$G$57,0)))+IF(RIGHT(TRIM(Paramètres!O42),3)="Fin",1-$H2526,IF(LEFT(TRIM(Paramètres!O42),1)="F",1,0)))))))</f>
        <v/>
      </c>
      <c r="F2526" s="19">
        <f>IF($A2526="","",E2526+$H2526-1)</f>
        <v/>
      </c>
      <c r="G2526" s="18" t="n"/>
      <c r="H2526" s="18">
        <f>IF($A2526="","",IF(I2526&lt;&gt;"",I2526,Paramètres!B42))</f>
        <v/>
      </c>
      <c r="I2526" s="18" t="n"/>
    </row>
    <row r="2527">
      <c r="A2527" s="18">
        <f>IF(ISNUMBER(Dossiers!$D$50),Dossiers!$A$50&amp;" · "&amp;Dossiers!$B$50,"")</f>
        <v/>
      </c>
      <c r="B2527" s="18">
        <f>IF($A2527="","",Paramètres!G43)</f>
        <v/>
      </c>
      <c r="C2527" s="18">
        <f>IF($A2527="","",IF(Paramètres!H43="","",Paramètres!H43))</f>
        <v/>
      </c>
      <c r="D2527" s="18">
        <f>IF($A2527="","",IF(Paramètres!I43="","",Paramètres!I43))</f>
        <v/>
      </c>
      <c r="E2527" s="19">
        <f>IF($A2527="","",IF(Paramètres!J43&amp;Paramètres!L43&amp;Paramètres!N43="",Dossiers!$D$50,MAX(IF(Paramètres!J43="",0,IF(Paramètres!K43="",NA(),IF(LEFT(TRIM(Paramètres!K43),1)="F",INDEX($F$2489:$F$2541,MATCH(Paramètres!J43,Paramètres!$G$5:$G$57,0)),INDEX($E$2489:$E$2541,MATCH(Paramètres!J43,Paramètres!$G$5:$G$57,0)))+IF(RIGHT(TRIM(Paramètres!K43),3)="Fin",1-$H2527,IF(LEFT(TRIM(Paramètres!K43),1)="F",1,0)))),IF(Paramètres!L43="",0,IF(Paramètres!M43="",NA(),IF(LEFT(TRIM(Paramètres!M43),1)="F",INDEX($F$2489:$F$2541,MATCH(Paramètres!L43,Paramètres!$G$5:$G$57,0)),INDEX($E$2489:$E$2541,MATCH(Paramètres!L43,Paramètres!$G$5:$G$57,0)))+IF(RIGHT(TRIM(Paramètres!M43),3)="Fin",1-$H2527,IF(LEFT(TRIM(Paramètres!M43),1)="F",1,0)))),IF(Paramètres!N43="",0,IF(Paramètres!O43="",NA(),IF(LEFT(TRIM(Paramètres!O43),1)="F",INDEX($F$2489:$F$2541,MATCH(Paramètres!N43,Paramètres!$G$5:$G$57,0)),INDEX($E$2489:$E$2541,MATCH(Paramètres!N43,Paramètres!$G$5:$G$57,0)))+IF(RIGHT(TRIM(Paramètres!O43),3)="Fin",1-$H2527,IF(LEFT(TRIM(Paramètres!O43),1)="F",1,0)))))))</f>
        <v/>
      </c>
      <c r="F2527" s="19">
        <f>IF($A2527="","",E2527+$H2527-1)</f>
        <v/>
      </c>
      <c r="G2527" s="18" t="n"/>
      <c r="H2527" s="18">
        <f>IF($A2527="","",IF(I2527&lt;&gt;"",I2527,Paramètres!B43))</f>
        <v/>
      </c>
      <c r="I2527" s="18" t="n"/>
    </row>
    <row r="2528">
      <c r="A2528" s="18">
        <f>IF(ISNUMBER(Dossiers!$D$50),Dossiers!$A$50&amp;" · "&amp;Dossiers!$B$50,"")</f>
        <v/>
      </c>
      <c r="B2528" s="18">
        <f>IF($A2528="","",Paramètres!G44)</f>
        <v/>
      </c>
      <c r="C2528" s="18">
        <f>IF($A2528="","",IF(Paramètres!H44="","",Paramètres!H44))</f>
        <v/>
      </c>
      <c r="D2528" s="18">
        <f>IF($A2528="","",IF(Paramètres!I44="","",Paramètres!I44))</f>
        <v/>
      </c>
      <c r="E2528" s="19">
        <f>IF($A2528="","",IF(Paramètres!J44&amp;Paramètres!L44&amp;Paramètres!N44="",Dossiers!$D$50,MAX(IF(Paramètres!J44="",0,IF(Paramètres!K44="",NA(),IF(LEFT(TRIM(Paramètres!K44),1)="F",INDEX($F$2489:$F$2541,MATCH(Paramètres!J44,Paramètres!$G$5:$G$57,0)),INDEX($E$2489:$E$2541,MATCH(Paramètres!J44,Paramètres!$G$5:$G$57,0)))+IF(RIGHT(TRIM(Paramètres!K44),3)="Fin",1-$H2528,IF(LEFT(TRIM(Paramètres!K44),1)="F",1,0)))),IF(Paramètres!L44="",0,IF(Paramètres!M44="",NA(),IF(LEFT(TRIM(Paramètres!M44),1)="F",INDEX($F$2489:$F$2541,MATCH(Paramètres!L44,Paramètres!$G$5:$G$57,0)),INDEX($E$2489:$E$2541,MATCH(Paramètres!L44,Paramètres!$G$5:$G$57,0)))+IF(RIGHT(TRIM(Paramètres!M44),3)="Fin",1-$H2528,IF(LEFT(TRIM(Paramètres!M44),1)="F",1,0)))),IF(Paramètres!N44="",0,IF(Paramètres!O44="",NA(),IF(LEFT(TRIM(Paramètres!O44),1)="F",INDEX($F$2489:$F$2541,MATCH(Paramètres!N44,Paramètres!$G$5:$G$57,0)),INDEX($E$2489:$E$2541,MATCH(Paramètres!N44,Paramètres!$G$5:$G$57,0)))+IF(RIGHT(TRIM(Paramètres!O44),3)="Fin",1-$H2528,IF(LEFT(TRIM(Paramètres!O44),1)="F",1,0)))))))</f>
        <v/>
      </c>
      <c r="F2528" s="19">
        <f>IF($A2528="","",E2528+$H2528-1)</f>
        <v/>
      </c>
      <c r="G2528" s="18" t="n"/>
      <c r="H2528" s="18">
        <f>IF($A2528="","",IF(I2528&lt;&gt;"",I2528,Paramètres!B44))</f>
        <v/>
      </c>
      <c r="I2528" s="18" t="n"/>
    </row>
    <row r="2529">
      <c r="A2529" s="18">
        <f>IF(ISNUMBER(Dossiers!$D$50),Dossiers!$A$50&amp;" · "&amp;Dossiers!$B$50,"")</f>
        <v/>
      </c>
      <c r="B2529" s="18">
        <f>IF($A2529="","",Paramètres!G45)</f>
        <v/>
      </c>
      <c r="C2529" s="20">
        <f>IF($A2529="","",IF(Dossiers!$G$50="","",Dossiers!$G$50))</f>
        <v/>
      </c>
      <c r="D2529" s="18">
        <f>IF($A2529="","",IF(Paramètres!I45="","",Paramètres!I45))</f>
        <v/>
      </c>
      <c r="E2529" s="19">
        <f>IF($A2529="","",IF(Paramètres!J45&amp;Paramètres!L45&amp;Paramètres!N45="",Dossiers!$D$50,MAX(IF(Paramètres!J45="",0,IF(Paramètres!K45="",NA(),IF(LEFT(TRIM(Paramètres!K45),1)="F",INDEX($F$2489:$F$2541,MATCH(Paramètres!J45,Paramètres!$G$5:$G$57,0)),INDEX($E$2489:$E$2541,MATCH(Paramètres!J45,Paramètres!$G$5:$G$57,0)))+IF(RIGHT(TRIM(Paramètres!K45),3)="Fin",1-$H2529,IF(LEFT(TRIM(Paramètres!K45),1)="F",1,0)))),IF(Paramètres!L45="",0,IF(Paramètres!M45="",NA(),IF(LEFT(TRIM(Paramètres!M45),1)="F",INDEX($F$2489:$F$2541,MATCH(Paramètres!L45,Paramètres!$G$5:$G$57,0)),INDEX($E$2489:$E$2541,MATCH(Paramètres!L45,Paramètres!$G$5:$G$57,0)))+IF(RIGHT(TRIM(Paramètres!M45),3)="Fin",1-$H2529,IF(LEFT(TRIM(Paramètres!M45),1)="F",1,0)))),IF(Paramètres!N45="",0,IF(Paramètres!O45="",NA(),IF(LEFT(TRIM(Paramètres!O45),1)="F",INDEX($F$2489:$F$2541,MATCH(Paramètres!N45,Paramètres!$G$5:$G$57,0)),INDEX($E$2489:$E$2541,MATCH(Paramètres!N45,Paramètres!$G$5:$G$57,0)))+IF(RIGHT(TRIM(Paramètres!O45),3)="Fin",1-$H2529,IF(LEFT(TRIM(Paramètres!O45),1)="F",1,0)))))))</f>
        <v/>
      </c>
      <c r="F2529" s="19">
        <f>IF($A2529="","",E2529+$H2529-1)</f>
        <v/>
      </c>
      <c r="G2529" s="18" t="n"/>
      <c r="H2529" s="18">
        <f>IF($A2529="","",IF(I2529&lt;&gt;"",I2529,Paramètres!B45))</f>
        <v/>
      </c>
      <c r="I2529" s="18" t="n"/>
    </row>
    <row r="2530">
      <c r="A2530" s="18">
        <f>IF(ISNUMBER(Dossiers!$D$50),Dossiers!$A$50&amp;" · "&amp;Dossiers!$B$50,"")</f>
        <v/>
      </c>
      <c r="B2530" s="18">
        <f>IF($A2530="","",Paramètres!G46)</f>
        <v/>
      </c>
      <c r="C2530" s="18">
        <f>IF($A2530="","",IF(Paramètres!H46="","",Paramètres!H46))</f>
        <v/>
      </c>
      <c r="D2530" s="18">
        <f>IF($A2530="","",IF(Paramètres!I46="","",Paramètres!I46))</f>
        <v/>
      </c>
      <c r="E2530" s="19">
        <f>IF($A2530="","",IF(Paramètres!J46&amp;Paramètres!L46&amp;Paramètres!N46="",Dossiers!$D$50,MAX(IF(Paramètres!J46="",0,IF(Paramètres!K46="",NA(),IF(LEFT(TRIM(Paramètres!K46),1)="F",INDEX($F$2489:$F$2541,MATCH(Paramètres!J46,Paramètres!$G$5:$G$57,0)),INDEX($E$2489:$E$2541,MATCH(Paramètres!J46,Paramètres!$G$5:$G$57,0)))+IF(RIGHT(TRIM(Paramètres!K46),3)="Fin",1-$H2530,IF(LEFT(TRIM(Paramètres!K46),1)="F",1,0)))),IF(Paramètres!L46="",0,IF(Paramètres!M46="",NA(),IF(LEFT(TRIM(Paramètres!M46),1)="F",INDEX($F$2489:$F$2541,MATCH(Paramètres!L46,Paramètres!$G$5:$G$57,0)),INDEX($E$2489:$E$2541,MATCH(Paramètres!L46,Paramètres!$G$5:$G$57,0)))+IF(RIGHT(TRIM(Paramètres!M46),3)="Fin",1-$H2530,IF(LEFT(TRIM(Paramètres!M46),1)="F",1,0)))),IF(Paramètres!N46="",0,IF(Paramètres!O46="",NA(),IF(LEFT(TRIM(Paramètres!O46),1)="F",INDEX($F$2489:$F$2541,MATCH(Paramètres!N46,Paramètres!$G$5:$G$57,0)),INDEX($E$2489:$E$2541,MATCH(Paramètres!N46,Paramètres!$G$5:$G$57,0)))+IF(RIGHT(TRIM(Paramètres!O46),3)="Fin",1-$H2530,IF(LEFT(TRIM(Paramètres!O46),1)="F",1,0)))))))</f>
        <v/>
      </c>
      <c r="F2530" s="19">
        <f>IF($A2530="","",E2530+$H2530-1)</f>
        <v/>
      </c>
      <c r="G2530" s="18" t="n"/>
      <c r="H2530" s="18">
        <f>IF($A2530="","",IF(I2530&lt;&gt;"",I2530,Paramètres!B46))</f>
        <v/>
      </c>
      <c r="I2530" s="18" t="n"/>
    </row>
    <row r="2531">
      <c r="A2531" s="18">
        <f>IF(ISNUMBER(Dossiers!$D$50),Dossiers!$A$50&amp;" · "&amp;Dossiers!$B$50,"")</f>
        <v/>
      </c>
      <c r="B2531" s="18">
        <f>IF($A2531="","",Paramètres!G47)</f>
        <v/>
      </c>
      <c r="C2531" s="18">
        <f>IF($A2531="","",IF(Paramètres!H47="","",Paramètres!H47))</f>
        <v/>
      </c>
      <c r="D2531" s="18">
        <f>IF($A2531="","",IF(Paramètres!I47="","",Paramètres!I47))</f>
        <v/>
      </c>
      <c r="E2531" s="19">
        <f>IF($A2531="","",IF(Paramètres!J47&amp;Paramètres!L47&amp;Paramètres!N47="",Dossiers!$D$50,MAX(IF(Paramètres!J47="",0,IF(Paramètres!K47="",NA(),IF(LEFT(TRIM(Paramètres!K47),1)="F",INDEX($F$2489:$F$2541,MATCH(Paramètres!J47,Paramètres!$G$5:$G$57,0)),INDEX($E$2489:$E$2541,MATCH(Paramètres!J47,Paramètres!$G$5:$G$57,0)))+IF(RIGHT(TRIM(Paramètres!K47),3)="Fin",1-$H2531,IF(LEFT(TRIM(Paramètres!K47),1)="F",1,0)))),IF(Paramètres!L47="",0,IF(Paramètres!M47="",NA(),IF(LEFT(TRIM(Paramètres!M47),1)="F",INDEX($F$2489:$F$2541,MATCH(Paramètres!L47,Paramètres!$G$5:$G$57,0)),INDEX($E$2489:$E$2541,MATCH(Paramètres!L47,Paramètres!$G$5:$G$57,0)))+IF(RIGHT(TRIM(Paramètres!M47),3)="Fin",1-$H2531,IF(LEFT(TRIM(Paramètres!M47),1)="F",1,0)))),IF(Paramètres!N47="",0,IF(Paramètres!O47="",NA(),IF(LEFT(TRIM(Paramètres!O47),1)="F",INDEX($F$2489:$F$2541,MATCH(Paramètres!N47,Paramètres!$G$5:$G$57,0)),INDEX($E$2489:$E$2541,MATCH(Paramètres!N47,Paramètres!$G$5:$G$57,0)))+IF(RIGHT(TRIM(Paramètres!O47),3)="Fin",1-$H2531,IF(LEFT(TRIM(Paramètres!O47),1)="F",1,0)))))))</f>
        <v/>
      </c>
      <c r="F2531" s="19">
        <f>IF($A2531="","",E2531+$H2531-1)</f>
        <v/>
      </c>
      <c r="G2531" s="18" t="n"/>
      <c r="H2531" s="18">
        <f>IF($A2531="","",IF(I2531&lt;&gt;"",I2531,Paramètres!B47))</f>
        <v/>
      </c>
      <c r="I2531" s="18" t="n"/>
    </row>
    <row r="2532">
      <c r="A2532" s="18">
        <f>IF(ISNUMBER(Dossiers!$D$50),Dossiers!$A$50&amp;" · "&amp;Dossiers!$B$50,"")</f>
        <v/>
      </c>
      <c r="B2532" s="18">
        <f>IF($A2532="","",Paramètres!G48)</f>
        <v/>
      </c>
      <c r="C2532" s="18">
        <f>IF($A2532="","",IF(Paramètres!H48="","",Paramètres!H48))</f>
        <v/>
      </c>
      <c r="D2532" s="18">
        <f>IF($A2532="","",IF(Paramètres!I48="","",Paramètres!I48))</f>
        <v/>
      </c>
      <c r="E2532" s="19">
        <f>IF($A2532="","",IF(Paramètres!J48&amp;Paramètres!L48&amp;Paramètres!N48="",Dossiers!$D$50,MAX(IF(Paramètres!J48="",0,IF(Paramètres!K48="",NA(),IF(LEFT(TRIM(Paramètres!K48),1)="F",INDEX($F$2489:$F$2541,MATCH(Paramètres!J48,Paramètres!$G$5:$G$57,0)),INDEX($E$2489:$E$2541,MATCH(Paramètres!J48,Paramètres!$G$5:$G$57,0)))+IF(RIGHT(TRIM(Paramètres!K48),3)="Fin",1-$H2532,IF(LEFT(TRIM(Paramètres!K48),1)="F",1,0)))),IF(Paramètres!L48="",0,IF(Paramètres!M48="",NA(),IF(LEFT(TRIM(Paramètres!M48),1)="F",INDEX($F$2489:$F$2541,MATCH(Paramètres!L48,Paramètres!$G$5:$G$57,0)),INDEX($E$2489:$E$2541,MATCH(Paramètres!L48,Paramètres!$G$5:$G$57,0)))+IF(RIGHT(TRIM(Paramètres!M48),3)="Fin",1-$H2532,IF(LEFT(TRIM(Paramètres!M48),1)="F",1,0)))),IF(Paramètres!N48="",0,IF(Paramètres!O48="",NA(),IF(LEFT(TRIM(Paramètres!O48),1)="F",INDEX($F$2489:$F$2541,MATCH(Paramètres!N48,Paramètres!$G$5:$G$57,0)),INDEX($E$2489:$E$2541,MATCH(Paramètres!N48,Paramètres!$G$5:$G$57,0)))+IF(RIGHT(TRIM(Paramètres!O48),3)="Fin",1-$H2532,IF(LEFT(TRIM(Paramètres!O48),1)="F",1,0)))))))</f>
        <v/>
      </c>
      <c r="F2532" s="19">
        <f>IF($A2532="","",E2532+$H2532-1)</f>
        <v/>
      </c>
      <c r="G2532" s="18" t="n"/>
      <c r="H2532" s="18">
        <f>IF($A2532="","",IF(I2532&lt;&gt;"",I2532,Paramètres!B48))</f>
        <v/>
      </c>
      <c r="I2532" s="18" t="n"/>
    </row>
    <row r="2533">
      <c r="A2533" s="18">
        <f>IF(ISNUMBER(Dossiers!$D$50),Dossiers!$A$50&amp;" · "&amp;Dossiers!$B$50,"")</f>
        <v/>
      </c>
      <c r="B2533" s="18">
        <f>IF($A2533="","",Paramètres!G49)</f>
        <v/>
      </c>
      <c r="C2533" s="18">
        <f>IF($A2533="","",IF(Paramètres!H49="","",Paramètres!H49))</f>
        <v/>
      </c>
      <c r="D2533" s="18">
        <f>IF($A2533="","",IF(Paramètres!I49="","",Paramètres!I49))</f>
        <v/>
      </c>
      <c r="E2533" s="19">
        <f>IF($A2533="","",IF(Paramètres!J49&amp;Paramètres!L49&amp;Paramètres!N49="",Dossiers!$D$50,MAX(IF(Paramètres!J49="",0,IF(Paramètres!K49="",NA(),IF(LEFT(TRIM(Paramètres!K49),1)="F",INDEX($F$2489:$F$2541,MATCH(Paramètres!J49,Paramètres!$G$5:$G$57,0)),INDEX($E$2489:$E$2541,MATCH(Paramètres!J49,Paramètres!$G$5:$G$57,0)))+IF(RIGHT(TRIM(Paramètres!K49),3)="Fin",1-$H2533,IF(LEFT(TRIM(Paramètres!K49),1)="F",1,0)))),IF(Paramètres!L49="",0,IF(Paramètres!M49="",NA(),IF(LEFT(TRIM(Paramètres!M49),1)="F",INDEX($F$2489:$F$2541,MATCH(Paramètres!L49,Paramètres!$G$5:$G$57,0)),INDEX($E$2489:$E$2541,MATCH(Paramètres!L49,Paramètres!$G$5:$G$57,0)))+IF(RIGHT(TRIM(Paramètres!M49),3)="Fin",1-$H2533,IF(LEFT(TRIM(Paramètres!M49),1)="F",1,0)))),IF(Paramètres!N49="",0,IF(Paramètres!O49="",NA(),IF(LEFT(TRIM(Paramètres!O49),1)="F",INDEX($F$2489:$F$2541,MATCH(Paramètres!N49,Paramètres!$G$5:$G$57,0)),INDEX($E$2489:$E$2541,MATCH(Paramètres!N49,Paramètres!$G$5:$G$57,0)))+IF(RIGHT(TRIM(Paramètres!O49),3)="Fin",1-$H2533,IF(LEFT(TRIM(Paramètres!O49),1)="F",1,0)))))))</f>
        <v/>
      </c>
      <c r="F2533" s="19">
        <f>IF($A2533="","",E2533+$H2533-1)</f>
        <v/>
      </c>
      <c r="G2533" s="18" t="n"/>
      <c r="H2533" s="18">
        <f>IF($A2533="","",IF(I2533&lt;&gt;"",I2533,Paramètres!B49))</f>
        <v/>
      </c>
      <c r="I2533" s="18" t="n"/>
    </row>
    <row r="2534">
      <c r="A2534" s="18">
        <f>IF(ISNUMBER(Dossiers!$D$50),Dossiers!$A$50&amp;" · "&amp;Dossiers!$B$50,"")</f>
        <v/>
      </c>
      <c r="B2534" s="18">
        <f>IF($A2534="","",Paramètres!G50)</f>
        <v/>
      </c>
      <c r="C2534" s="18">
        <f>IF($A2534="","",IF(Paramètres!H50="","",Paramètres!H50))</f>
        <v/>
      </c>
      <c r="D2534" s="18">
        <f>IF($A2534="","",IF(Paramètres!I50="","",Paramètres!I50))</f>
        <v/>
      </c>
      <c r="E2534" s="19">
        <f>IF($A2534="","",IF(Paramètres!J50&amp;Paramètres!L50&amp;Paramètres!N50="",Dossiers!$D$50,MAX(IF(Paramètres!J50="",0,IF(Paramètres!K50="",NA(),IF(LEFT(TRIM(Paramètres!K50),1)="F",INDEX($F$2489:$F$2541,MATCH(Paramètres!J50,Paramètres!$G$5:$G$57,0)),INDEX($E$2489:$E$2541,MATCH(Paramètres!J50,Paramètres!$G$5:$G$57,0)))+IF(RIGHT(TRIM(Paramètres!K50),3)="Fin",1-$H2534,IF(LEFT(TRIM(Paramètres!K50),1)="F",1,0)))),IF(Paramètres!L50="",0,IF(Paramètres!M50="",NA(),IF(LEFT(TRIM(Paramètres!M50),1)="F",INDEX($F$2489:$F$2541,MATCH(Paramètres!L50,Paramètres!$G$5:$G$57,0)),INDEX($E$2489:$E$2541,MATCH(Paramètres!L50,Paramètres!$G$5:$G$57,0)))+IF(RIGHT(TRIM(Paramètres!M50),3)="Fin",1-$H2534,IF(LEFT(TRIM(Paramètres!M50),1)="F",1,0)))),IF(Paramètres!N50="",0,IF(Paramètres!O50="",NA(),IF(LEFT(TRIM(Paramètres!O50),1)="F",INDEX($F$2489:$F$2541,MATCH(Paramètres!N50,Paramètres!$G$5:$G$57,0)),INDEX($E$2489:$E$2541,MATCH(Paramètres!N50,Paramètres!$G$5:$G$57,0)))+IF(RIGHT(TRIM(Paramètres!O50),3)="Fin",1-$H2534,IF(LEFT(TRIM(Paramètres!O50),1)="F",1,0)))))))</f>
        <v/>
      </c>
      <c r="F2534" s="19">
        <f>IF($A2534="","",E2534+$H2534-1)</f>
        <v/>
      </c>
      <c r="G2534" s="18" t="n"/>
      <c r="H2534" s="18">
        <f>IF($A2534="","",IF(I2534&lt;&gt;"",I2534,Paramètres!B50))</f>
        <v/>
      </c>
      <c r="I2534" s="18" t="n"/>
    </row>
    <row r="2535">
      <c r="A2535" s="18">
        <f>IF(ISNUMBER(Dossiers!$D$50),Dossiers!$A$50&amp;" · "&amp;Dossiers!$B$50,"")</f>
        <v/>
      </c>
      <c r="B2535" s="18">
        <f>IF($A2535="","",Paramètres!G51)</f>
        <v/>
      </c>
      <c r="C2535" s="18">
        <f>IF($A2535="","",IF(Paramètres!H51="","",Paramètres!H51))</f>
        <v/>
      </c>
      <c r="D2535" s="18">
        <f>IF($A2535="","",IF(Paramètres!I51="","",Paramètres!I51))</f>
        <v/>
      </c>
      <c r="E2535" s="19">
        <f>IF($A2535="","",IF(Paramètres!J51&amp;Paramètres!L51&amp;Paramètres!N51="",Dossiers!$D$50,MAX(IF(Paramètres!J51="",0,IF(Paramètres!K51="",NA(),IF(LEFT(TRIM(Paramètres!K51),1)="F",INDEX($F$2489:$F$2541,MATCH(Paramètres!J51,Paramètres!$G$5:$G$57,0)),INDEX($E$2489:$E$2541,MATCH(Paramètres!J51,Paramètres!$G$5:$G$57,0)))+IF(RIGHT(TRIM(Paramètres!K51),3)="Fin",1-$H2535,IF(LEFT(TRIM(Paramètres!K51),1)="F",1,0)))),IF(Paramètres!L51="",0,IF(Paramètres!M51="",NA(),IF(LEFT(TRIM(Paramètres!M51),1)="F",INDEX($F$2489:$F$2541,MATCH(Paramètres!L51,Paramètres!$G$5:$G$57,0)),INDEX($E$2489:$E$2541,MATCH(Paramètres!L51,Paramètres!$G$5:$G$57,0)))+IF(RIGHT(TRIM(Paramètres!M51),3)="Fin",1-$H2535,IF(LEFT(TRIM(Paramètres!M51),1)="F",1,0)))),IF(Paramètres!N51="",0,IF(Paramètres!O51="",NA(),IF(LEFT(TRIM(Paramètres!O51),1)="F",INDEX($F$2489:$F$2541,MATCH(Paramètres!N51,Paramètres!$G$5:$G$57,0)),INDEX($E$2489:$E$2541,MATCH(Paramètres!N51,Paramètres!$G$5:$G$57,0)))+IF(RIGHT(TRIM(Paramètres!O51),3)="Fin",1-$H2535,IF(LEFT(TRIM(Paramètres!O51),1)="F",1,0)))))))</f>
        <v/>
      </c>
      <c r="F2535" s="19">
        <f>IF($A2535="","",E2535+$H2535-1)</f>
        <v/>
      </c>
      <c r="G2535" s="18" t="n"/>
      <c r="H2535" s="18">
        <f>IF($A2535="","",IF(I2535&lt;&gt;"",I2535,Paramètres!B51))</f>
        <v/>
      </c>
      <c r="I2535" s="18" t="n"/>
    </row>
    <row r="2536">
      <c r="A2536" s="18">
        <f>IF(ISNUMBER(Dossiers!$D$50),Dossiers!$A$50&amp;" · "&amp;Dossiers!$B$50,"")</f>
        <v/>
      </c>
      <c r="B2536" s="18">
        <f>IF($A2536="","",Paramètres!G52)</f>
        <v/>
      </c>
      <c r="C2536" s="18">
        <f>IF($A2536="","",IF(Paramètres!H52="","",Paramètres!H52))</f>
        <v/>
      </c>
      <c r="D2536" s="18">
        <f>IF($A2536="","",IF(Paramètres!I52="","",Paramètres!I52))</f>
        <v/>
      </c>
      <c r="E2536" s="19">
        <f>IF($A2536="","",IF(Paramètres!J52&amp;Paramètres!L52&amp;Paramètres!N52="",Dossiers!$D$50,MAX(IF(Paramètres!J52="",0,IF(Paramètres!K52="",NA(),IF(LEFT(TRIM(Paramètres!K52),1)="F",INDEX($F$2489:$F$2541,MATCH(Paramètres!J52,Paramètres!$G$5:$G$57,0)),INDEX($E$2489:$E$2541,MATCH(Paramètres!J52,Paramètres!$G$5:$G$57,0)))+IF(RIGHT(TRIM(Paramètres!K52),3)="Fin",1-$H2536,IF(LEFT(TRIM(Paramètres!K52),1)="F",1,0)))),IF(Paramètres!L52="",0,IF(Paramètres!M52="",NA(),IF(LEFT(TRIM(Paramètres!M52),1)="F",INDEX($F$2489:$F$2541,MATCH(Paramètres!L52,Paramètres!$G$5:$G$57,0)),INDEX($E$2489:$E$2541,MATCH(Paramètres!L52,Paramètres!$G$5:$G$57,0)))+IF(RIGHT(TRIM(Paramètres!M52),3)="Fin",1-$H2536,IF(LEFT(TRIM(Paramètres!M52),1)="F",1,0)))),IF(Paramètres!N52="",0,IF(Paramètres!O52="",NA(),IF(LEFT(TRIM(Paramètres!O52),1)="F",INDEX($F$2489:$F$2541,MATCH(Paramètres!N52,Paramètres!$G$5:$G$57,0)),INDEX($E$2489:$E$2541,MATCH(Paramètres!N52,Paramètres!$G$5:$G$57,0)))+IF(RIGHT(TRIM(Paramètres!O52),3)="Fin",1-$H2536,IF(LEFT(TRIM(Paramètres!O52),1)="F",1,0)))))))</f>
        <v/>
      </c>
      <c r="F2536" s="19">
        <f>IF($A2536="","",E2536+$H2536-1)</f>
        <v/>
      </c>
      <c r="G2536" s="18" t="n"/>
      <c r="H2536" s="18">
        <f>IF($A2536="","",IF(I2536&lt;&gt;"",I2536,Paramètres!B52))</f>
        <v/>
      </c>
      <c r="I2536" s="18" t="n"/>
    </row>
    <row r="2537">
      <c r="A2537" s="18">
        <f>IF(ISNUMBER(Dossiers!$D$50),Dossiers!$A$50&amp;" · "&amp;Dossiers!$B$50,"")</f>
        <v/>
      </c>
      <c r="B2537" s="18">
        <f>IF($A2537="","",Paramètres!G53)</f>
        <v/>
      </c>
      <c r="C2537" s="18">
        <f>IF($A2537="","",IF(Paramètres!H53="","",Paramètres!H53))</f>
        <v/>
      </c>
      <c r="D2537" s="18">
        <f>IF($A2537="","",IF(Paramètres!I53="","",Paramètres!I53))</f>
        <v/>
      </c>
      <c r="E2537" s="19">
        <f>IF($A2537="","",IF(Paramètres!J53&amp;Paramètres!L53&amp;Paramètres!N53="",Dossiers!$D$50,MAX(IF(Paramètres!J53="",0,IF(Paramètres!K53="",NA(),IF(LEFT(TRIM(Paramètres!K53),1)="F",INDEX($F$2489:$F$2541,MATCH(Paramètres!J53,Paramètres!$G$5:$G$57,0)),INDEX($E$2489:$E$2541,MATCH(Paramètres!J53,Paramètres!$G$5:$G$57,0)))+IF(RIGHT(TRIM(Paramètres!K53),3)="Fin",1-$H2537,IF(LEFT(TRIM(Paramètres!K53),1)="F",1,0)))),IF(Paramètres!L53="",0,IF(Paramètres!M53="",NA(),IF(LEFT(TRIM(Paramètres!M53),1)="F",INDEX($F$2489:$F$2541,MATCH(Paramètres!L53,Paramètres!$G$5:$G$57,0)),INDEX($E$2489:$E$2541,MATCH(Paramètres!L53,Paramètres!$G$5:$G$57,0)))+IF(RIGHT(TRIM(Paramètres!M53),3)="Fin",1-$H2537,IF(LEFT(TRIM(Paramètres!M53),1)="F",1,0)))),IF(Paramètres!N53="",0,IF(Paramètres!O53="",NA(),IF(LEFT(TRIM(Paramètres!O53),1)="F",INDEX($F$2489:$F$2541,MATCH(Paramètres!N53,Paramètres!$G$5:$G$57,0)),INDEX($E$2489:$E$2541,MATCH(Paramètres!N53,Paramètres!$G$5:$G$57,0)))+IF(RIGHT(TRIM(Paramètres!O53),3)="Fin",1-$H2537,IF(LEFT(TRIM(Paramètres!O53),1)="F",1,0)))))))</f>
        <v/>
      </c>
      <c r="F2537" s="19">
        <f>IF($A2537="","",E2537+$H2537-1)</f>
        <v/>
      </c>
      <c r="G2537" s="18" t="n"/>
      <c r="H2537" s="18">
        <f>IF($A2537="","",IF(I2537&lt;&gt;"",I2537,Paramètres!B53))</f>
        <v/>
      </c>
      <c r="I2537" s="18" t="n"/>
    </row>
    <row r="2538">
      <c r="A2538" s="18">
        <f>IF(ISNUMBER(Dossiers!$D$50),Dossiers!$A$50&amp;" · "&amp;Dossiers!$B$50,"")</f>
        <v/>
      </c>
      <c r="B2538" s="18">
        <f>IF($A2538="","",Paramètres!G54)</f>
        <v/>
      </c>
      <c r="C2538" s="18">
        <f>IF($A2538="","",IF(Paramètres!H54="","",Paramètres!H54))</f>
        <v/>
      </c>
      <c r="D2538" s="18">
        <f>IF($A2538="","",IF(Paramètres!I54="","",Paramètres!I54))</f>
        <v/>
      </c>
      <c r="E2538" s="19">
        <f>IF($A2538="","",IF(Paramètres!J54&amp;Paramètres!L54&amp;Paramètres!N54="",Dossiers!$D$50,MAX(IF(Paramètres!J54="",0,IF(Paramètres!K54="",NA(),IF(LEFT(TRIM(Paramètres!K54),1)="F",INDEX($F$2489:$F$2541,MATCH(Paramètres!J54,Paramètres!$G$5:$G$57,0)),INDEX($E$2489:$E$2541,MATCH(Paramètres!J54,Paramètres!$G$5:$G$57,0)))+IF(RIGHT(TRIM(Paramètres!K54),3)="Fin",1-$H2538,IF(LEFT(TRIM(Paramètres!K54),1)="F",1,0)))),IF(Paramètres!L54="",0,IF(Paramètres!M54="",NA(),IF(LEFT(TRIM(Paramètres!M54),1)="F",INDEX($F$2489:$F$2541,MATCH(Paramètres!L54,Paramètres!$G$5:$G$57,0)),INDEX($E$2489:$E$2541,MATCH(Paramètres!L54,Paramètres!$G$5:$G$57,0)))+IF(RIGHT(TRIM(Paramètres!M54),3)="Fin",1-$H2538,IF(LEFT(TRIM(Paramètres!M54),1)="F",1,0)))),IF(Paramètres!N54="",0,IF(Paramètres!O54="",NA(),IF(LEFT(TRIM(Paramètres!O54),1)="F",INDEX($F$2489:$F$2541,MATCH(Paramètres!N54,Paramètres!$G$5:$G$57,0)),INDEX($E$2489:$E$2541,MATCH(Paramètres!N54,Paramètres!$G$5:$G$57,0)))+IF(RIGHT(TRIM(Paramètres!O54),3)="Fin",1-$H2538,IF(LEFT(TRIM(Paramètres!O54),1)="F",1,0)))))))</f>
        <v/>
      </c>
      <c r="F2538" s="19">
        <f>IF($A2538="","",E2538+$H2538-1)</f>
        <v/>
      </c>
      <c r="G2538" s="18" t="n"/>
      <c r="H2538" s="18">
        <f>IF($A2538="","",IF(I2538&lt;&gt;"",I2538,Paramètres!B54))</f>
        <v/>
      </c>
      <c r="I2538" s="18" t="n"/>
    </row>
    <row r="2539">
      <c r="A2539" s="18">
        <f>IF(ISNUMBER(Dossiers!$D$50),Dossiers!$A$50&amp;" · "&amp;Dossiers!$B$50,"")</f>
        <v/>
      </c>
      <c r="B2539" s="18">
        <f>IF($A2539="","",Paramètres!G55)</f>
        <v/>
      </c>
      <c r="C2539" s="18">
        <f>IF($A2539="","",IF(Paramètres!H55="","",Paramètres!H55))</f>
        <v/>
      </c>
      <c r="D2539" s="18">
        <f>IF($A2539="","",IF(Paramètres!I55="","",Paramètres!I55))</f>
        <v/>
      </c>
      <c r="E2539" s="19">
        <f>IF($A2539="","",IF(Paramètres!J55&amp;Paramètres!L55&amp;Paramètres!N55="",Dossiers!$D$50,MAX(IF(Paramètres!J55="",0,IF(Paramètres!K55="",NA(),IF(LEFT(TRIM(Paramètres!K55),1)="F",INDEX($F$2489:$F$2541,MATCH(Paramètres!J55,Paramètres!$G$5:$G$57,0)),INDEX($E$2489:$E$2541,MATCH(Paramètres!J55,Paramètres!$G$5:$G$57,0)))+IF(RIGHT(TRIM(Paramètres!K55),3)="Fin",1-$H2539,IF(LEFT(TRIM(Paramètres!K55),1)="F",1,0)))),IF(Paramètres!L55="",0,IF(Paramètres!M55="",NA(),IF(LEFT(TRIM(Paramètres!M55),1)="F",INDEX($F$2489:$F$2541,MATCH(Paramètres!L55,Paramètres!$G$5:$G$57,0)),INDEX($E$2489:$E$2541,MATCH(Paramètres!L55,Paramètres!$G$5:$G$57,0)))+IF(RIGHT(TRIM(Paramètres!M55),3)="Fin",1-$H2539,IF(LEFT(TRIM(Paramètres!M55),1)="F",1,0)))),IF(Paramètres!N55="",0,IF(Paramètres!O55="",NA(),IF(LEFT(TRIM(Paramètres!O55),1)="F",INDEX($F$2489:$F$2541,MATCH(Paramètres!N55,Paramètres!$G$5:$G$57,0)),INDEX($E$2489:$E$2541,MATCH(Paramètres!N55,Paramètres!$G$5:$G$57,0)))+IF(RIGHT(TRIM(Paramètres!O55),3)="Fin",1-$H2539,IF(LEFT(TRIM(Paramètres!O55),1)="F",1,0)))))))</f>
        <v/>
      </c>
      <c r="F2539" s="19">
        <f>IF($A2539="","",E2539+$H2539-1)</f>
        <v/>
      </c>
      <c r="G2539" s="18" t="n"/>
      <c r="H2539" s="18">
        <f>IF($A2539="","",IF(I2539&lt;&gt;"",I2539,Paramètres!B55))</f>
        <v/>
      </c>
      <c r="I2539" s="18" t="n"/>
    </row>
    <row r="2540">
      <c r="A2540" s="18">
        <f>IF(ISNUMBER(Dossiers!$D$50),Dossiers!$A$50&amp;" · "&amp;Dossiers!$B$50,"")</f>
        <v/>
      </c>
      <c r="B2540" s="18">
        <f>IF($A2540="","",Paramètres!G56)</f>
        <v/>
      </c>
      <c r="C2540" s="18">
        <f>IF($A2540="","",IF(Paramètres!H56="","",Paramètres!H56))</f>
        <v/>
      </c>
      <c r="D2540" s="18">
        <f>IF($A2540="","",IF(Paramètres!I56="","",Paramètres!I56))</f>
        <v/>
      </c>
      <c r="E2540" s="19">
        <f>IF($A2540="","",MIN(E2541:E2541))</f>
        <v/>
      </c>
      <c r="F2540" s="19">
        <f>IF($A2540="","",MAX(F2541:F2541))</f>
        <v/>
      </c>
      <c r="G2540" s="18" t="n"/>
      <c r="H2540" s="18">
        <f>IF($A2540="","",F2540-E2540+1)</f>
        <v/>
      </c>
      <c r="I2540" s="18" t="n"/>
    </row>
    <row r="2541">
      <c r="A2541" s="18">
        <f>IF(ISNUMBER(Dossiers!$D$50),Dossiers!$A$50&amp;" · "&amp;Dossiers!$B$50,"")</f>
        <v/>
      </c>
      <c r="B2541" s="18">
        <f>IF($A2541="","",Paramètres!G57)</f>
        <v/>
      </c>
      <c r="C2541" s="18">
        <f>IF($A2541="","",IF(Paramètres!H57="","",Paramètres!H57))</f>
        <v/>
      </c>
      <c r="D2541" s="18">
        <f>IF($A2541="","",IF(Paramètres!I57="","",Paramètres!I57))</f>
        <v/>
      </c>
      <c r="E2541" s="19">
        <f>IF($A2541="","",IF(Paramètres!J57&amp;Paramètres!L57&amp;Paramètres!N57="",Dossiers!$D$50,MAX(IF(Paramètres!J57="",0,IF(Paramètres!K57="",NA(),IF(LEFT(TRIM(Paramètres!K57),1)="F",INDEX($F$2489:$F$2541,MATCH(Paramètres!J57,Paramètres!$G$5:$G$57,0)),INDEX($E$2489:$E$2541,MATCH(Paramètres!J57,Paramètres!$G$5:$G$57,0)))+IF(RIGHT(TRIM(Paramètres!K57),3)="Fin",1-$H2541,IF(LEFT(TRIM(Paramètres!K57),1)="F",1,0)))),IF(Paramètres!L57="",0,IF(Paramètres!M57="",NA(),IF(LEFT(TRIM(Paramètres!M57),1)="F",INDEX($F$2489:$F$2541,MATCH(Paramètres!L57,Paramètres!$G$5:$G$57,0)),INDEX($E$2489:$E$2541,MATCH(Paramètres!L57,Paramètres!$G$5:$G$57,0)))+IF(RIGHT(TRIM(Paramètres!M57),3)="Fin",1-$H2541,IF(LEFT(TRIM(Paramètres!M57),1)="F",1,0)))),IF(Paramètres!N57="",0,IF(Paramètres!O57="",NA(),IF(LEFT(TRIM(Paramètres!O57),1)="F",INDEX($F$2489:$F$2541,MATCH(Paramètres!N57,Paramètres!$G$5:$G$57,0)),INDEX($E$2489:$E$2541,MATCH(Paramètres!N57,Paramètres!$G$5:$G$57,0)))+IF(RIGHT(TRIM(Paramètres!O57),3)="Fin",1-$H2541,IF(LEFT(TRIM(Paramètres!O57),1)="F",1,0)))))))</f>
        <v/>
      </c>
      <c r="F2541" s="19">
        <f>IF($A2541="","",E2541+$H2541-1)</f>
        <v/>
      </c>
      <c r="G2541" s="18" t="n"/>
      <c r="H2541" s="18">
        <f>IF($A2541="","",IF(I2541&lt;&gt;"",I2541,Paramètres!B57))</f>
        <v/>
      </c>
      <c r="I2541" s="18" t="n"/>
    </row>
    <row r="2542">
      <c r="A2542" s="16">
        <f>IF(ISNUMBER(Dossiers!$D$51),Dossiers!$E$51,"")</f>
        <v/>
      </c>
      <c r="B2542" s="16">
        <f>IF($A2542="","","Identifiant")</f>
        <v/>
      </c>
      <c r="C2542" s="16">
        <f>IF($A2542="","","Macro Etape")</f>
        <v/>
      </c>
      <c r="D2542" s="16">
        <f>IF($A2542="","","Etape")</f>
        <v/>
      </c>
      <c r="E2542" s="17">
        <f>IF($A2542="","","Début le")</f>
        <v/>
      </c>
      <c r="F2542" s="17">
        <f>IF($A2542="","","Fin prévue le")</f>
        <v/>
      </c>
      <c r="G2542" s="16">
        <f>IF($A2542="","","Statut")</f>
        <v/>
      </c>
      <c r="H2542" s="16">
        <f>IF($A2542="","","Durée (jours)")</f>
        <v/>
      </c>
      <c r="I2542" s="16">
        <f>IF($A2542="","","Durée particulière")</f>
        <v/>
      </c>
      <c r="J2542" s="10">
        <f>IF($A2542="","",HYPERLINK("#'Tableau de bord'!A1","↑ Tableau de bord"))</f>
        <v/>
      </c>
    </row>
    <row r="2543">
      <c r="A2543" s="18">
        <f>IF(ISNUMBER(Dossiers!$D$51),Dossiers!$A$51&amp;" · "&amp;Dossiers!$B$51,"")</f>
        <v/>
      </c>
      <c r="B2543" s="18">
        <f>IF($A2543="","",Paramètres!G5)</f>
        <v/>
      </c>
      <c r="C2543" s="18">
        <f>IF($A2543="","",IF(Paramètres!H5="","",Paramètres!H5))</f>
        <v/>
      </c>
      <c r="D2543" s="18">
        <f>IF($A2543="","",IF(Paramètres!I5="","",Paramètres!I5))</f>
        <v/>
      </c>
      <c r="E2543" s="19">
        <f>IF($A2543="","",MIN(E2544:E2547))</f>
        <v/>
      </c>
      <c r="F2543" s="19">
        <f>IF($A2543="","",MAX(F2544:F2547))</f>
        <v/>
      </c>
      <c r="G2543" s="18" t="n"/>
      <c r="H2543" s="18">
        <f>IF($A2543="","",F2543-E2543+1)</f>
        <v/>
      </c>
      <c r="I2543" s="18" t="n"/>
    </row>
    <row r="2544">
      <c r="A2544" s="18">
        <f>IF(ISNUMBER(Dossiers!$D$51),Dossiers!$A$51&amp;" · "&amp;Dossiers!$B$51,"")</f>
        <v/>
      </c>
      <c r="B2544" s="18">
        <f>IF($A2544="","",Paramètres!G6)</f>
        <v/>
      </c>
      <c r="C2544" s="18">
        <f>IF($A2544="","",IF(Paramètres!H6="","",Paramètres!H6))</f>
        <v/>
      </c>
      <c r="D2544" s="18">
        <f>IF($A2544="","",IF(Paramètres!I6="","",Paramètres!I6))</f>
        <v/>
      </c>
      <c r="E2544" s="19">
        <f>IF($A2544="","",IF(Paramètres!J6&amp;Paramètres!L6&amp;Paramètres!N6="",Dossiers!$D$51,MAX(IF(Paramètres!J6="",0,IF(Paramètres!K6="",NA(),IF(LEFT(TRIM(Paramètres!K6),1)="F",INDEX($F$2543:$F$2595,MATCH(Paramètres!J6,Paramètres!$G$5:$G$57,0)),INDEX($E$2543:$E$2595,MATCH(Paramètres!J6,Paramètres!$G$5:$G$57,0)))+IF(RIGHT(TRIM(Paramètres!K6),3)="Fin",1-$H2544,IF(LEFT(TRIM(Paramètres!K6),1)="F",1,0)))),IF(Paramètres!L6="",0,IF(Paramètres!M6="",NA(),IF(LEFT(TRIM(Paramètres!M6),1)="F",INDEX($F$2543:$F$2595,MATCH(Paramètres!L6,Paramètres!$G$5:$G$57,0)),INDEX($E$2543:$E$2595,MATCH(Paramètres!L6,Paramètres!$G$5:$G$57,0)))+IF(RIGHT(TRIM(Paramètres!M6),3)="Fin",1-$H2544,IF(LEFT(TRIM(Paramètres!M6),1)="F",1,0)))),IF(Paramètres!N6="",0,IF(Paramètres!O6="",NA(),IF(LEFT(TRIM(Paramètres!O6),1)="F",INDEX($F$2543:$F$2595,MATCH(Paramètres!N6,Paramètres!$G$5:$G$57,0)),INDEX($E$2543:$E$2595,MATCH(Paramètres!N6,Paramètres!$G$5:$G$57,0)))+IF(RIGHT(TRIM(Paramètres!O6),3)="Fin",1-$H2544,IF(LEFT(TRIM(Paramètres!O6),1)="F",1,0)))))))</f>
        <v/>
      </c>
      <c r="F2544" s="19">
        <f>IF($A2544="","",E2544+$H2544-1)</f>
        <v/>
      </c>
      <c r="G2544" s="18" t="n"/>
      <c r="H2544" s="18">
        <f>IF($A2544="","",IF(I2544&lt;&gt;"",I2544,Paramètres!B6))</f>
        <v/>
      </c>
      <c r="I2544" s="18" t="n"/>
    </row>
    <row r="2545">
      <c r="A2545" s="18">
        <f>IF(ISNUMBER(Dossiers!$D$51),Dossiers!$A$51&amp;" · "&amp;Dossiers!$B$51,"")</f>
        <v/>
      </c>
      <c r="B2545" s="18">
        <f>IF($A2545="","",Paramètres!G7)</f>
        <v/>
      </c>
      <c r="C2545" s="18">
        <f>IF($A2545="","",IF(Paramètres!H7="","",Paramètres!H7))</f>
        <v/>
      </c>
      <c r="D2545" s="18">
        <f>IF($A2545="","",IF(Paramètres!I7="","",Paramètres!I7))</f>
        <v/>
      </c>
      <c r="E2545" s="19">
        <f>IF($A2545="","",IF(Paramètres!J7&amp;Paramètres!L7&amp;Paramètres!N7="",Dossiers!$D$51,MAX(IF(Paramètres!J7="",0,IF(Paramètres!K7="",NA(),IF(LEFT(TRIM(Paramètres!K7),1)="F",INDEX($F$2543:$F$2595,MATCH(Paramètres!J7,Paramètres!$G$5:$G$57,0)),INDEX($E$2543:$E$2595,MATCH(Paramètres!J7,Paramètres!$G$5:$G$57,0)))+IF(RIGHT(TRIM(Paramètres!K7),3)="Fin",1-$H2545,IF(LEFT(TRIM(Paramètres!K7),1)="F",1,0)))),IF(Paramètres!L7="",0,IF(Paramètres!M7="",NA(),IF(LEFT(TRIM(Paramètres!M7),1)="F",INDEX($F$2543:$F$2595,MATCH(Paramètres!L7,Paramètres!$G$5:$G$57,0)),INDEX($E$2543:$E$2595,MATCH(Paramètres!L7,Paramètres!$G$5:$G$57,0)))+IF(RIGHT(TRIM(Paramètres!M7),3)="Fin",1-$H2545,IF(LEFT(TRIM(Paramètres!M7),1)="F",1,0)))),IF(Paramètres!N7="",0,IF(Paramètres!O7="",NA(),IF(LEFT(TRIM(Paramètres!O7),1)="F",INDEX($F$2543:$F$2595,MATCH(Paramètres!N7,Paramètres!$G$5:$G$57,0)),INDEX($E$2543:$E$2595,MATCH(Paramètres!N7,Paramètres!$G$5:$G$57,0)))+IF(RIGHT(TRIM(Paramètres!O7),3)="Fin",1-$H2545,IF(LEFT(TRIM(Paramètres!O7),1)="F",1,0)))))))</f>
        <v/>
      </c>
      <c r="F2545" s="19">
        <f>IF($A2545="","",E2545+$H2545-1)</f>
        <v/>
      </c>
      <c r="G2545" s="18" t="n"/>
      <c r="H2545" s="18">
        <f>IF($A2545="","",IF(I2545&lt;&gt;"",I2545,Paramètres!B7))</f>
        <v/>
      </c>
      <c r="I2545" s="18" t="n"/>
    </row>
    <row r="2546">
      <c r="A2546" s="18">
        <f>IF(ISNUMBER(Dossiers!$D$51),Dossiers!$A$51&amp;" · "&amp;Dossiers!$B$51,"")</f>
        <v/>
      </c>
      <c r="B2546" s="18">
        <f>IF($A2546="","",Paramètres!G8)</f>
        <v/>
      </c>
      <c r="C2546" s="18">
        <f>IF($A2546="","",IF(Paramètres!H8="","",Paramètres!H8))</f>
        <v/>
      </c>
      <c r="D2546" s="18">
        <f>IF($A2546="","",IF(Paramètres!I8="","",Paramètres!I8))</f>
        <v/>
      </c>
      <c r="E2546" s="19">
        <f>IF($A2546="","",IF(Paramètres!J8&amp;Paramètres!L8&amp;Paramètres!N8="",Dossiers!$D$51,MAX(IF(Paramètres!J8="",0,IF(Paramètres!K8="",NA(),IF(LEFT(TRIM(Paramètres!K8),1)="F",INDEX($F$2543:$F$2595,MATCH(Paramètres!J8,Paramètres!$G$5:$G$57,0)),INDEX($E$2543:$E$2595,MATCH(Paramètres!J8,Paramètres!$G$5:$G$57,0)))+IF(RIGHT(TRIM(Paramètres!K8),3)="Fin",1-$H2546,IF(LEFT(TRIM(Paramètres!K8),1)="F",1,0)))),IF(Paramètres!L8="",0,IF(Paramètres!M8="",NA(),IF(LEFT(TRIM(Paramètres!M8),1)="F",INDEX($F$2543:$F$2595,MATCH(Paramètres!L8,Paramètres!$G$5:$G$57,0)),INDEX($E$2543:$E$2595,MATCH(Paramètres!L8,Paramètres!$G$5:$G$57,0)))+IF(RIGHT(TRIM(Paramètres!M8),3)="Fin",1-$H2546,IF(LEFT(TRIM(Paramètres!M8),1)="F",1,0)))),IF(Paramètres!N8="",0,IF(Paramètres!O8="",NA(),IF(LEFT(TRIM(Paramètres!O8),1)="F",INDEX($F$2543:$F$2595,MATCH(Paramètres!N8,Paramètres!$G$5:$G$57,0)),INDEX($E$2543:$E$2595,MATCH(Paramètres!N8,Paramètres!$G$5:$G$57,0)))+IF(RIGHT(TRIM(Paramètres!O8),3)="Fin",1-$H2546,IF(LEFT(TRIM(Paramètres!O8),1)="F",1,0)))))))</f>
        <v/>
      </c>
      <c r="F2546" s="19">
        <f>IF($A2546="","",E2546+$H2546-1)</f>
        <v/>
      </c>
      <c r="G2546" s="18" t="n"/>
      <c r="H2546" s="18">
        <f>IF($A2546="","",IF(I2546&lt;&gt;"",I2546,Paramètres!B8))</f>
        <v/>
      </c>
      <c r="I2546" s="18" t="n"/>
    </row>
    <row r="2547">
      <c r="A2547" s="18">
        <f>IF(ISNUMBER(Dossiers!$D$51),Dossiers!$A$51&amp;" · "&amp;Dossiers!$B$51,"")</f>
        <v/>
      </c>
      <c r="B2547" s="18">
        <f>IF($A2547="","",Paramètres!G9)</f>
        <v/>
      </c>
      <c r="C2547" s="18">
        <f>IF($A2547="","",IF(Paramètres!H9="","",Paramètres!H9))</f>
        <v/>
      </c>
      <c r="D2547" s="18">
        <f>IF($A2547="","",IF(Paramètres!I9="","",Paramètres!I9))</f>
        <v/>
      </c>
      <c r="E2547" s="19">
        <f>IF($A2547="","",IF(Paramètres!J9&amp;Paramètres!L9&amp;Paramètres!N9="",Dossiers!$D$51,MAX(IF(Paramètres!J9="",0,IF(Paramètres!K9="",NA(),IF(LEFT(TRIM(Paramètres!K9),1)="F",INDEX($F$2543:$F$2595,MATCH(Paramètres!J9,Paramètres!$G$5:$G$57,0)),INDEX($E$2543:$E$2595,MATCH(Paramètres!J9,Paramètres!$G$5:$G$57,0)))+IF(RIGHT(TRIM(Paramètres!K9),3)="Fin",1-$H2547,IF(LEFT(TRIM(Paramètres!K9),1)="F",1,0)))),IF(Paramètres!L9="",0,IF(Paramètres!M9="",NA(),IF(LEFT(TRIM(Paramètres!M9),1)="F",INDEX($F$2543:$F$2595,MATCH(Paramètres!L9,Paramètres!$G$5:$G$57,0)),INDEX($E$2543:$E$2595,MATCH(Paramètres!L9,Paramètres!$G$5:$G$57,0)))+IF(RIGHT(TRIM(Paramètres!M9),3)="Fin",1-$H2547,IF(LEFT(TRIM(Paramètres!M9),1)="F",1,0)))),IF(Paramètres!N9="",0,IF(Paramètres!O9="",NA(),IF(LEFT(TRIM(Paramètres!O9),1)="F",INDEX($F$2543:$F$2595,MATCH(Paramètres!N9,Paramètres!$G$5:$G$57,0)),INDEX($E$2543:$E$2595,MATCH(Paramètres!N9,Paramètres!$G$5:$G$57,0)))+IF(RIGHT(TRIM(Paramètres!O9),3)="Fin",1-$H2547,IF(LEFT(TRIM(Paramètres!O9),1)="F",1,0)))))))</f>
        <v/>
      </c>
      <c r="F2547" s="19">
        <f>IF($A2547="","",E2547+$H2547-1)</f>
        <v/>
      </c>
      <c r="G2547" s="18" t="n"/>
      <c r="H2547" s="18">
        <f>IF($A2547="","",IF(I2547&lt;&gt;"",I2547,Paramètres!B9))</f>
        <v/>
      </c>
      <c r="I2547" s="18" t="n"/>
    </row>
    <row r="2548">
      <c r="A2548" s="18">
        <f>IF(ISNUMBER(Dossiers!$D$51),Dossiers!$A$51&amp;" · "&amp;Dossiers!$B$51,"")</f>
        <v/>
      </c>
      <c r="B2548" s="18">
        <f>IF($A2548="","",Paramètres!G10)</f>
        <v/>
      </c>
      <c r="C2548" s="18">
        <f>IF($A2548="","",IF(Paramètres!H10="","",Paramètres!H10))</f>
        <v/>
      </c>
      <c r="D2548" s="18">
        <f>IF($A2548="","",IF(Paramètres!I10="","",Paramètres!I10))</f>
        <v/>
      </c>
      <c r="E2548" s="19">
        <f>IF($A2548="","",MIN(E2549:E2552))</f>
        <v/>
      </c>
      <c r="F2548" s="19">
        <f>IF($A2548="","",MAX(F2549:F2552))</f>
        <v/>
      </c>
      <c r="G2548" s="18" t="n"/>
      <c r="H2548" s="18">
        <f>IF($A2548="","",F2548-E2548+1)</f>
        <v/>
      </c>
      <c r="I2548" s="18" t="n"/>
    </row>
    <row r="2549">
      <c r="A2549" s="18">
        <f>IF(ISNUMBER(Dossiers!$D$51),Dossiers!$A$51&amp;" · "&amp;Dossiers!$B$51,"")</f>
        <v/>
      </c>
      <c r="B2549" s="18">
        <f>IF($A2549="","",Paramètres!G11)</f>
        <v/>
      </c>
      <c r="C2549" s="18">
        <f>IF($A2549="","",IF(Paramètres!H11="","",Paramètres!H11))</f>
        <v/>
      </c>
      <c r="D2549" s="18">
        <f>IF($A2549="","",IF(Paramètres!I11="","",Paramètres!I11))</f>
        <v/>
      </c>
      <c r="E2549" s="19">
        <f>IF($A2549="","",IF(Paramètres!J11&amp;Paramètres!L11&amp;Paramètres!N11="",Dossiers!$D$51,MAX(IF(Paramètres!J11="",0,IF(Paramètres!K11="",NA(),IF(LEFT(TRIM(Paramètres!K11),1)="F",INDEX($F$2543:$F$2595,MATCH(Paramètres!J11,Paramètres!$G$5:$G$57,0)),INDEX($E$2543:$E$2595,MATCH(Paramètres!J11,Paramètres!$G$5:$G$57,0)))+IF(RIGHT(TRIM(Paramètres!K11),3)="Fin",1-$H2549,IF(LEFT(TRIM(Paramètres!K11),1)="F",1,0)))),IF(Paramètres!L11="",0,IF(Paramètres!M11="",NA(),IF(LEFT(TRIM(Paramètres!M11),1)="F",INDEX($F$2543:$F$2595,MATCH(Paramètres!L11,Paramètres!$G$5:$G$57,0)),INDEX($E$2543:$E$2595,MATCH(Paramètres!L11,Paramètres!$G$5:$G$57,0)))+IF(RIGHT(TRIM(Paramètres!M11),3)="Fin",1-$H2549,IF(LEFT(TRIM(Paramètres!M11),1)="F",1,0)))),IF(Paramètres!N11="",0,IF(Paramètres!O11="",NA(),IF(LEFT(TRIM(Paramètres!O11),1)="F",INDEX($F$2543:$F$2595,MATCH(Paramètres!N11,Paramètres!$G$5:$G$57,0)),INDEX($E$2543:$E$2595,MATCH(Paramètres!N11,Paramètres!$G$5:$G$57,0)))+IF(RIGHT(TRIM(Paramètres!O11),3)="Fin",1-$H2549,IF(LEFT(TRIM(Paramètres!O11),1)="F",1,0)))))))</f>
        <v/>
      </c>
      <c r="F2549" s="19">
        <f>IF($A2549="","",E2549+$H2549-1)</f>
        <v/>
      </c>
      <c r="G2549" s="18" t="n"/>
      <c r="H2549" s="18">
        <f>IF($A2549="","",IF(I2549&lt;&gt;"",I2549,Paramètres!B11))</f>
        <v/>
      </c>
      <c r="I2549" s="18" t="n"/>
    </row>
    <row r="2550">
      <c r="A2550" s="18">
        <f>IF(ISNUMBER(Dossiers!$D$51),Dossiers!$A$51&amp;" · "&amp;Dossiers!$B$51,"")</f>
        <v/>
      </c>
      <c r="B2550" s="18">
        <f>IF($A2550="","",Paramètres!G12)</f>
        <v/>
      </c>
      <c r="C2550" s="18">
        <f>IF($A2550="","",IF(Paramètres!H12="","",Paramètres!H12))</f>
        <v/>
      </c>
      <c r="D2550" s="18">
        <f>IF($A2550="","",IF(Paramètres!I12="","",Paramètres!I12))</f>
        <v/>
      </c>
      <c r="E2550" s="19">
        <f>IF($A2550="","",IF(Paramètres!J12&amp;Paramètres!L12&amp;Paramètres!N12="",Dossiers!$D$51,MAX(IF(Paramètres!J12="",0,IF(Paramètres!K12="",NA(),IF(LEFT(TRIM(Paramètres!K12),1)="F",INDEX($F$2543:$F$2595,MATCH(Paramètres!J12,Paramètres!$G$5:$G$57,0)),INDEX($E$2543:$E$2595,MATCH(Paramètres!J12,Paramètres!$G$5:$G$57,0)))+IF(RIGHT(TRIM(Paramètres!K12),3)="Fin",1-$H2550,IF(LEFT(TRIM(Paramètres!K12),1)="F",1,0)))),IF(Paramètres!L12="",0,IF(Paramètres!M12="",NA(),IF(LEFT(TRIM(Paramètres!M12),1)="F",INDEX($F$2543:$F$2595,MATCH(Paramètres!L12,Paramètres!$G$5:$G$57,0)),INDEX($E$2543:$E$2595,MATCH(Paramètres!L12,Paramètres!$G$5:$G$57,0)))+IF(RIGHT(TRIM(Paramètres!M12),3)="Fin",1-$H2550,IF(LEFT(TRIM(Paramètres!M12),1)="F",1,0)))),IF(Paramètres!N12="",0,IF(Paramètres!O12="",NA(),IF(LEFT(TRIM(Paramètres!O12),1)="F",INDEX($F$2543:$F$2595,MATCH(Paramètres!N12,Paramètres!$G$5:$G$57,0)),INDEX($E$2543:$E$2595,MATCH(Paramètres!N12,Paramètres!$G$5:$G$57,0)))+IF(RIGHT(TRIM(Paramètres!O12),3)="Fin",1-$H2550,IF(LEFT(TRIM(Paramètres!O12),1)="F",1,0)))))))</f>
        <v/>
      </c>
      <c r="F2550" s="19">
        <f>IF($A2550="","",E2550+$H2550-1)</f>
        <v/>
      </c>
      <c r="G2550" s="18" t="n"/>
      <c r="H2550" s="18">
        <f>IF($A2550="","",IF(I2550&lt;&gt;"",I2550,Paramètres!B12))</f>
        <v/>
      </c>
      <c r="I2550" s="18" t="n"/>
    </row>
    <row r="2551">
      <c r="A2551" s="18">
        <f>IF(ISNUMBER(Dossiers!$D$51),Dossiers!$A$51&amp;" · "&amp;Dossiers!$B$51,"")</f>
        <v/>
      </c>
      <c r="B2551" s="18">
        <f>IF($A2551="","",Paramètres!G13)</f>
        <v/>
      </c>
      <c r="C2551" s="18">
        <f>IF($A2551="","",IF(Paramètres!H13="","",Paramètres!H13))</f>
        <v/>
      </c>
      <c r="D2551" s="18">
        <f>IF($A2551="","",IF(Paramètres!I13="","",Paramètres!I13))</f>
        <v/>
      </c>
      <c r="E2551" s="19">
        <f>IF($A2551="","",IF(Paramètres!J13&amp;Paramètres!L13&amp;Paramètres!N13="",Dossiers!$D$51,MAX(IF(Paramètres!J13="",0,IF(Paramètres!K13="",NA(),IF(LEFT(TRIM(Paramètres!K13),1)="F",INDEX($F$2543:$F$2595,MATCH(Paramètres!J13,Paramètres!$G$5:$G$57,0)),INDEX($E$2543:$E$2595,MATCH(Paramètres!J13,Paramètres!$G$5:$G$57,0)))+IF(RIGHT(TRIM(Paramètres!K13),3)="Fin",1-$H2551,IF(LEFT(TRIM(Paramètres!K13),1)="F",1,0)))),IF(Paramètres!L13="",0,IF(Paramètres!M13="",NA(),IF(LEFT(TRIM(Paramètres!M13),1)="F",INDEX($F$2543:$F$2595,MATCH(Paramètres!L13,Paramètres!$G$5:$G$57,0)),INDEX($E$2543:$E$2595,MATCH(Paramètres!L13,Paramètres!$G$5:$G$57,0)))+IF(RIGHT(TRIM(Paramètres!M13),3)="Fin",1-$H2551,IF(LEFT(TRIM(Paramètres!M13),1)="F",1,0)))),IF(Paramètres!N13="",0,IF(Paramètres!O13="",NA(),IF(LEFT(TRIM(Paramètres!O13),1)="F",INDEX($F$2543:$F$2595,MATCH(Paramètres!N13,Paramètres!$G$5:$G$57,0)),INDEX($E$2543:$E$2595,MATCH(Paramètres!N13,Paramètres!$G$5:$G$57,0)))+IF(RIGHT(TRIM(Paramètres!O13),3)="Fin",1-$H2551,IF(LEFT(TRIM(Paramètres!O13),1)="F",1,0)))))))</f>
        <v/>
      </c>
      <c r="F2551" s="19">
        <f>IF($A2551="","",E2551+$H2551-1)</f>
        <v/>
      </c>
      <c r="G2551" s="18" t="n"/>
      <c r="H2551" s="18">
        <f>IF($A2551="","",IF(I2551&lt;&gt;"",I2551,Paramètres!B13))</f>
        <v/>
      </c>
      <c r="I2551" s="18" t="n"/>
    </row>
    <row r="2552">
      <c r="A2552" s="18">
        <f>IF(ISNUMBER(Dossiers!$D$51),Dossiers!$A$51&amp;" · "&amp;Dossiers!$B$51,"")</f>
        <v/>
      </c>
      <c r="B2552" s="18">
        <f>IF($A2552="","",Paramètres!G14)</f>
        <v/>
      </c>
      <c r="C2552" s="18">
        <f>IF($A2552="","",IF(Paramètres!H14="","",Paramètres!H14))</f>
        <v/>
      </c>
      <c r="D2552" s="18">
        <f>IF($A2552="","",IF(Paramètres!I14="","",Paramètres!I14))</f>
        <v/>
      </c>
      <c r="E2552" s="19">
        <f>IF($A2552="","",IF(Paramètres!J14&amp;Paramètres!L14&amp;Paramètres!N14="",Dossiers!$D$51,MAX(IF(Paramètres!J14="",0,IF(Paramètres!K14="",NA(),IF(LEFT(TRIM(Paramètres!K14),1)="F",INDEX($F$2543:$F$2595,MATCH(Paramètres!J14,Paramètres!$G$5:$G$57,0)),INDEX($E$2543:$E$2595,MATCH(Paramètres!J14,Paramètres!$G$5:$G$57,0)))+IF(RIGHT(TRIM(Paramètres!K14),3)="Fin",1-$H2552,IF(LEFT(TRIM(Paramètres!K14),1)="F",1,0)))),IF(Paramètres!L14="",0,IF(Paramètres!M14="",NA(),IF(LEFT(TRIM(Paramètres!M14),1)="F",INDEX($F$2543:$F$2595,MATCH(Paramètres!L14,Paramètres!$G$5:$G$57,0)),INDEX($E$2543:$E$2595,MATCH(Paramètres!L14,Paramètres!$G$5:$G$57,0)))+IF(RIGHT(TRIM(Paramètres!M14),3)="Fin",1-$H2552,IF(LEFT(TRIM(Paramètres!M14),1)="F",1,0)))),IF(Paramètres!N14="",0,IF(Paramètres!O14="",NA(),IF(LEFT(TRIM(Paramètres!O14),1)="F",INDEX($F$2543:$F$2595,MATCH(Paramètres!N14,Paramètres!$G$5:$G$57,0)),INDEX($E$2543:$E$2595,MATCH(Paramètres!N14,Paramètres!$G$5:$G$57,0)))+IF(RIGHT(TRIM(Paramètres!O14),3)="Fin",1-$H2552,IF(LEFT(TRIM(Paramètres!O14),1)="F",1,0)))))))</f>
        <v/>
      </c>
      <c r="F2552" s="19">
        <f>IF($A2552="","",E2552+$H2552-1)</f>
        <v/>
      </c>
      <c r="G2552" s="18" t="n"/>
      <c r="H2552" s="18">
        <f>IF($A2552="","",IF(I2552&lt;&gt;"",I2552,Paramètres!B14))</f>
        <v/>
      </c>
      <c r="I2552" s="18" t="n"/>
    </row>
    <row r="2553">
      <c r="A2553" s="18">
        <f>IF(ISNUMBER(Dossiers!$D$51),Dossiers!$A$51&amp;" · "&amp;Dossiers!$B$51,"")</f>
        <v/>
      </c>
      <c r="B2553" s="18">
        <f>IF($A2553="","",Paramètres!G15)</f>
        <v/>
      </c>
      <c r="C2553" s="18">
        <f>IF($A2553="","",IF(Paramètres!H15="","",Paramètres!H15))</f>
        <v/>
      </c>
      <c r="D2553" s="18">
        <f>IF($A2553="","",IF(Paramètres!I15="","",Paramètres!I15))</f>
        <v/>
      </c>
      <c r="E2553" s="19">
        <f>IF($A2553="","",MIN(E2554:E2569))</f>
        <v/>
      </c>
      <c r="F2553" s="19">
        <f>IF($A2553="","",MAX(F2554:F2569))</f>
        <v/>
      </c>
      <c r="G2553" s="18" t="n"/>
      <c r="H2553" s="18">
        <f>IF($A2553="","",F2553-E2553+1)</f>
        <v/>
      </c>
      <c r="I2553" s="18" t="n"/>
    </row>
    <row r="2554">
      <c r="A2554" s="18">
        <f>IF(ISNUMBER(Dossiers!$D$51),Dossiers!$A$51&amp;" · "&amp;Dossiers!$B$51,"")</f>
        <v/>
      </c>
      <c r="B2554" s="18">
        <f>IF($A2554="","",Paramètres!G16)</f>
        <v/>
      </c>
      <c r="C2554" s="18">
        <f>IF($A2554="","",IF(Paramètres!H16="","",Paramètres!H16))</f>
        <v/>
      </c>
      <c r="D2554" s="18">
        <f>IF($A2554="","",IF(Paramètres!I16="","",Paramètres!I16))</f>
        <v/>
      </c>
      <c r="E2554" s="19">
        <f>IF($A2554="","",IF(Paramètres!J16&amp;Paramètres!L16&amp;Paramètres!N16="",Dossiers!$D$51,MAX(IF(Paramètres!J16="",0,IF(Paramètres!K16="",NA(),IF(LEFT(TRIM(Paramètres!K16),1)="F",INDEX($F$2543:$F$2595,MATCH(Paramètres!J16,Paramètres!$G$5:$G$57,0)),INDEX($E$2543:$E$2595,MATCH(Paramètres!J16,Paramètres!$G$5:$G$57,0)))+IF(RIGHT(TRIM(Paramètres!K16),3)="Fin",1-$H2554,IF(LEFT(TRIM(Paramètres!K16),1)="F",1,0)))),IF(Paramètres!L16="",0,IF(Paramètres!M16="",NA(),IF(LEFT(TRIM(Paramètres!M16),1)="F",INDEX($F$2543:$F$2595,MATCH(Paramètres!L16,Paramètres!$G$5:$G$57,0)),INDEX($E$2543:$E$2595,MATCH(Paramètres!L16,Paramètres!$G$5:$G$57,0)))+IF(RIGHT(TRIM(Paramètres!M16),3)="Fin",1-$H2554,IF(LEFT(TRIM(Paramètres!M16),1)="F",1,0)))),IF(Paramètres!N16="",0,IF(Paramètres!O16="",NA(),IF(LEFT(TRIM(Paramètres!O16),1)="F",INDEX($F$2543:$F$2595,MATCH(Paramètres!N16,Paramètres!$G$5:$G$57,0)),INDEX($E$2543:$E$2595,MATCH(Paramètres!N16,Paramètres!$G$5:$G$57,0)))+IF(RIGHT(TRIM(Paramètres!O16),3)="Fin",1-$H2554,IF(LEFT(TRIM(Paramètres!O16),1)="F",1,0)))))))</f>
        <v/>
      </c>
      <c r="F2554" s="19">
        <f>IF($A2554="","",E2554+$H2554-1)</f>
        <v/>
      </c>
      <c r="G2554" s="18" t="n"/>
      <c r="H2554" s="18">
        <f>IF($A2554="","",IF(I2554&lt;&gt;"",I2554,Paramètres!B16))</f>
        <v/>
      </c>
      <c r="I2554" s="18" t="n"/>
    </row>
    <row r="2555">
      <c r="A2555" s="18">
        <f>IF(ISNUMBER(Dossiers!$D$51),Dossiers!$A$51&amp;" · "&amp;Dossiers!$B$51,"")</f>
        <v/>
      </c>
      <c r="B2555" s="18">
        <f>IF($A2555="","",Paramètres!G17)</f>
        <v/>
      </c>
      <c r="C2555" s="18">
        <f>IF($A2555="","",IF(Paramètres!H17="","",Paramètres!H17))</f>
        <v/>
      </c>
      <c r="D2555" s="18">
        <f>IF($A2555="","",IF(Paramètres!I17="","",Paramètres!I17))</f>
        <v/>
      </c>
      <c r="E2555" s="19">
        <f>IF($A2555="","",IF(Paramètres!J17&amp;Paramètres!L17&amp;Paramètres!N17="",Dossiers!$D$51,MAX(IF(Paramètres!J17="",0,IF(Paramètres!K17="",NA(),IF(LEFT(TRIM(Paramètres!K17),1)="F",INDEX($F$2543:$F$2595,MATCH(Paramètres!J17,Paramètres!$G$5:$G$57,0)),INDEX($E$2543:$E$2595,MATCH(Paramètres!J17,Paramètres!$G$5:$G$57,0)))+IF(RIGHT(TRIM(Paramètres!K17),3)="Fin",1-$H2555,IF(LEFT(TRIM(Paramètres!K17),1)="F",1,0)))),IF(Paramètres!L17="",0,IF(Paramètres!M17="",NA(),IF(LEFT(TRIM(Paramètres!M17),1)="F",INDEX($F$2543:$F$2595,MATCH(Paramètres!L17,Paramètres!$G$5:$G$57,0)),INDEX($E$2543:$E$2595,MATCH(Paramètres!L17,Paramètres!$G$5:$G$57,0)))+IF(RIGHT(TRIM(Paramètres!M17),3)="Fin",1-$H2555,IF(LEFT(TRIM(Paramètres!M17),1)="F",1,0)))),IF(Paramètres!N17="",0,IF(Paramètres!O17="",NA(),IF(LEFT(TRIM(Paramètres!O17),1)="F",INDEX($F$2543:$F$2595,MATCH(Paramètres!N17,Paramètres!$G$5:$G$57,0)),INDEX($E$2543:$E$2595,MATCH(Paramètres!N17,Paramètres!$G$5:$G$57,0)))+IF(RIGHT(TRIM(Paramètres!O17),3)="Fin",1-$H2555,IF(LEFT(TRIM(Paramètres!O17),1)="F",1,0)))))))</f>
        <v/>
      </c>
      <c r="F2555" s="19">
        <f>IF($A2555="","",E2555+$H2555-1)</f>
        <v/>
      </c>
      <c r="G2555" s="18" t="n"/>
      <c r="H2555" s="18">
        <f>IF($A2555="","",IF(I2555&lt;&gt;"",I2555,Paramètres!B17))</f>
        <v/>
      </c>
      <c r="I2555" s="18" t="n"/>
    </row>
    <row r="2556">
      <c r="A2556" s="18">
        <f>IF(ISNUMBER(Dossiers!$D$51),Dossiers!$A$51&amp;" · "&amp;Dossiers!$B$51,"")</f>
        <v/>
      </c>
      <c r="B2556" s="18">
        <f>IF($A2556="","",Paramètres!G18)</f>
        <v/>
      </c>
      <c r="C2556" s="18">
        <f>IF($A2556="","",IF(Paramètres!H18="","",Paramètres!H18))</f>
        <v/>
      </c>
      <c r="D2556" s="18">
        <f>IF($A2556="","",IF(Paramètres!I18="","",Paramètres!I18))</f>
        <v/>
      </c>
      <c r="E2556" s="19">
        <f>IF($A2556="","",IF(Paramètres!J18&amp;Paramètres!L18&amp;Paramètres!N18="",Dossiers!$D$51,MAX(IF(Paramètres!J18="",0,IF(Paramètres!K18="",NA(),IF(LEFT(TRIM(Paramètres!K18),1)="F",INDEX($F$2543:$F$2595,MATCH(Paramètres!J18,Paramètres!$G$5:$G$57,0)),INDEX($E$2543:$E$2595,MATCH(Paramètres!J18,Paramètres!$G$5:$G$57,0)))+IF(RIGHT(TRIM(Paramètres!K18),3)="Fin",1-$H2556,IF(LEFT(TRIM(Paramètres!K18),1)="F",1,0)))),IF(Paramètres!L18="",0,IF(Paramètres!M18="",NA(),IF(LEFT(TRIM(Paramètres!M18),1)="F",INDEX($F$2543:$F$2595,MATCH(Paramètres!L18,Paramètres!$G$5:$G$57,0)),INDEX($E$2543:$E$2595,MATCH(Paramètres!L18,Paramètres!$G$5:$G$57,0)))+IF(RIGHT(TRIM(Paramètres!M18),3)="Fin",1-$H2556,IF(LEFT(TRIM(Paramètres!M18),1)="F",1,0)))),IF(Paramètres!N18="",0,IF(Paramètres!O18="",NA(),IF(LEFT(TRIM(Paramètres!O18),1)="F",INDEX($F$2543:$F$2595,MATCH(Paramètres!N18,Paramètres!$G$5:$G$57,0)),INDEX($E$2543:$E$2595,MATCH(Paramètres!N18,Paramètres!$G$5:$G$57,0)))+IF(RIGHT(TRIM(Paramètres!O18),3)="Fin",1-$H2556,IF(LEFT(TRIM(Paramètres!O18),1)="F",1,0)))))))</f>
        <v/>
      </c>
      <c r="F2556" s="19">
        <f>IF($A2556="","",E2556+$H2556-1)</f>
        <v/>
      </c>
      <c r="G2556" s="18" t="n"/>
      <c r="H2556" s="18">
        <f>IF($A2556="","",IF(I2556&lt;&gt;"",I2556,Paramètres!B18))</f>
        <v/>
      </c>
      <c r="I2556" s="18" t="n"/>
    </row>
    <row r="2557">
      <c r="A2557" s="18">
        <f>IF(ISNUMBER(Dossiers!$D$51),Dossiers!$A$51&amp;" · "&amp;Dossiers!$B$51,"")</f>
        <v/>
      </c>
      <c r="B2557" s="18">
        <f>IF($A2557="","",Paramètres!G19)</f>
        <v/>
      </c>
      <c r="C2557" s="18">
        <f>IF($A2557="","",IF(Paramètres!H19="","",Paramètres!H19))</f>
        <v/>
      </c>
      <c r="D2557" s="18">
        <f>IF($A2557="","",IF(Paramètres!I19="","",Paramètres!I19))</f>
        <v/>
      </c>
      <c r="E2557" s="19">
        <f>IF($A2557="","",IF(Paramètres!J19&amp;Paramètres!L19&amp;Paramètres!N19="",Dossiers!$D$51,MAX(IF(Paramètres!J19="",0,IF(Paramètres!K19="",NA(),IF(LEFT(TRIM(Paramètres!K19),1)="F",INDEX($F$2543:$F$2595,MATCH(Paramètres!J19,Paramètres!$G$5:$G$57,0)),INDEX($E$2543:$E$2595,MATCH(Paramètres!J19,Paramètres!$G$5:$G$57,0)))+IF(RIGHT(TRIM(Paramètres!K19),3)="Fin",1-$H2557,IF(LEFT(TRIM(Paramètres!K19),1)="F",1,0)))),IF(Paramètres!L19="",0,IF(Paramètres!M19="",NA(),IF(LEFT(TRIM(Paramètres!M19),1)="F",INDEX($F$2543:$F$2595,MATCH(Paramètres!L19,Paramètres!$G$5:$G$57,0)),INDEX($E$2543:$E$2595,MATCH(Paramètres!L19,Paramètres!$G$5:$G$57,0)))+IF(RIGHT(TRIM(Paramètres!M19),3)="Fin",1-$H2557,IF(LEFT(TRIM(Paramètres!M19),1)="F",1,0)))),IF(Paramètres!N19="",0,IF(Paramètres!O19="",NA(),IF(LEFT(TRIM(Paramètres!O19),1)="F",INDEX($F$2543:$F$2595,MATCH(Paramètres!N19,Paramètres!$G$5:$G$57,0)),INDEX($E$2543:$E$2595,MATCH(Paramètres!N19,Paramètres!$G$5:$G$57,0)))+IF(RIGHT(TRIM(Paramètres!O19),3)="Fin",1-$H2557,IF(LEFT(TRIM(Paramètres!O19),1)="F",1,0)))))))</f>
        <v/>
      </c>
      <c r="F2557" s="19">
        <f>IF($A2557="","",E2557+$H2557-1)</f>
        <v/>
      </c>
      <c r="G2557" s="18" t="n"/>
      <c r="H2557" s="18">
        <f>IF($A2557="","",IF(I2557&lt;&gt;"",I2557,Paramètres!B19))</f>
        <v/>
      </c>
      <c r="I2557" s="18" t="n"/>
    </row>
    <row r="2558">
      <c r="A2558" s="18">
        <f>IF(ISNUMBER(Dossiers!$D$51),Dossiers!$A$51&amp;" · "&amp;Dossiers!$B$51,"")</f>
        <v/>
      </c>
      <c r="B2558" s="18">
        <f>IF($A2558="","",Paramètres!G20)</f>
        <v/>
      </c>
      <c r="C2558" s="18">
        <f>IF($A2558="","",IF(Paramètres!H20="","",Paramètres!H20))</f>
        <v/>
      </c>
      <c r="D2558" s="18">
        <f>IF($A2558="","",IF(Paramètres!I20="","",Paramètres!I20))</f>
        <v/>
      </c>
      <c r="E2558" s="19">
        <f>IF($A2558="","",IF(Paramètres!J20&amp;Paramètres!L20&amp;Paramètres!N20="",Dossiers!$D$51,MAX(IF(Paramètres!J20="",0,IF(Paramètres!K20="",NA(),IF(LEFT(TRIM(Paramètres!K20),1)="F",INDEX($F$2543:$F$2595,MATCH(Paramètres!J20,Paramètres!$G$5:$G$57,0)),INDEX($E$2543:$E$2595,MATCH(Paramètres!J20,Paramètres!$G$5:$G$57,0)))+IF(RIGHT(TRIM(Paramètres!K20),3)="Fin",1-$H2558,IF(LEFT(TRIM(Paramètres!K20),1)="F",1,0)))),IF(Paramètres!L20="",0,IF(Paramètres!M20="",NA(),IF(LEFT(TRIM(Paramètres!M20),1)="F",INDEX($F$2543:$F$2595,MATCH(Paramètres!L20,Paramètres!$G$5:$G$57,0)),INDEX($E$2543:$E$2595,MATCH(Paramètres!L20,Paramètres!$G$5:$G$57,0)))+IF(RIGHT(TRIM(Paramètres!M20),3)="Fin",1-$H2558,IF(LEFT(TRIM(Paramètres!M20),1)="F",1,0)))),IF(Paramètres!N20="",0,IF(Paramètres!O20="",NA(),IF(LEFT(TRIM(Paramètres!O20),1)="F",INDEX($F$2543:$F$2595,MATCH(Paramètres!N20,Paramètres!$G$5:$G$57,0)),INDEX($E$2543:$E$2595,MATCH(Paramètres!N20,Paramètres!$G$5:$G$57,0)))+IF(RIGHT(TRIM(Paramètres!O20),3)="Fin",1-$H2558,IF(LEFT(TRIM(Paramètres!O20),1)="F",1,0)))))))</f>
        <v/>
      </c>
      <c r="F2558" s="19">
        <f>IF($A2558="","",E2558+$H2558-1)</f>
        <v/>
      </c>
      <c r="G2558" s="18" t="n"/>
      <c r="H2558" s="18">
        <f>IF($A2558="","",IF(I2558&lt;&gt;"",I2558,Paramètres!B20))</f>
        <v/>
      </c>
      <c r="I2558" s="18" t="n"/>
    </row>
    <row r="2559">
      <c r="A2559" s="18">
        <f>IF(ISNUMBER(Dossiers!$D$51),Dossiers!$A$51&amp;" · "&amp;Dossiers!$B$51,"")</f>
        <v/>
      </c>
      <c r="B2559" s="18">
        <f>IF($A2559="","",Paramètres!G21)</f>
        <v/>
      </c>
      <c r="C2559" s="18">
        <f>IF($A2559="","",IF(Paramètres!H21="","",Paramètres!H21))</f>
        <v/>
      </c>
      <c r="D2559" s="18">
        <f>IF($A2559="","",IF(Paramètres!I21="","",Paramètres!I21))</f>
        <v/>
      </c>
      <c r="E2559" s="19">
        <f>IF($A2559="","",IF(Paramètres!J21&amp;Paramètres!L21&amp;Paramètres!N21="",Dossiers!$D$51,MAX(IF(Paramètres!J21="",0,IF(Paramètres!K21="",NA(),IF(LEFT(TRIM(Paramètres!K21),1)="F",INDEX($F$2543:$F$2595,MATCH(Paramètres!J21,Paramètres!$G$5:$G$57,0)),INDEX($E$2543:$E$2595,MATCH(Paramètres!J21,Paramètres!$G$5:$G$57,0)))+IF(RIGHT(TRIM(Paramètres!K21),3)="Fin",1-$H2559,IF(LEFT(TRIM(Paramètres!K21),1)="F",1,0)))),IF(Paramètres!L21="",0,IF(Paramètres!M21="",NA(),IF(LEFT(TRIM(Paramètres!M21),1)="F",INDEX($F$2543:$F$2595,MATCH(Paramètres!L21,Paramètres!$G$5:$G$57,0)),INDEX($E$2543:$E$2595,MATCH(Paramètres!L21,Paramètres!$G$5:$G$57,0)))+IF(RIGHT(TRIM(Paramètres!M21),3)="Fin",1-$H2559,IF(LEFT(TRIM(Paramètres!M21),1)="F",1,0)))),IF(Paramètres!N21="",0,IF(Paramètres!O21="",NA(),IF(LEFT(TRIM(Paramètres!O21),1)="F",INDEX($F$2543:$F$2595,MATCH(Paramètres!N21,Paramètres!$G$5:$G$57,0)),INDEX($E$2543:$E$2595,MATCH(Paramètres!N21,Paramètres!$G$5:$G$57,0)))+IF(RIGHT(TRIM(Paramètres!O21),3)="Fin",1-$H2559,IF(LEFT(TRIM(Paramètres!O21),1)="F",1,0)))))))</f>
        <v/>
      </c>
      <c r="F2559" s="19">
        <f>IF($A2559="","",E2559+$H2559-1)</f>
        <v/>
      </c>
      <c r="G2559" s="18" t="n"/>
      <c r="H2559" s="18">
        <f>IF($A2559="","",IF(I2559&lt;&gt;"",I2559,Paramètres!B21))</f>
        <v/>
      </c>
      <c r="I2559" s="18" t="n"/>
    </row>
    <row r="2560">
      <c r="A2560" s="18">
        <f>IF(ISNUMBER(Dossiers!$D$51),Dossiers!$A$51&amp;" · "&amp;Dossiers!$B$51,"")</f>
        <v/>
      </c>
      <c r="B2560" s="18">
        <f>IF($A2560="","",Paramètres!G22)</f>
        <v/>
      </c>
      <c r="C2560" s="18">
        <f>IF($A2560="","",IF(Paramètres!H22="","",Paramètres!H22))</f>
        <v/>
      </c>
      <c r="D2560" s="18">
        <f>IF($A2560="","",IF(Paramètres!I22="","",Paramètres!I22))</f>
        <v/>
      </c>
      <c r="E2560" s="19">
        <f>IF($A2560="","",IF(Paramètres!J22&amp;Paramètres!L22&amp;Paramètres!N22="",Dossiers!$D$51,MAX(IF(Paramètres!J22="",0,IF(Paramètres!K22="",NA(),IF(LEFT(TRIM(Paramètres!K22),1)="F",INDEX($F$2543:$F$2595,MATCH(Paramètres!J22,Paramètres!$G$5:$G$57,0)),INDEX($E$2543:$E$2595,MATCH(Paramètres!J22,Paramètres!$G$5:$G$57,0)))+IF(RIGHT(TRIM(Paramètres!K22),3)="Fin",1-$H2560,IF(LEFT(TRIM(Paramètres!K22),1)="F",1,0)))),IF(Paramètres!L22="",0,IF(Paramètres!M22="",NA(),IF(LEFT(TRIM(Paramètres!M22),1)="F",INDEX($F$2543:$F$2595,MATCH(Paramètres!L22,Paramètres!$G$5:$G$57,0)),INDEX($E$2543:$E$2595,MATCH(Paramètres!L22,Paramètres!$G$5:$G$57,0)))+IF(RIGHT(TRIM(Paramètres!M22),3)="Fin",1-$H2560,IF(LEFT(TRIM(Paramètres!M22),1)="F",1,0)))),IF(Paramètres!N22="",0,IF(Paramètres!O22="",NA(),IF(LEFT(TRIM(Paramètres!O22),1)="F",INDEX($F$2543:$F$2595,MATCH(Paramètres!N22,Paramètres!$G$5:$G$57,0)),INDEX($E$2543:$E$2595,MATCH(Paramètres!N22,Paramètres!$G$5:$G$57,0)))+IF(RIGHT(TRIM(Paramètres!O22),3)="Fin",1-$H2560,IF(LEFT(TRIM(Paramètres!O22),1)="F",1,0)))))))</f>
        <v/>
      </c>
      <c r="F2560" s="19">
        <f>IF($A2560="","",E2560+$H2560-1)</f>
        <v/>
      </c>
      <c r="G2560" s="18" t="n"/>
      <c r="H2560" s="18">
        <f>IF($A2560="","",IF(I2560&lt;&gt;"",I2560,Paramètres!B22))</f>
        <v/>
      </c>
      <c r="I2560" s="18" t="n"/>
    </row>
    <row r="2561">
      <c r="A2561" s="18">
        <f>IF(ISNUMBER(Dossiers!$D$51),Dossiers!$A$51&amp;" · "&amp;Dossiers!$B$51,"")</f>
        <v/>
      </c>
      <c r="B2561" s="18">
        <f>IF($A2561="","",Paramètres!G23)</f>
        <v/>
      </c>
      <c r="C2561" s="18">
        <f>IF($A2561="","",IF(Paramètres!H23="","",Paramètres!H23))</f>
        <v/>
      </c>
      <c r="D2561" s="18">
        <f>IF($A2561="","",IF(Paramètres!I23="","",Paramètres!I23))</f>
        <v/>
      </c>
      <c r="E2561" s="19">
        <f>IF($A2561="","",IF(Paramètres!J23&amp;Paramètres!L23&amp;Paramètres!N23="",Dossiers!$D$51,MAX(IF(Paramètres!J23="",0,IF(Paramètres!K23="",NA(),IF(LEFT(TRIM(Paramètres!K23),1)="F",INDEX($F$2543:$F$2595,MATCH(Paramètres!J23,Paramètres!$G$5:$G$57,0)),INDEX($E$2543:$E$2595,MATCH(Paramètres!J23,Paramètres!$G$5:$G$57,0)))+IF(RIGHT(TRIM(Paramètres!K23),3)="Fin",1-$H2561,IF(LEFT(TRIM(Paramètres!K23),1)="F",1,0)))),IF(Paramètres!L23="",0,IF(Paramètres!M23="",NA(),IF(LEFT(TRIM(Paramètres!M23),1)="F",INDEX($F$2543:$F$2595,MATCH(Paramètres!L23,Paramètres!$G$5:$G$57,0)),INDEX($E$2543:$E$2595,MATCH(Paramètres!L23,Paramètres!$G$5:$G$57,0)))+IF(RIGHT(TRIM(Paramètres!M23),3)="Fin",1-$H2561,IF(LEFT(TRIM(Paramètres!M23),1)="F",1,0)))),IF(Paramètres!N23="",0,IF(Paramètres!O23="",NA(),IF(LEFT(TRIM(Paramètres!O23),1)="F",INDEX($F$2543:$F$2595,MATCH(Paramètres!N23,Paramètres!$G$5:$G$57,0)),INDEX($E$2543:$E$2595,MATCH(Paramètres!N23,Paramètres!$G$5:$G$57,0)))+IF(RIGHT(TRIM(Paramètres!O23),3)="Fin",1-$H2561,IF(LEFT(TRIM(Paramètres!O23),1)="F",1,0)))))))</f>
        <v/>
      </c>
      <c r="F2561" s="19">
        <f>IF($A2561="","",E2561+$H2561-1)</f>
        <v/>
      </c>
      <c r="G2561" s="18" t="n"/>
      <c r="H2561" s="18">
        <f>IF($A2561="","",IF(I2561&lt;&gt;"",I2561,Paramètres!B23))</f>
        <v/>
      </c>
      <c r="I2561" s="18" t="n"/>
    </row>
    <row r="2562">
      <c r="A2562" s="18">
        <f>IF(ISNUMBER(Dossiers!$D$51),Dossiers!$A$51&amp;" · "&amp;Dossiers!$B$51,"")</f>
        <v/>
      </c>
      <c r="B2562" s="18">
        <f>IF($A2562="","",Paramètres!G24)</f>
        <v/>
      </c>
      <c r="C2562" s="18">
        <f>IF($A2562="","",IF(Paramètres!H24="","",Paramètres!H24))</f>
        <v/>
      </c>
      <c r="D2562" s="18">
        <f>IF($A2562="","",IF(Paramètres!I24="","",Paramètres!I24))</f>
        <v/>
      </c>
      <c r="E2562" s="19">
        <f>IF($A2562="","",IF(Paramètres!J24&amp;Paramètres!L24&amp;Paramètres!N24="",Dossiers!$D$51,MAX(IF(Paramètres!J24="",0,IF(Paramètres!K24="",NA(),IF(LEFT(TRIM(Paramètres!K24),1)="F",INDEX($F$2543:$F$2595,MATCH(Paramètres!J24,Paramètres!$G$5:$G$57,0)),INDEX($E$2543:$E$2595,MATCH(Paramètres!J24,Paramètres!$G$5:$G$57,0)))+IF(RIGHT(TRIM(Paramètres!K24),3)="Fin",1-$H2562,IF(LEFT(TRIM(Paramètres!K24),1)="F",1,0)))),IF(Paramètres!L24="",0,IF(Paramètres!M24="",NA(),IF(LEFT(TRIM(Paramètres!M24),1)="F",INDEX($F$2543:$F$2595,MATCH(Paramètres!L24,Paramètres!$G$5:$G$57,0)),INDEX($E$2543:$E$2595,MATCH(Paramètres!L24,Paramètres!$G$5:$G$57,0)))+IF(RIGHT(TRIM(Paramètres!M24),3)="Fin",1-$H2562,IF(LEFT(TRIM(Paramètres!M24),1)="F",1,0)))),IF(Paramètres!N24="",0,IF(Paramètres!O24="",NA(),IF(LEFT(TRIM(Paramètres!O24),1)="F",INDEX($F$2543:$F$2595,MATCH(Paramètres!N24,Paramètres!$G$5:$G$57,0)),INDEX($E$2543:$E$2595,MATCH(Paramètres!N24,Paramètres!$G$5:$G$57,0)))+IF(RIGHT(TRIM(Paramètres!O24),3)="Fin",1-$H2562,IF(LEFT(TRIM(Paramètres!O24),1)="F",1,0)))))))</f>
        <v/>
      </c>
      <c r="F2562" s="19">
        <f>IF($A2562="","",E2562+$H2562-1)</f>
        <v/>
      </c>
      <c r="G2562" s="18" t="n"/>
      <c r="H2562" s="18">
        <f>IF($A2562="","",IF(I2562&lt;&gt;"",I2562,Paramètres!B24))</f>
        <v/>
      </c>
      <c r="I2562" s="18" t="n"/>
    </row>
    <row r="2563">
      <c r="A2563" s="18">
        <f>IF(ISNUMBER(Dossiers!$D$51),Dossiers!$A$51&amp;" · "&amp;Dossiers!$B$51,"")</f>
        <v/>
      </c>
      <c r="B2563" s="18">
        <f>IF($A2563="","",Paramètres!G25)</f>
        <v/>
      </c>
      <c r="C2563" s="18">
        <f>IF($A2563="","",IF(Paramètres!H25="","",Paramètres!H25))</f>
        <v/>
      </c>
      <c r="D2563" s="18">
        <f>IF($A2563="","",IF(Paramètres!I25="","",Paramètres!I25))</f>
        <v/>
      </c>
      <c r="E2563" s="19">
        <f>IF($A2563="","",IF(Paramètres!J25&amp;Paramètres!L25&amp;Paramètres!N25="",Dossiers!$D$51,MAX(IF(Paramètres!J25="",0,IF(Paramètres!K25="",NA(),IF(LEFT(TRIM(Paramètres!K25),1)="F",INDEX($F$2543:$F$2595,MATCH(Paramètres!J25,Paramètres!$G$5:$G$57,0)),INDEX($E$2543:$E$2595,MATCH(Paramètres!J25,Paramètres!$G$5:$G$57,0)))+IF(RIGHT(TRIM(Paramètres!K25),3)="Fin",1-$H2563,IF(LEFT(TRIM(Paramètres!K25),1)="F",1,0)))),IF(Paramètres!L25="",0,IF(Paramètres!M25="",NA(),IF(LEFT(TRIM(Paramètres!M25),1)="F",INDEX($F$2543:$F$2595,MATCH(Paramètres!L25,Paramètres!$G$5:$G$57,0)),INDEX($E$2543:$E$2595,MATCH(Paramètres!L25,Paramètres!$G$5:$G$57,0)))+IF(RIGHT(TRIM(Paramètres!M25),3)="Fin",1-$H2563,IF(LEFT(TRIM(Paramètres!M25),1)="F",1,0)))),IF(Paramètres!N25="",0,IF(Paramètres!O25="",NA(),IF(LEFT(TRIM(Paramètres!O25),1)="F",INDEX($F$2543:$F$2595,MATCH(Paramètres!N25,Paramètres!$G$5:$G$57,0)),INDEX($E$2543:$E$2595,MATCH(Paramètres!N25,Paramètres!$G$5:$G$57,0)))+IF(RIGHT(TRIM(Paramètres!O25),3)="Fin",1-$H2563,IF(LEFT(TRIM(Paramètres!O25),1)="F",1,0)))))))</f>
        <v/>
      </c>
      <c r="F2563" s="19">
        <f>IF($A2563="","",E2563+$H2563-1)</f>
        <v/>
      </c>
      <c r="G2563" s="18" t="n"/>
      <c r="H2563" s="18">
        <f>IF($A2563="","",IF(I2563&lt;&gt;"",I2563,Paramètres!B25))</f>
        <v/>
      </c>
      <c r="I2563" s="18" t="n"/>
    </row>
    <row r="2564">
      <c r="A2564" s="18">
        <f>IF(ISNUMBER(Dossiers!$D$51),Dossiers!$A$51&amp;" · "&amp;Dossiers!$B$51,"")</f>
        <v/>
      </c>
      <c r="B2564" s="18">
        <f>IF($A2564="","",Paramètres!G26)</f>
        <v/>
      </c>
      <c r="C2564" s="18">
        <f>IF($A2564="","",IF(Paramètres!H26="","",Paramètres!H26))</f>
        <v/>
      </c>
      <c r="D2564" s="18">
        <f>IF($A2564="","",IF(Paramètres!I26="","",Paramètres!I26))</f>
        <v/>
      </c>
      <c r="E2564" s="19">
        <f>IF($A2564="","",IF(Paramètres!J26&amp;Paramètres!L26&amp;Paramètres!N26="",Dossiers!$D$51,MAX(IF(Paramètres!J26="",0,IF(Paramètres!K26="",NA(),IF(LEFT(TRIM(Paramètres!K26),1)="F",INDEX($F$2543:$F$2595,MATCH(Paramètres!J26,Paramètres!$G$5:$G$57,0)),INDEX($E$2543:$E$2595,MATCH(Paramètres!J26,Paramètres!$G$5:$G$57,0)))+IF(RIGHT(TRIM(Paramètres!K26),3)="Fin",1-$H2564,IF(LEFT(TRIM(Paramètres!K26),1)="F",1,0)))),IF(Paramètres!L26="",0,IF(Paramètres!M26="",NA(),IF(LEFT(TRIM(Paramètres!M26),1)="F",INDEX($F$2543:$F$2595,MATCH(Paramètres!L26,Paramètres!$G$5:$G$57,0)),INDEX($E$2543:$E$2595,MATCH(Paramètres!L26,Paramètres!$G$5:$G$57,0)))+IF(RIGHT(TRIM(Paramètres!M26),3)="Fin",1-$H2564,IF(LEFT(TRIM(Paramètres!M26),1)="F",1,0)))),IF(Paramètres!N26="",0,IF(Paramètres!O26="",NA(),IF(LEFT(TRIM(Paramètres!O26),1)="F",INDEX($F$2543:$F$2595,MATCH(Paramètres!N26,Paramètres!$G$5:$G$57,0)),INDEX($E$2543:$E$2595,MATCH(Paramètres!N26,Paramètres!$G$5:$G$57,0)))+IF(RIGHT(TRIM(Paramètres!O26),3)="Fin",1-$H2564,IF(LEFT(TRIM(Paramètres!O26),1)="F",1,0)))))))</f>
        <v/>
      </c>
      <c r="F2564" s="19">
        <f>IF($A2564="","",E2564+$H2564-1)</f>
        <v/>
      </c>
      <c r="G2564" s="18" t="n"/>
      <c r="H2564" s="18">
        <f>IF($A2564="","",IF(I2564&lt;&gt;"",I2564,Paramètres!B26))</f>
        <v/>
      </c>
      <c r="I2564" s="18" t="n"/>
    </row>
    <row r="2565">
      <c r="A2565" s="18">
        <f>IF(ISNUMBER(Dossiers!$D$51),Dossiers!$A$51&amp;" · "&amp;Dossiers!$B$51,"")</f>
        <v/>
      </c>
      <c r="B2565" s="18">
        <f>IF($A2565="","",Paramètres!G27)</f>
        <v/>
      </c>
      <c r="C2565" s="18">
        <f>IF($A2565="","",IF(Paramètres!H27="","",Paramètres!H27))</f>
        <v/>
      </c>
      <c r="D2565" s="18">
        <f>IF($A2565="","",IF(Paramètres!I27="","",Paramètres!I27))</f>
        <v/>
      </c>
      <c r="E2565" s="19">
        <f>IF($A2565="","",IF(Paramètres!J27&amp;Paramètres!L27&amp;Paramètres!N27="",Dossiers!$D$51,MAX(IF(Paramètres!J27="",0,IF(Paramètres!K27="",NA(),IF(LEFT(TRIM(Paramètres!K27),1)="F",INDEX($F$2543:$F$2595,MATCH(Paramètres!J27,Paramètres!$G$5:$G$57,0)),INDEX($E$2543:$E$2595,MATCH(Paramètres!J27,Paramètres!$G$5:$G$57,0)))+IF(RIGHT(TRIM(Paramètres!K27),3)="Fin",1-$H2565,IF(LEFT(TRIM(Paramètres!K27),1)="F",1,0)))),IF(Paramètres!L27="",0,IF(Paramètres!M27="",NA(),IF(LEFT(TRIM(Paramètres!M27),1)="F",INDEX($F$2543:$F$2595,MATCH(Paramètres!L27,Paramètres!$G$5:$G$57,0)),INDEX($E$2543:$E$2595,MATCH(Paramètres!L27,Paramètres!$G$5:$G$57,0)))+IF(RIGHT(TRIM(Paramètres!M27),3)="Fin",1-$H2565,IF(LEFT(TRIM(Paramètres!M27),1)="F",1,0)))),IF(Paramètres!N27="",0,IF(Paramètres!O27="",NA(),IF(LEFT(TRIM(Paramètres!O27),1)="F",INDEX($F$2543:$F$2595,MATCH(Paramètres!N27,Paramètres!$G$5:$G$57,0)),INDEX($E$2543:$E$2595,MATCH(Paramètres!N27,Paramètres!$G$5:$G$57,0)))+IF(RIGHT(TRIM(Paramètres!O27),3)="Fin",1-$H2565,IF(LEFT(TRIM(Paramètres!O27),1)="F",1,0)))))))</f>
        <v/>
      </c>
      <c r="F2565" s="19">
        <f>IF($A2565="","",E2565+$H2565-1)</f>
        <v/>
      </c>
      <c r="G2565" s="18" t="n"/>
      <c r="H2565" s="18">
        <f>IF($A2565="","",IF(I2565&lt;&gt;"",I2565,Paramètres!B27))</f>
        <v/>
      </c>
      <c r="I2565" s="18" t="n"/>
    </row>
    <row r="2566">
      <c r="A2566" s="18">
        <f>IF(ISNUMBER(Dossiers!$D$51),Dossiers!$A$51&amp;" · "&amp;Dossiers!$B$51,"")</f>
        <v/>
      </c>
      <c r="B2566" s="18">
        <f>IF($A2566="","",Paramètres!G28)</f>
        <v/>
      </c>
      <c r="C2566" s="18">
        <f>IF($A2566="","",IF(Paramètres!H28="","",Paramètres!H28))</f>
        <v/>
      </c>
      <c r="D2566" s="18">
        <f>IF($A2566="","",IF(Paramètres!I28="","",Paramètres!I28))</f>
        <v/>
      </c>
      <c r="E2566" s="19">
        <f>IF($A2566="","",IF(Paramètres!J28&amp;Paramètres!L28&amp;Paramètres!N28="",Dossiers!$D$51,MAX(IF(Paramètres!J28="",0,IF(Paramètres!K28="",NA(),IF(LEFT(TRIM(Paramètres!K28),1)="F",INDEX($F$2543:$F$2595,MATCH(Paramètres!J28,Paramètres!$G$5:$G$57,0)),INDEX($E$2543:$E$2595,MATCH(Paramètres!J28,Paramètres!$G$5:$G$57,0)))+IF(RIGHT(TRIM(Paramètres!K28),3)="Fin",1-$H2566,IF(LEFT(TRIM(Paramètres!K28),1)="F",1,0)))),IF(Paramètres!L28="",0,IF(Paramètres!M28="",NA(),IF(LEFT(TRIM(Paramètres!M28),1)="F",INDEX($F$2543:$F$2595,MATCH(Paramètres!L28,Paramètres!$G$5:$G$57,0)),INDEX($E$2543:$E$2595,MATCH(Paramètres!L28,Paramètres!$G$5:$G$57,0)))+IF(RIGHT(TRIM(Paramètres!M28),3)="Fin",1-$H2566,IF(LEFT(TRIM(Paramètres!M28),1)="F",1,0)))),IF(Paramètres!N28="",0,IF(Paramètres!O28="",NA(),IF(LEFT(TRIM(Paramètres!O28),1)="F",INDEX($F$2543:$F$2595,MATCH(Paramètres!N28,Paramètres!$G$5:$G$57,0)),INDEX($E$2543:$E$2595,MATCH(Paramètres!N28,Paramètres!$G$5:$G$57,0)))+IF(RIGHT(TRIM(Paramètres!O28),3)="Fin",1-$H2566,IF(LEFT(TRIM(Paramètres!O28),1)="F",1,0)))))))</f>
        <v/>
      </c>
      <c r="F2566" s="19">
        <f>IF($A2566="","",E2566+$H2566-1)</f>
        <v/>
      </c>
      <c r="G2566" s="18" t="n"/>
      <c r="H2566" s="18">
        <f>IF($A2566="","",IF(I2566&lt;&gt;"",I2566,Paramètres!B28))</f>
        <v/>
      </c>
      <c r="I2566" s="18" t="n"/>
    </row>
    <row r="2567">
      <c r="A2567" s="18">
        <f>IF(ISNUMBER(Dossiers!$D$51),Dossiers!$A$51&amp;" · "&amp;Dossiers!$B$51,"")</f>
        <v/>
      </c>
      <c r="B2567" s="18">
        <f>IF($A2567="","",Paramètres!G29)</f>
        <v/>
      </c>
      <c r="C2567" s="18">
        <f>IF($A2567="","",IF(Paramètres!H29="","",Paramètres!H29))</f>
        <v/>
      </c>
      <c r="D2567" s="18">
        <f>IF($A2567="","",IF(Paramètres!I29="","",Paramètres!I29))</f>
        <v/>
      </c>
      <c r="E2567" s="19">
        <f>IF($A2567="","",IF(Paramètres!J29&amp;Paramètres!L29&amp;Paramètres!N29="",Dossiers!$D$51,MAX(IF(Paramètres!J29="",0,IF(Paramètres!K29="",NA(),IF(LEFT(TRIM(Paramètres!K29),1)="F",INDEX($F$2543:$F$2595,MATCH(Paramètres!J29,Paramètres!$G$5:$G$57,0)),INDEX($E$2543:$E$2595,MATCH(Paramètres!J29,Paramètres!$G$5:$G$57,0)))+IF(RIGHT(TRIM(Paramètres!K29),3)="Fin",1-$H2567,IF(LEFT(TRIM(Paramètres!K29),1)="F",1,0)))),IF(Paramètres!L29="",0,IF(Paramètres!M29="",NA(),IF(LEFT(TRIM(Paramètres!M29),1)="F",INDEX($F$2543:$F$2595,MATCH(Paramètres!L29,Paramètres!$G$5:$G$57,0)),INDEX($E$2543:$E$2595,MATCH(Paramètres!L29,Paramètres!$G$5:$G$57,0)))+IF(RIGHT(TRIM(Paramètres!M29),3)="Fin",1-$H2567,IF(LEFT(TRIM(Paramètres!M29),1)="F",1,0)))),IF(Paramètres!N29="",0,IF(Paramètres!O29="",NA(),IF(LEFT(TRIM(Paramètres!O29),1)="F",INDEX($F$2543:$F$2595,MATCH(Paramètres!N29,Paramètres!$G$5:$G$57,0)),INDEX($E$2543:$E$2595,MATCH(Paramètres!N29,Paramètres!$G$5:$G$57,0)))+IF(RIGHT(TRIM(Paramètres!O29),3)="Fin",1-$H2567,IF(LEFT(TRIM(Paramètres!O29),1)="F",1,0)))))))</f>
        <v/>
      </c>
      <c r="F2567" s="19">
        <f>IF($A2567="","",E2567+$H2567-1)</f>
        <v/>
      </c>
      <c r="G2567" s="18" t="n"/>
      <c r="H2567" s="18">
        <f>IF($A2567="","",IF(I2567&lt;&gt;"",I2567,Paramètres!B29))</f>
        <v/>
      </c>
      <c r="I2567" s="18" t="n"/>
    </row>
    <row r="2568">
      <c r="A2568" s="18">
        <f>IF(ISNUMBER(Dossiers!$D$51),Dossiers!$A$51&amp;" · "&amp;Dossiers!$B$51,"")</f>
        <v/>
      </c>
      <c r="B2568" s="18">
        <f>IF($A2568="","",Paramètres!G30)</f>
        <v/>
      </c>
      <c r="C2568" s="18">
        <f>IF($A2568="","",IF(Paramètres!H30="","",Paramètres!H30))</f>
        <v/>
      </c>
      <c r="D2568" s="18">
        <f>IF($A2568="","",IF(Paramètres!I30="","",Paramètres!I30))</f>
        <v/>
      </c>
      <c r="E2568" s="19">
        <f>IF($A2568="","",IF(Paramètres!J30&amp;Paramètres!L30&amp;Paramètres!N30="",Dossiers!$D$51,MAX(IF(Paramètres!J30="",0,IF(Paramètres!K30="",NA(),IF(LEFT(TRIM(Paramètres!K30),1)="F",INDEX($F$2543:$F$2595,MATCH(Paramètres!J30,Paramètres!$G$5:$G$57,0)),INDEX($E$2543:$E$2595,MATCH(Paramètres!J30,Paramètres!$G$5:$G$57,0)))+IF(RIGHT(TRIM(Paramètres!K30),3)="Fin",1-$H2568,IF(LEFT(TRIM(Paramètres!K30),1)="F",1,0)))),IF(Paramètres!L30="",0,IF(Paramètres!M30="",NA(),IF(LEFT(TRIM(Paramètres!M30),1)="F",INDEX($F$2543:$F$2595,MATCH(Paramètres!L30,Paramètres!$G$5:$G$57,0)),INDEX($E$2543:$E$2595,MATCH(Paramètres!L30,Paramètres!$G$5:$G$57,0)))+IF(RIGHT(TRIM(Paramètres!M30),3)="Fin",1-$H2568,IF(LEFT(TRIM(Paramètres!M30),1)="F",1,0)))),IF(Paramètres!N30="",0,IF(Paramètres!O30="",NA(),IF(LEFT(TRIM(Paramètres!O30),1)="F",INDEX($F$2543:$F$2595,MATCH(Paramètres!N30,Paramètres!$G$5:$G$57,0)),INDEX($E$2543:$E$2595,MATCH(Paramètres!N30,Paramètres!$G$5:$G$57,0)))+IF(RIGHT(TRIM(Paramètres!O30),3)="Fin",1-$H2568,IF(LEFT(TRIM(Paramètres!O30),1)="F",1,0)))))))</f>
        <v/>
      </c>
      <c r="F2568" s="19">
        <f>IF($A2568="","",E2568+$H2568-1)</f>
        <v/>
      </c>
      <c r="G2568" s="18" t="n"/>
      <c r="H2568" s="18">
        <f>IF($A2568="","",IF(I2568&lt;&gt;"",I2568,Paramètres!B30))</f>
        <v/>
      </c>
      <c r="I2568" s="18" t="n"/>
    </row>
    <row r="2569">
      <c r="A2569" s="18">
        <f>IF(ISNUMBER(Dossiers!$D$51),Dossiers!$A$51&amp;" · "&amp;Dossiers!$B$51,"")</f>
        <v/>
      </c>
      <c r="B2569" s="18">
        <f>IF($A2569="","",Paramètres!G31)</f>
        <v/>
      </c>
      <c r="C2569" s="20">
        <f>IF($A2569="","",IF(Dossiers!$F$51="","",Dossiers!$F$51))</f>
        <v/>
      </c>
      <c r="D2569" s="18">
        <f>IF($A2569="","",IF(Paramètres!I31="","",Paramètres!I31))</f>
        <v/>
      </c>
      <c r="E2569" s="19">
        <f>IF($A2569="","",IF(Paramètres!J31&amp;Paramètres!L31&amp;Paramètres!N31="",Dossiers!$D$51,MAX(IF(Paramètres!J31="",0,IF(Paramètres!K31="",NA(),IF(LEFT(TRIM(Paramètres!K31),1)="F",INDEX($F$2543:$F$2595,MATCH(Paramètres!J31,Paramètres!$G$5:$G$57,0)),INDEX($E$2543:$E$2595,MATCH(Paramètres!J31,Paramètres!$G$5:$G$57,0)))+IF(RIGHT(TRIM(Paramètres!K31),3)="Fin",1-$H2569,IF(LEFT(TRIM(Paramètres!K31),1)="F",1,0)))),IF(Paramètres!L31="",0,IF(Paramètres!M31="",NA(),IF(LEFT(TRIM(Paramètres!M31),1)="F",INDEX($F$2543:$F$2595,MATCH(Paramètres!L31,Paramètres!$G$5:$G$57,0)),INDEX($E$2543:$E$2595,MATCH(Paramètres!L31,Paramètres!$G$5:$G$57,0)))+IF(RIGHT(TRIM(Paramètres!M31),3)="Fin",1-$H2569,IF(LEFT(TRIM(Paramètres!M31),1)="F",1,0)))),IF(Paramètres!N31="",0,IF(Paramètres!O31="",NA(),IF(LEFT(TRIM(Paramètres!O31),1)="F",INDEX($F$2543:$F$2595,MATCH(Paramètres!N31,Paramètres!$G$5:$G$57,0)),INDEX($E$2543:$E$2595,MATCH(Paramètres!N31,Paramètres!$G$5:$G$57,0)))+IF(RIGHT(TRIM(Paramètres!O31),3)="Fin",1-$H2569,IF(LEFT(TRIM(Paramètres!O31),1)="F",1,0)))))))</f>
        <v/>
      </c>
      <c r="F2569" s="19">
        <f>IF($A2569="","",E2569+$H2569-1)</f>
        <v/>
      </c>
      <c r="G2569" s="18" t="n"/>
      <c r="H2569" s="18">
        <f>IF($A2569="","",IF(I2569&lt;&gt;"",I2569,Paramètres!B31))</f>
        <v/>
      </c>
      <c r="I2569" s="18" t="n"/>
    </row>
    <row r="2570">
      <c r="A2570" s="18">
        <f>IF(ISNUMBER(Dossiers!$D$51),Dossiers!$A$51&amp;" · "&amp;Dossiers!$B$51,"")</f>
        <v/>
      </c>
      <c r="B2570" s="18">
        <f>IF($A2570="","",Paramètres!G32)</f>
        <v/>
      </c>
      <c r="C2570" s="18">
        <f>IF($A2570="","",IF(Paramètres!H32="","",Paramètres!H32))</f>
        <v/>
      </c>
      <c r="D2570" s="18">
        <f>IF($A2570="","",IF(Paramètres!I32="","",Paramètres!I32))</f>
        <v/>
      </c>
      <c r="E2570" s="19">
        <f>IF($A2570="","",MIN(E2571:E2574))</f>
        <v/>
      </c>
      <c r="F2570" s="19">
        <f>IF($A2570="","",MAX(F2571:F2574))</f>
        <v/>
      </c>
      <c r="G2570" s="18" t="n"/>
      <c r="H2570" s="18">
        <f>IF($A2570="","",F2570-E2570+1)</f>
        <v/>
      </c>
      <c r="I2570" s="18" t="n"/>
    </row>
    <row r="2571">
      <c r="A2571" s="18">
        <f>IF(ISNUMBER(Dossiers!$D$51),Dossiers!$A$51&amp;" · "&amp;Dossiers!$B$51,"")</f>
        <v/>
      </c>
      <c r="B2571" s="18">
        <f>IF($A2571="","",Paramètres!G33)</f>
        <v/>
      </c>
      <c r="C2571" s="18">
        <f>IF($A2571="","",IF(Paramètres!H33="","",Paramètres!H33))</f>
        <v/>
      </c>
      <c r="D2571" s="18">
        <f>IF($A2571="","",IF(Paramètres!I33="","",Paramètres!I33))</f>
        <v/>
      </c>
      <c r="E2571" s="19">
        <f>IF($A2571="","",IF(Paramètres!J33&amp;Paramètres!L33&amp;Paramètres!N33="",Dossiers!$D$51,MAX(IF(Paramètres!J33="",0,IF(Paramètres!K33="",NA(),IF(LEFT(TRIM(Paramètres!K33),1)="F",INDEX($F$2543:$F$2595,MATCH(Paramètres!J33,Paramètres!$G$5:$G$57,0)),INDEX($E$2543:$E$2595,MATCH(Paramètres!J33,Paramètres!$G$5:$G$57,0)))+IF(RIGHT(TRIM(Paramètres!K33),3)="Fin",1-$H2571,IF(LEFT(TRIM(Paramètres!K33),1)="F",1,0)))),IF(Paramètres!L33="",0,IF(Paramètres!M33="",NA(),IF(LEFT(TRIM(Paramètres!M33),1)="F",INDEX($F$2543:$F$2595,MATCH(Paramètres!L33,Paramètres!$G$5:$G$57,0)),INDEX($E$2543:$E$2595,MATCH(Paramètres!L33,Paramètres!$G$5:$G$57,0)))+IF(RIGHT(TRIM(Paramètres!M33),3)="Fin",1-$H2571,IF(LEFT(TRIM(Paramètres!M33),1)="F",1,0)))),IF(Paramètres!N33="",0,IF(Paramètres!O33="",NA(),IF(LEFT(TRIM(Paramètres!O33),1)="F",INDEX($F$2543:$F$2595,MATCH(Paramètres!N33,Paramètres!$G$5:$G$57,0)),INDEX($E$2543:$E$2595,MATCH(Paramètres!N33,Paramètres!$G$5:$G$57,0)))+IF(RIGHT(TRIM(Paramètres!O33),3)="Fin",1-$H2571,IF(LEFT(TRIM(Paramètres!O33),1)="F",1,0)))))))</f>
        <v/>
      </c>
      <c r="F2571" s="19">
        <f>IF($A2571="","",E2571+$H2571-1)</f>
        <v/>
      </c>
      <c r="G2571" s="18" t="n"/>
      <c r="H2571" s="18">
        <f>IF($A2571="","",IF(I2571&lt;&gt;"",I2571,Paramètres!B33))</f>
        <v/>
      </c>
      <c r="I2571" s="18" t="n"/>
    </row>
    <row r="2572">
      <c r="A2572" s="18">
        <f>IF(ISNUMBER(Dossiers!$D$51),Dossiers!$A$51&amp;" · "&amp;Dossiers!$B$51,"")</f>
        <v/>
      </c>
      <c r="B2572" s="18">
        <f>IF($A2572="","",Paramètres!G34)</f>
        <v/>
      </c>
      <c r="C2572" s="18">
        <f>IF($A2572="","",IF(Paramètres!H34="","",Paramètres!H34))</f>
        <v/>
      </c>
      <c r="D2572" s="18">
        <f>IF($A2572="","",IF(Paramètres!I34="","",Paramètres!I34))</f>
        <v/>
      </c>
      <c r="E2572" s="19">
        <f>IF($A2572="","",IF(Paramètres!J34&amp;Paramètres!L34&amp;Paramètres!N34="",Dossiers!$D$51,MAX(IF(Paramètres!J34="",0,IF(Paramètres!K34="",NA(),IF(LEFT(TRIM(Paramètres!K34),1)="F",INDEX($F$2543:$F$2595,MATCH(Paramètres!J34,Paramètres!$G$5:$G$57,0)),INDEX($E$2543:$E$2595,MATCH(Paramètres!J34,Paramètres!$G$5:$G$57,0)))+IF(RIGHT(TRIM(Paramètres!K34),3)="Fin",1-$H2572,IF(LEFT(TRIM(Paramètres!K34),1)="F",1,0)))),IF(Paramètres!L34="",0,IF(Paramètres!M34="",NA(),IF(LEFT(TRIM(Paramètres!M34),1)="F",INDEX($F$2543:$F$2595,MATCH(Paramètres!L34,Paramètres!$G$5:$G$57,0)),INDEX($E$2543:$E$2595,MATCH(Paramètres!L34,Paramètres!$G$5:$G$57,0)))+IF(RIGHT(TRIM(Paramètres!M34),3)="Fin",1-$H2572,IF(LEFT(TRIM(Paramètres!M34),1)="F",1,0)))),IF(Paramètres!N34="",0,IF(Paramètres!O34="",NA(),IF(LEFT(TRIM(Paramètres!O34),1)="F",INDEX($F$2543:$F$2595,MATCH(Paramètres!N34,Paramètres!$G$5:$G$57,0)),INDEX($E$2543:$E$2595,MATCH(Paramètres!N34,Paramètres!$G$5:$G$57,0)))+IF(RIGHT(TRIM(Paramètres!O34),3)="Fin",1-$H2572,IF(LEFT(TRIM(Paramètres!O34),1)="F",1,0)))))))</f>
        <v/>
      </c>
      <c r="F2572" s="19">
        <f>IF($A2572="","",E2572+$H2572-1)</f>
        <v/>
      </c>
      <c r="G2572" s="18" t="n"/>
      <c r="H2572" s="18">
        <f>IF($A2572="","",IF(I2572&lt;&gt;"",I2572,Paramètres!B34))</f>
        <v/>
      </c>
      <c r="I2572" s="18" t="n"/>
    </row>
    <row r="2573">
      <c r="A2573" s="18">
        <f>IF(ISNUMBER(Dossiers!$D$51),Dossiers!$A$51&amp;" · "&amp;Dossiers!$B$51,"")</f>
        <v/>
      </c>
      <c r="B2573" s="18">
        <f>IF($A2573="","",Paramètres!G35)</f>
        <v/>
      </c>
      <c r="C2573" s="18">
        <f>IF($A2573="","",IF(Paramètres!H35="","",Paramètres!H35))</f>
        <v/>
      </c>
      <c r="D2573" s="18">
        <f>IF($A2573="","",IF(Paramètres!I35="","",Paramètres!I35))</f>
        <v/>
      </c>
      <c r="E2573" s="19">
        <f>IF($A2573="","",IF(Paramètres!J35&amp;Paramètres!L35&amp;Paramètres!N35="",Dossiers!$D$51,MAX(IF(Paramètres!J35="",0,IF(Paramètres!K35="",NA(),IF(LEFT(TRIM(Paramètres!K35),1)="F",INDEX($F$2543:$F$2595,MATCH(Paramètres!J35,Paramètres!$G$5:$G$57,0)),INDEX($E$2543:$E$2595,MATCH(Paramètres!J35,Paramètres!$G$5:$G$57,0)))+IF(RIGHT(TRIM(Paramètres!K35),3)="Fin",1-$H2573,IF(LEFT(TRIM(Paramètres!K35),1)="F",1,0)))),IF(Paramètres!L35="",0,IF(Paramètres!M35="",NA(),IF(LEFT(TRIM(Paramètres!M35),1)="F",INDEX($F$2543:$F$2595,MATCH(Paramètres!L35,Paramètres!$G$5:$G$57,0)),INDEX($E$2543:$E$2595,MATCH(Paramètres!L35,Paramètres!$G$5:$G$57,0)))+IF(RIGHT(TRIM(Paramètres!M35),3)="Fin",1-$H2573,IF(LEFT(TRIM(Paramètres!M35),1)="F",1,0)))),IF(Paramètres!N35="",0,IF(Paramètres!O35="",NA(),IF(LEFT(TRIM(Paramètres!O35),1)="F",INDEX($F$2543:$F$2595,MATCH(Paramètres!N35,Paramètres!$G$5:$G$57,0)),INDEX($E$2543:$E$2595,MATCH(Paramètres!N35,Paramètres!$G$5:$G$57,0)))+IF(RIGHT(TRIM(Paramètres!O35),3)="Fin",1-$H2573,IF(LEFT(TRIM(Paramètres!O35),1)="F",1,0)))))))</f>
        <v/>
      </c>
      <c r="F2573" s="19">
        <f>IF($A2573="","",E2573+$H2573-1)</f>
        <v/>
      </c>
      <c r="G2573" s="18" t="n"/>
      <c r="H2573" s="18">
        <f>IF($A2573="","",IF(I2573&lt;&gt;"",I2573,Paramètres!B35))</f>
        <v/>
      </c>
      <c r="I2573" s="18" t="n"/>
    </row>
    <row r="2574">
      <c r="A2574" s="18">
        <f>IF(ISNUMBER(Dossiers!$D$51),Dossiers!$A$51&amp;" · "&amp;Dossiers!$B$51,"")</f>
        <v/>
      </c>
      <c r="B2574" s="18">
        <f>IF($A2574="","",Paramètres!G36)</f>
        <v/>
      </c>
      <c r="C2574" s="18">
        <f>IF($A2574="","",IF(Paramètres!H36="","",Paramètres!H36))</f>
        <v/>
      </c>
      <c r="D2574" s="18">
        <f>IF($A2574="","",IF(Paramètres!I36="","",Paramètres!I36))</f>
        <v/>
      </c>
      <c r="E2574" s="19">
        <f>IF($A2574="","",IF(Paramètres!J36&amp;Paramètres!L36&amp;Paramètres!N36="",Dossiers!$D$51,MAX(IF(Paramètres!J36="",0,IF(Paramètres!K36="",NA(),IF(LEFT(TRIM(Paramètres!K36),1)="F",INDEX($F$2543:$F$2595,MATCH(Paramètres!J36,Paramètres!$G$5:$G$57,0)),INDEX($E$2543:$E$2595,MATCH(Paramètres!J36,Paramètres!$G$5:$G$57,0)))+IF(RIGHT(TRIM(Paramètres!K36),3)="Fin",1-$H2574,IF(LEFT(TRIM(Paramètres!K36),1)="F",1,0)))),IF(Paramètres!L36="",0,IF(Paramètres!M36="",NA(),IF(LEFT(TRIM(Paramètres!M36),1)="F",INDEX($F$2543:$F$2595,MATCH(Paramètres!L36,Paramètres!$G$5:$G$57,0)),INDEX($E$2543:$E$2595,MATCH(Paramètres!L36,Paramètres!$G$5:$G$57,0)))+IF(RIGHT(TRIM(Paramètres!M36),3)="Fin",1-$H2574,IF(LEFT(TRIM(Paramètres!M36),1)="F",1,0)))),IF(Paramètres!N36="",0,IF(Paramètres!O36="",NA(),IF(LEFT(TRIM(Paramètres!O36),1)="F",INDEX($F$2543:$F$2595,MATCH(Paramètres!N36,Paramètres!$G$5:$G$57,0)),INDEX($E$2543:$E$2595,MATCH(Paramètres!N36,Paramètres!$G$5:$G$57,0)))+IF(RIGHT(TRIM(Paramètres!O36),3)="Fin",1-$H2574,IF(LEFT(TRIM(Paramètres!O36),1)="F",1,0)))))))</f>
        <v/>
      </c>
      <c r="F2574" s="19">
        <f>IF($A2574="","",E2574+$H2574-1)</f>
        <v/>
      </c>
      <c r="G2574" s="18" t="n"/>
      <c r="H2574" s="18">
        <f>IF($A2574="","",IF(I2574&lt;&gt;"",I2574,Paramètres!B36))</f>
        <v/>
      </c>
      <c r="I2574" s="18" t="n"/>
    </row>
    <row r="2575">
      <c r="A2575" s="18">
        <f>IF(ISNUMBER(Dossiers!$D$51),Dossiers!$A$51&amp;" · "&amp;Dossiers!$B$51,"")</f>
        <v/>
      </c>
      <c r="B2575" s="18">
        <f>IF($A2575="","",Paramètres!G37)</f>
        <v/>
      </c>
      <c r="C2575" s="18">
        <f>IF($A2575="","",IF(Paramètres!H37="","",Paramètres!H37))</f>
        <v/>
      </c>
      <c r="D2575" s="18">
        <f>IF($A2575="","",IF(Paramètres!I37="","",Paramètres!I37))</f>
        <v/>
      </c>
      <c r="E2575" s="19">
        <f>IF($A2575="","",MIN(E2576:E2593))</f>
        <v/>
      </c>
      <c r="F2575" s="19">
        <f>IF($A2575="","",MAX(F2576:F2593))</f>
        <v/>
      </c>
      <c r="G2575" s="18" t="n"/>
      <c r="H2575" s="18">
        <f>IF($A2575="","",F2575-E2575+1)</f>
        <v/>
      </c>
      <c r="I2575" s="18" t="n"/>
    </row>
    <row r="2576">
      <c r="A2576" s="18">
        <f>IF(ISNUMBER(Dossiers!$D$51),Dossiers!$A$51&amp;" · "&amp;Dossiers!$B$51,"")</f>
        <v/>
      </c>
      <c r="B2576" s="18">
        <f>IF($A2576="","",Paramètres!G38)</f>
        <v/>
      </c>
      <c r="C2576" s="18">
        <f>IF($A2576="","",IF(Paramètres!H38="","",Paramètres!H38))</f>
        <v/>
      </c>
      <c r="D2576" s="18">
        <f>IF($A2576="","",IF(Paramètres!I38="","",Paramètres!I38))</f>
        <v/>
      </c>
      <c r="E2576" s="19">
        <f>IF($A2576="","",IF(Paramètres!J38&amp;Paramètres!L38&amp;Paramètres!N38="",Dossiers!$D$51,MAX(IF(Paramètres!J38="",0,IF(Paramètres!K38="",NA(),IF(LEFT(TRIM(Paramètres!K38),1)="F",INDEX($F$2543:$F$2595,MATCH(Paramètres!J38,Paramètres!$G$5:$G$57,0)),INDEX($E$2543:$E$2595,MATCH(Paramètres!J38,Paramètres!$G$5:$G$57,0)))+IF(RIGHT(TRIM(Paramètres!K38),3)="Fin",1-$H2576,IF(LEFT(TRIM(Paramètres!K38),1)="F",1,0)))),IF(Paramètres!L38="",0,IF(Paramètres!M38="",NA(),IF(LEFT(TRIM(Paramètres!M38),1)="F",INDEX($F$2543:$F$2595,MATCH(Paramètres!L38,Paramètres!$G$5:$G$57,0)),INDEX($E$2543:$E$2595,MATCH(Paramètres!L38,Paramètres!$G$5:$G$57,0)))+IF(RIGHT(TRIM(Paramètres!M38),3)="Fin",1-$H2576,IF(LEFT(TRIM(Paramètres!M38),1)="F",1,0)))),IF(Paramètres!N38="",0,IF(Paramètres!O38="",NA(),IF(LEFT(TRIM(Paramètres!O38),1)="F",INDEX($F$2543:$F$2595,MATCH(Paramètres!N38,Paramètres!$G$5:$G$57,0)),INDEX($E$2543:$E$2595,MATCH(Paramètres!N38,Paramètres!$G$5:$G$57,0)))+IF(RIGHT(TRIM(Paramètres!O38),3)="Fin",1-$H2576,IF(LEFT(TRIM(Paramètres!O38),1)="F",1,0)))))))</f>
        <v/>
      </c>
      <c r="F2576" s="19">
        <f>IF($A2576="","",E2576+$H2576-1)</f>
        <v/>
      </c>
      <c r="G2576" s="18" t="n"/>
      <c r="H2576" s="18">
        <f>IF($A2576="","",IF(I2576&lt;&gt;"",I2576,Paramètres!B38))</f>
        <v/>
      </c>
      <c r="I2576" s="18" t="n"/>
    </row>
    <row r="2577">
      <c r="A2577" s="18">
        <f>IF(ISNUMBER(Dossiers!$D$51),Dossiers!$A$51&amp;" · "&amp;Dossiers!$B$51,"")</f>
        <v/>
      </c>
      <c r="B2577" s="18">
        <f>IF($A2577="","",Paramètres!G39)</f>
        <v/>
      </c>
      <c r="C2577" s="18">
        <f>IF($A2577="","",IF(Paramètres!H39="","",Paramètres!H39))</f>
        <v/>
      </c>
      <c r="D2577" s="18">
        <f>IF($A2577="","",IF(Paramètres!I39="","",Paramètres!I39))</f>
        <v/>
      </c>
      <c r="E2577" s="19">
        <f>IF($A2577="","",IF(Paramètres!J39&amp;Paramètres!L39&amp;Paramètres!N39="",Dossiers!$D$51,MAX(IF(Paramètres!J39="",0,IF(Paramètres!K39="",NA(),IF(LEFT(TRIM(Paramètres!K39),1)="F",INDEX($F$2543:$F$2595,MATCH(Paramètres!J39,Paramètres!$G$5:$G$57,0)),INDEX($E$2543:$E$2595,MATCH(Paramètres!J39,Paramètres!$G$5:$G$57,0)))+IF(RIGHT(TRIM(Paramètres!K39),3)="Fin",1-$H2577,IF(LEFT(TRIM(Paramètres!K39),1)="F",1,0)))),IF(Paramètres!L39="",0,IF(Paramètres!M39="",NA(),IF(LEFT(TRIM(Paramètres!M39),1)="F",INDEX($F$2543:$F$2595,MATCH(Paramètres!L39,Paramètres!$G$5:$G$57,0)),INDEX($E$2543:$E$2595,MATCH(Paramètres!L39,Paramètres!$G$5:$G$57,0)))+IF(RIGHT(TRIM(Paramètres!M39),3)="Fin",1-$H2577,IF(LEFT(TRIM(Paramètres!M39),1)="F",1,0)))),IF(Paramètres!N39="",0,IF(Paramètres!O39="",NA(),IF(LEFT(TRIM(Paramètres!O39),1)="F",INDEX($F$2543:$F$2595,MATCH(Paramètres!N39,Paramètres!$G$5:$G$57,0)),INDEX($E$2543:$E$2595,MATCH(Paramètres!N39,Paramètres!$G$5:$G$57,0)))+IF(RIGHT(TRIM(Paramètres!O39),3)="Fin",1-$H2577,IF(LEFT(TRIM(Paramètres!O39),1)="F",1,0)))))))</f>
        <v/>
      </c>
      <c r="F2577" s="19">
        <f>IF($A2577="","",E2577+$H2577-1)</f>
        <v/>
      </c>
      <c r="G2577" s="18" t="n"/>
      <c r="H2577" s="18">
        <f>IF($A2577="","",IF(I2577&lt;&gt;"",I2577,Paramètres!B39))</f>
        <v/>
      </c>
      <c r="I2577" s="18" t="n"/>
    </row>
    <row r="2578">
      <c r="A2578" s="18">
        <f>IF(ISNUMBER(Dossiers!$D$51),Dossiers!$A$51&amp;" · "&amp;Dossiers!$B$51,"")</f>
        <v/>
      </c>
      <c r="B2578" s="18">
        <f>IF($A2578="","",Paramètres!G40)</f>
        <v/>
      </c>
      <c r="C2578" s="18">
        <f>IF($A2578="","",IF(Paramètres!H40="","",Paramètres!H40))</f>
        <v/>
      </c>
      <c r="D2578" s="18">
        <f>IF($A2578="","",IF(Paramètres!I40="","",Paramètres!I40))</f>
        <v/>
      </c>
      <c r="E2578" s="19">
        <f>IF($A2578="","",IF(Paramètres!J40&amp;Paramètres!L40&amp;Paramètres!N40="",Dossiers!$D$51,MAX(IF(Paramètres!J40="",0,IF(Paramètres!K40="",NA(),IF(LEFT(TRIM(Paramètres!K40),1)="F",INDEX($F$2543:$F$2595,MATCH(Paramètres!J40,Paramètres!$G$5:$G$57,0)),INDEX($E$2543:$E$2595,MATCH(Paramètres!J40,Paramètres!$G$5:$G$57,0)))+IF(RIGHT(TRIM(Paramètres!K40),3)="Fin",1-$H2578,IF(LEFT(TRIM(Paramètres!K40),1)="F",1,0)))),IF(Paramètres!L40="",0,IF(Paramètres!M40="",NA(),IF(LEFT(TRIM(Paramètres!M40),1)="F",INDEX($F$2543:$F$2595,MATCH(Paramètres!L40,Paramètres!$G$5:$G$57,0)),INDEX($E$2543:$E$2595,MATCH(Paramètres!L40,Paramètres!$G$5:$G$57,0)))+IF(RIGHT(TRIM(Paramètres!M40),3)="Fin",1-$H2578,IF(LEFT(TRIM(Paramètres!M40),1)="F",1,0)))),IF(Paramètres!N40="",0,IF(Paramètres!O40="",NA(),IF(LEFT(TRIM(Paramètres!O40),1)="F",INDEX($F$2543:$F$2595,MATCH(Paramètres!N40,Paramètres!$G$5:$G$57,0)),INDEX($E$2543:$E$2595,MATCH(Paramètres!N40,Paramètres!$G$5:$G$57,0)))+IF(RIGHT(TRIM(Paramètres!O40),3)="Fin",1-$H2578,IF(LEFT(TRIM(Paramètres!O40),1)="F",1,0)))))))</f>
        <v/>
      </c>
      <c r="F2578" s="19">
        <f>IF($A2578="","",E2578+$H2578-1)</f>
        <v/>
      </c>
      <c r="G2578" s="18" t="n"/>
      <c r="H2578" s="18">
        <f>IF($A2578="","",IF(I2578&lt;&gt;"",I2578,Paramètres!B40))</f>
        <v/>
      </c>
      <c r="I2578" s="18" t="n"/>
    </row>
    <row r="2579">
      <c r="A2579" s="18">
        <f>IF(ISNUMBER(Dossiers!$D$51),Dossiers!$A$51&amp;" · "&amp;Dossiers!$B$51,"")</f>
        <v/>
      </c>
      <c r="B2579" s="18">
        <f>IF($A2579="","",Paramètres!G41)</f>
        <v/>
      </c>
      <c r="C2579" s="18">
        <f>IF($A2579="","",IF(Paramètres!H41="","",Paramètres!H41))</f>
        <v/>
      </c>
      <c r="D2579" s="18">
        <f>IF($A2579="","",IF(Paramètres!I41="","",Paramètres!I41))</f>
        <v/>
      </c>
      <c r="E2579" s="19">
        <f>IF($A2579="","",IF(Paramètres!J41&amp;Paramètres!L41&amp;Paramètres!N41="",Dossiers!$D$51,MAX(IF(Paramètres!J41="",0,IF(Paramètres!K41="",NA(),IF(LEFT(TRIM(Paramètres!K41),1)="F",INDEX($F$2543:$F$2595,MATCH(Paramètres!J41,Paramètres!$G$5:$G$57,0)),INDEX($E$2543:$E$2595,MATCH(Paramètres!J41,Paramètres!$G$5:$G$57,0)))+IF(RIGHT(TRIM(Paramètres!K41),3)="Fin",1-$H2579,IF(LEFT(TRIM(Paramètres!K41),1)="F",1,0)))),IF(Paramètres!L41="",0,IF(Paramètres!M41="",NA(),IF(LEFT(TRIM(Paramètres!M41),1)="F",INDEX($F$2543:$F$2595,MATCH(Paramètres!L41,Paramètres!$G$5:$G$57,0)),INDEX($E$2543:$E$2595,MATCH(Paramètres!L41,Paramètres!$G$5:$G$57,0)))+IF(RIGHT(TRIM(Paramètres!M41),3)="Fin",1-$H2579,IF(LEFT(TRIM(Paramètres!M41),1)="F",1,0)))),IF(Paramètres!N41="",0,IF(Paramètres!O41="",NA(),IF(LEFT(TRIM(Paramètres!O41),1)="F",INDEX($F$2543:$F$2595,MATCH(Paramètres!N41,Paramètres!$G$5:$G$57,0)),INDEX($E$2543:$E$2595,MATCH(Paramètres!N41,Paramètres!$G$5:$G$57,0)))+IF(RIGHT(TRIM(Paramètres!O41),3)="Fin",1-$H2579,IF(LEFT(TRIM(Paramètres!O41),1)="F",1,0)))))))</f>
        <v/>
      </c>
      <c r="F2579" s="19">
        <f>IF($A2579="","",E2579+$H2579-1)</f>
        <v/>
      </c>
      <c r="G2579" s="18" t="n"/>
      <c r="H2579" s="18">
        <f>IF($A2579="","",IF(I2579&lt;&gt;"",I2579,Paramètres!B41))</f>
        <v/>
      </c>
      <c r="I2579" s="18" t="n"/>
    </row>
    <row r="2580">
      <c r="A2580" s="18">
        <f>IF(ISNUMBER(Dossiers!$D$51),Dossiers!$A$51&amp;" · "&amp;Dossiers!$B$51,"")</f>
        <v/>
      </c>
      <c r="B2580" s="18">
        <f>IF($A2580="","",Paramètres!G42)</f>
        <v/>
      </c>
      <c r="C2580" s="18">
        <f>IF($A2580="","",IF(Paramètres!H42="","",Paramètres!H42))</f>
        <v/>
      </c>
      <c r="D2580" s="18">
        <f>IF($A2580="","",IF(Paramètres!I42="","",Paramètres!I42))</f>
        <v/>
      </c>
      <c r="E2580" s="19">
        <f>IF($A2580="","",IF(Paramètres!J42&amp;Paramètres!L42&amp;Paramètres!N42="",Dossiers!$D$51,MAX(IF(Paramètres!J42="",0,IF(Paramètres!K42="",NA(),IF(LEFT(TRIM(Paramètres!K42),1)="F",INDEX($F$2543:$F$2595,MATCH(Paramètres!J42,Paramètres!$G$5:$G$57,0)),INDEX($E$2543:$E$2595,MATCH(Paramètres!J42,Paramètres!$G$5:$G$57,0)))+IF(RIGHT(TRIM(Paramètres!K42),3)="Fin",1-$H2580,IF(LEFT(TRIM(Paramètres!K42),1)="F",1,0)))),IF(Paramètres!L42="",0,IF(Paramètres!M42="",NA(),IF(LEFT(TRIM(Paramètres!M42),1)="F",INDEX($F$2543:$F$2595,MATCH(Paramètres!L42,Paramètres!$G$5:$G$57,0)),INDEX($E$2543:$E$2595,MATCH(Paramètres!L42,Paramètres!$G$5:$G$57,0)))+IF(RIGHT(TRIM(Paramètres!M42),3)="Fin",1-$H2580,IF(LEFT(TRIM(Paramètres!M42),1)="F",1,0)))),IF(Paramètres!N42="",0,IF(Paramètres!O42="",NA(),IF(LEFT(TRIM(Paramètres!O42),1)="F",INDEX($F$2543:$F$2595,MATCH(Paramètres!N42,Paramètres!$G$5:$G$57,0)),INDEX($E$2543:$E$2595,MATCH(Paramètres!N42,Paramètres!$G$5:$G$57,0)))+IF(RIGHT(TRIM(Paramètres!O42),3)="Fin",1-$H2580,IF(LEFT(TRIM(Paramètres!O42),1)="F",1,0)))))))</f>
        <v/>
      </c>
      <c r="F2580" s="19">
        <f>IF($A2580="","",E2580+$H2580-1)</f>
        <v/>
      </c>
      <c r="G2580" s="18" t="n"/>
      <c r="H2580" s="18">
        <f>IF($A2580="","",IF(I2580&lt;&gt;"",I2580,Paramètres!B42))</f>
        <v/>
      </c>
      <c r="I2580" s="18" t="n"/>
    </row>
    <row r="2581">
      <c r="A2581" s="18">
        <f>IF(ISNUMBER(Dossiers!$D$51),Dossiers!$A$51&amp;" · "&amp;Dossiers!$B$51,"")</f>
        <v/>
      </c>
      <c r="B2581" s="18">
        <f>IF($A2581="","",Paramètres!G43)</f>
        <v/>
      </c>
      <c r="C2581" s="18">
        <f>IF($A2581="","",IF(Paramètres!H43="","",Paramètres!H43))</f>
        <v/>
      </c>
      <c r="D2581" s="18">
        <f>IF($A2581="","",IF(Paramètres!I43="","",Paramètres!I43))</f>
        <v/>
      </c>
      <c r="E2581" s="19">
        <f>IF($A2581="","",IF(Paramètres!J43&amp;Paramètres!L43&amp;Paramètres!N43="",Dossiers!$D$51,MAX(IF(Paramètres!J43="",0,IF(Paramètres!K43="",NA(),IF(LEFT(TRIM(Paramètres!K43),1)="F",INDEX($F$2543:$F$2595,MATCH(Paramètres!J43,Paramètres!$G$5:$G$57,0)),INDEX($E$2543:$E$2595,MATCH(Paramètres!J43,Paramètres!$G$5:$G$57,0)))+IF(RIGHT(TRIM(Paramètres!K43),3)="Fin",1-$H2581,IF(LEFT(TRIM(Paramètres!K43),1)="F",1,0)))),IF(Paramètres!L43="",0,IF(Paramètres!M43="",NA(),IF(LEFT(TRIM(Paramètres!M43),1)="F",INDEX($F$2543:$F$2595,MATCH(Paramètres!L43,Paramètres!$G$5:$G$57,0)),INDEX($E$2543:$E$2595,MATCH(Paramètres!L43,Paramètres!$G$5:$G$57,0)))+IF(RIGHT(TRIM(Paramètres!M43),3)="Fin",1-$H2581,IF(LEFT(TRIM(Paramètres!M43),1)="F",1,0)))),IF(Paramètres!N43="",0,IF(Paramètres!O43="",NA(),IF(LEFT(TRIM(Paramètres!O43),1)="F",INDEX($F$2543:$F$2595,MATCH(Paramètres!N43,Paramètres!$G$5:$G$57,0)),INDEX($E$2543:$E$2595,MATCH(Paramètres!N43,Paramètres!$G$5:$G$57,0)))+IF(RIGHT(TRIM(Paramètres!O43),3)="Fin",1-$H2581,IF(LEFT(TRIM(Paramètres!O43),1)="F",1,0)))))))</f>
        <v/>
      </c>
      <c r="F2581" s="19">
        <f>IF($A2581="","",E2581+$H2581-1)</f>
        <v/>
      </c>
      <c r="G2581" s="18" t="n"/>
      <c r="H2581" s="18">
        <f>IF($A2581="","",IF(I2581&lt;&gt;"",I2581,Paramètres!B43))</f>
        <v/>
      </c>
      <c r="I2581" s="18" t="n"/>
    </row>
    <row r="2582">
      <c r="A2582" s="18">
        <f>IF(ISNUMBER(Dossiers!$D$51),Dossiers!$A$51&amp;" · "&amp;Dossiers!$B$51,"")</f>
        <v/>
      </c>
      <c r="B2582" s="18">
        <f>IF($A2582="","",Paramètres!G44)</f>
        <v/>
      </c>
      <c r="C2582" s="18">
        <f>IF($A2582="","",IF(Paramètres!H44="","",Paramètres!H44))</f>
        <v/>
      </c>
      <c r="D2582" s="18">
        <f>IF($A2582="","",IF(Paramètres!I44="","",Paramètres!I44))</f>
        <v/>
      </c>
      <c r="E2582" s="19">
        <f>IF($A2582="","",IF(Paramètres!J44&amp;Paramètres!L44&amp;Paramètres!N44="",Dossiers!$D$51,MAX(IF(Paramètres!J44="",0,IF(Paramètres!K44="",NA(),IF(LEFT(TRIM(Paramètres!K44),1)="F",INDEX($F$2543:$F$2595,MATCH(Paramètres!J44,Paramètres!$G$5:$G$57,0)),INDEX($E$2543:$E$2595,MATCH(Paramètres!J44,Paramètres!$G$5:$G$57,0)))+IF(RIGHT(TRIM(Paramètres!K44),3)="Fin",1-$H2582,IF(LEFT(TRIM(Paramètres!K44),1)="F",1,0)))),IF(Paramètres!L44="",0,IF(Paramètres!M44="",NA(),IF(LEFT(TRIM(Paramètres!M44),1)="F",INDEX($F$2543:$F$2595,MATCH(Paramètres!L44,Paramètres!$G$5:$G$57,0)),INDEX($E$2543:$E$2595,MATCH(Paramètres!L44,Paramètres!$G$5:$G$57,0)))+IF(RIGHT(TRIM(Paramètres!M44),3)="Fin",1-$H2582,IF(LEFT(TRIM(Paramètres!M44),1)="F",1,0)))),IF(Paramètres!N44="",0,IF(Paramètres!O44="",NA(),IF(LEFT(TRIM(Paramètres!O44),1)="F",INDEX($F$2543:$F$2595,MATCH(Paramètres!N44,Paramètres!$G$5:$G$57,0)),INDEX($E$2543:$E$2595,MATCH(Paramètres!N44,Paramètres!$G$5:$G$57,0)))+IF(RIGHT(TRIM(Paramètres!O44),3)="Fin",1-$H2582,IF(LEFT(TRIM(Paramètres!O44),1)="F",1,0)))))))</f>
        <v/>
      </c>
      <c r="F2582" s="19">
        <f>IF($A2582="","",E2582+$H2582-1)</f>
        <v/>
      </c>
      <c r="G2582" s="18" t="n"/>
      <c r="H2582" s="18">
        <f>IF($A2582="","",IF(I2582&lt;&gt;"",I2582,Paramètres!B44))</f>
        <v/>
      </c>
      <c r="I2582" s="18" t="n"/>
    </row>
    <row r="2583">
      <c r="A2583" s="18">
        <f>IF(ISNUMBER(Dossiers!$D$51),Dossiers!$A$51&amp;" · "&amp;Dossiers!$B$51,"")</f>
        <v/>
      </c>
      <c r="B2583" s="18">
        <f>IF($A2583="","",Paramètres!G45)</f>
        <v/>
      </c>
      <c r="C2583" s="20">
        <f>IF($A2583="","",IF(Dossiers!$G$51="","",Dossiers!$G$51))</f>
        <v/>
      </c>
      <c r="D2583" s="18">
        <f>IF($A2583="","",IF(Paramètres!I45="","",Paramètres!I45))</f>
        <v/>
      </c>
      <c r="E2583" s="19">
        <f>IF($A2583="","",IF(Paramètres!J45&amp;Paramètres!L45&amp;Paramètres!N45="",Dossiers!$D$51,MAX(IF(Paramètres!J45="",0,IF(Paramètres!K45="",NA(),IF(LEFT(TRIM(Paramètres!K45),1)="F",INDEX($F$2543:$F$2595,MATCH(Paramètres!J45,Paramètres!$G$5:$G$57,0)),INDEX($E$2543:$E$2595,MATCH(Paramètres!J45,Paramètres!$G$5:$G$57,0)))+IF(RIGHT(TRIM(Paramètres!K45),3)="Fin",1-$H2583,IF(LEFT(TRIM(Paramètres!K45),1)="F",1,0)))),IF(Paramètres!L45="",0,IF(Paramètres!M45="",NA(),IF(LEFT(TRIM(Paramètres!M45),1)="F",INDEX($F$2543:$F$2595,MATCH(Paramètres!L45,Paramètres!$G$5:$G$57,0)),INDEX($E$2543:$E$2595,MATCH(Paramètres!L45,Paramètres!$G$5:$G$57,0)))+IF(RIGHT(TRIM(Paramètres!M45),3)="Fin",1-$H2583,IF(LEFT(TRIM(Paramètres!M45),1)="F",1,0)))),IF(Paramètres!N45="",0,IF(Paramètres!O45="",NA(),IF(LEFT(TRIM(Paramètres!O45),1)="F",INDEX($F$2543:$F$2595,MATCH(Paramètres!N45,Paramètres!$G$5:$G$57,0)),INDEX($E$2543:$E$2595,MATCH(Paramètres!N45,Paramètres!$G$5:$G$57,0)))+IF(RIGHT(TRIM(Paramètres!O45),3)="Fin",1-$H2583,IF(LEFT(TRIM(Paramètres!O45),1)="F",1,0)))))))</f>
        <v/>
      </c>
      <c r="F2583" s="19">
        <f>IF($A2583="","",E2583+$H2583-1)</f>
        <v/>
      </c>
      <c r="G2583" s="18" t="n"/>
      <c r="H2583" s="18">
        <f>IF($A2583="","",IF(I2583&lt;&gt;"",I2583,Paramètres!B45))</f>
        <v/>
      </c>
      <c r="I2583" s="18" t="n"/>
    </row>
    <row r="2584">
      <c r="A2584" s="18">
        <f>IF(ISNUMBER(Dossiers!$D$51),Dossiers!$A$51&amp;" · "&amp;Dossiers!$B$51,"")</f>
        <v/>
      </c>
      <c r="B2584" s="18">
        <f>IF($A2584="","",Paramètres!G46)</f>
        <v/>
      </c>
      <c r="C2584" s="18">
        <f>IF($A2584="","",IF(Paramètres!H46="","",Paramètres!H46))</f>
        <v/>
      </c>
      <c r="D2584" s="18">
        <f>IF($A2584="","",IF(Paramètres!I46="","",Paramètres!I46))</f>
        <v/>
      </c>
      <c r="E2584" s="19">
        <f>IF($A2584="","",IF(Paramètres!J46&amp;Paramètres!L46&amp;Paramètres!N46="",Dossiers!$D$51,MAX(IF(Paramètres!J46="",0,IF(Paramètres!K46="",NA(),IF(LEFT(TRIM(Paramètres!K46),1)="F",INDEX($F$2543:$F$2595,MATCH(Paramètres!J46,Paramètres!$G$5:$G$57,0)),INDEX($E$2543:$E$2595,MATCH(Paramètres!J46,Paramètres!$G$5:$G$57,0)))+IF(RIGHT(TRIM(Paramètres!K46),3)="Fin",1-$H2584,IF(LEFT(TRIM(Paramètres!K46),1)="F",1,0)))),IF(Paramètres!L46="",0,IF(Paramètres!M46="",NA(),IF(LEFT(TRIM(Paramètres!M46),1)="F",INDEX($F$2543:$F$2595,MATCH(Paramètres!L46,Paramètres!$G$5:$G$57,0)),INDEX($E$2543:$E$2595,MATCH(Paramètres!L46,Paramètres!$G$5:$G$57,0)))+IF(RIGHT(TRIM(Paramètres!M46),3)="Fin",1-$H2584,IF(LEFT(TRIM(Paramètres!M46),1)="F",1,0)))),IF(Paramètres!N46="",0,IF(Paramètres!O46="",NA(),IF(LEFT(TRIM(Paramètres!O46),1)="F",INDEX($F$2543:$F$2595,MATCH(Paramètres!N46,Paramètres!$G$5:$G$57,0)),INDEX($E$2543:$E$2595,MATCH(Paramètres!N46,Paramètres!$G$5:$G$57,0)))+IF(RIGHT(TRIM(Paramètres!O46),3)="Fin",1-$H2584,IF(LEFT(TRIM(Paramètres!O46),1)="F",1,0)))))))</f>
        <v/>
      </c>
      <c r="F2584" s="19">
        <f>IF($A2584="","",E2584+$H2584-1)</f>
        <v/>
      </c>
      <c r="G2584" s="18" t="n"/>
      <c r="H2584" s="18">
        <f>IF($A2584="","",IF(I2584&lt;&gt;"",I2584,Paramètres!B46))</f>
        <v/>
      </c>
      <c r="I2584" s="18" t="n"/>
    </row>
    <row r="2585">
      <c r="A2585" s="18">
        <f>IF(ISNUMBER(Dossiers!$D$51),Dossiers!$A$51&amp;" · "&amp;Dossiers!$B$51,"")</f>
        <v/>
      </c>
      <c r="B2585" s="18">
        <f>IF($A2585="","",Paramètres!G47)</f>
        <v/>
      </c>
      <c r="C2585" s="18">
        <f>IF($A2585="","",IF(Paramètres!H47="","",Paramètres!H47))</f>
        <v/>
      </c>
      <c r="D2585" s="18">
        <f>IF($A2585="","",IF(Paramètres!I47="","",Paramètres!I47))</f>
        <v/>
      </c>
      <c r="E2585" s="19">
        <f>IF($A2585="","",IF(Paramètres!J47&amp;Paramètres!L47&amp;Paramètres!N47="",Dossiers!$D$51,MAX(IF(Paramètres!J47="",0,IF(Paramètres!K47="",NA(),IF(LEFT(TRIM(Paramètres!K47),1)="F",INDEX($F$2543:$F$2595,MATCH(Paramètres!J47,Paramètres!$G$5:$G$57,0)),INDEX($E$2543:$E$2595,MATCH(Paramètres!J47,Paramètres!$G$5:$G$57,0)))+IF(RIGHT(TRIM(Paramètres!K47),3)="Fin",1-$H2585,IF(LEFT(TRIM(Paramètres!K47),1)="F",1,0)))),IF(Paramètres!L47="",0,IF(Paramètres!M47="",NA(),IF(LEFT(TRIM(Paramètres!M47),1)="F",INDEX($F$2543:$F$2595,MATCH(Paramètres!L47,Paramètres!$G$5:$G$57,0)),INDEX($E$2543:$E$2595,MATCH(Paramètres!L47,Paramètres!$G$5:$G$57,0)))+IF(RIGHT(TRIM(Paramètres!M47),3)="Fin",1-$H2585,IF(LEFT(TRIM(Paramètres!M47),1)="F",1,0)))),IF(Paramètres!N47="",0,IF(Paramètres!O47="",NA(),IF(LEFT(TRIM(Paramètres!O47),1)="F",INDEX($F$2543:$F$2595,MATCH(Paramètres!N47,Paramètres!$G$5:$G$57,0)),INDEX($E$2543:$E$2595,MATCH(Paramètres!N47,Paramètres!$G$5:$G$57,0)))+IF(RIGHT(TRIM(Paramètres!O47),3)="Fin",1-$H2585,IF(LEFT(TRIM(Paramètres!O47),1)="F",1,0)))))))</f>
        <v/>
      </c>
      <c r="F2585" s="19">
        <f>IF($A2585="","",E2585+$H2585-1)</f>
        <v/>
      </c>
      <c r="G2585" s="18" t="n"/>
      <c r="H2585" s="18">
        <f>IF($A2585="","",IF(I2585&lt;&gt;"",I2585,Paramètres!B47))</f>
        <v/>
      </c>
      <c r="I2585" s="18" t="n"/>
    </row>
    <row r="2586">
      <c r="A2586" s="18">
        <f>IF(ISNUMBER(Dossiers!$D$51),Dossiers!$A$51&amp;" · "&amp;Dossiers!$B$51,"")</f>
        <v/>
      </c>
      <c r="B2586" s="18">
        <f>IF($A2586="","",Paramètres!G48)</f>
        <v/>
      </c>
      <c r="C2586" s="18">
        <f>IF($A2586="","",IF(Paramètres!H48="","",Paramètres!H48))</f>
        <v/>
      </c>
      <c r="D2586" s="18">
        <f>IF($A2586="","",IF(Paramètres!I48="","",Paramètres!I48))</f>
        <v/>
      </c>
      <c r="E2586" s="19">
        <f>IF($A2586="","",IF(Paramètres!J48&amp;Paramètres!L48&amp;Paramètres!N48="",Dossiers!$D$51,MAX(IF(Paramètres!J48="",0,IF(Paramètres!K48="",NA(),IF(LEFT(TRIM(Paramètres!K48),1)="F",INDEX($F$2543:$F$2595,MATCH(Paramètres!J48,Paramètres!$G$5:$G$57,0)),INDEX($E$2543:$E$2595,MATCH(Paramètres!J48,Paramètres!$G$5:$G$57,0)))+IF(RIGHT(TRIM(Paramètres!K48),3)="Fin",1-$H2586,IF(LEFT(TRIM(Paramètres!K48),1)="F",1,0)))),IF(Paramètres!L48="",0,IF(Paramètres!M48="",NA(),IF(LEFT(TRIM(Paramètres!M48),1)="F",INDEX($F$2543:$F$2595,MATCH(Paramètres!L48,Paramètres!$G$5:$G$57,0)),INDEX($E$2543:$E$2595,MATCH(Paramètres!L48,Paramètres!$G$5:$G$57,0)))+IF(RIGHT(TRIM(Paramètres!M48),3)="Fin",1-$H2586,IF(LEFT(TRIM(Paramètres!M48),1)="F",1,0)))),IF(Paramètres!N48="",0,IF(Paramètres!O48="",NA(),IF(LEFT(TRIM(Paramètres!O48),1)="F",INDEX($F$2543:$F$2595,MATCH(Paramètres!N48,Paramètres!$G$5:$G$57,0)),INDEX($E$2543:$E$2595,MATCH(Paramètres!N48,Paramètres!$G$5:$G$57,0)))+IF(RIGHT(TRIM(Paramètres!O48),3)="Fin",1-$H2586,IF(LEFT(TRIM(Paramètres!O48),1)="F",1,0)))))))</f>
        <v/>
      </c>
      <c r="F2586" s="19">
        <f>IF($A2586="","",E2586+$H2586-1)</f>
        <v/>
      </c>
      <c r="G2586" s="18" t="n"/>
      <c r="H2586" s="18">
        <f>IF($A2586="","",IF(I2586&lt;&gt;"",I2586,Paramètres!B48))</f>
        <v/>
      </c>
      <c r="I2586" s="18" t="n"/>
    </row>
    <row r="2587">
      <c r="A2587" s="18">
        <f>IF(ISNUMBER(Dossiers!$D$51),Dossiers!$A$51&amp;" · "&amp;Dossiers!$B$51,"")</f>
        <v/>
      </c>
      <c r="B2587" s="18">
        <f>IF($A2587="","",Paramètres!G49)</f>
        <v/>
      </c>
      <c r="C2587" s="18">
        <f>IF($A2587="","",IF(Paramètres!H49="","",Paramètres!H49))</f>
        <v/>
      </c>
      <c r="D2587" s="18">
        <f>IF($A2587="","",IF(Paramètres!I49="","",Paramètres!I49))</f>
        <v/>
      </c>
      <c r="E2587" s="19">
        <f>IF($A2587="","",IF(Paramètres!J49&amp;Paramètres!L49&amp;Paramètres!N49="",Dossiers!$D$51,MAX(IF(Paramètres!J49="",0,IF(Paramètres!K49="",NA(),IF(LEFT(TRIM(Paramètres!K49),1)="F",INDEX($F$2543:$F$2595,MATCH(Paramètres!J49,Paramètres!$G$5:$G$57,0)),INDEX($E$2543:$E$2595,MATCH(Paramètres!J49,Paramètres!$G$5:$G$57,0)))+IF(RIGHT(TRIM(Paramètres!K49),3)="Fin",1-$H2587,IF(LEFT(TRIM(Paramètres!K49),1)="F",1,0)))),IF(Paramètres!L49="",0,IF(Paramètres!M49="",NA(),IF(LEFT(TRIM(Paramètres!M49),1)="F",INDEX($F$2543:$F$2595,MATCH(Paramètres!L49,Paramètres!$G$5:$G$57,0)),INDEX($E$2543:$E$2595,MATCH(Paramètres!L49,Paramètres!$G$5:$G$57,0)))+IF(RIGHT(TRIM(Paramètres!M49),3)="Fin",1-$H2587,IF(LEFT(TRIM(Paramètres!M49),1)="F",1,0)))),IF(Paramètres!N49="",0,IF(Paramètres!O49="",NA(),IF(LEFT(TRIM(Paramètres!O49),1)="F",INDEX($F$2543:$F$2595,MATCH(Paramètres!N49,Paramètres!$G$5:$G$57,0)),INDEX($E$2543:$E$2595,MATCH(Paramètres!N49,Paramètres!$G$5:$G$57,0)))+IF(RIGHT(TRIM(Paramètres!O49),3)="Fin",1-$H2587,IF(LEFT(TRIM(Paramètres!O49),1)="F",1,0)))))))</f>
        <v/>
      </c>
      <c r="F2587" s="19">
        <f>IF($A2587="","",E2587+$H2587-1)</f>
        <v/>
      </c>
      <c r="G2587" s="18" t="n"/>
      <c r="H2587" s="18">
        <f>IF($A2587="","",IF(I2587&lt;&gt;"",I2587,Paramètres!B49))</f>
        <v/>
      </c>
      <c r="I2587" s="18" t="n"/>
    </row>
    <row r="2588">
      <c r="A2588" s="18">
        <f>IF(ISNUMBER(Dossiers!$D$51),Dossiers!$A$51&amp;" · "&amp;Dossiers!$B$51,"")</f>
        <v/>
      </c>
      <c r="B2588" s="18">
        <f>IF($A2588="","",Paramètres!G50)</f>
        <v/>
      </c>
      <c r="C2588" s="18">
        <f>IF($A2588="","",IF(Paramètres!H50="","",Paramètres!H50))</f>
        <v/>
      </c>
      <c r="D2588" s="18">
        <f>IF($A2588="","",IF(Paramètres!I50="","",Paramètres!I50))</f>
        <v/>
      </c>
      <c r="E2588" s="19">
        <f>IF($A2588="","",IF(Paramètres!J50&amp;Paramètres!L50&amp;Paramètres!N50="",Dossiers!$D$51,MAX(IF(Paramètres!J50="",0,IF(Paramètres!K50="",NA(),IF(LEFT(TRIM(Paramètres!K50),1)="F",INDEX($F$2543:$F$2595,MATCH(Paramètres!J50,Paramètres!$G$5:$G$57,0)),INDEX($E$2543:$E$2595,MATCH(Paramètres!J50,Paramètres!$G$5:$G$57,0)))+IF(RIGHT(TRIM(Paramètres!K50),3)="Fin",1-$H2588,IF(LEFT(TRIM(Paramètres!K50),1)="F",1,0)))),IF(Paramètres!L50="",0,IF(Paramètres!M50="",NA(),IF(LEFT(TRIM(Paramètres!M50),1)="F",INDEX($F$2543:$F$2595,MATCH(Paramètres!L50,Paramètres!$G$5:$G$57,0)),INDEX($E$2543:$E$2595,MATCH(Paramètres!L50,Paramètres!$G$5:$G$57,0)))+IF(RIGHT(TRIM(Paramètres!M50),3)="Fin",1-$H2588,IF(LEFT(TRIM(Paramètres!M50),1)="F",1,0)))),IF(Paramètres!N50="",0,IF(Paramètres!O50="",NA(),IF(LEFT(TRIM(Paramètres!O50),1)="F",INDEX($F$2543:$F$2595,MATCH(Paramètres!N50,Paramètres!$G$5:$G$57,0)),INDEX($E$2543:$E$2595,MATCH(Paramètres!N50,Paramètres!$G$5:$G$57,0)))+IF(RIGHT(TRIM(Paramètres!O50),3)="Fin",1-$H2588,IF(LEFT(TRIM(Paramètres!O50),1)="F",1,0)))))))</f>
        <v/>
      </c>
      <c r="F2588" s="19">
        <f>IF($A2588="","",E2588+$H2588-1)</f>
        <v/>
      </c>
      <c r="G2588" s="18" t="n"/>
      <c r="H2588" s="18">
        <f>IF($A2588="","",IF(I2588&lt;&gt;"",I2588,Paramètres!B50))</f>
        <v/>
      </c>
      <c r="I2588" s="18" t="n"/>
    </row>
    <row r="2589">
      <c r="A2589" s="18">
        <f>IF(ISNUMBER(Dossiers!$D$51),Dossiers!$A$51&amp;" · "&amp;Dossiers!$B$51,"")</f>
        <v/>
      </c>
      <c r="B2589" s="18">
        <f>IF($A2589="","",Paramètres!G51)</f>
        <v/>
      </c>
      <c r="C2589" s="18">
        <f>IF($A2589="","",IF(Paramètres!H51="","",Paramètres!H51))</f>
        <v/>
      </c>
      <c r="D2589" s="18">
        <f>IF($A2589="","",IF(Paramètres!I51="","",Paramètres!I51))</f>
        <v/>
      </c>
      <c r="E2589" s="19">
        <f>IF($A2589="","",IF(Paramètres!J51&amp;Paramètres!L51&amp;Paramètres!N51="",Dossiers!$D$51,MAX(IF(Paramètres!J51="",0,IF(Paramètres!K51="",NA(),IF(LEFT(TRIM(Paramètres!K51),1)="F",INDEX($F$2543:$F$2595,MATCH(Paramètres!J51,Paramètres!$G$5:$G$57,0)),INDEX($E$2543:$E$2595,MATCH(Paramètres!J51,Paramètres!$G$5:$G$57,0)))+IF(RIGHT(TRIM(Paramètres!K51),3)="Fin",1-$H2589,IF(LEFT(TRIM(Paramètres!K51),1)="F",1,0)))),IF(Paramètres!L51="",0,IF(Paramètres!M51="",NA(),IF(LEFT(TRIM(Paramètres!M51),1)="F",INDEX($F$2543:$F$2595,MATCH(Paramètres!L51,Paramètres!$G$5:$G$57,0)),INDEX($E$2543:$E$2595,MATCH(Paramètres!L51,Paramètres!$G$5:$G$57,0)))+IF(RIGHT(TRIM(Paramètres!M51),3)="Fin",1-$H2589,IF(LEFT(TRIM(Paramètres!M51),1)="F",1,0)))),IF(Paramètres!N51="",0,IF(Paramètres!O51="",NA(),IF(LEFT(TRIM(Paramètres!O51),1)="F",INDEX($F$2543:$F$2595,MATCH(Paramètres!N51,Paramètres!$G$5:$G$57,0)),INDEX($E$2543:$E$2595,MATCH(Paramètres!N51,Paramètres!$G$5:$G$57,0)))+IF(RIGHT(TRIM(Paramètres!O51),3)="Fin",1-$H2589,IF(LEFT(TRIM(Paramètres!O51),1)="F",1,0)))))))</f>
        <v/>
      </c>
      <c r="F2589" s="19">
        <f>IF($A2589="","",E2589+$H2589-1)</f>
        <v/>
      </c>
      <c r="G2589" s="18" t="n"/>
      <c r="H2589" s="18">
        <f>IF($A2589="","",IF(I2589&lt;&gt;"",I2589,Paramètres!B51))</f>
        <v/>
      </c>
      <c r="I2589" s="18" t="n"/>
    </row>
    <row r="2590">
      <c r="A2590" s="18">
        <f>IF(ISNUMBER(Dossiers!$D$51),Dossiers!$A$51&amp;" · "&amp;Dossiers!$B$51,"")</f>
        <v/>
      </c>
      <c r="B2590" s="18">
        <f>IF($A2590="","",Paramètres!G52)</f>
        <v/>
      </c>
      <c r="C2590" s="18">
        <f>IF($A2590="","",IF(Paramètres!H52="","",Paramètres!H52))</f>
        <v/>
      </c>
      <c r="D2590" s="18">
        <f>IF($A2590="","",IF(Paramètres!I52="","",Paramètres!I52))</f>
        <v/>
      </c>
      <c r="E2590" s="19">
        <f>IF($A2590="","",IF(Paramètres!J52&amp;Paramètres!L52&amp;Paramètres!N52="",Dossiers!$D$51,MAX(IF(Paramètres!J52="",0,IF(Paramètres!K52="",NA(),IF(LEFT(TRIM(Paramètres!K52),1)="F",INDEX($F$2543:$F$2595,MATCH(Paramètres!J52,Paramètres!$G$5:$G$57,0)),INDEX($E$2543:$E$2595,MATCH(Paramètres!J52,Paramètres!$G$5:$G$57,0)))+IF(RIGHT(TRIM(Paramètres!K52),3)="Fin",1-$H2590,IF(LEFT(TRIM(Paramètres!K52),1)="F",1,0)))),IF(Paramètres!L52="",0,IF(Paramètres!M52="",NA(),IF(LEFT(TRIM(Paramètres!M52),1)="F",INDEX($F$2543:$F$2595,MATCH(Paramètres!L52,Paramètres!$G$5:$G$57,0)),INDEX($E$2543:$E$2595,MATCH(Paramètres!L52,Paramètres!$G$5:$G$57,0)))+IF(RIGHT(TRIM(Paramètres!M52),3)="Fin",1-$H2590,IF(LEFT(TRIM(Paramètres!M52),1)="F",1,0)))),IF(Paramètres!N52="",0,IF(Paramètres!O52="",NA(),IF(LEFT(TRIM(Paramètres!O52),1)="F",INDEX($F$2543:$F$2595,MATCH(Paramètres!N52,Paramètres!$G$5:$G$57,0)),INDEX($E$2543:$E$2595,MATCH(Paramètres!N52,Paramètres!$G$5:$G$57,0)))+IF(RIGHT(TRIM(Paramètres!O52),3)="Fin",1-$H2590,IF(LEFT(TRIM(Paramètres!O52),1)="F",1,0)))))))</f>
        <v/>
      </c>
      <c r="F2590" s="19">
        <f>IF($A2590="","",E2590+$H2590-1)</f>
        <v/>
      </c>
      <c r="G2590" s="18" t="n"/>
      <c r="H2590" s="18">
        <f>IF($A2590="","",IF(I2590&lt;&gt;"",I2590,Paramètres!B52))</f>
        <v/>
      </c>
      <c r="I2590" s="18" t="n"/>
    </row>
    <row r="2591">
      <c r="A2591" s="18">
        <f>IF(ISNUMBER(Dossiers!$D$51),Dossiers!$A$51&amp;" · "&amp;Dossiers!$B$51,"")</f>
        <v/>
      </c>
      <c r="B2591" s="18">
        <f>IF($A2591="","",Paramètres!G53)</f>
        <v/>
      </c>
      <c r="C2591" s="18">
        <f>IF($A2591="","",IF(Paramètres!H53="","",Paramètres!H53))</f>
        <v/>
      </c>
      <c r="D2591" s="18">
        <f>IF($A2591="","",IF(Paramètres!I53="","",Paramètres!I53))</f>
        <v/>
      </c>
      <c r="E2591" s="19">
        <f>IF($A2591="","",IF(Paramètres!J53&amp;Paramètres!L53&amp;Paramètres!N53="",Dossiers!$D$51,MAX(IF(Paramètres!J53="",0,IF(Paramètres!K53="",NA(),IF(LEFT(TRIM(Paramètres!K53),1)="F",INDEX($F$2543:$F$2595,MATCH(Paramètres!J53,Paramètres!$G$5:$G$57,0)),INDEX($E$2543:$E$2595,MATCH(Paramètres!J53,Paramètres!$G$5:$G$57,0)))+IF(RIGHT(TRIM(Paramètres!K53),3)="Fin",1-$H2591,IF(LEFT(TRIM(Paramètres!K53),1)="F",1,0)))),IF(Paramètres!L53="",0,IF(Paramètres!M53="",NA(),IF(LEFT(TRIM(Paramètres!M53),1)="F",INDEX($F$2543:$F$2595,MATCH(Paramètres!L53,Paramètres!$G$5:$G$57,0)),INDEX($E$2543:$E$2595,MATCH(Paramètres!L53,Paramètres!$G$5:$G$57,0)))+IF(RIGHT(TRIM(Paramètres!M53),3)="Fin",1-$H2591,IF(LEFT(TRIM(Paramètres!M53),1)="F",1,0)))),IF(Paramètres!N53="",0,IF(Paramètres!O53="",NA(),IF(LEFT(TRIM(Paramètres!O53),1)="F",INDEX($F$2543:$F$2595,MATCH(Paramètres!N53,Paramètres!$G$5:$G$57,0)),INDEX($E$2543:$E$2595,MATCH(Paramètres!N53,Paramètres!$G$5:$G$57,0)))+IF(RIGHT(TRIM(Paramètres!O53),3)="Fin",1-$H2591,IF(LEFT(TRIM(Paramètres!O53),1)="F",1,0)))))))</f>
        <v/>
      </c>
      <c r="F2591" s="19">
        <f>IF($A2591="","",E2591+$H2591-1)</f>
        <v/>
      </c>
      <c r="G2591" s="18" t="n"/>
      <c r="H2591" s="18">
        <f>IF($A2591="","",IF(I2591&lt;&gt;"",I2591,Paramètres!B53))</f>
        <v/>
      </c>
      <c r="I2591" s="18" t="n"/>
    </row>
    <row r="2592">
      <c r="A2592" s="18">
        <f>IF(ISNUMBER(Dossiers!$D$51),Dossiers!$A$51&amp;" · "&amp;Dossiers!$B$51,"")</f>
        <v/>
      </c>
      <c r="B2592" s="18">
        <f>IF($A2592="","",Paramètres!G54)</f>
        <v/>
      </c>
      <c r="C2592" s="18">
        <f>IF($A2592="","",IF(Paramètres!H54="","",Paramètres!H54))</f>
        <v/>
      </c>
      <c r="D2592" s="18">
        <f>IF($A2592="","",IF(Paramètres!I54="","",Paramètres!I54))</f>
        <v/>
      </c>
      <c r="E2592" s="19">
        <f>IF($A2592="","",IF(Paramètres!J54&amp;Paramètres!L54&amp;Paramètres!N54="",Dossiers!$D$51,MAX(IF(Paramètres!J54="",0,IF(Paramètres!K54="",NA(),IF(LEFT(TRIM(Paramètres!K54),1)="F",INDEX($F$2543:$F$2595,MATCH(Paramètres!J54,Paramètres!$G$5:$G$57,0)),INDEX($E$2543:$E$2595,MATCH(Paramètres!J54,Paramètres!$G$5:$G$57,0)))+IF(RIGHT(TRIM(Paramètres!K54),3)="Fin",1-$H2592,IF(LEFT(TRIM(Paramètres!K54),1)="F",1,0)))),IF(Paramètres!L54="",0,IF(Paramètres!M54="",NA(),IF(LEFT(TRIM(Paramètres!M54),1)="F",INDEX($F$2543:$F$2595,MATCH(Paramètres!L54,Paramètres!$G$5:$G$57,0)),INDEX($E$2543:$E$2595,MATCH(Paramètres!L54,Paramètres!$G$5:$G$57,0)))+IF(RIGHT(TRIM(Paramètres!M54),3)="Fin",1-$H2592,IF(LEFT(TRIM(Paramètres!M54),1)="F",1,0)))),IF(Paramètres!N54="",0,IF(Paramètres!O54="",NA(),IF(LEFT(TRIM(Paramètres!O54),1)="F",INDEX($F$2543:$F$2595,MATCH(Paramètres!N54,Paramètres!$G$5:$G$57,0)),INDEX($E$2543:$E$2595,MATCH(Paramètres!N54,Paramètres!$G$5:$G$57,0)))+IF(RIGHT(TRIM(Paramètres!O54),3)="Fin",1-$H2592,IF(LEFT(TRIM(Paramètres!O54),1)="F",1,0)))))))</f>
        <v/>
      </c>
      <c r="F2592" s="19">
        <f>IF($A2592="","",E2592+$H2592-1)</f>
        <v/>
      </c>
      <c r="G2592" s="18" t="n"/>
      <c r="H2592" s="18">
        <f>IF($A2592="","",IF(I2592&lt;&gt;"",I2592,Paramètres!B54))</f>
        <v/>
      </c>
      <c r="I2592" s="18" t="n"/>
    </row>
    <row r="2593">
      <c r="A2593" s="18">
        <f>IF(ISNUMBER(Dossiers!$D$51),Dossiers!$A$51&amp;" · "&amp;Dossiers!$B$51,"")</f>
        <v/>
      </c>
      <c r="B2593" s="18">
        <f>IF($A2593="","",Paramètres!G55)</f>
        <v/>
      </c>
      <c r="C2593" s="18">
        <f>IF($A2593="","",IF(Paramètres!H55="","",Paramètres!H55))</f>
        <v/>
      </c>
      <c r="D2593" s="18">
        <f>IF($A2593="","",IF(Paramètres!I55="","",Paramètres!I55))</f>
        <v/>
      </c>
      <c r="E2593" s="19">
        <f>IF($A2593="","",IF(Paramètres!J55&amp;Paramètres!L55&amp;Paramètres!N55="",Dossiers!$D$51,MAX(IF(Paramètres!J55="",0,IF(Paramètres!K55="",NA(),IF(LEFT(TRIM(Paramètres!K55),1)="F",INDEX($F$2543:$F$2595,MATCH(Paramètres!J55,Paramètres!$G$5:$G$57,0)),INDEX($E$2543:$E$2595,MATCH(Paramètres!J55,Paramètres!$G$5:$G$57,0)))+IF(RIGHT(TRIM(Paramètres!K55),3)="Fin",1-$H2593,IF(LEFT(TRIM(Paramètres!K55),1)="F",1,0)))),IF(Paramètres!L55="",0,IF(Paramètres!M55="",NA(),IF(LEFT(TRIM(Paramètres!M55),1)="F",INDEX($F$2543:$F$2595,MATCH(Paramètres!L55,Paramètres!$G$5:$G$57,0)),INDEX($E$2543:$E$2595,MATCH(Paramètres!L55,Paramètres!$G$5:$G$57,0)))+IF(RIGHT(TRIM(Paramètres!M55),3)="Fin",1-$H2593,IF(LEFT(TRIM(Paramètres!M55),1)="F",1,0)))),IF(Paramètres!N55="",0,IF(Paramètres!O55="",NA(),IF(LEFT(TRIM(Paramètres!O55),1)="F",INDEX($F$2543:$F$2595,MATCH(Paramètres!N55,Paramètres!$G$5:$G$57,0)),INDEX($E$2543:$E$2595,MATCH(Paramètres!N55,Paramètres!$G$5:$G$57,0)))+IF(RIGHT(TRIM(Paramètres!O55),3)="Fin",1-$H2593,IF(LEFT(TRIM(Paramètres!O55),1)="F",1,0)))))))</f>
        <v/>
      </c>
      <c r="F2593" s="19">
        <f>IF($A2593="","",E2593+$H2593-1)</f>
        <v/>
      </c>
      <c r="G2593" s="18" t="n"/>
      <c r="H2593" s="18">
        <f>IF($A2593="","",IF(I2593&lt;&gt;"",I2593,Paramètres!B55))</f>
        <v/>
      </c>
      <c r="I2593" s="18" t="n"/>
    </row>
    <row r="2594">
      <c r="A2594" s="18">
        <f>IF(ISNUMBER(Dossiers!$D$51),Dossiers!$A$51&amp;" · "&amp;Dossiers!$B$51,"")</f>
        <v/>
      </c>
      <c r="B2594" s="18">
        <f>IF($A2594="","",Paramètres!G56)</f>
        <v/>
      </c>
      <c r="C2594" s="18">
        <f>IF($A2594="","",IF(Paramètres!H56="","",Paramètres!H56))</f>
        <v/>
      </c>
      <c r="D2594" s="18">
        <f>IF($A2594="","",IF(Paramètres!I56="","",Paramètres!I56))</f>
        <v/>
      </c>
      <c r="E2594" s="19">
        <f>IF($A2594="","",MIN(E2595:E2595))</f>
        <v/>
      </c>
      <c r="F2594" s="19">
        <f>IF($A2594="","",MAX(F2595:F2595))</f>
        <v/>
      </c>
      <c r="G2594" s="18" t="n"/>
      <c r="H2594" s="18">
        <f>IF($A2594="","",F2594-E2594+1)</f>
        <v/>
      </c>
      <c r="I2594" s="18" t="n"/>
    </row>
    <row r="2595">
      <c r="A2595" s="18">
        <f>IF(ISNUMBER(Dossiers!$D$51),Dossiers!$A$51&amp;" · "&amp;Dossiers!$B$51,"")</f>
        <v/>
      </c>
      <c r="B2595" s="18">
        <f>IF($A2595="","",Paramètres!G57)</f>
        <v/>
      </c>
      <c r="C2595" s="18">
        <f>IF($A2595="","",IF(Paramètres!H57="","",Paramètres!H57))</f>
        <v/>
      </c>
      <c r="D2595" s="18">
        <f>IF($A2595="","",IF(Paramètres!I57="","",Paramètres!I57))</f>
        <v/>
      </c>
      <c r="E2595" s="19">
        <f>IF($A2595="","",IF(Paramètres!J57&amp;Paramètres!L57&amp;Paramètres!N57="",Dossiers!$D$51,MAX(IF(Paramètres!J57="",0,IF(Paramètres!K57="",NA(),IF(LEFT(TRIM(Paramètres!K57),1)="F",INDEX($F$2543:$F$2595,MATCH(Paramètres!J57,Paramètres!$G$5:$G$57,0)),INDEX($E$2543:$E$2595,MATCH(Paramètres!J57,Paramètres!$G$5:$G$57,0)))+IF(RIGHT(TRIM(Paramètres!K57),3)="Fin",1-$H2595,IF(LEFT(TRIM(Paramètres!K57),1)="F",1,0)))),IF(Paramètres!L57="",0,IF(Paramètres!M57="",NA(),IF(LEFT(TRIM(Paramètres!M57),1)="F",INDEX($F$2543:$F$2595,MATCH(Paramètres!L57,Paramètres!$G$5:$G$57,0)),INDEX($E$2543:$E$2595,MATCH(Paramètres!L57,Paramètres!$G$5:$G$57,0)))+IF(RIGHT(TRIM(Paramètres!M57),3)="Fin",1-$H2595,IF(LEFT(TRIM(Paramètres!M57),1)="F",1,0)))),IF(Paramètres!N57="",0,IF(Paramètres!O57="",NA(),IF(LEFT(TRIM(Paramètres!O57),1)="F",INDEX($F$2543:$F$2595,MATCH(Paramètres!N57,Paramètres!$G$5:$G$57,0)),INDEX($E$2543:$E$2595,MATCH(Paramètres!N57,Paramètres!$G$5:$G$57,0)))+IF(RIGHT(TRIM(Paramètres!O57),3)="Fin",1-$H2595,IF(LEFT(TRIM(Paramètres!O57),1)="F",1,0)))))))</f>
        <v/>
      </c>
      <c r="F2595" s="19">
        <f>IF($A2595="","",E2595+$H2595-1)</f>
        <v/>
      </c>
      <c r="G2595" s="18" t="n"/>
      <c r="H2595" s="18">
        <f>IF($A2595="","",IF(I2595&lt;&gt;"",I2595,Paramètres!B57))</f>
        <v/>
      </c>
      <c r="I2595" s="18" t="n"/>
    </row>
    <row r="2596">
      <c r="A2596" s="16">
        <f>IF(ISNUMBER(Dossiers!$D$52),Dossiers!$E$52,"")</f>
        <v/>
      </c>
      <c r="B2596" s="16">
        <f>IF($A2596="","","Identifiant")</f>
        <v/>
      </c>
      <c r="C2596" s="16">
        <f>IF($A2596="","","Macro Etape")</f>
        <v/>
      </c>
      <c r="D2596" s="16">
        <f>IF($A2596="","","Etape")</f>
        <v/>
      </c>
      <c r="E2596" s="17">
        <f>IF($A2596="","","Début le")</f>
        <v/>
      </c>
      <c r="F2596" s="17">
        <f>IF($A2596="","","Fin prévue le")</f>
        <v/>
      </c>
      <c r="G2596" s="16">
        <f>IF($A2596="","","Statut")</f>
        <v/>
      </c>
      <c r="H2596" s="16">
        <f>IF($A2596="","","Durée (jours)")</f>
        <v/>
      </c>
      <c r="I2596" s="16">
        <f>IF($A2596="","","Durée particulière")</f>
        <v/>
      </c>
      <c r="J2596" s="10">
        <f>IF($A2596="","",HYPERLINK("#'Tableau de bord'!A1","↑ Tableau de bord"))</f>
        <v/>
      </c>
    </row>
    <row r="2597">
      <c r="A2597" s="18">
        <f>IF(ISNUMBER(Dossiers!$D$52),Dossiers!$A$52&amp;" · "&amp;Dossiers!$B$52,"")</f>
        <v/>
      </c>
      <c r="B2597" s="18">
        <f>IF($A2597="","",Paramètres!G5)</f>
        <v/>
      </c>
      <c r="C2597" s="18">
        <f>IF($A2597="","",IF(Paramètres!H5="","",Paramètres!H5))</f>
        <v/>
      </c>
      <c r="D2597" s="18">
        <f>IF($A2597="","",IF(Paramètres!I5="","",Paramètres!I5))</f>
        <v/>
      </c>
      <c r="E2597" s="19">
        <f>IF($A2597="","",MIN(E2598:E2601))</f>
        <v/>
      </c>
      <c r="F2597" s="19">
        <f>IF($A2597="","",MAX(F2598:F2601))</f>
        <v/>
      </c>
      <c r="G2597" s="18" t="n"/>
      <c r="H2597" s="18">
        <f>IF($A2597="","",F2597-E2597+1)</f>
        <v/>
      </c>
      <c r="I2597" s="18" t="n"/>
    </row>
    <row r="2598">
      <c r="A2598" s="18">
        <f>IF(ISNUMBER(Dossiers!$D$52),Dossiers!$A$52&amp;" · "&amp;Dossiers!$B$52,"")</f>
        <v/>
      </c>
      <c r="B2598" s="18">
        <f>IF($A2598="","",Paramètres!G6)</f>
        <v/>
      </c>
      <c r="C2598" s="18">
        <f>IF($A2598="","",IF(Paramètres!H6="","",Paramètres!H6))</f>
        <v/>
      </c>
      <c r="D2598" s="18">
        <f>IF($A2598="","",IF(Paramètres!I6="","",Paramètres!I6))</f>
        <v/>
      </c>
      <c r="E2598" s="19">
        <f>IF($A2598="","",IF(Paramètres!J6&amp;Paramètres!L6&amp;Paramètres!N6="",Dossiers!$D$52,MAX(IF(Paramètres!J6="",0,IF(Paramètres!K6="",NA(),IF(LEFT(TRIM(Paramètres!K6),1)="F",INDEX($F$2597:$F$2649,MATCH(Paramètres!J6,Paramètres!$G$5:$G$57,0)),INDEX($E$2597:$E$2649,MATCH(Paramètres!J6,Paramètres!$G$5:$G$57,0)))+IF(RIGHT(TRIM(Paramètres!K6),3)="Fin",1-$H2598,IF(LEFT(TRIM(Paramètres!K6),1)="F",1,0)))),IF(Paramètres!L6="",0,IF(Paramètres!M6="",NA(),IF(LEFT(TRIM(Paramètres!M6),1)="F",INDEX($F$2597:$F$2649,MATCH(Paramètres!L6,Paramètres!$G$5:$G$57,0)),INDEX($E$2597:$E$2649,MATCH(Paramètres!L6,Paramètres!$G$5:$G$57,0)))+IF(RIGHT(TRIM(Paramètres!M6),3)="Fin",1-$H2598,IF(LEFT(TRIM(Paramètres!M6),1)="F",1,0)))),IF(Paramètres!N6="",0,IF(Paramètres!O6="",NA(),IF(LEFT(TRIM(Paramètres!O6),1)="F",INDEX($F$2597:$F$2649,MATCH(Paramètres!N6,Paramètres!$G$5:$G$57,0)),INDEX($E$2597:$E$2649,MATCH(Paramètres!N6,Paramètres!$G$5:$G$57,0)))+IF(RIGHT(TRIM(Paramètres!O6),3)="Fin",1-$H2598,IF(LEFT(TRIM(Paramètres!O6),1)="F",1,0)))))))</f>
        <v/>
      </c>
      <c r="F2598" s="19">
        <f>IF($A2598="","",E2598+$H2598-1)</f>
        <v/>
      </c>
      <c r="G2598" s="18" t="n"/>
      <c r="H2598" s="18">
        <f>IF($A2598="","",IF(I2598&lt;&gt;"",I2598,Paramètres!B6))</f>
        <v/>
      </c>
      <c r="I2598" s="18" t="n"/>
    </row>
    <row r="2599">
      <c r="A2599" s="18">
        <f>IF(ISNUMBER(Dossiers!$D$52),Dossiers!$A$52&amp;" · "&amp;Dossiers!$B$52,"")</f>
        <v/>
      </c>
      <c r="B2599" s="18">
        <f>IF($A2599="","",Paramètres!G7)</f>
        <v/>
      </c>
      <c r="C2599" s="18">
        <f>IF($A2599="","",IF(Paramètres!H7="","",Paramètres!H7))</f>
        <v/>
      </c>
      <c r="D2599" s="18">
        <f>IF($A2599="","",IF(Paramètres!I7="","",Paramètres!I7))</f>
        <v/>
      </c>
      <c r="E2599" s="19">
        <f>IF($A2599="","",IF(Paramètres!J7&amp;Paramètres!L7&amp;Paramètres!N7="",Dossiers!$D$52,MAX(IF(Paramètres!J7="",0,IF(Paramètres!K7="",NA(),IF(LEFT(TRIM(Paramètres!K7),1)="F",INDEX($F$2597:$F$2649,MATCH(Paramètres!J7,Paramètres!$G$5:$G$57,0)),INDEX($E$2597:$E$2649,MATCH(Paramètres!J7,Paramètres!$G$5:$G$57,0)))+IF(RIGHT(TRIM(Paramètres!K7),3)="Fin",1-$H2599,IF(LEFT(TRIM(Paramètres!K7),1)="F",1,0)))),IF(Paramètres!L7="",0,IF(Paramètres!M7="",NA(),IF(LEFT(TRIM(Paramètres!M7),1)="F",INDEX($F$2597:$F$2649,MATCH(Paramètres!L7,Paramètres!$G$5:$G$57,0)),INDEX($E$2597:$E$2649,MATCH(Paramètres!L7,Paramètres!$G$5:$G$57,0)))+IF(RIGHT(TRIM(Paramètres!M7),3)="Fin",1-$H2599,IF(LEFT(TRIM(Paramètres!M7),1)="F",1,0)))),IF(Paramètres!N7="",0,IF(Paramètres!O7="",NA(),IF(LEFT(TRIM(Paramètres!O7),1)="F",INDEX($F$2597:$F$2649,MATCH(Paramètres!N7,Paramètres!$G$5:$G$57,0)),INDEX($E$2597:$E$2649,MATCH(Paramètres!N7,Paramètres!$G$5:$G$57,0)))+IF(RIGHT(TRIM(Paramètres!O7),3)="Fin",1-$H2599,IF(LEFT(TRIM(Paramètres!O7),1)="F",1,0)))))))</f>
        <v/>
      </c>
      <c r="F2599" s="19">
        <f>IF($A2599="","",E2599+$H2599-1)</f>
        <v/>
      </c>
      <c r="G2599" s="18" t="n"/>
      <c r="H2599" s="18">
        <f>IF($A2599="","",IF(I2599&lt;&gt;"",I2599,Paramètres!B7))</f>
        <v/>
      </c>
      <c r="I2599" s="18" t="n"/>
    </row>
    <row r="2600">
      <c r="A2600" s="18">
        <f>IF(ISNUMBER(Dossiers!$D$52),Dossiers!$A$52&amp;" · "&amp;Dossiers!$B$52,"")</f>
        <v/>
      </c>
      <c r="B2600" s="18">
        <f>IF($A2600="","",Paramètres!G8)</f>
        <v/>
      </c>
      <c r="C2600" s="18">
        <f>IF($A2600="","",IF(Paramètres!H8="","",Paramètres!H8))</f>
        <v/>
      </c>
      <c r="D2600" s="18">
        <f>IF($A2600="","",IF(Paramètres!I8="","",Paramètres!I8))</f>
        <v/>
      </c>
      <c r="E2600" s="19">
        <f>IF($A2600="","",IF(Paramètres!J8&amp;Paramètres!L8&amp;Paramètres!N8="",Dossiers!$D$52,MAX(IF(Paramètres!J8="",0,IF(Paramètres!K8="",NA(),IF(LEFT(TRIM(Paramètres!K8),1)="F",INDEX($F$2597:$F$2649,MATCH(Paramètres!J8,Paramètres!$G$5:$G$57,0)),INDEX($E$2597:$E$2649,MATCH(Paramètres!J8,Paramètres!$G$5:$G$57,0)))+IF(RIGHT(TRIM(Paramètres!K8),3)="Fin",1-$H2600,IF(LEFT(TRIM(Paramètres!K8),1)="F",1,0)))),IF(Paramètres!L8="",0,IF(Paramètres!M8="",NA(),IF(LEFT(TRIM(Paramètres!M8),1)="F",INDEX($F$2597:$F$2649,MATCH(Paramètres!L8,Paramètres!$G$5:$G$57,0)),INDEX($E$2597:$E$2649,MATCH(Paramètres!L8,Paramètres!$G$5:$G$57,0)))+IF(RIGHT(TRIM(Paramètres!M8),3)="Fin",1-$H2600,IF(LEFT(TRIM(Paramètres!M8),1)="F",1,0)))),IF(Paramètres!N8="",0,IF(Paramètres!O8="",NA(),IF(LEFT(TRIM(Paramètres!O8),1)="F",INDEX($F$2597:$F$2649,MATCH(Paramètres!N8,Paramètres!$G$5:$G$57,0)),INDEX($E$2597:$E$2649,MATCH(Paramètres!N8,Paramètres!$G$5:$G$57,0)))+IF(RIGHT(TRIM(Paramètres!O8),3)="Fin",1-$H2600,IF(LEFT(TRIM(Paramètres!O8),1)="F",1,0)))))))</f>
        <v/>
      </c>
      <c r="F2600" s="19">
        <f>IF($A2600="","",E2600+$H2600-1)</f>
        <v/>
      </c>
      <c r="G2600" s="18" t="n"/>
      <c r="H2600" s="18">
        <f>IF($A2600="","",IF(I2600&lt;&gt;"",I2600,Paramètres!B8))</f>
        <v/>
      </c>
      <c r="I2600" s="18" t="n"/>
    </row>
    <row r="2601">
      <c r="A2601" s="18">
        <f>IF(ISNUMBER(Dossiers!$D$52),Dossiers!$A$52&amp;" · "&amp;Dossiers!$B$52,"")</f>
        <v/>
      </c>
      <c r="B2601" s="18">
        <f>IF($A2601="","",Paramètres!G9)</f>
        <v/>
      </c>
      <c r="C2601" s="18">
        <f>IF($A2601="","",IF(Paramètres!H9="","",Paramètres!H9))</f>
        <v/>
      </c>
      <c r="D2601" s="18">
        <f>IF($A2601="","",IF(Paramètres!I9="","",Paramètres!I9))</f>
        <v/>
      </c>
      <c r="E2601" s="19">
        <f>IF($A2601="","",IF(Paramètres!J9&amp;Paramètres!L9&amp;Paramètres!N9="",Dossiers!$D$52,MAX(IF(Paramètres!J9="",0,IF(Paramètres!K9="",NA(),IF(LEFT(TRIM(Paramètres!K9),1)="F",INDEX($F$2597:$F$2649,MATCH(Paramètres!J9,Paramètres!$G$5:$G$57,0)),INDEX($E$2597:$E$2649,MATCH(Paramètres!J9,Paramètres!$G$5:$G$57,0)))+IF(RIGHT(TRIM(Paramètres!K9),3)="Fin",1-$H2601,IF(LEFT(TRIM(Paramètres!K9),1)="F",1,0)))),IF(Paramètres!L9="",0,IF(Paramètres!M9="",NA(),IF(LEFT(TRIM(Paramètres!M9),1)="F",INDEX($F$2597:$F$2649,MATCH(Paramètres!L9,Paramètres!$G$5:$G$57,0)),INDEX($E$2597:$E$2649,MATCH(Paramètres!L9,Paramètres!$G$5:$G$57,0)))+IF(RIGHT(TRIM(Paramètres!M9),3)="Fin",1-$H2601,IF(LEFT(TRIM(Paramètres!M9),1)="F",1,0)))),IF(Paramètres!N9="",0,IF(Paramètres!O9="",NA(),IF(LEFT(TRIM(Paramètres!O9),1)="F",INDEX($F$2597:$F$2649,MATCH(Paramètres!N9,Paramètres!$G$5:$G$57,0)),INDEX($E$2597:$E$2649,MATCH(Paramètres!N9,Paramètres!$G$5:$G$57,0)))+IF(RIGHT(TRIM(Paramètres!O9),3)="Fin",1-$H2601,IF(LEFT(TRIM(Paramètres!O9),1)="F",1,0)))))))</f>
        <v/>
      </c>
      <c r="F2601" s="19">
        <f>IF($A2601="","",E2601+$H2601-1)</f>
        <v/>
      </c>
      <c r="G2601" s="18" t="n"/>
      <c r="H2601" s="18">
        <f>IF($A2601="","",IF(I2601&lt;&gt;"",I2601,Paramètres!B9))</f>
        <v/>
      </c>
      <c r="I2601" s="18" t="n"/>
    </row>
    <row r="2602">
      <c r="A2602" s="18">
        <f>IF(ISNUMBER(Dossiers!$D$52),Dossiers!$A$52&amp;" · "&amp;Dossiers!$B$52,"")</f>
        <v/>
      </c>
      <c r="B2602" s="18">
        <f>IF($A2602="","",Paramètres!G10)</f>
        <v/>
      </c>
      <c r="C2602" s="18">
        <f>IF($A2602="","",IF(Paramètres!H10="","",Paramètres!H10))</f>
        <v/>
      </c>
      <c r="D2602" s="18">
        <f>IF($A2602="","",IF(Paramètres!I10="","",Paramètres!I10))</f>
        <v/>
      </c>
      <c r="E2602" s="19">
        <f>IF($A2602="","",MIN(E2603:E2606))</f>
        <v/>
      </c>
      <c r="F2602" s="19">
        <f>IF($A2602="","",MAX(F2603:F2606))</f>
        <v/>
      </c>
      <c r="G2602" s="18" t="n"/>
      <c r="H2602" s="18">
        <f>IF($A2602="","",F2602-E2602+1)</f>
        <v/>
      </c>
      <c r="I2602" s="18" t="n"/>
    </row>
    <row r="2603">
      <c r="A2603" s="18">
        <f>IF(ISNUMBER(Dossiers!$D$52),Dossiers!$A$52&amp;" · "&amp;Dossiers!$B$52,"")</f>
        <v/>
      </c>
      <c r="B2603" s="18">
        <f>IF($A2603="","",Paramètres!G11)</f>
        <v/>
      </c>
      <c r="C2603" s="18">
        <f>IF($A2603="","",IF(Paramètres!H11="","",Paramètres!H11))</f>
        <v/>
      </c>
      <c r="D2603" s="18">
        <f>IF($A2603="","",IF(Paramètres!I11="","",Paramètres!I11))</f>
        <v/>
      </c>
      <c r="E2603" s="19">
        <f>IF($A2603="","",IF(Paramètres!J11&amp;Paramètres!L11&amp;Paramètres!N11="",Dossiers!$D$52,MAX(IF(Paramètres!J11="",0,IF(Paramètres!K11="",NA(),IF(LEFT(TRIM(Paramètres!K11),1)="F",INDEX($F$2597:$F$2649,MATCH(Paramètres!J11,Paramètres!$G$5:$G$57,0)),INDEX($E$2597:$E$2649,MATCH(Paramètres!J11,Paramètres!$G$5:$G$57,0)))+IF(RIGHT(TRIM(Paramètres!K11),3)="Fin",1-$H2603,IF(LEFT(TRIM(Paramètres!K11),1)="F",1,0)))),IF(Paramètres!L11="",0,IF(Paramètres!M11="",NA(),IF(LEFT(TRIM(Paramètres!M11),1)="F",INDEX($F$2597:$F$2649,MATCH(Paramètres!L11,Paramètres!$G$5:$G$57,0)),INDEX($E$2597:$E$2649,MATCH(Paramètres!L11,Paramètres!$G$5:$G$57,0)))+IF(RIGHT(TRIM(Paramètres!M11),3)="Fin",1-$H2603,IF(LEFT(TRIM(Paramètres!M11),1)="F",1,0)))),IF(Paramètres!N11="",0,IF(Paramètres!O11="",NA(),IF(LEFT(TRIM(Paramètres!O11),1)="F",INDEX($F$2597:$F$2649,MATCH(Paramètres!N11,Paramètres!$G$5:$G$57,0)),INDEX($E$2597:$E$2649,MATCH(Paramètres!N11,Paramètres!$G$5:$G$57,0)))+IF(RIGHT(TRIM(Paramètres!O11),3)="Fin",1-$H2603,IF(LEFT(TRIM(Paramètres!O11),1)="F",1,0)))))))</f>
        <v/>
      </c>
      <c r="F2603" s="19">
        <f>IF($A2603="","",E2603+$H2603-1)</f>
        <v/>
      </c>
      <c r="G2603" s="18" t="n"/>
      <c r="H2603" s="18">
        <f>IF($A2603="","",IF(I2603&lt;&gt;"",I2603,Paramètres!B11))</f>
        <v/>
      </c>
      <c r="I2603" s="18" t="n"/>
    </row>
    <row r="2604">
      <c r="A2604" s="18">
        <f>IF(ISNUMBER(Dossiers!$D$52),Dossiers!$A$52&amp;" · "&amp;Dossiers!$B$52,"")</f>
        <v/>
      </c>
      <c r="B2604" s="18">
        <f>IF($A2604="","",Paramètres!G12)</f>
        <v/>
      </c>
      <c r="C2604" s="18">
        <f>IF($A2604="","",IF(Paramètres!H12="","",Paramètres!H12))</f>
        <v/>
      </c>
      <c r="D2604" s="18">
        <f>IF($A2604="","",IF(Paramètres!I12="","",Paramètres!I12))</f>
        <v/>
      </c>
      <c r="E2604" s="19">
        <f>IF($A2604="","",IF(Paramètres!J12&amp;Paramètres!L12&amp;Paramètres!N12="",Dossiers!$D$52,MAX(IF(Paramètres!J12="",0,IF(Paramètres!K12="",NA(),IF(LEFT(TRIM(Paramètres!K12),1)="F",INDEX($F$2597:$F$2649,MATCH(Paramètres!J12,Paramètres!$G$5:$G$57,0)),INDEX($E$2597:$E$2649,MATCH(Paramètres!J12,Paramètres!$G$5:$G$57,0)))+IF(RIGHT(TRIM(Paramètres!K12),3)="Fin",1-$H2604,IF(LEFT(TRIM(Paramètres!K12),1)="F",1,0)))),IF(Paramètres!L12="",0,IF(Paramètres!M12="",NA(),IF(LEFT(TRIM(Paramètres!M12),1)="F",INDEX($F$2597:$F$2649,MATCH(Paramètres!L12,Paramètres!$G$5:$G$57,0)),INDEX($E$2597:$E$2649,MATCH(Paramètres!L12,Paramètres!$G$5:$G$57,0)))+IF(RIGHT(TRIM(Paramètres!M12),3)="Fin",1-$H2604,IF(LEFT(TRIM(Paramètres!M12),1)="F",1,0)))),IF(Paramètres!N12="",0,IF(Paramètres!O12="",NA(),IF(LEFT(TRIM(Paramètres!O12),1)="F",INDEX($F$2597:$F$2649,MATCH(Paramètres!N12,Paramètres!$G$5:$G$57,0)),INDEX($E$2597:$E$2649,MATCH(Paramètres!N12,Paramètres!$G$5:$G$57,0)))+IF(RIGHT(TRIM(Paramètres!O12),3)="Fin",1-$H2604,IF(LEFT(TRIM(Paramètres!O12),1)="F",1,0)))))))</f>
        <v/>
      </c>
      <c r="F2604" s="19">
        <f>IF($A2604="","",E2604+$H2604-1)</f>
        <v/>
      </c>
      <c r="G2604" s="18" t="n"/>
      <c r="H2604" s="18">
        <f>IF($A2604="","",IF(I2604&lt;&gt;"",I2604,Paramètres!B12))</f>
        <v/>
      </c>
      <c r="I2604" s="18" t="n"/>
    </row>
    <row r="2605">
      <c r="A2605" s="18">
        <f>IF(ISNUMBER(Dossiers!$D$52),Dossiers!$A$52&amp;" · "&amp;Dossiers!$B$52,"")</f>
        <v/>
      </c>
      <c r="B2605" s="18">
        <f>IF($A2605="","",Paramètres!G13)</f>
        <v/>
      </c>
      <c r="C2605" s="18">
        <f>IF($A2605="","",IF(Paramètres!H13="","",Paramètres!H13))</f>
        <v/>
      </c>
      <c r="D2605" s="18">
        <f>IF($A2605="","",IF(Paramètres!I13="","",Paramètres!I13))</f>
        <v/>
      </c>
      <c r="E2605" s="19">
        <f>IF($A2605="","",IF(Paramètres!J13&amp;Paramètres!L13&amp;Paramètres!N13="",Dossiers!$D$52,MAX(IF(Paramètres!J13="",0,IF(Paramètres!K13="",NA(),IF(LEFT(TRIM(Paramètres!K13),1)="F",INDEX($F$2597:$F$2649,MATCH(Paramètres!J13,Paramètres!$G$5:$G$57,0)),INDEX($E$2597:$E$2649,MATCH(Paramètres!J13,Paramètres!$G$5:$G$57,0)))+IF(RIGHT(TRIM(Paramètres!K13),3)="Fin",1-$H2605,IF(LEFT(TRIM(Paramètres!K13),1)="F",1,0)))),IF(Paramètres!L13="",0,IF(Paramètres!M13="",NA(),IF(LEFT(TRIM(Paramètres!M13),1)="F",INDEX($F$2597:$F$2649,MATCH(Paramètres!L13,Paramètres!$G$5:$G$57,0)),INDEX($E$2597:$E$2649,MATCH(Paramètres!L13,Paramètres!$G$5:$G$57,0)))+IF(RIGHT(TRIM(Paramètres!M13),3)="Fin",1-$H2605,IF(LEFT(TRIM(Paramètres!M13),1)="F",1,0)))),IF(Paramètres!N13="",0,IF(Paramètres!O13="",NA(),IF(LEFT(TRIM(Paramètres!O13),1)="F",INDEX($F$2597:$F$2649,MATCH(Paramètres!N13,Paramètres!$G$5:$G$57,0)),INDEX($E$2597:$E$2649,MATCH(Paramètres!N13,Paramètres!$G$5:$G$57,0)))+IF(RIGHT(TRIM(Paramètres!O13),3)="Fin",1-$H2605,IF(LEFT(TRIM(Paramètres!O13),1)="F",1,0)))))))</f>
        <v/>
      </c>
      <c r="F2605" s="19">
        <f>IF($A2605="","",E2605+$H2605-1)</f>
        <v/>
      </c>
      <c r="G2605" s="18" t="n"/>
      <c r="H2605" s="18">
        <f>IF($A2605="","",IF(I2605&lt;&gt;"",I2605,Paramètres!B13))</f>
        <v/>
      </c>
      <c r="I2605" s="18" t="n"/>
    </row>
    <row r="2606">
      <c r="A2606" s="18">
        <f>IF(ISNUMBER(Dossiers!$D$52),Dossiers!$A$52&amp;" · "&amp;Dossiers!$B$52,"")</f>
        <v/>
      </c>
      <c r="B2606" s="18">
        <f>IF($A2606="","",Paramètres!G14)</f>
        <v/>
      </c>
      <c r="C2606" s="18">
        <f>IF($A2606="","",IF(Paramètres!H14="","",Paramètres!H14))</f>
        <v/>
      </c>
      <c r="D2606" s="18">
        <f>IF($A2606="","",IF(Paramètres!I14="","",Paramètres!I14))</f>
        <v/>
      </c>
      <c r="E2606" s="19">
        <f>IF($A2606="","",IF(Paramètres!J14&amp;Paramètres!L14&amp;Paramètres!N14="",Dossiers!$D$52,MAX(IF(Paramètres!J14="",0,IF(Paramètres!K14="",NA(),IF(LEFT(TRIM(Paramètres!K14),1)="F",INDEX($F$2597:$F$2649,MATCH(Paramètres!J14,Paramètres!$G$5:$G$57,0)),INDEX($E$2597:$E$2649,MATCH(Paramètres!J14,Paramètres!$G$5:$G$57,0)))+IF(RIGHT(TRIM(Paramètres!K14),3)="Fin",1-$H2606,IF(LEFT(TRIM(Paramètres!K14),1)="F",1,0)))),IF(Paramètres!L14="",0,IF(Paramètres!M14="",NA(),IF(LEFT(TRIM(Paramètres!M14),1)="F",INDEX($F$2597:$F$2649,MATCH(Paramètres!L14,Paramètres!$G$5:$G$57,0)),INDEX($E$2597:$E$2649,MATCH(Paramètres!L14,Paramètres!$G$5:$G$57,0)))+IF(RIGHT(TRIM(Paramètres!M14),3)="Fin",1-$H2606,IF(LEFT(TRIM(Paramètres!M14),1)="F",1,0)))),IF(Paramètres!N14="",0,IF(Paramètres!O14="",NA(),IF(LEFT(TRIM(Paramètres!O14),1)="F",INDEX($F$2597:$F$2649,MATCH(Paramètres!N14,Paramètres!$G$5:$G$57,0)),INDEX($E$2597:$E$2649,MATCH(Paramètres!N14,Paramètres!$G$5:$G$57,0)))+IF(RIGHT(TRIM(Paramètres!O14),3)="Fin",1-$H2606,IF(LEFT(TRIM(Paramètres!O14),1)="F",1,0)))))))</f>
        <v/>
      </c>
      <c r="F2606" s="19">
        <f>IF($A2606="","",E2606+$H2606-1)</f>
        <v/>
      </c>
      <c r="G2606" s="18" t="n"/>
      <c r="H2606" s="18">
        <f>IF($A2606="","",IF(I2606&lt;&gt;"",I2606,Paramètres!B14))</f>
        <v/>
      </c>
      <c r="I2606" s="18" t="n"/>
    </row>
    <row r="2607">
      <c r="A2607" s="18">
        <f>IF(ISNUMBER(Dossiers!$D$52),Dossiers!$A$52&amp;" · "&amp;Dossiers!$B$52,"")</f>
        <v/>
      </c>
      <c r="B2607" s="18">
        <f>IF($A2607="","",Paramètres!G15)</f>
        <v/>
      </c>
      <c r="C2607" s="18">
        <f>IF($A2607="","",IF(Paramètres!H15="","",Paramètres!H15))</f>
        <v/>
      </c>
      <c r="D2607" s="18">
        <f>IF($A2607="","",IF(Paramètres!I15="","",Paramètres!I15))</f>
        <v/>
      </c>
      <c r="E2607" s="19">
        <f>IF($A2607="","",MIN(E2608:E2623))</f>
        <v/>
      </c>
      <c r="F2607" s="19">
        <f>IF($A2607="","",MAX(F2608:F2623))</f>
        <v/>
      </c>
      <c r="G2607" s="18" t="n"/>
      <c r="H2607" s="18">
        <f>IF($A2607="","",F2607-E2607+1)</f>
        <v/>
      </c>
      <c r="I2607" s="18" t="n"/>
    </row>
    <row r="2608">
      <c r="A2608" s="18">
        <f>IF(ISNUMBER(Dossiers!$D$52),Dossiers!$A$52&amp;" · "&amp;Dossiers!$B$52,"")</f>
        <v/>
      </c>
      <c r="B2608" s="18">
        <f>IF($A2608="","",Paramètres!G16)</f>
        <v/>
      </c>
      <c r="C2608" s="18">
        <f>IF($A2608="","",IF(Paramètres!H16="","",Paramètres!H16))</f>
        <v/>
      </c>
      <c r="D2608" s="18">
        <f>IF($A2608="","",IF(Paramètres!I16="","",Paramètres!I16))</f>
        <v/>
      </c>
      <c r="E2608" s="19">
        <f>IF($A2608="","",IF(Paramètres!J16&amp;Paramètres!L16&amp;Paramètres!N16="",Dossiers!$D$52,MAX(IF(Paramètres!J16="",0,IF(Paramètres!K16="",NA(),IF(LEFT(TRIM(Paramètres!K16),1)="F",INDEX($F$2597:$F$2649,MATCH(Paramètres!J16,Paramètres!$G$5:$G$57,0)),INDEX($E$2597:$E$2649,MATCH(Paramètres!J16,Paramètres!$G$5:$G$57,0)))+IF(RIGHT(TRIM(Paramètres!K16),3)="Fin",1-$H2608,IF(LEFT(TRIM(Paramètres!K16),1)="F",1,0)))),IF(Paramètres!L16="",0,IF(Paramètres!M16="",NA(),IF(LEFT(TRIM(Paramètres!M16),1)="F",INDEX($F$2597:$F$2649,MATCH(Paramètres!L16,Paramètres!$G$5:$G$57,0)),INDEX($E$2597:$E$2649,MATCH(Paramètres!L16,Paramètres!$G$5:$G$57,0)))+IF(RIGHT(TRIM(Paramètres!M16),3)="Fin",1-$H2608,IF(LEFT(TRIM(Paramètres!M16),1)="F",1,0)))),IF(Paramètres!N16="",0,IF(Paramètres!O16="",NA(),IF(LEFT(TRIM(Paramètres!O16),1)="F",INDEX($F$2597:$F$2649,MATCH(Paramètres!N16,Paramètres!$G$5:$G$57,0)),INDEX($E$2597:$E$2649,MATCH(Paramètres!N16,Paramètres!$G$5:$G$57,0)))+IF(RIGHT(TRIM(Paramètres!O16),3)="Fin",1-$H2608,IF(LEFT(TRIM(Paramètres!O16),1)="F",1,0)))))))</f>
        <v/>
      </c>
      <c r="F2608" s="19">
        <f>IF($A2608="","",E2608+$H2608-1)</f>
        <v/>
      </c>
      <c r="G2608" s="18" t="n"/>
      <c r="H2608" s="18">
        <f>IF($A2608="","",IF(I2608&lt;&gt;"",I2608,Paramètres!B16))</f>
        <v/>
      </c>
      <c r="I2608" s="18" t="n"/>
    </row>
    <row r="2609">
      <c r="A2609" s="18">
        <f>IF(ISNUMBER(Dossiers!$D$52),Dossiers!$A$52&amp;" · "&amp;Dossiers!$B$52,"")</f>
        <v/>
      </c>
      <c r="B2609" s="18">
        <f>IF($A2609="","",Paramètres!G17)</f>
        <v/>
      </c>
      <c r="C2609" s="18">
        <f>IF($A2609="","",IF(Paramètres!H17="","",Paramètres!H17))</f>
        <v/>
      </c>
      <c r="D2609" s="18">
        <f>IF($A2609="","",IF(Paramètres!I17="","",Paramètres!I17))</f>
        <v/>
      </c>
      <c r="E2609" s="19">
        <f>IF($A2609="","",IF(Paramètres!J17&amp;Paramètres!L17&amp;Paramètres!N17="",Dossiers!$D$52,MAX(IF(Paramètres!J17="",0,IF(Paramètres!K17="",NA(),IF(LEFT(TRIM(Paramètres!K17),1)="F",INDEX($F$2597:$F$2649,MATCH(Paramètres!J17,Paramètres!$G$5:$G$57,0)),INDEX($E$2597:$E$2649,MATCH(Paramètres!J17,Paramètres!$G$5:$G$57,0)))+IF(RIGHT(TRIM(Paramètres!K17),3)="Fin",1-$H2609,IF(LEFT(TRIM(Paramètres!K17),1)="F",1,0)))),IF(Paramètres!L17="",0,IF(Paramètres!M17="",NA(),IF(LEFT(TRIM(Paramètres!M17),1)="F",INDEX($F$2597:$F$2649,MATCH(Paramètres!L17,Paramètres!$G$5:$G$57,0)),INDEX($E$2597:$E$2649,MATCH(Paramètres!L17,Paramètres!$G$5:$G$57,0)))+IF(RIGHT(TRIM(Paramètres!M17),3)="Fin",1-$H2609,IF(LEFT(TRIM(Paramètres!M17),1)="F",1,0)))),IF(Paramètres!N17="",0,IF(Paramètres!O17="",NA(),IF(LEFT(TRIM(Paramètres!O17),1)="F",INDEX($F$2597:$F$2649,MATCH(Paramètres!N17,Paramètres!$G$5:$G$57,0)),INDEX($E$2597:$E$2649,MATCH(Paramètres!N17,Paramètres!$G$5:$G$57,0)))+IF(RIGHT(TRIM(Paramètres!O17),3)="Fin",1-$H2609,IF(LEFT(TRIM(Paramètres!O17),1)="F",1,0)))))))</f>
        <v/>
      </c>
      <c r="F2609" s="19">
        <f>IF($A2609="","",E2609+$H2609-1)</f>
        <v/>
      </c>
      <c r="G2609" s="18" t="n"/>
      <c r="H2609" s="18">
        <f>IF($A2609="","",IF(I2609&lt;&gt;"",I2609,Paramètres!B17))</f>
        <v/>
      </c>
      <c r="I2609" s="18" t="n"/>
    </row>
    <row r="2610">
      <c r="A2610" s="18">
        <f>IF(ISNUMBER(Dossiers!$D$52),Dossiers!$A$52&amp;" · "&amp;Dossiers!$B$52,"")</f>
        <v/>
      </c>
      <c r="B2610" s="18">
        <f>IF($A2610="","",Paramètres!G18)</f>
        <v/>
      </c>
      <c r="C2610" s="18">
        <f>IF($A2610="","",IF(Paramètres!H18="","",Paramètres!H18))</f>
        <v/>
      </c>
      <c r="D2610" s="18">
        <f>IF($A2610="","",IF(Paramètres!I18="","",Paramètres!I18))</f>
        <v/>
      </c>
      <c r="E2610" s="19">
        <f>IF($A2610="","",IF(Paramètres!J18&amp;Paramètres!L18&amp;Paramètres!N18="",Dossiers!$D$52,MAX(IF(Paramètres!J18="",0,IF(Paramètres!K18="",NA(),IF(LEFT(TRIM(Paramètres!K18),1)="F",INDEX($F$2597:$F$2649,MATCH(Paramètres!J18,Paramètres!$G$5:$G$57,0)),INDEX($E$2597:$E$2649,MATCH(Paramètres!J18,Paramètres!$G$5:$G$57,0)))+IF(RIGHT(TRIM(Paramètres!K18),3)="Fin",1-$H2610,IF(LEFT(TRIM(Paramètres!K18),1)="F",1,0)))),IF(Paramètres!L18="",0,IF(Paramètres!M18="",NA(),IF(LEFT(TRIM(Paramètres!M18),1)="F",INDEX($F$2597:$F$2649,MATCH(Paramètres!L18,Paramètres!$G$5:$G$57,0)),INDEX($E$2597:$E$2649,MATCH(Paramètres!L18,Paramètres!$G$5:$G$57,0)))+IF(RIGHT(TRIM(Paramètres!M18),3)="Fin",1-$H2610,IF(LEFT(TRIM(Paramètres!M18),1)="F",1,0)))),IF(Paramètres!N18="",0,IF(Paramètres!O18="",NA(),IF(LEFT(TRIM(Paramètres!O18),1)="F",INDEX($F$2597:$F$2649,MATCH(Paramètres!N18,Paramètres!$G$5:$G$57,0)),INDEX($E$2597:$E$2649,MATCH(Paramètres!N18,Paramètres!$G$5:$G$57,0)))+IF(RIGHT(TRIM(Paramètres!O18),3)="Fin",1-$H2610,IF(LEFT(TRIM(Paramètres!O18),1)="F",1,0)))))))</f>
        <v/>
      </c>
      <c r="F2610" s="19">
        <f>IF($A2610="","",E2610+$H2610-1)</f>
        <v/>
      </c>
      <c r="G2610" s="18" t="n"/>
      <c r="H2610" s="18">
        <f>IF($A2610="","",IF(I2610&lt;&gt;"",I2610,Paramètres!B18))</f>
        <v/>
      </c>
      <c r="I2610" s="18" t="n"/>
    </row>
    <row r="2611">
      <c r="A2611" s="18">
        <f>IF(ISNUMBER(Dossiers!$D$52),Dossiers!$A$52&amp;" · "&amp;Dossiers!$B$52,"")</f>
        <v/>
      </c>
      <c r="B2611" s="18">
        <f>IF($A2611="","",Paramètres!G19)</f>
        <v/>
      </c>
      <c r="C2611" s="18">
        <f>IF($A2611="","",IF(Paramètres!H19="","",Paramètres!H19))</f>
        <v/>
      </c>
      <c r="D2611" s="18">
        <f>IF($A2611="","",IF(Paramètres!I19="","",Paramètres!I19))</f>
        <v/>
      </c>
      <c r="E2611" s="19">
        <f>IF($A2611="","",IF(Paramètres!J19&amp;Paramètres!L19&amp;Paramètres!N19="",Dossiers!$D$52,MAX(IF(Paramètres!J19="",0,IF(Paramètres!K19="",NA(),IF(LEFT(TRIM(Paramètres!K19),1)="F",INDEX($F$2597:$F$2649,MATCH(Paramètres!J19,Paramètres!$G$5:$G$57,0)),INDEX($E$2597:$E$2649,MATCH(Paramètres!J19,Paramètres!$G$5:$G$57,0)))+IF(RIGHT(TRIM(Paramètres!K19),3)="Fin",1-$H2611,IF(LEFT(TRIM(Paramètres!K19),1)="F",1,0)))),IF(Paramètres!L19="",0,IF(Paramètres!M19="",NA(),IF(LEFT(TRIM(Paramètres!M19),1)="F",INDEX($F$2597:$F$2649,MATCH(Paramètres!L19,Paramètres!$G$5:$G$57,0)),INDEX($E$2597:$E$2649,MATCH(Paramètres!L19,Paramètres!$G$5:$G$57,0)))+IF(RIGHT(TRIM(Paramètres!M19),3)="Fin",1-$H2611,IF(LEFT(TRIM(Paramètres!M19),1)="F",1,0)))),IF(Paramètres!N19="",0,IF(Paramètres!O19="",NA(),IF(LEFT(TRIM(Paramètres!O19),1)="F",INDEX($F$2597:$F$2649,MATCH(Paramètres!N19,Paramètres!$G$5:$G$57,0)),INDEX($E$2597:$E$2649,MATCH(Paramètres!N19,Paramètres!$G$5:$G$57,0)))+IF(RIGHT(TRIM(Paramètres!O19),3)="Fin",1-$H2611,IF(LEFT(TRIM(Paramètres!O19),1)="F",1,0)))))))</f>
        <v/>
      </c>
      <c r="F2611" s="19">
        <f>IF($A2611="","",E2611+$H2611-1)</f>
        <v/>
      </c>
      <c r="G2611" s="18" t="n"/>
      <c r="H2611" s="18">
        <f>IF($A2611="","",IF(I2611&lt;&gt;"",I2611,Paramètres!B19))</f>
        <v/>
      </c>
      <c r="I2611" s="18" t="n"/>
    </row>
    <row r="2612">
      <c r="A2612" s="18">
        <f>IF(ISNUMBER(Dossiers!$D$52),Dossiers!$A$52&amp;" · "&amp;Dossiers!$B$52,"")</f>
        <v/>
      </c>
      <c r="B2612" s="18">
        <f>IF($A2612="","",Paramètres!G20)</f>
        <v/>
      </c>
      <c r="C2612" s="18">
        <f>IF($A2612="","",IF(Paramètres!H20="","",Paramètres!H20))</f>
        <v/>
      </c>
      <c r="D2612" s="18">
        <f>IF($A2612="","",IF(Paramètres!I20="","",Paramètres!I20))</f>
        <v/>
      </c>
      <c r="E2612" s="19">
        <f>IF($A2612="","",IF(Paramètres!J20&amp;Paramètres!L20&amp;Paramètres!N20="",Dossiers!$D$52,MAX(IF(Paramètres!J20="",0,IF(Paramètres!K20="",NA(),IF(LEFT(TRIM(Paramètres!K20),1)="F",INDEX($F$2597:$F$2649,MATCH(Paramètres!J20,Paramètres!$G$5:$G$57,0)),INDEX($E$2597:$E$2649,MATCH(Paramètres!J20,Paramètres!$G$5:$G$57,0)))+IF(RIGHT(TRIM(Paramètres!K20),3)="Fin",1-$H2612,IF(LEFT(TRIM(Paramètres!K20),1)="F",1,0)))),IF(Paramètres!L20="",0,IF(Paramètres!M20="",NA(),IF(LEFT(TRIM(Paramètres!M20),1)="F",INDEX($F$2597:$F$2649,MATCH(Paramètres!L20,Paramètres!$G$5:$G$57,0)),INDEX($E$2597:$E$2649,MATCH(Paramètres!L20,Paramètres!$G$5:$G$57,0)))+IF(RIGHT(TRIM(Paramètres!M20),3)="Fin",1-$H2612,IF(LEFT(TRIM(Paramètres!M20),1)="F",1,0)))),IF(Paramètres!N20="",0,IF(Paramètres!O20="",NA(),IF(LEFT(TRIM(Paramètres!O20),1)="F",INDEX($F$2597:$F$2649,MATCH(Paramètres!N20,Paramètres!$G$5:$G$57,0)),INDEX($E$2597:$E$2649,MATCH(Paramètres!N20,Paramètres!$G$5:$G$57,0)))+IF(RIGHT(TRIM(Paramètres!O20),3)="Fin",1-$H2612,IF(LEFT(TRIM(Paramètres!O20),1)="F",1,0)))))))</f>
        <v/>
      </c>
      <c r="F2612" s="19">
        <f>IF($A2612="","",E2612+$H2612-1)</f>
        <v/>
      </c>
      <c r="G2612" s="18" t="n"/>
      <c r="H2612" s="18">
        <f>IF($A2612="","",IF(I2612&lt;&gt;"",I2612,Paramètres!B20))</f>
        <v/>
      </c>
      <c r="I2612" s="18" t="n"/>
    </row>
    <row r="2613">
      <c r="A2613" s="18">
        <f>IF(ISNUMBER(Dossiers!$D$52),Dossiers!$A$52&amp;" · "&amp;Dossiers!$B$52,"")</f>
        <v/>
      </c>
      <c r="B2613" s="18">
        <f>IF($A2613="","",Paramètres!G21)</f>
        <v/>
      </c>
      <c r="C2613" s="18">
        <f>IF($A2613="","",IF(Paramètres!H21="","",Paramètres!H21))</f>
        <v/>
      </c>
      <c r="D2613" s="18">
        <f>IF($A2613="","",IF(Paramètres!I21="","",Paramètres!I21))</f>
        <v/>
      </c>
      <c r="E2613" s="19">
        <f>IF($A2613="","",IF(Paramètres!J21&amp;Paramètres!L21&amp;Paramètres!N21="",Dossiers!$D$52,MAX(IF(Paramètres!J21="",0,IF(Paramètres!K21="",NA(),IF(LEFT(TRIM(Paramètres!K21),1)="F",INDEX($F$2597:$F$2649,MATCH(Paramètres!J21,Paramètres!$G$5:$G$57,0)),INDEX($E$2597:$E$2649,MATCH(Paramètres!J21,Paramètres!$G$5:$G$57,0)))+IF(RIGHT(TRIM(Paramètres!K21),3)="Fin",1-$H2613,IF(LEFT(TRIM(Paramètres!K21),1)="F",1,0)))),IF(Paramètres!L21="",0,IF(Paramètres!M21="",NA(),IF(LEFT(TRIM(Paramètres!M21),1)="F",INDEX($F$2597:$F$2649,MATCH(Paramètres!L21,Paramètres!$G$5:$G$57,0)),INDEX($E$2597:$E$2649,MATCH(Paramètres!L21,Paramètres!$G$5:$G$57,0)))+IF(RIGHT(TRIM(Paramètres!M21),3)="Fin",1-$H2613,IF(LEFT(TRIM(Paramètres!M21),1)="F",1,0)))),IF(Paramètres!N21="",0,IF(Paramètres!O21="",NA(),IF(LEFT(TRIM(Paramètres!O21),1)="F",INDEX($F$2597:$F$2649,MATCH(Paramètres!N21,Paramètres!$G$5:$G$57,0)),INDEX($E$2597:$E$2649,MATCH(Paramètres!N21,Paramètres!$G$5:$G$57,0)))+IF(RIGHT(TRIM(Paramètres!O21),3)="Fin",1-$H2613,IF(LEFT(TRIM(Paramètres!O21),1)="F",1,0)))))))</f>
        <v/>
      </c>
      <c r="F2613" s="19">
        <f>IF($A2613="","",E2613+$H2613-1)</f>
        <v/>
      </c>
      <c r="G2613" s="18" t="n"/>
      <c r="H2613" s="18">
        <f>IF($A2613="","",IF(I2613&lt;&gt;"",I2613,Paramètres!B21))</f>
        <v/>
      </c>
      <c r="I2613" s="18" t="n"/>
    </row>
    <row r="2614">
      <c r="A2614" s="18">
        <f>IF(ISNUMBER(Dossiers!$D$52),Dossiers!$A$52&amp;" · "&amp;Dossiers!$B$52,"")</f>
        <v/>
      </c>
      <c r="B2614" s="18">
        <f>IF($A2614="","",Paramètres!G22)</f>
        <v/>
      </c>
      <c r="C2614" s="18">
        <f>IF($A2614="","",IF(Paramètres!H22="","",Paramètres!H22))</f>
        <v/>
      </c>
      <c r="D2614" s="18">
        <f>IF($A2614="","",IF(Paramètres!I22="","",Paramètres!I22))</f>
        <v/>
      </c>
      <c r="E2614" s="19">
        <f>IF($A2614="","",IF(Paramètres!J22&amp;Paramètres!L22&amp;Paramètres!N22="",Dossiers!$D$52,MAX(IF(Paramètres!J22="",0,IF(Paramètres!K22="",NA(),IF(LEFT(TRIM(Paramètres!K22),1)="F",INDEX($F$2597:$F$2649,MATCH(Paramètres!J22,Paramètres!$G$5:$G$57,0)),INDEX($E$2597:$E$2649,MATCH(Paramètres!J22,Paramètres!$G$5:$G$57,0)))+IF(RIGHT(TRIM(Paramètres!K22),3)="Fin",1-$H2614,IF(LEFT(TRIM(Paramètres!K22),1)="F",1,0)))),IF(Paramètres!L22="",0,IF(Paramètres!M22="",NA(),IF(LEFT(TRIM(Paramètres!M22),1)="F",INDEX($F$2597:$F$2649,MATCH(Paramètres!L22,Paramètres!$G$5:$G$57,0)),INDEX($E$2597:$E$2649,MATCH(Paramètres!L22,Paramètres!$G$5:$G$57,0)))+IF(RIGHT(TRIM(Paramètres!M22),3)="Fin",1-$H2614,IF(LEFT(TRIM(Paramètres!M22),1)="F",1,0)))),IF(Paramètres!N22="",0,IF(Paramètres!O22="",NA(),IF(LEFT(TRIM(Paramètres!O22),1)="F",INDEX($F$2597:$F$2649,MATCH(Paramètres!N22,Paramètres!$G$5:$G$57,0)),INDEX($E$2597:$E$2649,MATCH(Paramètres!N22,Paramètres!$G$5:$G$57,0)))+IF(RIGHT(TRIM(Paramètres!O22),3)="Fin",1-$H2614,IF(LEFT(TRIM(Paramètres!O22),1)="F",1,0)))))))</f>
        <v/>
      </c>
      <c r="F2614" s="19">
        <f>IF($A2614="","",E2614+$H2614-1)</f>
        <v/>
      </c>
      <c r="G2614" s="18" t="n"/>
      <c r="H2614" s="18">
        <f>IF($A2614="","",IF(I2614&lt;&gt;"",I2614,Paramètres!B22))</f>
        <v/>
      </c>
      <c r="I2614" s="18" t="n"/>
    </row>
    <row r="2615">
      <c r="A2615" s="18">
        <f>IF(ISNUMBER(Dossiers!$D$52),Dossiers!$A$52&amp;" · "&amp;Dossiers!$B$52,"")</f>
        <v/>
      </c>
      <c r="B2615" s="18">
        <f>IF($A2615="","",Paramètres!G23)</f>
        <v/>
      </c>
      <c r="C2615" s="18">
        <f>IF($A2615="","",IF(Paramètres!H23="","",Paramètres!H23))</f>
        <v/>
      </c>
      <c r="D2615" s="18">
        <f>IF($A2615="","",IF(Paramètres!I23="","",Paramètres!I23))</f>
        <v/>
      </c>
      <c r="E2615" s="19">
        <f>IF($A2615="","",IF(Paramètres!J23&amp;Paramètres!L23&amp;Paramètres!N23="",Dossiers!$D$52,MAX(IF(Paramètres!J23="",0,IF(Paramètres!K23="",NA(),IF(LEFT(TRIM(Paramètres!K23),1)="F",INDEX($F$2597:$F$2649,MATCH(Paramètres!J23,Paramètres!$G$5:$G$57,0)),INDEX($E$2597:$E$2649,MATCH(Paramètres!J23,Paramètres!$G$5:$G$57,0)))+IF(RIGHT(TRIM(Paramètres!K23),3)="Fin",1-$H2615,IF(LEFT(TRIM(Paramètres!K23),1)="F",1,0)))),IF(Paramètres!L23="",0,IF(Paramètres!M23="",NA(),IF(LEFT(TRIM(Paramètres!M23),1)="F",INDEX($F$2597:$F$2649,MATCH(Paramètres!L23,Paramètres!$G$5:$G$57,0)),INDEX($E$2597:$E$2649,MATCH(Paramètres!L23,Paramètres!$G$5:$G$57,0)))+IF(RIGHT(TRIM(Paramètres!M23),3)="Fin",1-$H2615,IF(LEFT(TRIM(Paramètres!M23),1)="F",1,0)))),IF(Paramètres!N23="",0,IF(Paramètres!O23="",NA(),IF(LEFT(TRIM(Paramètres!O23),1)="F",INDEX($F$2597:$F$2649,MATCH(Paramètres!N23,Paramètres!$G$5:$G$57,0)),INDEX($E$2597:$E$2649,MATCH(Paramètres!N23,Paramètres!$G$5:$G$57,0)))+IF(RIGHT(TRIM(Paramètres!O23),3)="Fin",1-$H2615,IF(LEFT(TRIM(Paramètres!O23),1)="F",1,0)))))))</f>
        <v/>
      </c>
      <c r="F2615" s="19">
        <f>IF($A2615="","",E2615+$H2615-1)</f>
        <v/>
      </c>
      <c r="G2615" s="18" t="n"/>
      <c r="H2615" s="18">
        <f>IF($A2615="","",IF(I2615&lt;&gt;"",I2615,Paramètres!B23))</f>
        <v/>
      </c>
      <c r="I2615" s="18" t="n"/>
    </row>
    <row r="2616">
      <c r="A2616" s="18">
        <f>IF(ISNUMBER(Dossiers!$D$52),Dossiers!$A$52&amp;" · "&amp;Dossiers!$B$52,"")</f>
        <v/>
      </c>
      <c r="B2616" s="18">
        <f>IF($A2616="","",Paramètres!G24)</f>
        <v/>
      </c>
      <c r="C2616" s="18">
        <f>IF($A2616="","",IF(Paramètres!H24="","",Paramètres!H24))</f>
        <v/>
      </c>
      <c r="D2616" s="18">
        <f>IF($A2616="","",IF(Paramètres!I24="","",Paramètres!I24))</f>
        <v/>
      </c>
      <c r="E2616" s="19">
        <f>IF($A2616="","",IF(Paramètres!J24&amp;Paramètres!L24&amp;Paramètres!N24="",Dossiers!$D$52,MAX(IF(Paramètres!J24="",0,IF(Paramètres!K24="",NA(),IF(LEFT(TRIM(Paramètres!K24),1)="F",INDEX($F$2597:$F$2649,MATCH(Paramètres!J24,Paramètres!$G$5:$G$57,0)),INDEX($E$2597:$E$2649,MATCH(Paramètres!J24,Paramètres!$G$5:$G$57,0)))+IF(RIGHT(TRIM(Paramètres!K24),3)="Fin",1-$H2616,IF(LEFT(TRIM(Paramètres!K24),1)="F",1,0)))),IF(Paramètres!L24="",0,IF(Paramètres!M24="",NA(),IF(LEFT(TRIM(Paramètres!M24),1)="F",INDEX($F$2597:$F$2649,MATCH(Paramètres!L24,Paramètres!$G$5:$G$57,0)),INDEX($E$2597:$E$2649,MATCH(Paramètres!L24,Paramètres!$G$5:$G$57,0)))+IF(RIGHT(TRIM(Paramètres!M24),3)="Fin",1-$H2616,IF(LEFT(TRIM(Paramètres!M24),1)="F",1,0)))),IF(Paramètres!N24="",0,IF(Paramètres!O24="",NA(),IF(LEFT(TRIM(Paramètres!O24),1)="F",INDEX($F$2597:$F$2649,MATCH(Paramètres!N24,Paramètres!$G$5:$G$57,0)),INDEX($E$2597:$E$2649,MATCH(Paramètres!N24,Paramètres!$G$5:$G$57,0)))+IF(RIGHT(TRIM(Paramètres!O24),3)="Fin",1-$H2616,IF(LEFT(TRIM(Paramètres!O24),1)="F",1,0)))))))</f>
        <v/>
      </c>
      <c r="F2616" s="19">
        <f>IF($A2616="","",E2616+$H2616-1)</f>
        <v/>
      </c>
      <c r="G2616" s="18" t="n"/>
      <c r="H2616" s="18">
        <f>IF($A2616="","",IF(I2616&lt;&gt;"",I2616,Paramètres!B24))</f>
        <v/>
      </c>
      <c r="I2616" s="18" t="n"/>
    </row>
    <row r="2617">
      <c r="A2617" s="18">
        <f>IF(ISNUMBER(Dossiers!$D$52),Dossiers!$A$52&amp;" · "&amp;Dossiers!$B$52,"")</f>
        <v/>
      </c>
      <c r="B2617" s="18">
        <f>IF($A2617="","",Paramètres!G25)</f>
        <v/>
      </c>
      <c r="C2617" s="18">
        <f>IF($A2617="","",IF(Paramètres!H25="","",Paramètres!H25))</f>
        <v/>
      </c>
      <c r="D2617" s="18">
        <f>IF($A2617="","",IF(Paramètres!I25="","",Paramètres!I25))</f>
        <v/>
      </c>
      <c r="E2617" s="19">
        <f>IF($A2617="","",IF(Paramètres!J25&amp;Paramètres!L25&amp;Paramètres!N25="",Dossiers!$D$52,MAX(IF(Paramètres!J25="",0,IF(Paramètres!K25="",NA(),IF(LEFT(TRIM(Paramètres!K25),1)="F",INDEX($F$2597:$F$2649,MATCH(Paramètres!J25,Paramètres!$G$5:$G$57,0)),INDEX($E$2597:$E$2649,MATCH(Paramètres!J25,Paramètres!$G$5:$G$57,0)))+IF(RIGHT(TRIM(Paramètres!K25),3)="Fin",1-$H2617,IF(LEFT(TRIM(Paramètres!K25),1)="F",1,0)))),IF(Paramètres!L25="",0,IF(Paramètres!M25="",NA(),IF(LEFT(TRIM(Paramètres!M25),1)="F",INDEX($F$2597:$F$2649,MATCH(Paramètres!L25,Paramètres!$G$5:$G$57,0)),INDEX($E$2597:$E$2649,MATCH(Paramètres!L25,Paramètres!$G$5:$G$57,0)))+IF(RIGHT(TRIM(Paramètres!M25),3)="Fin",1-$H2617,IF(LEFT(TRIM(Paramètres!M25),1)="F",1,0)))),IF(Paramètres!N25="",0,IF(Paramètres!O25="",NA(),IF(LEFT(TRIM(Paramètres!O25),1)="F",INDEX($F$2597:$F$2649,MATCH(Paramètres!N25,Paramètres!$G$5:$G$57,0)),INDEX($E$2597:$E$2649,MATCH(Paramètres!N25,Paramètres!$G$5:$G$57,0)))+IF(RIGHT(TRIM(Paramètres!O25),3)="Fin",1-$H2617,IF(LEFT(TRIM(Paramètres!O25),1)="F",1,0)))))))</f>
        <v/>
      </c>
      <c r="F2617" s="19">
        <f>IF($A2617="","",E2617+$H2617-1)</f>
        <v/>
      </c>
      <c r="G2617" s="18" t="n"/>
      <c r="H2617" s="18">
        <f>IF($A2617="","",IF(I2617&lt;&gt;"",I2617,Paramètres!B25))</f>
        <v/>
      </c>
      <c r="I2617" s="18" t="n"/>
    </row>
    <row r="2618">
      <c r="A2618" s="18">
        <f>IF(ISNUMBER(Dossiers!$D$52),Dossiers!$A$52&amp;" · "&amp;Dossiers!$B$52,"")</f>
        <v/>
      </c>
      <c r="B2618" s="18">
        <f>IF($A2618="","",Paramètres!G26)</f>
        <v/>
      </c>
      <c r="C2618" s="18">
        <f>IF($A2618="","",IF(Paramètres!H26="","",Paramètres!H26))</f>
        <v/>
      </c>
      <c r="D2618" s="18">
        <f>IF($A2618="","",IF(Paramètres!I26="","",Paramètres!I26))</f>
        <v/>
      </c>
      <c r="E2618" s="19">
        <f>IF($A2618="","",IF(Paramètres!J26&amp;Paramètres!L26&amp;Paramètres!N26="",Dossiers!$D$52,MAX(IF(Paramètres!J26="",0,IF(Paramètres!K26="",NA(),IF(LEFT(TRIM(Paramètres!K26),1)="F",INDEX($F$2597:$F$2649,MATCH(Paramètres!J26,Paramètres!$G$5:$G$57,0)),INDEX($E$2597:$E$2649,MATCH(Paramètres!J26,Paramètres!$G$5:$G$57,0)))+IF(RIGHT(TRIM(Paramètres!K26),3)="Fin",1-$H2618,IF(LEFT(TRIM(Paramètres!K26),1)="F",1,0)))),IF(Paramètres!L26="",0,IF(Paramètres!M26="",NA(),IF(LEFT(TRIM(Paramètres!M26),1)="F",INDEX($F$2597:$F$2649,MATCH(Paramètres!L26,Paramètres!$G$5:$G$57,0)),INDEX($E$2597:$E$2649,MATCH(Paramètres!L26,Paramètres!$G$5:$G$57,0)))+IF(RIGHT(TRIM(Paramètres!M26),3)="Fin",1-$H2618,IF(LEFT(TRIM(Paramètres!M26),1)="F",1,0)))),IF(Paramètres!N26="",0,IF(Paramètres!O26="",NA(),IF(LEFT(TRIM(Paramètres!O26),1)="F",INDEX($F$2597:$F$2649,MATCH(Paramètres!N26,Paramètres!$G$5:$G$57,0)),INDEX($E$2597:$E$2649,MATCH(Paramètres!N26,Paramètres!$G$5:$G$57,0)))+IF(RIGHT(TRIM(Paramètres!O26),3)="Fin",1-$H2618,IF(LEFT(TRIM(Paramètres!O26),1)="F",1,0)))))))</f>
        <v/>
      </c>
      <c r="F2618" s="19">
        <f>IF($A2618="","",E2618+$H2618-1)</f>
        <v/>
      </c>
      <c r="G2618" s="18" t="n"/>
      <c r="H2618" s="18">
        <f>IF($A2618="","",IF(I2618&lt;&gt;"",I2618,Paramètres!B26))</f>
        <v/>
      </c>
      <c r="I2618" s="18" t="n"/>
    </row>
    <row r="2619">
      <c r="A2619" s="18">
        <f>IF(ISNUMBER(Dossiers!$D$52),Dossiers!$A$52&amp;" · "&amp;Dossiers!$B$52,"")</f>
        <v/>
      </c>
      <c r="B2619" s="18">
        <f>IF($A2619="","",Paramètres!G27)</f>
        <v/>
      </c>
      <c r="C2619" s="18">
        <f>IF($A2619="","",IF(Paramètres!H27="","",Paramètres!H27))</f>
        <v/>
      </c>
      <c r="D2619" s="18">
        <f>IF($A2619="","",IF(Paramètres!I27="","",Paramètres!I27))</f>
        <v/>
      </c>
      <c r="E2619" s="19">
        <f>IF($A2619="","",IF(Paramètres!J27&amp;Paramètres!L27&amp;Paramètres!N27="",Dossiers!$D$52,MAX(IF(Paramètres!J27="",0,IF(Paramètres!K27="",NA(),IF(LEFT(TRIM(Paramètres!K27),1)="F",INDEX($F$2597:$F$2649,MATCH(Paramètres!J27,Paramètres!$G$5:$G$57,0)),INDEX($E$2597:$E$2649,MATCH(Paramètres!J27,Paramètres!$G$5:$G$57,0)))+IF(RIGHT(TRIM(Paramètres!K27),3)="Fin",1-$H2619,IF(LEFT(TRIM(Paramètres!K27),1)="F",1,0)))),IF(Paramètres!L27="",0,IF(Paramètres!M27="",NA(),IF(LEFT(TRIM(Paramètres!M27),1)="F",INDEX($F$2597:$F$2649,MATCH(Paramètres!L27,Paramètres!$G$5:$G$57,0)),INDEX($E$2597:$E$2649,MATCH(Paramètres!L27,Paramètres!$G$5:$G$57,0)))+IF(RIGHT(TRIM(Paramètres!M27),3)="Fin",1-$H2619,IF(LEFT(TRIM(Paramètres!M27),1)="F",1,0)))),IF(Paramètres!N27="",0,IF(Paramètres!O27="",NA(),IF(LEFT(TRIM(Paramètres!O27),1)="F",INDEX($F$2597:$F$2649,MATCH(Paramètres!N27,Paramètres!$G$5:$G$57,0)),INDEX($E$2597:$E$2649,MATCH(Paramètres!N27,Paramètres!$G$5:$G$57,0)))+IF(RIGHT(TRIM(Paramètres!O27),3)="Fin",1-$H2619,IF(LEFT(TRIM(Paramètres!O27),1)="F",1,0)))))))</f>
        <v/>
      </c>
      <c r="F2619" s="19">
        <f>IF($A2619="","",E2619+$H2619-1)</f>
        <v/>
      </c>
      <c r="G2619" s="18" t="n"/>
      <c r="H2619" s="18">
        <f>IF($A2619="","",IF(I2619&lt;&gt;"",I2619,Paramètres!B27))</f>
        <v/>
      </c>
      <c r="I2619" s="18" t="n"/>
    </row>
    <row r="2620">
      <c r="A2620" s="18">
        <f>IF(ISNUMBER(Dossiers!$D$52),Dossiers!$A$52&amp;" · "&amp;Dossiers!$B$52,"")</f>
        <v/>
      </c>
      <c r="B2620" s="18">
        <f>IF($A2620="","",Paramètres!G28)</f>
        <v/>
      </c>
      <c r="C2620" s="18">
        <f>IF($A2620="","",IF(Paramètres!H28="","",Paramètres!H28))</f>
        <v/>
      </c>
      <c r="D2620" s="18">
        <f>IF($A2620="","",IF(Paramètres!I28="","",Paramètres!I28))</f>
        <v/>
      </c>
      <c r="E2620" s="19">
        <f>IF($A2620="","",IF(Paramètres!J28&amp;Paramètres!L28&amp;Paramètres!N28="",Dossiers!$D$52,MAX(IF(Paramètres!J28="",0,IF(Paramètres!K28="",NA(),IF(LEFT(TRIM(Paramètres!K28),1)="F",INDEX($F$2597:$F$2649,MATCH(Paramètres!J28,Paramètres!$G$5:$G$57,0)),INDEX($E$2597:$E$2649,MATCH(Paramètres!J28,Paramètres!$G$5:$G$57,0)))+IF(RIGHT(TRIM(Paramètres!K28),3)="Fin",1-$H2620,IF(LEFT(TRIM(Paramètres!K28),1)="F",1,0)))),IF(Paramètres!L28="",0,IF(Paramètres!M28="",NA(),IF(LEFT(TRIM(Paramètres!M28),1)="F",INDEX($F$2597:$F$2649,MATCH(Paramètres!L28,Paramètres!$G$5:$G$57,0)),INDEX($E$2597:$E$2649,MATCH(Paramètres!L28,Paramètres!$G$5:$G$57,0)))+IF(RIGHT(TRIM(Paramètres!M28),3)="Fin",1-$H2620,IF(LEFT(TRIM(Paramètres!M28),1)="F",1,0)))),IF(Paramètres!N28="",0,IF(Paramètres!O28="",NA(),IF(LEFT(TRIM(Paramètres!O28),1)="F",INDEX($F$2597:$F$2649,MATCH(Paramètres!N28,Paramètres!$G$5:$G$57,0)),INDEX($E$2597:$E$2649,MATCH(Paramètres!N28,Paramètres!$G$5:$G$57,0)))+IF(RIGHT(TRIM(Paramètres!O28),3)="Fin",1-$H2620,IF(LEFT(TRIM(Paramètres!O28),1)="F",1,0)))))))</f>
        <v/>
      </c>
      <c r="F2620" s="19">
        <f>IF($A2620="","",E2620+$H2620-1)</f>
        <v/>
      </c>
      <c r="G2620" s="18" t="n"/>
      <c r="H2620" s="18">
        <f>IF($A2620="","",IF(I2620&lt;&gt;"",I2620,Paramètres!B28))</f>
        <v/>
      </c>
      <c r="I2620" s="18" t="n"/>
    </row>
    <row r="2621">
      <c r="A2621" s="18">
        <f>IF(ISNUMBER(Dossiers!$D$52),Dossiers!$A$52&amp;" · "&amp;Dossiers!$B$52,"")</f>
        <v/>
      </c>
      <c r="B2621" s="18">
        <f>IF($A2621="","",Paramètres!G29)</f>
        <v/>
      </c>
      <c r="C2621" s="18">
        <f>IF($A2621="","",IF(Paramètres!H29="","",Paramètres!H29))</f>
        <v/>
      </c>
      <c r="D2621" s="18">
        <f>IF($A2621="","",IF(Paramètres!I29="","",Paramètres!I29))</f>
        <v/>
      </c>
      <c r="E2621" s="19">
        <f>IF($A2621="","",IF(Paramètres!J29&amp;Paramètres!L29&amp;Paramètres!N29="",Dossiers!$D$52,MAX(IF(Paramètres!J29="",0,IF(Paramètres!K29="",NA(),IF(LEFT(TRIM(Paramètres!K29),1)="F",INDEX($F$2597:$F$2649,MATCH(Paramètres!J29,Paramètres!$G$5:$G$57,0)),INDEX($E$2597:$E$2649,MATCH(Paramètres!J29,Paramètres!$G$5:$G$57,0)))+IF(RIGHT(TRIM(Paramètres!K29),3)="Fin",1-$H2621,IF(LEFT(TRIM(Paramètres!K29),1)="F",1,0)))),IF(Paramètres!L29="",0,IF(Paramètres!M29="",NA(),IF(LEFT(TRIM(Paramètres!M29),1)="F",INDEX($F$2597:$F$2649,MATCH(Paramètres!L29,Paramètres!$G$5:$G$57,0)),INDEX($E$2597:$E$2649,MATCH(Paramètres!L29,Paramètres!$G$5:$G$57,0)))+IF(RIGHT(TRIM(Paramètres!M29),3)="Fin",1-$H2621,IF(LEFT(TRIM(Paramètres!M29),1)="F",1,0)))),IF(Paramètres!N29="",0,IF(Paramètres!O29="",NA(),IF(LEFT(TRIM(Paramètres!O29),1)="F",INDEX($F$2597:$F$2649,MATCH(Paramètres!N29,Paramètres!$G$5:$G$57,0)),INDEX($E$2597:$E$2649,MATCH(Paramètres!N29,Paramètres!$G$5:$G$57,0)))+IF(RIGHT(TRIM(Paramètres!O29),3)="Fin",1-$H2621,IF(LEFT(TRIM(Paramètres!O29),1)="F",1,0)))))))</f>
        <v/>
      </c>
      <c r="F2621" s="19">
        <f>IF($A2621="","",E2621+$H2621-1)</f>
        <v/>
      </c>
      <c r="G2621" s="18" t="n"/>
      <c r="H2621" s="18">
        <f>IF($A2621="","",IF(I2621&lt;&gt;"",I2621,Paramètres!B29))</f>
        <v/>
      </c>
      <c r="I2621" s="18" t="n"/>
    </row>
    <row r="2622">
      <c r="A2622" s="18">
        <f>IF(ISNUMBER(Dossiers!$D$52),Dossiers!$A$52&amp;" · "&amp;Dossiers!$B$52,"")</f>
        <v/>
      </c>
      <c r="B2622" s="18">
        <f>IF($A2622="","",Paramètres!G30)</f>
        <v/>
      </c>
      <c r="C2622" s="18">
        <f>IF($A2622="","",IF(Paramètres!H30="","",Paramètres!H30))</f>
        <v/>
      </c>
      <c r="D2622" s="18">
        <f>IF($A2622="","",IF(Paramètres!I30="","",Paramètres!I30))</f>
        <v/>
      </c>
      <c r="E2622" s="19">
        <f>IF($A2622="","",IF(Paramètres!J30&amp;Paramètres!L30&amp;Paramètres!N30="",Dossiers!$D$52,MAX(IF(Paramètres!J30="",0,IF(Paramètres!K30="",NA(),IF(LEFT(TRIM(Paramètres!K30),1)="F",INDEX($F$2597:$F$2649,MATCH(Paramètres!J30,Paramètres!$G$5:$G$57,0)),INDEX($E$2597:$E$2649,MATCH(Paramètres!J30,Paramètres!$G$5:$G$57,0)))+IF(RIGHT(TRIM(Paramètres!K30),3)="Fin",1-$H2622,IF(LEFT(TRIM(Paramètres!K30),1)="F",1,0)))),IF(Paramètres!L30="",0,IF(Paramètres!M30="",NA(),IF(LEFT(TRIM(Paramètres!M30),1)="F",INDEX($F$2597:$F$2649,MATCH(Paramètres!L30,Paramètres!$G$5:$G$57,0)),INDEX($E$2597:$E$2649,MATCH(Paramètres!L30,Paramètres!$G$5:$G$57,0)))+IF(RIGHT(TRIM(Paramètres!M30),3)="Fin",1-$H2622,IF(LEFT(TRIM(Paramètres!M30),1)="F",1,0)))),IF(Paramètres!N30="",0,IF(Paramètres!O30="",NA(),IF(LEFT(TRIM(Paramètres!O30),1)="F",INDEX($F$2597:$F$2649,MATCH(Paramètres!N30,Paramètres!$G$5:$G$57,0)),INDEX($E$2597:$E$2649,MATCH(Paramètres!N30,Paramètres!$G$5:$G$57,0)))+IF(RIGHT(TRIM(Paramètres!O30),3)="Fin",1-$H2622,IF(LEFT(TRIM(Paramètres!O30),1)="F",1,0)))))))</f>
        <v/>
      </c>
      <c r="F2622" s="19">
        <f>IF($A2622="","",E2622+$H2622-1)</f>
        <v/>
      </c>
      <c r="G2622" s="18" t="n"/>
      <c r="H2622" s="18">
        <f>IF($A2622="","",IF(I2622&lt;&gt;"",I2622,Paramètres!B30))</f>
        <v/>
      </c>
      <c r="I2622" s="18" t="n"/>
    </row>
    <row r="2623">
      <c r="A2623" s="18">
        <f>IF(ISNUMBER(Dossiers!$D$52),Dossiers!$A$52&amp;" · "&amp;Dossiers!$B$52,"")</f>
        <v/>
      </c>
      <c r="B2623" s="18">
        <f>IF($A2623="","",Paramètres!G31)</f>
        <v/>
      </c>
      <c r="C2623" s="20">
        <f>IF($A2623="","",IF(Dossiers!$F$52="","",Dossiers!$F$52))</f>
        <v/>
      </c>
      <c r="D2623" s="18">
        <f>IF($A2623="","",IF(Paramètres!I31="","",Paramètres!I31))</f>
        <v/>
      </c>
      <c r="E2623" s="19">
        <f>IF($A2623="","",IF(Paramètres!J31&amp;Paramètres!L31&amp;Paramètres!N31="",Dossiers!$D$52,MAX(IF(Paramètres!J31="",0,IF(Paramètres!K31="",NA(),IF(LEFT(TRIM(Paramètres!K31),1)="F",INDEX($F$2597:$F$2649,MATCH(Paramètres!J31,Paramètres!$G$5:$G$57,0)),INDEX($E$2597:$E$2649,MATCH(Paramètres!J31,Paramètres!$G$5:$G$57,0)))+IF(RIGHT(TRIM(Paramètres!K31),3)="Fin",1-$H2623,IF(LEFT(TRIM(Paramètres!K31),1)="F",1,0)))),IF(Paramètres!L31="",0,IF(Paramètres!M31="",NA(),IF(LEFT(TRIM(Paramètres!M31),1)="F",INDEX($F$2597:$F$2649,MATCH(Paramètres!L31,Paramètres!$G$5:$G$57,0)),INDEX($E$2597:$E$2649,MATCH(Paramètres!L31,Paramètres!$G$5:$G$57,0)))+IF(RIGHT(TRIM(Paramètres!M31),3)="Fin",1-$H2623,IF(LEFT(TRIM(Paramètres!M31),1)="F",1,0)))),IF(Paramètres!N31="",0,IF(Paramètres!O31="",NA(),IF(LEFT(TRIM(Paramètres!O31),1)="F",INDEX($F$2597:$F$2649,MATCH(Paramètres!N31,Paramètres!$G$5:$G$57,0)),INDEX($E$2597:$E$2649,MATCH(Paramètres!N31,Paramètres!$G$5:$G$57,0)))+IF(RIGHT(TRIM(Paramètres!O31),3)="Fin",1-$H2623,IF(LEFT(TRIM(Paramètres!O31),1)="F",1,0)))))))</f>
        <v/>
      </c>
      <c r="F2623" s="19">
        <f>IF($A2623="","",E2623+$H2623-1)</f>
        <v/>
      </c>
      <c r="G2623" s="18" t="n"/>
      <c r="H2623" s="18">
        <f>IF($A2623="","",IF(I2623&lt;&gt;"",I2623,Paramètres!B31))</f>
        <v/>
      </c>
      <c r="I2623" s="18" t="n"/>
    </row>
    <row r="2624">
      <c r="A2624" s="18">
        <f>IF(ISNUMBER(Dossiers!$D$52),Dossiers!$A$52&amp;" · "&amp;Dossiers!$B$52,"")</f>
        <v/>
      </c>
      <c r="B2624" s="18">
        <f>IF($A2624="","",Paramètres!G32)</f>
        <v/>
      </c>
      <c r="C2624" s="18">
        <f>IF($A2624="","",IF(Paramètres!H32="","",Paramètres!H32))</f>
        <v/>
      </c>
      <c r="D2624" s="18">
        <f>IF($A2624="","",IF(Paramètres!I32="","",Paramètres!I32))</f>
        <v/>
      </c>
      <c r="E2624" s="19">
        <f>IF($A2624="","",MIN(E2625:E2628))</f>
        <v/>
      </c>
      <c r="F2624" s="19">
        <f>IF($A2624="","",MAX(F2625:F2628))</f>
        <v/>
      </c>
      <c r="G2624" s="18" t="n"/>
      <c r="H2624" s="18">
        <f>IF($A2624="","",F2624-E2624+1)</f>
        <v/>
      </c>
      <c r="I2624" s="18" t="n"/>
    </row>
    <row r="2625">
      <c r="A2625" s="18">
        <f>IF(ISNUMBER(Dossiers!$D$52),Dossiers!$A$52&amp;" · "&amp;Dossiers!$B$52,"")</f>
        <v/>
      </c>
      <c r="B2625" s="18">
        <f>IF($A2625="","",Paramètres!G33)</f>
        <v/>
      </c>
      <c r="C2625" s="18">
        <f>IF($A2625="","",IF(Paramètres!H33="","",Paramètres!H33))</f>
        <v/>
      </c>
      <c r="D2625" s="18">
        <f>IF($A2625="","",IF(Paramètres!I33="","",Paramètres!I33))</f>
        <v/>
      </c>
      <c r="E2625" s="19">
        <f>IF($A2625="","",IF(Paramètres!J33&amp;Paramètres!L33&amp;Paramètres!N33="",Dossiers!$D$52,MAX(IF(Paramètres!J33="",0,IF(Paramètres!K33="",NA(),IF(LEFT(TRIM(Paramètres!K33),1)="F",INDEX($F$2597:$F$2649,MATCH(Paramètres!J33,Paramètres!$G$5:$G$57,0)),INDEX($E$2597:$E$2649,MATCH(Paramètres!J33,Paramètres!$G$5:$G$57,0)))+IF(RIGHT(TRIM(Paramètres!K33),3)="Fin",1-$H2625,IF(LEFT(TRIM(Paramètres!K33),1)="F",1,0)))),IF(Paramètres!L33="",0,IF(Paramètres!M33="",NA(),IF(LEFT(TRIM(Paramètres!M33),1)="F",INDEX($F$2597:$F$2649,MATCH(Paramètres!L33,Paramètres!$G$5:$G$57,0)),INDEX($E$2597:$E$2649,MATCH(Paramètres!L33,Paramètres!$G$5:$G$57,0)))+IF(RIGHT(TRIM(Paramètres!M33),3)="Fin",1-$H2625,IF(LEFT(TRIM(Paramètres!M33),1)="F",1,0)))),IF(Paramètres!N33="",0,IF(Paramètres!O33="",NA(),IF(LEFT(TRIM(Paramètres!O33),1)="F",INDEX($F$2597:$F$2649,MATCH(Paramètres!N33,Paramètres!$G$5:$G$57,0)),INDEX($E$2597:$E$2649,MATCH(Paramètres!N33,Paramètres!$G$5:$G$57,0)))+IF(RIGHT(TRIM(Paramètres!O33),3)="Fin",1-$H2625,IF(LEFT(TRIM(Paramètres!O33),1)="F",1,0)))))))</f>
        <v/>
      </c>
      <c r="F2625" s="19">
        <f>IF($A2625="","",E2625+$H2625-1)</f>
        <v/>
      </c>
      <c r="G2625" s="18" t="n"/>
      <c r="H2625" s="18">
        <f>IF($A2625="","",IF(I2625&lt;&gt;"",I2625,Paramètres!B33))</f>
        <v/>
      </c>
      <c r="I2625" s="18" t="n"/>
    </row>
    <row r="2626">
      <c r="A2626" s="18">
        <f>IF(ISNUMBER(Dossiers!$D$52),Dossiers!$A$52&amp;" · "&amp;Dossiers!$B$52,"")</f>
        <v/>
      </c>
      <c r="B2626" s="18">
        <f>IF($A2626="","",Paramètres!G34)</f>
        <v/>
      </c>
      <c r="C2626" s="18">
        <f>IF($A2626="","",IF(Paramètres!H34="","",Paramètres!H34))</f>
        <v/>
      </c>
      <c r="D2626" s="18">
        <f>IF($A2626="","",IF(Paramètres!I34="","",Paramètres!I34))</f>
        <v/>
      </c>
      <c r="E2626" s="19">
        <f>IF($A2626="","",IF(Paramètres!J34&amp;Paramètres!L34&amp;Paramètres!N34="",Dossiers!$D$52,MAX(IF(Paramètres!J34="",0,IF(Paramètres!K34="",NA(),IF(LEFT(TRIM(Paramètres!K34),1)="F",INDEX($F$2597:$F$2649,MATCH(Paramètres!J34,Paramètres!$G$5:$G$57,0)),INDEX($E$2597:$E$2649,MATCH(Paramètres!J34,Paramètres!$G$5:$G$57,0)))+IF(RIGHT(TRIM(Paramètres!K34),3)="Fin",1-$H2626,IF(LEFT(TRIM(Paramètres!K34),1)="F",1,0)))),IF(Paramètres!L34="",0,IF(Paramètres!M34="",NA(),IF(LEFT(TRIM(Paramètres!M34),1)="F",INDEX($F$2597:$F$2649,MATCH(Paramètres!L34,Paramètres!$G$5:$G$57,0)),INDEX($E$2597:$E$2649,MATCH(Paramètres!L34,Paramètres!$G$5:$G$57,0)))+IF(RIGHT(TRIM(Paramètres!M34),3)="Fin",1-$H2626,IF(LEFT(TRIM(Paramètres!M34),1)="F",1,0)))),IF(Paramètres!N34="",0,IF(Paramètres!O34="",NA(),IF(LEFT(TRIM(Paramètres!O34),1)="F",INDEX($F$2597:$F$2649,MATCH(Paramètres!N34,Paramètres!$G$5:$G$57,0)),INDEX($E$2597:$E$2649,MATCH(Paramètres!N34,Paramètres!$G$5:$G$57,0)))+IF(RIGHT(TRIM(Paramètres!O34),3)="Fin",1-$H2626,IF(LEFT(TRIM(Paramètres!O34),1)="F",1,0)))))))</f>
        <v/>
      </c>
      <c r="F2626" s="19">
        <f>IF($A2626="","",E2626+$H2626-1)</f>
        <v/>
      </c>
      <c r="G2626" s="18" t="n"/>
      <c r="H2626" s="18">
        <f>IF($A2626="","",IF(I2626&lt;&gt;"",I2626,Paramètres!B34))</f>
        <v/>
      </c>
      <c r="I2626" s="18" t="n"/>
    </row>
    <row r="2627">
      <c r="A2627" s="18">
        <f>IF(ISNUMBER(Dossiers!$D$52),Dossiers!$A$52&amp;" · "&amp;Dossiers!$B$52,"")</f>
        <v/>
      </c>
      <c r="B2627" s="18">
        <f>IF($A2627="","",Paramètres!G35)</f>
        <v/>
      </c>
      <c r="C2627" s="18">
        <f>IF($A2627="","",IF(Paramètres!H35="","",Paramètres!H35))</f>
        <v/>
      </c>
      <c r="D2627" s="18">
        <f>IF($A2627="","",IF(Paramètres!I35="","",Paramètres!I35))</f>
        <v/>
      </c>
      <c r="E2627" s="19">
        <f>IF($A2627="","",IF(Paramètres!J35&amp;Paramètres!L35&amp;Paramètres!N35="",Dossiers!$D$52,MAX(IF(Paramètres!J35="",0,IF(Paramètres!K35="",NA(),IF(LEFT(TRIM(Paramètres!K35),1)="F",INDEX($F$2597:$F$2649,MATCH(Paramètres!J35,Paramètres!$G$5:$G$57,0)),INDEX($E$2597:$E$2649,MATCH(Paramètres!J35,Paramètres!$G$5:$G$57,0)))+IF(RIGHT(TRIM(Paramètres!K35),3)="Fin",1-$H2627,IF(LEFT(TRIM(Paramètres!K35),1)="F",1,0)))),IF(Paramètres!L35="",0,IF(Paramètres!M35="",NA(),IF(LEFT(TRIM(Paramètres!M35),1)="F",INDEX($F$2597:$F$2649,MATCH(Paramètres!L35,Paramètres!$G$5:$G$57,0)),INDEX($E$2597:$E$2649,MATCH(Paramètres!L35,Paramètres!$G$5:$G$57,0)))+IF(RIGHT(TRIM(Paramètres!M35),3)="Fin",1-$H2627,IF(LEFT(TRIM(Paramètres!M35),1)="F",1,0)))),IF(Paramètres!N35="",0,IF(Paramètres!O35="",NA(),IF(LEFT(TRIM(Paramètres!O35),1)="F",INDEX($F$2597:$F$2649,MATCH(Paramètres!N35,Paramètres!$G$5:$G$57,0)),INDEX($E$2597:$E$2649,MATCH(Paramètres!N35,Paramètres!$G$5:$G$57,0)))+IF(RIGHT(TRIM(Paramètres!O35),3)="Fin",1-$H2627,IF(LEFT(TRIM(Paramètres!O35),1)="F",1,0)))))))</f>
        <v/>
      </c>
      <c r="F2627" s="19">
        <f>IF($A2627="","",E2627+$H2627-1)</f>
        <v/>
      </c>
      <c r="G2627" s="18" t="n"/>
      <c r="H2627" s="18">
        <f>IF($A2627="","",IF(I2627&lt;&gt;"",I2627,Paramètres!B35))</f>
        <v/>
      </c>
      <c r="I2627" s="18" t="n"/>
    </row>
    <row r="2628">
      <c r="A2628" s="18">
        <f>IF(ISNUMBER(Dossiers!$D$52),Dossiers!$A$52&amp;" · "&amp;Dossiers!$B$52,"")</f>
        <v/>
      </c>
      <c r="B2628" s="18">
        <f>IF($A2628="","",Paramètres!G36)</f>
        <v/>
      </c>
      <c r="C2628" s="18">
        <f>IF($A2628="","",IF(Paramètres!H36="","",Paramètres!H36))</f>
        <v/>
      </c>
      <c r="D2628" s="18">
        <f>IF($A2628="","",IF(Paramètres!I36="","",Paramètres!I36))</f>
        <v/>
      </c>
      <c r="E2628" s="19">
        <f>IF($A2628="","",IF(Paramètres!J36&amp;Paramètres!L36&amp;Paramètres!N36="",Dossiers!$D$52,MAX(IF(Paramètres!J36="",0,IF(Paramètres!K36="",NA(),IF(LEFT(TRIM(Paramètres!K36),1)="F",INDEX($F$2597:$F$2649,MATCH(Paramètres!J36,Paramètres!$G$5:$G$57,0)),INDEX($E$2597:$E$2649,MATCH(Paramètres!J36,Paramètres!$G$5:$G$57,0)))+IF(RIGHT(TRIM(Paramètres!K36),3)="Fin",1-$H2628,IF(LEFT(TRIM(Paramètres!K36),1)="F",1,0)))),IF(Paramètres!L36="",0,IF(Paramètres!M36="",NA(),IF(LEFT(TRIM(Paramètres!M36),1)="F",INDEX($F$2597:$F$2649,MATCH(Paramètres!L36,Paramètres!$G$5:$G$57,0)),INDEX($E$2597:$E$2649,MATCH(Paramètres!L36,Paramètres!$G$5:$G$57,0)))+IF(RIGHT(TRIM(Paramètres!M36),3)="Fin",1-$H2628,IF(LEFT(TRIM(Paramètres!M36),1)="F",1,0)))),IF(Paramètres!N36="",0,IF(Paramètres!O36="",NA(),IF(LEFT(TRIM(Paramètres!O36),1)="F",INDEX($F$2597:$F$2649,MATCH(Paramètres!N36,Paramètres!$G$5:$G$57,0)),INDEX($E$2597:$E$2649,MATCH(Paramètres!N36,Paramètres!$G$5:$G$57,0)))+IF(RIGHT(TRIM(Paramètres!O36),3)="Fin",1-$H2628,IF(LEFT(TRIM(Paramètres!O36),1)="F",1,0)))))))</f>
        <v/>
      </c>
      <c r="F2628" s="19">
        <f>IF($A2628="","",E2628+$H2628-1)</f>
        <v/>
      </c>
      <c r="G2628" s="18" t="n"/>
      <c r="H2628" s="18">
        <f>IF($A2628="","",IF(I2628&lt;&gt;"",I2628,Paramètres!B36))</f>
        <v/>
      </c>
      <c r="I2628" s="18" t="n"/>
    </row>
    <row r="2629">
      <c r="A2629" s="18">
        <f>IF(ISNUMBER(Dossiers!$D$52),Dossiers!$A$52&amp;" · "&amp;Dossiers!$B$52,"")</f>
        <v/>
      </c>
      <c r="B2629" s="18">
        <f>IF($A2629="","",Paramètres!G37)</f>
        <v/>
      </c>
      <c r="C2629" s="18">
        <f>IF($A2629="","",IF(Paramètres!H37="","",Paramètres!H37))</f>
        <v/>
      </c>
      <c r="D2629" s="18">
        <f>IF($A2629="","",IF(Paramètres!I37="","",Paramètres!I37))</f>
        <v/>
      </c>
      <c r="E2629" s="19">
        <f>IF($A2629="","",MIN(E2630:E2647))</f>
        <v/>
      </c>
      <c r="F2629" s="19">
        <f>IF($A2629="","",MAX(F2630:F2647))</f>
        <v/>
      </c>
      <c r="G2629" s="18" t="n"/>
      <c r="H2629" s="18">
        <f>IF($A2629="","",F2629-E2629+1)</f>
        <v/>
      </c>
      <c r="I2629" s="18" t="n"/>
    </row>
    <row r="2630">
      <c r="A2630" s="18">
        <f>IF(ISNUMBER(Dossiers!$D$52),Dossiers!$A$52&amp;" · "&amp;Dossiers!$B$52,"")</f>
        <v/>
      </c>
      <c r="B2630" s="18">
        <f>IF($A2630="","",Paramètres!G38)</f>
        <v/>
      </c>
      <c r="C2630" s="18">
        <f>IF($A2630="","",IF(Paramètres!H38="","",Paramètres!H38))</f>
        <v/>
      </c>
      <c r="D2630" s="18">
        <f>IF($A2630="","",IF(Paramètres!I38="","",Paramètres!I38))</f>
        <v/>
      </c>
      <c r="E2630" s="19">
        <f>IF($A2630="","",IF(Paramètres!J38&amp;Paramètres!L38&amp;Paramètres!N38="",Dossiers!$D$52,MAX(IF(Paramètres!J38="",0,IF(Paramètres!K38="",NA(),IF(LEFT(TRIM(Paramètres!K38),1)="F",INDEX($F$2597:$F$2649,MATCH(Paramètres!J38,Paramètres!$G$5:$G$57,0)),INDEX($E$2597:$E$2649,MATCH(Paramètres!J38,Paramètres!$G$5:$G$57,0)))+IF(RIGHT(TRIM(Paramètres!K38),3)="Fin",1-$H2630,IF(LEFT(TRIM(Paramètres!K38),1)="F",1,0)))),IF(Paramètres!L38="",0,IF(Paramètres!M38="",NA(),IF(LEFT(TRIM(Paramètres!M38),1)="F",INDEX($F$2597:$F$2649,MATCH(Paramètres!L38,Paramètres!$G$5:$G$57,0)),INDEX($E$2597:$E$2649,MATCH(Paramètres!L38,Paramètres!$G$5:$G$57,0)))+IF(RIGHT(TRIM(Paramètres!M38),3)="Fin",1-$H2630,IF(LEFT(TRIM(Paramètres!M38),1)="F",1,0)))),IF(Paramètres!N38="",0,IF(Paramètres!O38="",NA(),IF(LEFT(TRIM(Paramètres!O38),1)="F",INDEX($F$2597:$F$2649,MATCH(Paramètres!N38,Paramètres!$G$5:$G$57,0)),INDEX($E$2597:$E$2649,MATCH(Paramètres!N38,Paramètres!$G$5:$G$57,0)))+IF(RIGHT(TRIM(Paramètres!O38),3)="Fin",1-$H2630,IF(LEFT(TRIM(Paramètres!O38),1)="F",1,0)))))))</f>
        <v/>
      </c>
      <c r="F2630" s="19">
        <f>IF($A2630="","",E2630+$H2630-1)</f>
        <v/>
      </c>
      <c r="G2630" s="18" t="n"/>
      <c r="H2630" s="18">
        <f>IF($A2630="","",IF(I2630&lt;&gt;"",I2630,Paramètres!B38))</f>
        <v/>
      </c>
      <c r="I2630" s="18" t="n"/>
    </row>
    <row r="2631">
      <c r="A2631" s="18">
        <f>IF(ISNUMBER(Dossiers!$D$52),Dossiers!$A$52&amp;" · "&amp;Dossiers!$B$52,"")</f>
        <v/>
      </c>
      <c r="B2631" s="18">
        <f>IF($A2631="","",Paramètres!G39)</f>
        <v/>
      </c>
      <c r="C2631" s="18">
        <f>IF($A2631="","",IF(Paramètres!H39="","",Paramètres!H39))</f>
        <v/>
      </c>
      <c r="D2631" s="18">
        <f>IF($A2631="","",IF(Paramètres!I39="","",Paramètres!I39))</f>
        <v/>
      </c>
      <c r="E2631" s="19">
        <f>IF($A2631="","",IF(Paramètres!J39&amp;Paramètres!L39&amp;Paramètres!N39="",Dossiers!$D$52,MAX(IF(Paramètres!J39="",0,IF(Paramètres!K39="",NA(),IF(LEFT(TRIM(Paramètres!K39),1)="F",INDEX($F$2597:$F$2649,MATCH(Paramètres!J39,Paramètres!$G$5:$G$57,0)),INDEX($E$2597:$E$2649,MATCH(Paramètres!J39,Paramètres!$G$5:$G$57,0)))+IF(RIGHT(TRIM(Paramètres!K39),3)="Fin",1-$H2631,IF(LEFT(TRIM(Paramètres!K39),1)="F",1,0)))),IF(Paramètres!L39="",0,IF(Paramètres!M39="",NA(),IF(LEFT(TRIM(Paramètres!M39),1)="F",INDEX($F$2597:$F$2649,MATCH(Paramètres!L39,Paramètres!$G$5:$G$57,0)),INDEX($E$2597:$E$2649,MATCH(Paramètres!L39,Paramètres!$G$5:$G$57,0)))+IF(RIGHT(TRIM(Paramètres!M39),3)="Fin",1-$H2631,IF(LEFT(TRIM(Paramètres!M39),1)="F",1,0)))),IF(Paramètres!N39="",0,IF(Paramètres!O39="",NA(),IF(LEFT(TRIM(Paramètres!O39),1)="F",INDEX($F$2597:$F$2649,MATCH(Paramètres!N39,Paramètres!$G$5:$G$57,0)),INDEX($E$2597:$E$2649,MATCH(Paramètres!N39,Paramètres!$G$5:$G$57,0)))+IF(RIGHT(TRIM(Paramètres!O39),3)="Fin",1-$H2631,IF(LEFT(TRIM(Paramètres!O39),1)="F",1,0)))))))</f>
        <v/>
      </c>
      <c r="F2631" s="19">
        <f>IF($A2631="","",E2631+$H2631-1)</f>
        <v/>
      </c>
      <c r="G2631" s="18" t="n"/>
      <c r="H2631" s="18">
        <f>IF($A2631="","",IF(I2631&lt;&gt;"",I2631,Paramètres!B39))</f>
        <v/>
      </c>
      <c r="I2631" s="18" t="n"/>
    </row>
    <row r="2632">
      <c r="A2632" s="18">
        <f>IF(ISNUMBER(Dossiers!$D$52),Dossiers!$A$52&amp;" · "&amp;Dossiers!$B$52,"")</f>
        <v/>
      </c>
      <c r="B2632" s="18">
        <f>IF($A2632="","",Paramètres!G40)</f>
        <v/>
      </c>
      <c r="C2632" s="18">
        <f>IF($A2632="","",IF(Paramètres!H40="","",Paramètres!H40))</f>
        <v/>
      </c>
      <c r="D2632" s="18">
        <f>IF($A2632="","",IF(Paramètres!I40="","",Paramètres!I40))</f>
        <v/>
      </c>
      <c r="E2632" s="19">
        <f>IF($A2632="","",IF(Paramètres!J40&amp;Paramètres!L40&amp;Paramètres!N40="",Dossiers!$D$52,MAX(IF(Paramètres!J40="",0,IF(Paramètres!K40="",NA(),IF(LEFT(TRIM(Paramètres!K40),1)="F",INDEX($F$2597:$F$2649,MATCH(Paramètres!J40,Paramètres!$G$5:$G$57,0)),INDEX($E$2597:$E$2649,MATCH(Paramètres!J40,Paramètres!$G$5:$G$57,0)))+IF(RIGHT(TRIM(Paramètres!K40),3)="Fin",1-$H2632,IF(LEFT(TRIM(Paramètres!K40),1)="F",1,0)))),IF(Paramètres!L40="",0,IF(Paramètres!M40="",NA(),IF(LEFT(TRIM(Paramètres!M40),1)="F",INDEX($F$2597:$F$2649,MATCH(Paramètres!L40,Paramètres!$G$5:$G$57,0)),INDEX($E$2597:$E$2649,MATCH(Paramètres!L40,Paramètres!$G$5:$G$57,0)))+IF(RIGHT(TRIM(Paramètres!M40),3)="Fin",1-$H2632,IF(LEFT(TRIM(Paramètres!M40),1)="F",1,0)))),IF(Paramètres!N40="",0,IF(Paramètres!O40="",NA(),IF(LEFT(TRIM(Paramètres!O40),1)="F",INDEX($F$2597:$F$2649,MATCH(Paramètres!N40,Paramètres!$G$5:$G$57,0)),INDEX($E$2597:$E$2649,MATCH(Paramètres!N40,Paramètres!$G$5:$G$57,0)))+IF(RIGHT(TRIM(Paramètres!O40),3)="Fin",1-$H2632,IF(LEFT(TRIM(Paramètres!O40),1)="F",1,0)))))))</f>
        <v/>
      </c>
      <c r="F2632" s="19">
        <f>IF($A2632="","",E2632+$H2632-1)</f>
        <v/>
      </c>
      <c r="G2632" s="18" t="n"/>
      <c r="H2632" s="18">
        <f>IF($A2632="","",IF(I2632&lt;&gt;"",I2632,Paramètres!B40))</f>
        <v/>
      </c>
      <c r="I2632" s="18" t="n"/>
    </row>
    <row r="2633">
      <c r="A2633" s="18">
        <f>IF(ISNUMBER(Dossiers!$D$52),Dossiers!$A$52&amp;" · "&amp;Dossiers!$B$52,"")</f>
        <v/>
      </c>
      <c r="B2633" s="18">
        <f>IF($A2633="","",Paramètres!G41)</f>
        <v/>
      </c>
      <c r="C2633" s="18">
        <f>IF($A2633="","",IF(Paramètres!H41="","",Paramètres!H41))</f>
        <v/>
      </c>
      <c r="D2633" s="18">
        <f>IF($A2633="","",IF(Paramètres!I41="","",Paramètres!I41))</f>
        <v/>
      </c>
      <c r="E2633" s="19">
        <f>IF($A2633="","",IF(Paramètres!J41&amp;Paramètres!L41&amp;Paramètres!N41="",Dossiers!$D$52,MAX(IF(Paramètres!J41="",0,IF(Paramètres!K41="",NA(),IF(LEFT(TRIM(Paramètres!K41),1)="F",INDEX($F$2597:$F$2649,MATCH(Paramètres!J41,Paramètres!$G$5:$G$57,0)),INDEX($E$2597:$E$2649,MATCH(Paramètres!J41,Paramètres!$G$5:$G$57,0)))+IF(RIGHT(TRIM(Paramètres!K41),3)="Fin",1-$H2633,IF(LEFT(TRIM(Paramètres!K41),1)="F",1,0)))),IF(Paramètres!L41="",0,IF(Paramètres!M41="",NA(),IF(LEFT(TRIM(Paramètres!M41),1)="F",INDEX($F$2597:$F$2649,MATCH(Paramètres!L41,Paramètres!$G$5:$G$57,0)),INDEX($E$2597:$E$2649,MATCH(Paramètres!L41,Paramètres!$G$5:$G$57,0)))+IF(RIGHT(TRIM(Paramètres!M41),3)="Fin",1-$H2633,IF(LEFT(TRIM(Paramètres!M41),1)="F",1,0)))),IF(Paramètres!N41="",0,IF(Paramètres!O41="",NA(),IF(LEFT(TRIM(Paramètres!O41),1)="F",INDEX($F$2597:$F$2649,MATCH(Paramètres!N41,Paramètres!$G$5:$G$57,0)),INDEX($E$2597:$E$2649,MATCH(Paramètres!N41,Paramètres!$G$5:$G$57,0)))+IF(RIGHT(TRIM(Paramètres!O41),3)="Fin",1-$H2633,IF(LEFT(TRIM(Paramètres!O41),1)="F",1,0)))))))</f>
        <v/>
      </c>
      <c r="F2633" s="19">
        <f>IF($A2633="","",E2633+$H2633-1)</f>
        <v/>
      </c>
      <c r="G2633" s="18" t="n"/>
      <c r="H2633" s="18">
        <f>IF($A2633="","",IF(I2633&lt;&gt;"",I2633,Paramètres!B41))</f>
        <v/>
      </c>
      <c r="I2633" s="18" t="n"/>
    </row>
    <row r="2634">
      <c r="A2634" s="18">
        <f>IF(ISNUMBER(Dossiers!$D$52),Dossiers!$A$52&amp;" · "&amp;Dossiers!$B$52,"")</f>
        <v/>
      </c>
      <c r="B2634" s="18">
        <f>IF($A2634="","",Paramètres!G42)</f>
        <v/>
      </c>
      <c r="C2634" s="18">
        <f>IF($A2634="","",IF(Paramètres!H42="","",Paramètres!H42))</f>
        <v/>
      </c>
      <c r="D2634" s="18">
        <f>IF($A2634="","",IF(Paramètres!I42="","",Paramètres!I42))</f>
        <v/>
      </c>
      <c r="E2634" s="19">
        <f>IF($A2634="","",IF(Paramètres!J42&amp;Paramètres!L42&amp;Paramètres!N42="",Dossiers!$D$52,MAX(IF(Paramètres!J42="",0,IF(Paramètres!K42="",NA(),IF(LEFT(TRIM(Paramètres!K42),1)="F",INDEX($F$2597:$F$2649,MATCH(Paramètres!J42,Paramètres!$G$5:$G$57,0)),INDEX($E$2597:$E$2649,MATCH(Paramètres!J42,Paramètres!$G$5:$G$57,0)))+IF(RIGHT(TRIM(Paramètres!K42),3)="Fin",1-$H2634,IF(LEFT(TRIM(Paramètres!K42),1)="F",1,0)))),IF(Paramètres!L42="",0,IF(Paramètres!M42="",NA(),IF(LEFT(TRIM(Paramètres!M42),1)="F",INDEX($F$2597:$F$2649,MATCH(Paramètres!L42,Paramètres!$G$5:$G$57,0)),INDEX($E$2597:$E$2649,MATCH(Paramètres!L42,Paramètres!$G$5:$G$57,0)))+IF(RIGHT(TRIM(Paramètres!M42),3)="Fin",1-$H2634,IF(LEFT(TRIM(Paramètres!M42),1)="F",1,0)))),IF(Paramètres!N42="",0,IF(Paramètres!O42="",NA(),IF(LEFT(TRIM(Paramètres!O42),1)="F",INDEX($F$2597:$F$2649,MATCH(Paramètres!N42,Paramètres!$G$5:$G$57,0)),INDEX($E$2597:$E$2649,MATCH(Paramètres!N42,Paramètres!$G$5:$G$57,0)))+IF(RIGHT(TRIM(Paramètres!O42),3)="Fin",1-$H2634,IF(LEFT(TRIM(Paramètres!O42),1)="F",1,0)))))))</f>
        <v/>
      </c>
      <c r="F2634" s="19">
        <f>IF($A2634="","",E2634+$H2634-1)</f>
        <v/>
      </c>
      <c r="G2634" s="18" t="n"/>
      <c r="H2634" s="18">
        <f>IF($A2634="","",IF(I2634&lt;&gt;"",I2634,Paramètres!B42))</f>
        <v/>
      </c>
      <c r="I2634" s="18" t="n"/>
    </row>
    <row r="2635">
      <c r="A2635" s="18">
        <f>IF(ISNUMBER(Dossiers!$D$52),Dossiers!$A$52&amp;" · "&amp;Dossiers!$B$52,"")</f>
        <v/>
      </c>
      <c r="B2635" s="18">
        <f>IF($A2635="","",Paramètres!G43)</f>
        <v/>
      </c>
      <c r="C2635" s="18">
        <f>IF($A2635="","",IF(Paramètres!H43="","",Paramètres!H43))</f>
        <v/>
      </c>
      <c r="D2635" s="18">
        <f>IF($A2635="","",IF(Paramètres!I43="","",Paramètres!I43))</f>
        <v/>
      </c>
      <c r="E2635" s="19">
        <f>IF($A2635="","",IF(Paramètres!J43&amp;Paramètres!L43&amp;Paramètres!N43="",Dossiers!$D$52,MAX(IF(Paramètres!J43="",0,IF(Paramètres!K43="",NA(),IF(LEFT(TRIM(Paramètres!K43),1)="F",INDEX($F$2597:$F$2649,MATCH(Paramètres!J43,Paramètres!$G$5:$G$57,0)),INDEX($E$2597:$E$2649,MATCH(Paramètres!J43,Paramètres!$G$5:$G$57,0)))+IF(RIGHT(TRIM(Paramètres!K43),3)="Fin",1-$H2635,IF(LEFT(TRIM(Paramètres!K43),1)="F",1,0)))),IF(Paramètres!L43="",0,IF(Paramètres!M43="",NA(),IF(LEFT(TRIM(Paramètres!M43),1)="F",INDEX($F$2597:$F$2649,MATCH(Paramètres!L43,Paramètres!$G$5:$G$57,0)),INDEX($E$2597:$E$2649,MATCH(Paramètres!L43,Paramètres!$G$5:$G$57,0)))+IF(RIGHT(TRIM(Paramètres!M43),3)="Fin",1-$H2635,IF(LEFT(TRIM(Paramètres!M43),1)="F",1,0)))),IF(Paramètres!N43="",0,IF(Paramètres!O43="",NA(),IF(LEFT(TRIM(Paramètres!O43),1)="F",INDEX($F$2597:$F$2649,MATCH(Paramètres!N43,Paramètres!$G$5:$G$57,0)),INDEX($E$2597:$E$2649,MATCH(Paramètres!N43,Paramètres!$G$5:$G$57,0)))+IF(RIGHT(TRIM(Paramètres!O43),3)="Fin",1-$H2635,IF(LEFT(TRIM(Paramètres!O43),1)="F",1,0)))))))</f>
        <v/>
      </c>
      <c r="F2635" s="19">
        <f>IF($A2635="","",E2635+$H2635-1)</f>
        <v/>
      </c>
      <c r="G2635" s="18" t="n"/>
      <c r="H2635" s="18">
        <f>IF($A2635="","",IF(I2635&lt;&gt;"",I2635,Paramètres!B43))</f>
        <v/>
      </c>
      <c r="I2635" s="18" t="n"/>
    </row>
    <row r="2636">
      <c r="A2636" s="18">
        <f>IF(ISNUMBER(Dossiers!$D$52),Dossiers!$A$52&amp;" · "&amp;Dossiers!$B$52,"")</f>
        <v/>
      </c>
      <c r="B2636" s="18">
        <f>IF($A2636="","",Paramètres!G44)</f>
        <v/>
      </c>
      <c r="C2636" s="18">
        <f>IF($A2636="","",IF(Paramètres!H44="","",Paramètres!H44))</f>
        <v/>
      </c>
      <c r="D2636" s="18">
        <f>IF($A2636="","",IF(Paramètres!I44="","",Paramètres!I44))</f>
        <v/>
      </c>
      <c r="E2636" s="19">
        <f>IF($A2636="","",IF(Paramètres!J44&amp;Paramètres!L44&amp;Paramètres!N44="",Dossiers!$D$52,MAX(IF(Paramètres!J44="",0,IF(Paramètres!K44="",NA(),IF(LEFT(TRIM(Paramètres!K44),1)="F",INDEX($F$2597:$F$2649,MATCH(Paramètres!J44,Paramètres!$G$5:$G$57,0)),INDEX($E$2597:$E$2649,MATCH(Paramètres!J44,Paramètres!$G$5:$G$57,0)))+IF(RIGHT(TRIM(Paramètres!K44),3)="Fin",1-$H2636,IF(LEFT(TRIM(Paramètres!K44),1)="F",1,0)))),IF(Paramètres!L44="",0,IF(Paramètres!M44="",NA(),IF(LEFT(TRIM(Paramètres!M44),1)="F",INDEX($F$2597:$F$2649,MATCH(Paramètres!L44,Paramètres!$G$5:$G$57,0)),INDEX($E$2597:$E$2649,MATCH(Paramètres!L44,Paramètres!$G$5:$G$57,0)))+IF(RIGHT(TRIM(Paramètres!M44),3)="Fin",1-$H2636,IF(LEFT(TRIM(Paramètres!M44),1)="F",1,0)))),IF(Paramètres!N44="",0,IF(Paramètres!O44="",NA(),IF(LEFT(TRIM(Paramètres!O44),1)="F",INDEX($F$2597:$F$2649,MATCH(Paramètres!N44,Paramètres!$G$5:$G$57,0)),INDEX($E$2597:$E$2649,MATCH(Paramètres!N44,Paramètres!$G$5:$G$57,0)))+IF(RIGHT(TRIM(Paramètres!O44),3)="Fin",1-$H2636,IF(LEFT(TRIM(Paramètres!O44),1)="F",1,0)))))))</f>
        <v/>
      </c>
      <c r="F2636" s="19">
        <f>IF($A2636="","",E2636+$H2636-1)</f>
        <v/>
      </c>
      <c r="G2636" s="18" t="n"/>
      <c r="H2636" s="18">
        <f>IF($A2636="","",IF(I2636&lt;&gt;"",I2636,Paramètres!B44))</f>
        <v/>
      </c>
      <c r="I2636" s="18" t="n"/>
    </row>
    <row r="2637">
      <c r="A2637" s="18">
        <f>IF(ISNUMBER(Dossiers!$D$52),Dossiers!$A$52&amp;" · "&amp;Dossiers!$B$52,"")</f>
        <v/>
      </c>
      <c r="B2637" s="18">
        <f>IF($A2637="","",Paramètres!G45)</f>
        <v/>
      </c>
      <c r="C2637" s="20">
        <f>IF($A2637="","",IF(Dossiers!$G$52="","",Dossiers!$G$52))</f>
        <v/>
      </c>
      <c r="D2637" s="18">
        <f>IF($A2637="","",IF(Paramètres!I45="","",Paramètres!I45))</f>
        <v/>
      </c>
      <c r="E2637" s="19">
        <f>IF($A2637="","",IF(Paramètres!J45&amp;Paramètres!L45&amp;Paramètres!N45="",Dossiers!$D$52,MAX(IF(Paramètres!J45="",0,IF(Paramètres!K45="",NA(),IF(LEFT(TRIM(Paramètres!K45),1)="F",INDEX($F$2597:$F$2649,MATCH(Paramètres!J45,Paramètres!$G$5:$G$57,0)),INDEX($E$2597:$E$2649,MATCH(Paramètres!J45,Paramètres!$G$5:$G$57,0)))+IF(RIGHT(TRIM(Paramètres!K45),3)="Fin",1-$H2637,IF(LEFT(TRIM(Paramètres!K45),1)="F",1,0)))),IF(Paramètres!L45="",0,IF(Paramètres!M45="",NA(),IF(LEFT(TRIM(Paramètres!M45),1)="F",INDEX($F$2597:$F$2649,MATCH(Paramètres!L45,Paramètres!$G$5:$G$57,0)),INDEX($E$2597:$E$2649,MATCH(Paramètres!L45,Paramètres!$G$5:$G$57,0)))+IF(RIGHT(TRIM(Paramètres!M45),3)="Fin",1-$H2637,IF(LEFT(TRIM(Paramètres!M45),1)="F",1,0)))),IF(Paramètres!N45="",0,IF(Paramètres!O45="",NA(),IF(LEFT(TRIM(Paramètres!O45),1)="F",INDEX($F$2597:$F$2649,MATCH(Paramètres!N45,Paramètres!$G$5:$G$57,0)),INDEX($E$2597:$E$2649,MATCH(Paramètres!N45,Paramètres!$G$5:$G$57,0)))+IF(RIGHT(TRIM(Paramètres!O45),3)="Fin",1-$H2637,IF(LEFT(TRIM(Paramètres!O45),1)="F",1,0)))))))</f>
        <v/>
      </c>
      <c r="F2637" s="19">
        <f>IF($A2637="","",E2637+$H2637-1)</f>
        <v/>
      </c>
      <c r="G2637" s="18" t="n"/>
      <c r="H2637" s="18">
        <f>IF($A2637="","",IF(I2637&lt;&gt;"",I2637,Paramètres!B45))</f>
        <v/>
      </c>
      <c r="I2637" s="18" t="n"/>
    </row>
    <row r="2638">
      <c r="A2638" s="18">
        <f>IF(ISNUMBER(Dossiers!$D$52),Dossiers!$A$52&amp;" · "&amp;Dossiers!$B$52,"")</f>
        <v/>
      </c>
      <c r="B2638" s="18">
        <f>IF($A2638="","",Paramètres!G46)</f>
        <v/>
      </c>
      <c r="C2638" s="18">
        <f>IF($A2638="","",IF(Paramètres!H46="","",Paramètres!H46))</f>
        <v/>
      </c>
      <c r="D2638" s="18">
        <f>IF($A2638="","",IF(Paramètres!I46="","",Paramètres!I46))</f>
        <v/>
      </c>
      <c r="E2638" s="19">
        <f>IF($A2638="","",IF(Paramètres!J46&amp;Paramètres!L46&amp;Paramètres!N46="",Dossiers!$D$52,MAX(IF(Paramètres!J46="",0,IF(Paramètres!K46="",NA(),IF(LEFT(TRIM(Paramètres!K46),1)="F",INDEX($F$2597:$F$2649,MATCH(Paramètres!J46,Paramètres!$G$5:$G$57,0)),INDEX($E$2597:$E$2649,MATCH(Paramètres!J46,Paramètres!$G$5:$G$57,0)))+IF(RIGHT(TRIM(Paramètres!K46),3)="Fin",1-$H2638,IF(LEFT(TRIM(Paramètres!K46),1)="F",1,0)))),IF(Paramètres!L46="",0,IF(Paramètres!M46="",NA(),IF(LEFT(TRIM(Paramètres!M46),1)="F",INDEX($F$2597:$F$2649,MATCH(Paramètres!L46,Paramètres!$G$5:$G$57,0)),INDEX($E$2597:$E$2649,MATCH(Paramètres!L46,Paramètres!$G$5:$G$57,0)))+IF(RIGHT(TRIM(Paramètres!M46),3)="Fin",1-$H2638,IF(LEFT(TRIM(Paramètres!M46),1)="F",1,0)))),IF(Paramètres!N46="",0,IF(Paramètres!O46="",NA(),IF(LEFT(TRIM(Paramètres!O46),1)="F",INDEX($F$2597:$F$2649,MATCH(Paramètres!N46,Paramètres!$G$5:$G$57,0)),INDEX($E$2597:$E$2649,MATCH(Paramètres!N46,Paramètres!$G$5:$G$57,0)))+IF(RIGHT(TRIM(Paramètres!O46),3)="Fin",1-$H2638,IF(LEFT(TRIM(Paramètres!O46),1)="F",1,0)))))))</f>
        <v/>
      </c>
      <c r="F2638" s="19">
        <f>IF($A2638="","",E2638+$H2638-1)</f>
        <v/>
      </c>
      <c r="G2638" s="18" t="n"/>
      <c r="H2638" s="18">
        <f>IF($A2638="","",IF(I2638&lt;&gt;"",I2638,Paramètres!B46))</f>
        <v/>
      </c>
      <c r="I2638" s="18" t="n"/>
    </row>
    <row r="2639">
      <c r="A2639" s="18">
        <f>IF(ISNUMBER(Dossiers!$D$52),Dossiers!$A$52&amp;" · "&amp;Dossiers!$B$52,"")</f>
        <v/>
      </c>
      <c r="B2639" s="18">
        <f>IF($A2639="","",Paramètres!G47)</f>
        <v/>
      </c>
      <c r="C2639" s="18">
        <f>IF($A2639="","",IF(Paramètres!H47="","",Paramètres!H47))</f>
        <v/>
      </c>
      <c r="D2639" s="18">
        <f>IF($A2639="","",IF(Paramètres!I47="","",Paramètres!I47))</f>
        <v/>
      </c>
      <c r="E2639" s="19">
        <f>IF($A2639="","",IF(Paramètres!J47&amp;Paramètres!L47&amp;Paramètres!N47="",Dossiers!$D$52,MAX(IF(Paramètres!J47="",0,IF(Paramètres!K47="",NA(),IF(LEFT(TRIM(Paramètres!K47),1)="F",INDEX($F$2597:$F$2649,MATCH(Paramètres!J47,Paramètres!$G$5:$G$57,0)),INDEX($E$2597:$E$2649,MATCH(Paramètres!J47,Paramètres!$G$5:$G$57,0)))+IF(RIGHT(TRIM(Paramètres!K47),3)="Fin",1-$H2639,IF(LEFT(TRIM(Paramètres!K47),1)="F",1,0)))),IF(Paramètres!L47="",0,IF(Paramètres!M47="",NA(),IF(LEFT(TRIM(Paramètres!M47),1)="F",INDEX($F$2597:$F$2649,MATCH(Paramètres!L47,Paramètres!$G$5:$G$57,0)),INDEX($E$2597:$E$2649,MATCH(Paramètres!L47,Paramètres!$G$5:$G$57,0)))+IF(RIGHT(TRIM(Paramètres!M47),3)="Fin",1-$H2639,IF(LEFT(TRIM(Paramètres!M47),1)="F",1,0)))),IF(Paramètres!N47="",0,IF(Paramètres!O47="",NA(),IF(LEFT(TRIM(Paramètres!O47),1)="F",INDEX($F$2597:$F$2649,MATCH(Paramètres!N47,Paramètres!$G$5:$G$57,0)),INDEX($E$2597:$E$2649,MATCH(Paramètres!N47,Paramètres!$G$5:$G$57,0)))+IF(RIGHT(TRIM(Paramètres!O47),3)="Fin",1-$H2639,IF(LEFT(TRIM(Paramètres!O47),1)="F",1,0)))))))</f>
        <v/>
      </c>
      <c r="F2639" s="19">
        <f>IF($A2639="","",E2639+$H2639-1)</f>
        <v/>
      </c>
      <c r="G2639" s="18" t="n"/>
      <c r="H2639" s="18">
        <f>IF($A2639="","",IF(I2639&lt;&gt;"",I2639,Paramètres!B47))</f>
        <v/>
      </c>
      <c r="I2639" s="18" t="n"/>
    </row>
    <row r="2640">
      <c r="A2640" s="18">
        <f>IF(ISNUMBER(Dossiers!$D$52),Dossiers!$A$52&amp;" · "&amp;Dossiers!$B$52,"")</f>
        <v/>
      </c>
      <c r="B2640" s="18">
        <f>IF($A2640="","",Paramètres!G48)</f>
        <v/>
      </c>
      <c r="C2640" s="18">
        <f>IF($A2640="","",IF(Paramètres!H48="","",Paramètres!H48))</f>
        <v/>
      </c>
      <c r="D2640" s="18">
        <f>IF($A2640="","",IF(Paramètres!I48="","",Paramètres!I48))</f>
        <v/>
      </c>
      <c r="E2640" s="19">
        <f>IF($A2640="","",IF(Paramètres!J48&amp;Paramètres!L48&amp;Paramètres!N48="",Dossiers!$D$52,MAX(IF(Paramètres!J48="",0,IF(Paramètres!K48="",NA(),IF(LEFT(TRIM(Paramètres!K48),1)="F",INDEX($F$2597:$F$2649,MATCH(Paramètres!J48,Paramètres!$G$5:$G$57,0)),INDEX($E$2597:$E$2649,MATCH(Paramètres!J48,Paramètres!$G$5:$G$57,0)))+IF(RIGHT(TRIM(Paramètres!K48),3)="Fin",1-$H2640,IF(LEFT(TRIM(Paramètres!K48),1)="F",1,0)))),IF(Paramètres!L48="",0,IF(Paramètres!M48="",NA(),IF(LEFT(TRIM(Paramètres!M48),1)="F",INDEX($F$2597:$F$2649,MATCH(Paramètres!L48,Paramètres!$G$5:$G$57,0)),INDEX($E$2597:$E$2649,MATCH(Paramètres!L48,Paramètres!$G$5:$G$57,0)))+IF(RIGHT(TRIM(Paramètres!M48),3)="Fin",1-$H2640,IF(LEFT(TRIM(Paramètres!M48),1)="F",1,0)))),IF(Paramètres!N48="",0,IF(Paramètres!O48="",NA(),IF(LEFT(TRIM(Paramètres!O48),1)="F",INDEX($F$2597:$F$2649,MATCH(Paramètres!N48,Paramètres!$G$5:$G$57,0)),INDEX($E$2597:$E$2649,MATCH(Paramètres!N48,Paramètres!$G$5:$G$57,0)))+IF(RIGHT(TRIM(Paramètres!O48),3)="Fin",1-$H2640,IF(LEFT(TRIM(Paramètres!O48),1)="F",1,0)))))))</f>
        <v/>
      </c>
      <c r="F2640" s="19">
        <f>IF($A2640="","",E2640+$H2640-1)</f>
        <v/>
      </c>
      <c r="G2640" s="18" t="n"/>
      <c r="H2640" s="18">
        <f>IF($A2640="","",IF(I2640&lt;&gt;"",I2640,Paramètres!B48))</f>
        <v/>
      </c>
      <c r="I2640" s="18" t="n"/>
    </row>
    <row r="2641">
      <c r="A2641" s="18">
        <f>IF(ISNUMBER(Dossiers!$D$52),Dossiers!$A$52&amp;" · "&amp;Dossiers!$B$52,"")</f>
        <v/>
      </c>
      <c r="B2641" s="18">
        <f>IF($A2641="","",Paramètres!G49)</f>
        <v/>
      </c>
      <c r="C2641" s="18">
        <f>IF($A2641="","",IF(Paramètres!H49="","",Paramètres!H49))</f>
        <v/>
      </c>
      <c r="D2641" s="18">
        <f>IF($A2641="","",IF(Paramètres!I49="","",Paramètres!I49))</f>
        <v/>
      </c>
      <c r="E2641" s="19">
        <f>IF($A2641="","",IF(Paramètres!J49&amp;Paramètres!L49&amp;Paramètres!N49="",Dossiers!$D$52,MAX(IF(Paramètres!J49="",0,IF(Paramètres!K49="",NA(),IF(LEFT(TRIM(Paramètres!K49),1)="F",INDEX($F$2597:$F$2649,MATCH(Paramètres!J49,Paramètres!$G$5:$G$57,0)),INDEX($E$2597:$E$2649,MATCH(Paramètres!J49,Paramètres!$G$5:$G$57,0)))+IF(RIGHT(TRIM(Paramètres!K49),3)="Fin",1-$H2641,IF(LEFT(TRIM(Paramètres!K49),1)="F",1,0)))),IF(Paramètres!L49="",0,IF(Paramètres!M49="",NA(),IF(LEFT(TRIM(Paramètres!M49),1)="F",INDEX($F$2597:$F$2649,MATCH(Paramètres!L49,Paramètres!$G$5:$G$57,0)),INDEX($E$2597:$E$2649,MATCH(Paramètres!L49,Paramètres!$G$5:$G$57,0)))+IF(RIGHT(TRIM(Paramètres!M49),3)="Fin",1-$H2641,IF(LEFT(TRIM(Paramètres!M49),1)="F",1,0)))),IF(Paramètres!N49="",0,IF(Paramètres!O49="",NA(),IF(LEFT(TRIM(Paramètres!O49),1)="F",INDEX($F$2597:$F$2649,MATCH(Paramètres!N49,Paramètres!$G$5:$G$57,0)),INDEX($E$2597:$E$2649,MATCH(Paramètres!N49,Paramètres!$G$5:$G$57,0)))+IF(RIGHT(TRIM(Paramètres!O49),3)="Fin",1-$H2641,IF(LEFT(TRIM(Paramètres!O49),1)="F",1,0)))))))</f>
        <v/>
      </c>
      <c r="F2641" s="19">
        <f>IF($A2641="","",E2641+$H2641-1)</f>
        <v/>
      </c>
      <c r="G2641" s="18" t="n"/>
      <c r="H2641" s="18">
        <f>IF($A2641="","",IF(I2641&lt;&gt;"",I2641,Paramètres!B49))</f>
        <v/>
      </c>
      <c r="I2641" s="18" t="n"/>
    </row>
    <row r="2642">
      <c r="A2642" s="18">
        <f>IF(ISNUMBER(Dossiers!$D$52),Dossiers!$A$52&amp;" · "&amp;Dossiers!$B$52,"")</f>
        <v/>
      </c>
      <c r="B2642" s="18">
        <f>IF($A2642="","",Paramètres!G50)</f>
        <v/>
      </c>
      <c r="C2642" s="18">
        <f>IF($A2642="","",IF(Paramètres!H50="","",Paramètres!H50))</f>
        <v/>
      </c>
      <c r="D2642" s="18">
        <f>IF($A2642="","",IF(Paramètres!I50="","",Paramètres!I50))</f>
        <v/>
      </c>
      <c r="E2642" s="19">
        <f>IF($A2642="","",IF(Paramètres!J50&amp;Paramètres!L50&amp;Paramètres!N50="",Dossiers!$D$52,MAX(IF(Paramètres!J50="",0,IF(Paramètres!K50="",NA(),IF(LEFT(TRIM(Paramètres!K50),1)="F",INDEX($F$2597:$F$2649,MATCH(Paramètres!J50,Paramètres!$G$5:$G$57,0)),INDEX($E$2597:$E$2649,MATCH(Paramètres!J50,Paramètres!$G$5:$G$57,0)))+IF(RIGHT(TRIM(Paramètres!K50),3)="Fin",1-$H2642,IF(LEFT(TRIM(Paramètres!K50),1)="F",1,0)))),IF(Paramètres!L50="",0,IF(Paramètres!M50="",NA(),IF(LEFT(TRIM(Paramètres!M50),1)="F",INDEX($F$2597:$F$2649,MATCH(Paramètres!L50,Paramètres!$G$5:$G$57,0)),INDEX($E$2597:$E$2649,MATCH(Paramètres!L50,Paramètres!$G$5:$G$57,0)))+IF(RIGHT(TRIM(Paramètres!M50),3)="Fin",1-$H2642,IF(LEFT(TRIM(Paramètres!M50),1)="F",1,0)))),IF(Paramètres!N50="",0,IF(Paramètres!O50="",NA(),IF(LEFT(TRIM(Paramètres!O50),1)="F",INDEX($F$2597:$F$2649,MATCH(Paramètres!N50,Paramètres!$G$5:$G$57,0)),INDEX($E$2597:$E$2649,MATCH(Paramètres!N50,Paramètres!$G$5:$G$57,0)))+IF(RIGHT(TRIM(Paramètres!O50),3)="Fin",1-$H2642,IF(LEFT(TRIM(Paramètres!O50),1)="F",1,0)))))))</f>
        <v/>
      </c>
      <c r="F2642" s="19">
        <f>IF($A2642="","",E2642+$H2642-1)</f>
        <v/>
      </c>
      <c r="G2642" s="18" t="n"/>
      <c r="H2642" s="18">
        <f>IF($A2642="","",IF(I2642&lt;&gt;"",I2642,Paramètres!B50))</f>
        <v/>
      </c>
      <c r="I2642" s="18" t="n"/>
    </row>
    <row r="2643">
      <c r="A2643" s="18">
        <f>IF(ISNUMBER(Dossiers!$D$52),Dossiers!$A$52&amp;" · "&amp;Dossiers!$B$52,"")</f>
        <v/>
      </c>
      <c r="B2643" s="18">
        <f>IF($A2643="","",Paramètres!G51)</f>
        <v/>
      </c>
      <c r="C2643" s="18">
        <f>IF($A2643="","",IF(Paramètres!H51="","",Paramètres!H51))</f>
        <v/>
      </c>
      <c r="D2643" s="18">
        <f>IF($A2643="","",IF(Paramètres!I51="","",Paramètres!I51))</f>
        <v/>
      </c>
      <c r="E2643" s="19">
        <f>IF($A2643="","",IF(Paramètres!J51&amp;Paramètres!L51&amp;Paramètres!N51="",Dossiers!$D$52,MAX(IF(Paramètres!J51="",0,IF(Paramètres!K51="",NA(),IF(LEFT(TRIM(Paramètres!K51),1)="F",INDEX($F$2597:$F$2649,MATCH(Paramètres!J51,Paramètres!$G$5:$G$57,0)),INDEX($E$2597:$E$2649,MATCH(Paramètres!J51,Paramètres!$G$5:$G$57,0)))+IF(RIGHT(TRIM(Paramètres!K51),3)="Fin",1-$H2643,IF(LEFT(TRIM(Paramètres!K51),1)="F",1,0)))),IF(Paramètres!L51="",0,IF(Paramètres!M51="",NA(),IF(LEFT(TRIM(Paramètres!M51),1)="F",INDEX($F$2597:$F$2649,MATCH(Paramètres!L51,Paramètres!$G$5:$G$57,0)),INDEX($E$2597:$E$2649,MATCH(Paramètres!L51,Paramètres!$G$5:$G$57,0)))+IF(RIGHT(TRIM(Paramètres!M51),3)="Fin",1-$H2643,IF(LEFT(TRIM(Paramètres!M51),1)="F",1,0)))),IF(Paramètres!N51="",0,IF(Paramètres!O51="",NA(),IF(LEFT(TRIM(Paramètres!O51),1)="F",INDEX($F$2597:$F$2649,MATCH(Paramètres!N51,Paramètres!$G$5:$G$57,0)),INDEX($E$2597:$E$2649,MATCH(Paramètres!N51,Paramètres!$G$5:$G$57,0)))+IF(RIGHT(TRIM(Paramètres!O51),3)="Fin",1-$H2643,IF(LEFT(TRIM(Paramètres!O51),1)="F",1,0)))))))</f>
        <v/>
      </c>
      <c r="F2643" s="19">
        <f>IF($A2643="","",E2643+$H2643-1)</f>
        <v/>
      </c>
      <c r="G2643" s="18" t="n"/>
      <c r="H2643" s="18">
        <f>IF($A2643="","",IF(I2643&lt;&gt;"",I2643,Paramètres!B51))</f>
        <v/>
      </c>
      <c r="I2643" s="18" t="n"/>
    </row>
    <row r="2644">
      <c r="A2644" s="18">
        <f>IF(ISNUMBER(Dossiers!$D$52),Dossiers!$A$52&amp;" · "&amp;Dossiers!$B$52,"")</f>
        <v/>
      </c>
      <c r="B2644" s="18">
        <f>IF($A2644="","",Paramètres!G52)</f>
        <v/>
      </c>
      <c r="C2644" s="18">
        <f>IF($A2644="","",IF(Paramètres!H52="","",Paramètres!H52))</f>
        <v/>
      </c>
      <c r="D2644" s="18">
        <f>IF($A2644="","",IF(Paramètres!I52="","",Paramètres!I52))</f>
        <v/>
      </c>
      <c r="E2644" s="19">
        <f>IF($A2644="","",IF(Paramètres!J52&amp;Paramètres!L52&amp;Paramètres!N52="",Dossiers!$D$52,MAX(IF(Paramètres!J52="",0,IF(Paramètres!K52="",NA(),IF(LEFT(TRIM(Paramètres!K52),1)="F",INDEX($F$2597:$F$2649,MATCH(Paramètres!J52,Paramètres!$G$5:$G$57,0)),INDEX($E$2597:$E$2649,MATCH(Paramètres!J52,Paramètres!$G$5:$G$57,0)))+IF(RIGHT(TRIM(Paramètres!K52),3)="Fin",1-$H2644,IF(LEFT(TRIM(Paramètres!K52),1)="F",1,0)))),IF(Paramètres!L52="",0,IF(Paramètres!M52="",NA(),IF(LEFT(TRIM(Paramètres!M52),1)="F",INDEX($F$2597:$F$2649,MATCH(Paramètres!L52,Paramètres!$G$5:$G$57,0)),INDEX($E$2597:$E$2649,MATCH(Paramètres!L52,Paramètres!$G$5:$G$57,0)))+IF(RIGHT(TRIM(Paramètres!M52),3)="Fin",1-$H2644,IF(LEFT(TRIM(Paramètres!M52),1)="F",1,0)))),IF(Paramètres!N52="",0,IF(Paramètres!O52="",NA(),IF(LEFT(TRIM(Paramètres!O52),1)="F",INDEX($F$2597:$F$2649,MATCH(Paramètres!N52,Paramètres!$G$5:$G$57,0)),INDEX($E$2597:$E$2649,MATCH(Paramètres!N52,Paramètres!$G$5:$G$57,0)))+IF(RIGHT(TRIM(Paramètres!O52),3)="Fin",1-$H2644,IF(LEFT(TRIM(Paramètres!O52),1)="F",1,0)))))))</f>
        <v/>
      </c>
      <c r="F2644" s="19">
        <f>IF($A2644="","",E2644+$H2644-1)</f>
        <v/>
      </c>
      <c r="G2644" s="18" t="n"/>
      <c r="H2644" s="18">
        <f>IF($A2644="","",IF(I2644&lt;&gt;"",I2644,Paramètres!B52))</f>
        <v/>
      </c>
      <c r="I2644" s="18" t="n"/>
    </row>
    <row r="2645">
      <c r="A2645" s="18">
        <f>IF(ISNUMBER(Dossiers!$D$52),Dossiers!$A$52&amp;" · "&amp;Dossiers!$B$52,"")</f>
        <v/>
      </c>
      <c r="B2645" s="18">
        <f>IF($A2645="","",Paramètres!G53)</f>
        <v/>
      </c>
      <c r="C2645" s="18">
        <f>IF($A2645="","",IF(Paramètres!H53="","",Paramètres!H53))</f>
        <v/>
      </c>
      <c r="D2645" s="18">
        <f>IF($A2645="","",IF(Paramètres!I53="","",Paramètres!I53))</f>
        <v/>
      </c>
      <c r="E2645" s="19">
        <f>IF($A2645="","",IF(Paramètres!J53&amp;Paramètres!L53&amp;Paramètres!N53="",Dossiers!$D$52,MAX(IF(Paramètres!J53="",0,IF(Paramètres!K53="",NA(),IF(LEFT(TRIM(Paramètres!K53),1)="F",INDEX($F$2597:$F$2649,MATCH(Paramètres!J53,Paramètres!$G$5:$G$57,0)),INDEX($E$2597:$E$2649,MATCH(Paramètres!J53,Paramètres!$G$5:$G$57,0)))+IF(RIGHT(TRIM(Paramètres!K53),3)="Fin",1-$H2645,IF(LEFT(TRIM(Paramètres!K53),1)="F",1,0)))),IF(Paramètres!L53="",0,IF(Paramètres!M53="",NA(),IF(LEFT(TRIM(Paramètres!M53),1)="F",INDEX($F$2597:$F$2649,MATCH(Paramètres!L53,Paramètres!$G$5:$G$57,0)),INDEX($E$2597:$E$2649,MATCH(Paramètres!L53,Paramètres!$G$5:$G$57,0)))+IF(RIGHT(TRIM(Paramètres!M53),3)="Fin",1-$H2645,IF(LEFT(TRIM(Paramètres!M53),1)="F",1,0)))),IF(Paramètres!N53="",0,IF(Paramètres!O53="",NA(),IF(LEFT(TRIM(Paramètres!O53),1)="F",INDEX($F$2597:$F$2649,MATCH(Paramètres!N53,Paramètres!$G$5:$G$57,0)),INDEX($E$2597:$E$2649,MATCH(Paramètres!N53,Paramètres!$G$5:$G$57,0)))+IF(RIGHT(TRIM(Paramètres!O53),3)="Fin",1-$H2645,IF(LEFT(TRIM(Paramètres!O53),1)="F",1,0)))))))</f>
        <v/>
      </c>
      <c r="F2645" s="19">
        <f>IF($A2645="","",E2645+$H2645-1)</f>
        <v/>
      </c>
      <c r="G2645" s="18" t="n"/>
      <c r="H2645" s="18">
        <f>IF($A2645="","",IF(I2645&lt;&gt;"",I2645,Paramètres!B53))</f>
        <v/>
      </c>
      <c r="I2645" s="18" t="n"/>
    </row>
    <row r="2646">
      <c r="A2646" s="18">
        <f>IF(ISNUMBER(Dossiers!$D$52),Dossiers!$A$52&amp;" · "&amp;Dossiers!$B$52,"")</f>
        <v/>
      </c>
      <c r="B2646" s="18">
        <f>IF($A2646="","",Paramètres!G54)</f>
        <v/>
      </c>
      <c r="C2646" s="18">
        <f>IF($A2646="","",IF(Paramètres!H54="","",Paramètres!H54))</f>
        <v/>
      </c>
      <c r="D2646" s="18">
        <f>IF($A2646="","",IF(Paramètres!I54="","",Paramètres!I54))</f>
        <v/>
      </c>
      <c r="E2646" s="19">
        <f>IF($A2646="","",IF(Paramètres!J54&amp;Paramètres!L54&amp;Paramètres!N54="",Dossiers!$D$52,MAX(IF(Paramètres!J54="",0,IF(Paramètres!K54="",NA(),IF(LEFT(TRIM(Paramètres!K54),1)="F",INDEX($F$2597:$F$2649,MATCH(Paramètres!J54,Paramètres!$G$5:$G$57,0)),INDEX($E$2597:$E$2649,MATCH(Paramètres!J54,Paramètres!$G$5:$G$57,0)))+IF(RIGHT(TRIM(Paramètres!K54),3)="Fin",1-$H2646,IF(LEFT(TRIM(Paramètres!K54),1)="F",1,0)))),IF(Paramètres!L54="",0,IF(Paramètres!M54="",NA(),IF(LEFT(TRIM(Paramètres!M54),1)="F",INDEX($F$2597:$F$2649,MATCH(Paramètres!L54,Paramètres!$G$5:$G$57,0)),INDEX($E$2597:$E$2649,MATCH(Paramètres!L54,Paramètres!$G$5:$G$57,0)))+IF(RIGHT(TRIM(Paramètres!M54),3)="Fin",1-$H2646,IF(LEFT(TRIM(Paramètres!M54),1)="F",1,0)))),IF(Paramètres!N54="",0,IF(Paramètres!O54="",NA(),IF(LEFT(TRIM(Paramètres!O54),1)="F",INDEX($F$2597:$F$2649,MATCH(Paramètres!N54,Paramètres!$G$5:$G$57,0)),INDEX($E$2597:$E$2649,MATCH(Paramètres!N54,Paramètres!$G$5:$G$57,0)))+IF(RIGHT(TRIM(Paramètres!O54),3)="Fin",1-$H2646,IF(LEFT(TRIM(Paramètres!O54),1)="F",1,0)))))))</f>
        <v/>
      </c>
      <c r="F2646" s="19">
        <f>IF($A2646="","",E2646+$H2646-1)</f>
        <v/>
      </c>
      <c r="G2646" s="18" t="n"/>
      <c r="H2646" s="18">
        <f>IF($A2646="","",IF(I2646&lt;&gt;"",I2646,Paramètres!B54))</f>
        <v/>
      </c>
      <c r="I2646" s="18" t="n"/>
    </row>
    <row r="2647">
      <c r="A2647" s="18">
        <f>IF(ISNUMBER(Dossiers!$D$52),Dossiers!$A$52&amp;" · "&amp;Dossiers!$B$52,"")</f>
        <v/>
      </c>
      <c r="B2647" s="18">
        <f>IF($A2647="","",Paramètres!G55)</f>
        <v/>
      </c>
      <c r="C2647" s="18">
        <f>IF($A2647="","",IF(Paramètres!H55="","",Paramètres!H55))</f>
        <v/>
      </c>
      <c r="D2647" s="18">
        <f>IF($A2647="","",IF(Paramètres!I55="","",Paramètres!I55))</f>
        <v/>
      </c>
      <c r="E2647" s="19">
        <f>IF($A2647="","",IF(Paramètres!J55&amp;Paramètres!L55&amp;Paramètres!N55="",Dossiers!$D$52,MAX(IF(Paramètres!J55="",0,IF(Paramètres!K55="",NA(),IF(LEFT(TRIM(Paramètres!K55),1)="F",INDEX($F$2597:$F$2649,MATCH(Paramètres!J55,Paramètres!$G$5:$G$57,0)),INDEX($E$2597:$E$2649,MATCH(Paramètres!J55,Paramètres!$G$5:$G$57,0)))+IF(RIGHT(TRIM(Paramètres!K55),3)="Fin",1-$H2647,IF(LEFT(TRIM(Paramètres!K55),1)="F",1,0)))),IF(Paramètres!L55="",0,IF(Paramètres!M55="",NA(),IF(LEFT(TRIM(Paramètres!M55),1)="F",INDEX($F$2597:$F$2649,MATCH(Paramètres!L55,Paramètres!$G$5:$G$57,0)),INDEX($E$2597:$E$2649,MATCH(Paramètres!L55,Paramètres!$G$5:$G$57,0)))+IF(RIGHT(TRIM(Paramètres!M55),3)="Fin",1-$H2647,IF(LEFT(TRIM(Paramètres!M55),1)="F",1,0)))),IF(Paramètres!N55="",0,IF(Paramètres!O55="",NA(),IF(LEFT(TRIM(Paramètres!O55),1)="F",INDEX($F$2597:$F$2649,MATCH(Paramètres!N55,Paramètres!$G$5:$G$57,0)),INDEX($E$2597:$E$2649,MATCH(Paramètres!N55,Paramètres!$G$5:$G$57,0)))+IF(RIGHT(TRIM(Paramètres!O55),3)="Fin",1-$H2647,IF(LEFT(TRIM(Paramètres!O55),1)="F",1,0)))))))</f>
        <v/>
      </c>
      <c r="F2647" s="19">
        <f>IF($A2647="","",E2647+$H2647-1)</f>
        <v/>
      </c>
      <c r="G2647" s="18" t="n"/>
      <c r="H2647" s="18">
        <f>IF($A2647="","",IF(I2647&lt;&gt;"",I2647,Paramètres!B55))</f>
        <v/>
      </c>
      <c r="I2647" s="18" t="n"/>
    </row>
    <row r="2648">
      <c r="A2648" s="18">
        <f>IF(ISNUMBER(Dossiers!$D$52),Dossiers!$A$52&amp;" · "&amp;Dossiers!$B$52,"")</f>
        <v/>
      </c>
      <c r="B2648" s="18">
        <f>IF($A2648="","",Paramètres!G56)</f>
        <v/>
      </c>
      <c r="C2648" s="18">
        <f>IF($A2648="","",IF(Paramètres!H56="","",Paramètres!H56))</f>
        <v/>
      </c>
      <c r="D2648" s="18">
        <f>IF($A2648="","",IF(Paramètres!I56="","",Paramètres!I56))</f>
        <v/>
      </c>
      <c r="E2648" s="19">
        <f>IF($A2648="","",MIN(E2649:E2649))</f>
        <v/>
      </c>
      <c r="F2648" s="19">
        <f>IF($A2648="","",MAX(F2649:F2649))</f>
        <v/>
      </c>
      <c r="G2648" s="18" t="n"/>
      <c r="H2648" s="18">
        <f>IF($A2648="","",F2648-E2648+1)</f>
        <v/>
      </c>
      <c r="I2648" s="18" t="n"/>
    </row>
    <row r="2649">
      <c r="A2649" s="18">
        <f>IF(ISNUMBER(Dossiers!$D$52),Dossiers!$A$52&amp;" · "&amp;Dossiers!$B$52,"")</f>
        <v/>
      </c>
      <c r="B2649" s="18">
        <f>IF($A2649="","",Paramètres!G57)</f>
        <v/>
      </c>
      <c r="C2649" s="18">
        <f>IF($A2649="","",IF(Paramètres!H57="","",Paramètres!H57))</f>
        <v/>
      </c>
      <c r="D2649" s="18">
        <f>IF($A2649="","",IF(Paramètres!I57="","",Paramètres!I57))</f>
        <v/>
      </c>
      <c r="E2649" s="19">
        <f>IF($A2649="","",IF(Paramètres!J57&amp;Paramètres!L57&amp;Paramètres!N57="",Dossiers!$D$52,MAX(IF(Paramètres!J57="",0,IF(Paramètres!K57="",NA(),IF(LEFT(TRIM(Paramètres!K57),1)="F",INDEX($F$2597:$F$2649,MATCH(Paramètres!J57,Paramètres!$G$5:$G$57,0)),INDEX($E$2597:$E$2649,MATCH(Paramètres!J57,Paramètres!$G$5:$G$57,0)))+IF(RIGHT(TRIM(Paramètres!K57),3)="Fin",1-$H2649,IF(LEFT(TRIM(Paramètres!K57),1)="F",1,0)))),IF(Paramètres!L57="",0,IF(Paramètres!M57="",NA(),IF(LEFT(TRIM(Paramètres!M57),1)="F",INDEX($F$2597:$F$2649,MATCH(Paramètres!L57,Paramètres!$G$5:$G$57,0)),INDEX($E$2597:$E$2649,MATCH(Paramètres!L57,Paramètres!$G$5:$G$57,0)))+IF(RIGHT(TRIM(Paramètres!M57),3)="Fin",1-$H2649,IF(LEFT(TRIM(Paramètres!M57),1)="F",1,0)))),IF(Paramètres!N57="",0,IF(Paramètres!O57="",NA(),IF(LEFT(TRIM(Paramètres!O57),1)="F",INDEX($F$2597:$F$2649,MATCH(Paramètres!N57,Paramètres!$G$5:$G$57,0)),INDEX($E$2597:$E$2649,MATCH(Paramètres!N57,Paramètres!$G$5:$G$57,0)))+IF(RIGHT(TRIM(Paramètres!O57),3)="Fin",1-$H2649,IF(LEFT(TRIM(Paramètres!O57),1)="F",1,0)))))))</f>
        <v/>
      </c>
      <c r="F2649" s="19">
        <f>IF($A2649="","",E2649+$H2649-1)</f>
        <v/>
      </c>
      <c r="G2649" s="18" t="n"/>
      <c r="H2649" s="18">
        <f>IF($A2649="","",IF(I2649&lt;&gt;"",I2649,Paramètres!B57))</f>
        <v/>
      </c>
      <c r="I2649" s="18" t="n"/>
    </row>
    <row r="2650">
      <c r="A2650" s="16">
        <f>IF(ISNUMBER(Dossiers!$D$53),Dossiers!$E$53,"")</f>
        <v/>
      </c>
      <c r="B2650" s="16">
        <f>IF($A2650="","","Identifiant")</f>
        <v/>
      </c>
      <c r="C2650" s="16">
        <f>IF($A2650="","","Macro Etape")</f>
        <v/>
      </c>
      <c r="D2650" s="16">
        <f>IF($A2650="","","Etape")</f>
        <v/>
      </c>
      <c r="E2650" s="17">
        <f>IF($A2650="","","Début le")</f>
        <v/>
      </c>
      <c r="F2650" s="17">
        <f>IF($A2650="","","Fin prévue le")</f>
        <v/>
      </c>
      <c r="G2650" s="16">
        <f>IF($A2650="","","Statut")</f>
        <v/>
      </c>
      <c r="H2650" s="16">
        <f>IF($A2650="","","Durée (jours)")</f>
        <v/>
      </c>
      <c r="I2650" s="16">
        <f>IF($A2650="","","Durée particulière")</f>
        <v/>
      </c>
      <c r="J2650" s="10">
        <f>IF($A2650="","",HYPERLINK("#'Tableau de bord'!A1","↑ Tableau de bord"))</f>
        <v/>
      </c>
    </row>
    <row r="2651">
      <c r="A2651" s="18">
        <f>IF(ISNUMBER(Dossiers!$D$53),Dossiers!$A$53&amp;" · "&amp;Dossiers!$B$53,"")</f>
        <v/>
      </c>
      <c r="B2651" s="18">
        <f>IF($A2651="","",Paramètres!G5)</f>
        <v/>
      </c>
      <c r="C2651" s="18">
        <f>IF($A2651="","",IF(Paramètres!H5="","",Paramètres!H5))</f>
        <v/>
      </c>
      <c r="D2651" s="18">
        <f>IF($A2651="","",IF(Paramètres!I5="","",Paramètres!I5))</f>
        <v/>
      </c>
      <c r="E2651" s="19">
        <f>IF($A2651="","",MIN(E2652:E2655))</f>
        <v/>
      </c>
      <c r="F2651" s="19">
        <f>IF($A2651="","",MAX(F2652:F2655))</f>
        <v/>
      </c>
      <c r="G2651" s="18" t="n"/>
      <c r="H2651" s="18">
        <f>IF($A2651="","",F2651-E2651+1)</f>
        <v/>
      </c>
      <c r="I2651" s="18" t="n"/>
    </row>
    <row r="2652">
      <c r="A2652" s="18">
        <f>IF(ISNUMBER(Dossiers!$D$53),Dossiers!$A$53&amp;" · "&amp;Dossiers!$B$53,"")</f>
        <v/>
      </c>
      <c r="B2652" s="18">
        <f>IF($A2652="","",Paramètres!G6)</f>
        <v/>
      </c>
      <c r="C2652" s="18">
        <f>IF($A2652="","",IF(Paramètres!H6="","",Paramètres!H6))</f>
        <v/>
      </c>
      <c r="D2652" s="18">
        <f>IF($A2652="","",IF(Paramètres!I6="","",Paramètres!I6))</f>
        <v/>
      </c>
      <c r="E2652" s="19">
        <f>IF($A2652="","",IF(Paramètres!J6&amp;Paramètres!L6&amp;Paramètres!N6="",Dossiers!$D$53,MAX(IF(Paramètres!J6="",0,IF(Paramètres!K6="",NA(),IF(LEFT(TRIM(Paramètres!K6),1)="F",INDEX($F$2651:$F$2703,MATCH(Paramètres!J6,Paramètres!$G$5:$G$57,0)),INDEX($E$2651:$E$2703,MATCH(Paramètres!J6,Paramètres!$G$5:$G$57,0)))+IF(RIGHT(TRIM(Paramètres!K6),3)="Fin",1-$H2652,IF(LEFT(TRIM(Paramètres!K6),1)="F",1,0)))),IF(Paramètres!L6="",0,IF(Paramètres!M6="",NA(),IF(LEFT(TRIM(Paramètres!M6),1)="F",INDEX($F$2651:$F$2703,MATCH(Paramètres!L6,Paramètres!$G$5:$G$57,0)),INDEX($E$2651:$E$2703,MATCH(Paramètres!L6,Paramètres!$G$5:$G$57,0)))+IF(RIGHT(TRIM(Paramètres!M6),3)="Fin",1-$H2652,IF(LEFT(TRIM(Paramètres!M6),1)="F",1,0)))),IF(Paramètres!N6="",0,IF(Paramètres!O6="",NA(),IF(LEFT(TRIM(Paramètres!O6),1)="F",INDEX($F$2651:$F$2703,MATCH(Paramètres!N6,Paramètres!$G$5:$G$57,0)),INDEX($E$2651:$E$2703,MATCH(Paramètres!N6,Paramètres!$G$5:$G$57,0)))+IF(RIGHT(TRIM(Paramètres!O6),3)="Fin",1-$H2652,IF(LEFT(TRIM(Paramètres!O6),1)="F",1,0)))))))</f>
        <v/>
      </c>
      <c r="F2652" s="19">
        <f>IF($A2652="","",E2652+$H2652-1)</f>
        <v/>
      </c>
      <c r="G2652" s="18" t="n"/>
      <c r="H2652" s="18">
        <f>IF($A2652="","",IF(I2652&lt;&gt;"",I2652,Paramètres!B6))</f>
        <v/>
      </c>
      <c r="I2652" s="18" t="n"/>
    </row>
    <row r="2653">
      <c r="A2653" s="18">
        <f>IF(ISNUMBER(Dossiers!$D$53),Dossiers!$A$53&amp;" · "&amp;Dossiers!$B$53,"")</f>
        <v/>
      </c>
      <c r="B2653" s="18">
        <f>IF($A2653="","",Paramètres!G7)</f>
        <v/>
      </c>
      <c r="C2653" s="18">
        <f>IF($A2653="","",IF(Paramètres!H7="","",Paramètres!H7))</f>
        <v/>
      </c>
      <c r="D2653" s="18">
        <f>IF($A2653="","",IF(Paramètres!I7="","",Paramètres!I7))</f>
        <v/>
      </c>
      <c r="E2653" s="19">
        <f>IF($A2653="","",IF(Paramètres!J7&amp;Paramètres!L7&amp;Paramètres!N7="",Dossiers!$D$53,MAX(IF(Paramètres!J7="",0,IF(Paramètres!K7="",NA(),IF(LEFT(TRIM(Paramètres!K7),1)="F",INDEX($F$2651:$F$2703,MATCH(Paramètres!J7,Paramètres!$G$5:$G$57,0)),INDEX($E$2651:$E$2703,MATCH(Paramètres!J7,Paramètres!$G$5:$G$57,0)))+IF(RIGHT(TRIM(Paramètres!K7),3)="Fin",1-$H2653,IF(LEFT(TRIM(Paramètres!K7),1)="F",1,0)))),IF(Paramètres!L7="",0,IF(Paramètres!M7="",NA(),IF(LEFT(TRIM(Paramètres!M7),1)="F",INDEX($F$2651:$F$2703,MATCH(Paramètres!L7,Paramètres!$G$5:$G$57,0)),INDEX($E$2651:$E$2703,MATCH(Paramètres!L7,Paramètres!$G$5:$G$57,0)))+IF(RIGHT(TRIM(Paramètres!M7),3)="Fin",1-$H2653,IF(LEFT(TRIM(Paramètres!M7),1)="F",1,0)))),IF(Paramètres!N7="",0,IF(Paramètres!O7="",NA(),IF(LEFT(TRIM(Paramètres!O7),1)="F",INDEX($F$2651:$F$2703,MATCH(Paramètres!N7,Paramètres!$G$5:$G$57,0)),INDEX($E$2651:$E$2703,MATCH(Paramètres!N7,Paramètres!$G$5:$G$57,0)))+IF(RIGHT(TRIM(Paramètres!O7),3)="Fin",1-$H2653,IF(LEFT(TRIM(Paramètres!O7),1)="F",1,0)))))))</f>
        <v/>
      </c>
      <c r="F2653" s="19">
        <f>IF($A2653="","",E2653+$H2653-1)</f>
        <v/>
      </c>
      <c r="G2653" s="18" t="n"/>
      <c r="H2653" s="18">
        <f>IF($A2653="","",IF(I2653&lt;&gt;"",I2653,Paramètres!B7))</f>
        <v/>
      </c>
      <c r="I2653" s="18" t="n"/>
    </row>
    <row r="2654">
      <c r="A2654" s="18">
        <f>IF(ISNUMBER(Dossiers!$D$53),Dossiers!$A$53&amp;" · "&amp;Dossiers!$B$53,"")</f>
        <v/>
      </c>
      <c r="B2654" s="18">
        <f>IF($A2654="","",Paramètres!G8)</f>
        <v/>
      </c>
      <c r="C2654" s="18">
        <f>IF($A2654="","",IF(Paramètres!H8="","",Paramètres!H8))</f>
        <v/>
      </c>
      <c r="D2654" s="18">
        <f>IF($A2654="","",IF(Paramètres!I8="","",Paramètres!I8))</f>
        <v/>
      </c>
      <c r="E2654" s="19">
        <f>IF($A2654="","",IF(Paramètres!J8&amp;Paramètres!L8&amp;Paramètres!N8="",Dossiers!$D$53,MAX(IF(Paramètres!J8="",0,IF(Paramètres!K8="",NA(),IF(LEFT(TRIM(Paramètres!K8),1)="F",INDEX($F$2651:$F$2703,MATCH(Paramètres!J8,Paramètres!$G$5:$G$57,0)),INDEX($E$2651:$E$2703,MATCH(Paramètres!J8,Paramètres!$G$5:$G$57,0)))+IF(RIGHT(TRIM(Paramètres!K8),3)="Fin",1-$H2654,IF(LEFT(TRIM(Paramètres!K8),1)="F",1,0)))),IF(Paramètres!L8="",0,IF(Paramètres!M8="",NA(),IF(LEFT(TRIM(Paramètres!M8),1)="F",INDEX($F$2651:$F$2703,MATCH(Paramètres!L8,Paramètres!$G$5:$G$57,0)),INDEX($E$2651:$E$2703,MATCH(Paramètres!L8,Paramètres!$G$5:$G$57,0)))+IF(RIGHT(TRIM(Paramètres!M8),3)="Fin",1-$H2654,IF(LEFT(TRIM(Paramètres!M8),1)="F",1,0)))),IF(Paramètres!N8="",0,IF(Paramètres!O8="",NA(),IF(LEFT(TRIM(Paramètres!O8),1)="F",INDEX($F$2651:$F$2703,MATCH(Paramètres!N8,Paramètres!$G$5:$G$57,0)),INDEX($E$2651:$E$2703,MATCH(Paramètres!N8,Paramètres!$G$5:$G$57,0)))+IF(RIGHT(TRIM(Paramètres!O8),3)="Fin",1-$H2654,IF(LEFT(TRIM(Paramètres!O8),1)="F",1,0)))))))</f>
        <v/>
      </c>
      <c r="F2654" s="19">
        <f>IF($A2654="","",E2654+$H2654-1)</f>
        <v/>
      </c>
      <c r="G2654" s="18" t="n"/>
      <c r="H2654" s="18">
        <f>IF($A2654="","",IF(I2654&lt;&gt;"",I2654,Paramètres!B8))</f>
        <v/>
      </c>
      <c r="I2654" s="18" t="n"/>
    </row>
    <row r="2655">
      <c r="A2655" s="18">
        <f>IF(ISNUMBER(Dossiers!$D$53),Dossiers!$A$53&amp;" · "&amp;Dossiers!$B$53,"")</f>
        <v/>
      </c>
      <c r="B2655" s="18">
        <f>IF($A2655="","",Paramètres!G9)</f>
        <v/>
      </c>
      <c r="C2655" s="18">
        <f>IF($A2655="","",IF(Paramètres!H9="","",Paramètres!H9))</f>
        <v/>
      </c>
      <c r="D2655" s="18">
        <f>IF($A2655="","",IF(Paramètres!I9="","",Paramètres!I9))</f>
        <v/>
      </c>
      <c r="E2655" s="19">
        <f>IF($A2655="","",IF(Paramètres!J9&amp;Paramètres!L9&amp;Paramètres!N9="",Dossiers!$D$53,MAX(IF(Paramètres!J9="",0,IF(Paramètres!K9="",NA(),IF(LEFT(TRIM(Paramètres!K9),1)="F",INDEX($F$2651:$F$2703,MATCH(Paramètres!J9,Paramètres!$G$5:$G$57,0)),INDEX($E$2651:$E$2703,MATCH(Paramètres!J9,Paramètres!$G$5:$G$57,0)))+IF(RIGHT(TRIM(Paramètres!K9),3)="Fin",1-$H2655,IF(LEFT(TRIM(Paramètres!K9),1)="F",1,0)))),IF(Paramètres!L9="",0,IF(Paramètres!M9="",NA(),IF(LEFT(TRIM(Paramètres!M9),1)="F",INDEX($F$2651:$F$2703,MATCH(Paramètres!L9,Paramètres!$G$5:$G$57,0)),INDEX($E$2651:$E$2703,MATCH(Paramètres!L9,Paramètres!$G$5:$G$57,0)))+IF(RIGHT(TRIM(Paramètres!M9),3)="Fin",1-$H2655,IF(LEFT(TRIM(Paramètres!M9),1)="F",1,0)))),IF(Paramètres!N9="",0,IF(Paramètres!O9="",NA(),IF(LEFT(TRIM(Paramètres!O9),1)="F",INDEX($F$2651:$F$2703,MATCH(Paramètres!N9,Paramètres!$G$5:$G$57,0)),INDEX($E$2651:$E$2703,MATCH(Paramètres!N9,Paramètres!$G$5:$G$57,0)))+IF(RIGHT(TRIM(Paramètres!O9),3)="Fin",1-$H2655,IF(LEFT(TRIM(Paramètres!O9),1)="F",1,0)))))))</f>
        <v/>
      </c>
      <c r="F2655" s="19">
        <f>IF($A2655="","",E2655+$H2655-1)</f>
        <v/>
      </c>
      <c r="G2655" s="18" t="n"/>
      <c r="H2655" s="18">
        <f>IF($A2655="","",IF(I2655&lt;&gt;"",I2655,Paramètres!B9))</f>
        <v/>
      </c>
      <c r="I2655" s="18" t="n"/>
    </row>
    <row r="2656">
      <c r="A2656" s="18">
        <f>IF(ISNUMBER(Dossiers!$D$53),Dossiers!$A$53&amp;" · "&amp;Dossiers!$B$53,"")</f>
        <v/>
      </c>
      <c r="B2656" s="18">
        <f>IF($A2656="","",Paramètres!G10)</f>
        <v/>
      </c>
      <c r="C2656" s="18">
        <f>IF($A2656="","",IF(Paramètres!H10="","",Paramètres!H10))</f>
        <v/>
      </c>
      <c r="D2656" s="18">
        <f>IF($A2656="","",IF(Paramètres!I10="","",Paramètres!I10))</f>
        <v/>
      </c>
      <c r="E2656" s="19">
        <f>IF($A2656="","",MIN(E2657:E2660))</f>
        <v/>
      </c>
      <c r="F2656" s="19">
        <f>IF($A2656="","",MAX(F2657:F2660))</f>
        <v/>
      </c>
      <c r="G2656" s="18" t="n"/>
      <c r="H2656" s="18">
        <f>IF($A2656="","",F2656-E2656+1)</f>
        <v/>
      </c>
      <c r="I2656" s="18" t="n"/>
    </row>
    <row r="2657">
      <c r="A2657" s="18">
        <f>IF(ISNUMBER(Dossiers!$D$53),Dossiers!$A$53&amp;" · "&amp;Dossiers!$B$53,"")</f>
        <v/>
      </c>
      <c r="B2657" s="18">
        <f>IF($A2657="","",Paramètres!G11)</f>
        <v/>
      </c>
      <c r="C2657" s="18">
        <f>IF($A2657="","",IF(Paramètres!H11="","",Paramètres!H11))</f>
        <v/>
      </c>
      <c r="D2657" s="18">
        <f>IF($A2657="","",IF(Paramètres!I11="","",Paramètres!I11))</f>
        <v/>
      </c>
      <c r="E2657" s="19">
        <f>IF($A2657="","",IF(Paramètres!J11&amp;Paramètres!L11&amp;Paramètres!N11="",Dossiers!$D$53,MAX(IF(Paramètres!J11="",0,IF(Paramètres!K11="",NA(),IF(LEFT(TRIM(Paramètres!K11),1)="F",INDEX($F$2651:$F$2703,MATCH(Paramètres!J11,Paramètres!$G$5:$G$57,0)),INDEX($E$2651:$E$2703,MATCH(Paramètres!J11,Paramètres!$G$5:$G$57,0)))+IF(RIGHT(TRIM(Paramètres!K11),3)="Fin",1-$H2657,IF(LEFT(TRIM(Paramètres!K11),1)="F",1,0)))),IF(Paramètres!L11="",0,IF(Paramètres!M11="",NA(),IF(LEFT(TRIM(Paramètres!M11),1)="F",INDEX($F$2651:$F$2703,MATCH(Paramètres!L11,Paramètres!$G$5:$G$57,0)),INDEX($E$2651:$E$2703,MATCH(Paramètres!L11,Paramètres!$G$5:$G$57,0)))+IF(RIGHT(TRIM(Paramètres!M11),3)="Fin",1-$H2657,IF(LEFT(TRIM(Paramètres!M11),1)="F",1,0)))),IF(Paramètres!N11="",0,IF(Paramètres!O11="",NA(),IF(LEFT(TRIM(Paramètres!O11),1)="F",INDEX($F$2651:$F$2703,MATCH(Paramètres!N11,Paramètres!$G$5:$G$57,0)),INDEX($E$2651:$E$2703,MATCH(Paramètres!N11,Paramètres!$G$5:$G$57,0)))+IF(RIGHT(TRIM(Paramètres!O11),3)="Fin",1-$H2657,IF(LEFT(TRIM(Paramètres!O11),1)="F",1,0)))))))</f>
        <v/>
      </c>
      <c r="F2657" s="19">
        <f>IF($A2657="","",E2657+$H2657-1)</f>
        <v/>
      </c>
      <c r="G2657" s="18" t="n"/>
      <c r="H2657" s="18">
        <f>IF($A2657="","",IF(I2657&lt;&gt;"",I2657,Paramètres!B11))</f>
        <v/>
      </c>
      <c r="I2657" s="18" t="n"/>
    </row>
    <row r="2658">
      <c r="A2658" s="18">
        <f>IF(ISNUMBER(Dossiers!$D$53),Dossiers!$A$53&amp;" · "&amp;Dossiers!$B$53,"")</f>
        <v/>
      </c>
      <c r="B2658" s="18">
        <f>IF($A2658="","",Paramètres!G12)</f>
        <v/>
      </c>
      <c r="C2658" s="18">
        <f>IF($A2658="","",IF(Paramètres!H12="","",Paramètres!H12))</f>
        <v/>
      </c>
      <c r="D2658" s="18">
        <f>IF($A2658="","",IF(Paramètres!I12="","",Paramètres!I12))</f>
        <v/>
      </c>
      <c r="E2658" s="19">
        <f>IF($A2658="","",IF(Paramètres!J12&amp;Paramètres!L12&amp;Paramètres!N12="",Dossiers!$D$53,MAX(IF(Paramètres!J12="",0,IF(Paramètres!K12="",NA(),IF(LEFT(TRIM(Paramètres!K12),1)="F",INDEX($F$2651:$F$2703,MATCH(Paramètres!J12,Paramètres!$G$5:$G$57,0)),INDEX($E$2651:$E$2703,MATCH(Paramètres!J12,Paramètres!$G$5:$G$57,0)))+IF(RIGHT(TRIM(Paramètres!K12),3)="Fin",1-$H2658,IF(LEFT(TRIM(Paramètres!K12),1)="F",1,0)))),IF(Paramètres!L12="",0,IF(Paramètres!M12="",NA(),IF(LEFT(TRIM(Paramètres!M12),1)="F",INDEX($F$2651:$F$2703,MATCH(Paramètres!L12,Paramètres!$G$5:$G$57,0)),INDEX($E$2651:$E$2703,MATCH(Paramètres!L12,Paramètres!$G$5:$G$57,0)))+IF(RIGHT(TRIM(Paramètres!M12),3)="Fin",1-$H2658,IF(LEFT(TRIM(Paramètres!M12),1)="F",1,0)))),IF(Paramètres!N12="",0,IF(Paramètres!O12="",NA(),IF(LEFT(TRIM(Paramètres!O12),1)="F",INDEX($F$2651:$F$2703,MATCH(Paramètres!N12,Paramètres!$G$5:$G$57,0)),INDEX($E$2651:$E$2703,MATCH(Paramètres!N12,Paramètres!$G$5:$G$57,0)))+IF(RIGHT(TRIM(Paramètres!O12),3)="Fin",1-$H2658,IF(LEFT(TRIM(Paramètres!O12),1)="F",1,0)))))))</f>
        <v/>
      </c>
      <c r="F2658" s="19">
        <f>IF($A2658="","",E2658+$H2658-1)</f>
        <v/>
      </c>
      <c r="G2658" s="18" t="n"/>
      <c r="H2658" s="18">
        <f>IF($A2658="","",IF(I2658&lt;&gt;"",I2658,Paramètres!B12))</f>
        <v/>
      </c>
      <c r="I2658" s="18" t="n"/>
    </row>
    <row r="2659">
      <c r="A2659" s="18">
        <f>IF(ISNUMBER(Dossiers!$D$53),Dossiers!$A$53&amp;" · "&amp;Dossiers!$B$53,"")</f>
        <v/>
      </c>
      <c r="B2659" s="18">
        <f>IF($A2659="","",Paramètres!G13)</f>
        <v/>
      </c>
      <c r="C2659" s="18">
        <f>IF($A2659="","",IF(Paramètres!H13="","",Paramètres!H13))</f>
        <v/>
      </c>
      <c r="D2659" s="18">
        <f>IF($A2659="","",IF(Paramètres!I13="","",Paramètres!I13))</f>
        <v/>
      </c>
      <c r="E2659" s="19">
        <f>IF($A2659="","",IF(Paramètres!J13&amp;Paramètres!L13&amp;Paramètres!N13="",Dossiers!$D$53,MAX(IF(Paramètres!J13="",0,IF(Paramètres!K13="",NA(),IF(LEFT(TRIM(Paramètres!K13),1)="F",INDEX($F$2651:$F$2703,MATCH(Paramètres!J13,Paramètres!$G$5:$G$57,0)),INDEX($E$2651:$E$2703,MATCH(Paramètres!J13,Paramètres!$G$5:$G$57,0)))+IF(RIGHT(TRIM(Paramètres!K13),3)="Fin",1-$H2659,IF(LEFT(TRIM(Paramètres!K13),1)="F",1,0)))),IF(Paramètres!L13="",0,IF(Paramètres!M13="",NA(),IF(LEFT(TRIM(Paramètres!M13),1)="F",INDEX($F$2651:$F$2703,MATCH(Paramètres!L13,Paramètres!$G$5:$G$57,0)),INDEX($E$2651:$E$2703,MATCH(Paramètres!L13,Paramètres!$G$5:$G$57,0)))+IF(RIGHT(TRIM(Paramètres!M13),3)="Fin",1-$H2659,IF(LEFT(TRIM(Paramètres!M13),1)="F",1,0)))),IF(Paramètres!N13="",0,IF(Paramètres!O13="",NA(),IF(LEFT(TRIM(Paramètres!O13),1)="F",INDEX($F$2651:$F$2703,MATCH(Paramètres!N13,Paramètres!$G$5:$G$57,0)),INDEX($E$2651:$E$2703,MATCH(Paramètres!N13,Paramètres!$G$5:$G$57,0)))+IF(RIGHT(TRIM(Paramètres!O13),3)="Fin",1-$H2659,IF(LEFT(TRIM(Paramètres!O13),1)="F",1,0)))))))</f>
        <v/>
      </c>
      <c r="F2659" s="19">
        <f>IF($A2659="","",E2659+$H2659-1)</f>
        <v/>
      </c>
      <c r="G2659" s="18" t="n"/>
      <c r="H2659" s="18">
        <f>IF($A2659="","",IF(I2659&lt;&gt;"",I2659,Paramètres!B13))</f>
        <v/>
      </c>
      <c r="I2659" s="18" t="n"/>
    </row>
    <row r="2660">
      <c r="A2660" s="18">
        <f>IF(ISNUMBER(Dossiers!$D$53),Dossiers!$A$53&amp;" · "&amp;Dossiers!$B$53,"")</f>
        <v/>
      </c>
      <c r="B2660" s="18">
        <f>IF($A2660="","",Paramètres!G14)</f>
        <v/>
      </c>
      <c r="C2660" s="18">
        <f>IF($A2660="","",IF(Paramètres!H14="","",Paramètres!H14))</f>
        <v/>
      </c>
      <c r="D2660" s="18">
        <f>IF($A2660="","",IF(Paramètres!I14="","",Paramètres!I14))</f>
        <v/>
      </c>
      <c r="E2660" s="19">
        <f>IF($A2660="","",IF(Paramètres!J14&amp;Paramètres!L14&amp;Paramètres!N14="",Dossiers!$D$53,MAX(IF(Paramètres!J14="",0,IF(Paramètres!K14="",NA(),IF(LEFT(TRIM(Paramètres!K14),1)="F",INDEX($F$2651:$F$2703,MATCH(Paramètres!J14,Paramètres!$G$5:$G$57,0)),INDEX($E$2651:$E$2703,MATCH(Paramètres!J14,Paramètres!$G$5:$G$57,0)))+IF(RIGHT(TRIM(Paramètres!K14),3)="Fin",1-$H2660,IF(LEFT(TRIM(Paramètres!K14),1)="F",1,0)))),IF(Paramètres!L14="",0,IF(Paramètres!M14="",NA(),IF(LEFT(TRIM(Paramètres!M14),1)="F",INDEX($F$2651:$F$2703,MATCH(Paramètres!L14,Paramètres!$G$5:$G$57,0)),INDEX($E$2651:$E$2703,MATCH(Paramètres!L14,Paramètres!$G$5:$G$57,0)))+IF(RIGHT(TRIM(Paramètres!M14),3)="Fin",1-$H2660,IF(LEFT(TRIM(Paramètres!M14),1)="F",1,0)))),IF(Paramètres!N14="",0,IF(Paramètres!O14="",NA(),IF(LEFT(TRIM(Paramètres!O14),1)="F",INDEX($F$2651:$F$2703,MATCH(Paramètres!N14,Paramètres!$G$5:$G$57,0)),INDEX($E$2651:$E$2703,MATCH(Paramètres!N14,Paramètres!$G$5:$G$57,0)))+IF(RIGHT(TRIM(Paramètres!O14),3)="Fin",1-$H2660,IF(LEFT(TRIM(Paramètres!O14),1)="F",1,0)))))))</f>
        <v/>
      </c>
      <c r="F2660" s="19">
        <f>IF($A2660="","",E2660+$H2660-1)</f>
        <v/>
      </c>
      <c r="G2660" s="18" t="n"/>
      <c r="H2660" s="18">
        <f>IF($A2660="","",IF(I2660&lt;&gt;"",I2660,Paramètres!B14))</f>
        <v/>
      </c>
      <c r="I2660" s="18" t="n"/>
    </row>
    <row r="2661">
      <c r="A2661" s="18">
        <f>IF(ISNUMBER(Dossiers!$D$53),Dossiers!$A$53&amp;" · "&amp;Dossiers!$B$53,"")</f>
        <v/>
      </c>
      <c r="B2661" s="18">
        <f>IF($A2661="","",Paramètres!G15)</f>
        <v/>
      </c>
      <c r="C2661" s="18">
        <f>IF($A2661="","",IF(Paramètres!H15="","",Paramètres!H15))</f>
        <v/>
      </c>
      <c r="D2661" s="18">
        <f>IF($A2661="","",IF(Paramètres!I15="","",Paramètres!I15))</f>
        <v/>
      </c>
      <c r="E2661" s="19">
        <f>IF($A2661="","",MIN(E2662:E2677))</f>
        <v/>
      </c>
      <c r="F2661" s="19">
        <f>IF($A2661="","",MAX(F2662:F2677))</f>
        <v/>
      </c>
      <c r="G2661" s="18" t="n"/>
      <c r="H2661" s="18">
        <f>IF($A2661="","",F2661-E2661+1)</f>
        <v/>
      </c>
      <c r="I2661" s="18" t="n"/>
    </row>
    <row r="2662">
      <c r="A2662" s="18">
        <f>IF(ISNUMBER(Dossiers!$D$53),Dossiers!$A$53&amp;" · "&amp;Dossiers!$B$53,"")</f>
        <v/>
      </c>
      <c r="B2662" s="18">
        <f>IF($A2662="","",Paramètres!G16)</f>
        <v/>
      </c>
      <c r="C2662" s="18">
        <f>IF($A2662="","",IF(Paramètres!H16="","",Paramètres!H16))</f>
        <v/>
      </c>
      <c r="D2662" s="18">
        <f>IF($A2662="","",IF(Paramètres!I16="","",Paramètres!I16))</f>
        <v/>
      </c>
      <c r="E2662" s="19">
        <f>IF($A2662="","",IF(Paramètres!J16&amp;Paramètres!L16&amp;Paramètres!N16="",Dossiers!$D$53,MAX(IF(Paramètres!J16="",0,IF(Paramètres!K16="",NA(),IF(LEFT(TRIM(Paramètres!K16),1)="F",INDEX($F$2651:$F$2703,MATCH(Paramètres!J16,Paramètres!$G$5:$G$57,0)),INDEX($E$2651:$E$2703,MATCH(Paramètres!J16,Paramètres!$G$5:$G$57,0)))+IF(RIGHT(TRIM(Paramètres!K16),3)="Fin",1-$H2662,IF(LEFT(TRIM(Paramètres!K16),1)="F",1,0)))),IF(Paramètres!L16="",0,IF(Paramètres!M16="",NA(),IF(LEFT(TRIM(Paramètres!M16),1)="F",INDEX($F$2651:$F$2703,MATCH(Paramètres!L16,Paramètres!$G$5:$G$57,0)),INDEX($E$2651:$E$2703,MATCH(Paramètres!L16,Paramètres!$G$5:$G$57,0)))+IF(RIGHT(TRIM(Paramètres!M16),3)="Fin",1-$H2662,IF(LEFT(TRIM(Paramètres!M16),1)="F",1,0)))),IF(Paramètres!N16="",0,IF(Paramètres!O16="",NA(),IF(LEFT(TRIM(Paramètres!O16),1)="F",INDEX($F$2651:$F$2703,MATCH(Paramètres!N16,Paramètres!$G$5:$G$57,0)),INDEX($E$2651:$E$2703,MATCH(Paramètres!N16,Paramètres!$G$5:$G$57,0)))+IF(RIGHT(TRIM(Paramètres!O16),3)="Fin",1-$H2662,IF(LEFT(TRIM(Paramètres!O16),1)="F",1,0)))))))</f>
        <v/>
      </c>
      <c r="F2662" s="19">
        <f>IF($A2662="","",E2662+$H2662-1)</f>
        <v/>
      </c>
      <c r="G2662" s="18" t="n"/>
      <c r="H2662" s="18">
        <f>IF($A2662="","",IF(I2662&lt;&gt;"",I2662,Paramètres!B16))</f>
        <v/>
      </c>
      <c r="I2662" s="18" t="n"/>
    </row>
    <row r="2663">
      <c r="A2663" s="18">
        <f>IF(ISNUMBER(Dossiers!$D$53),Dossiers!$A$53&amp;" · "&amp;Dossiers!$B$53,"")</f>
        <v/>
      </c>
      <c r="B2663" s="18">
        <f>IF($A2663="","",Paramètres!G17)</f>
        <v/>
      </c>
      <c r="C2663" s="18">
        <f>IF($A2663="","",IF(Paramètres!H17="","",Paramètres!H17))</f>
        <v/>
      </c>
      <c r="D2663" s="18">
        <f>IF($A2663="","",IF(Paramètres!I17="","",Paramètres!I17))</f>
        <v/>
      </c>
      <c r="E2663" s="19">
        <f>IF($A2663="","",IF(Paramètres!J17&amp;Paramètres!L17&amp;Paramètres!N17="",Dossiers!$D$53,MAX(IF(Paramètres!J17="",0,IF(Paramètres!K17="",NA(),IF(LEFT(TRIM(Paramètres!K17),1)="F",INDEX($F$2651:$F$2703,MATCH(Paramètres!J17,Paramètres!$G$5:$G$57,0)),INDEX($E$2651:$E$2703,MATCH(Paramètres!J17,Paramètres!$G$5:$G$57,0)))+IF(RIGHT(TRIM(Paramètres!K17),3)="Fin",1-$H2663,IF(LEFT(TRIM(Paramètres!K17),1)="F",1,0)))),IF(Paramètres!L17="",0,IF(Paramètres!M17="",NA(),IF(LEFT(TRIM(Paramètres!M17),1)="F",INDEX($F$2651:$F$2703,MATCH(Paramètres!L17,Paramètres!$G$5:$G$57,0)),INDEX($E$2651:$E$2703,MATCH(Paramètres!L17,Paramètres!$G$5:$G$57,0)))+IF(RIGHT(TRIM(Paramètres!M17),3)="Fin",1-$H2663,IF(LEFT(TRIM(Paramètres!M17),1)="F",1,0)))),IF(Paramètres!N17="",0,IF(Paramètres!O17="",NA(),IF(LEFT(TRIM(Paramètres!O17),1)="F",INDEX($F$2651:$F$2703,MATCH(Paramètres!N17,Paramètres!$G$5:$G$57,0)),INDEX($E$2651:$E$2703,MATCH(Paramètres!N17,Paramètres!$G$5:$G$57,0)))+IF(RIGHT(TRIM(Paramètres!O17),3)="Fin",1-$H2663,IF(LEFT(TRIM(Paramètres!O17),1)="F",1,0)))))))</f>
        <v/>
      </c>
      <c r="F2663" s="19">
        <f>IF($A2663="","",E2663+$H2663-1)</f>
        <v/>
      </c>
      <c r="G2663" s="18" t="n"/>
      <c r="H2663" s="18">
        <f>IF($A2663="","",IF(I2663&lt;&gt;"",I2663,Paramètres!B17))</f>
        <v/>
      </c>
      <c r="I2663" s="18" t="n"/>
    </row>
    <row r="2664">
      <c r="A2664" s="18">
        <f>IF(ISNUMBER(Dossiers!$D$53),Dossiers!$A$53&amp;" · "&amp;Dossiers!$B$53,"")</f>
        <v/>
      </c>
      <c r="B2664" s="18">
        <f>IF($A2664="","",Paramètres!G18)</f>
        <v/>
      </c>
      <c r="C2664" s="18">
        <f>IF($A2664="","",IF(Paramètres!H18="","",Paramètres!H18))</f>
        <v/>
      </c>
      <c r="D2664" s="18">
        <f>IF($A2664="","",IF(Paramètres!I18="","",Paramètres!I18))</f>
        <v/>
      </c>
      <c r="E2664" s="19">
        <f>IF($A2664="","",IF(Paramètres!J18&amp;Paramètres!L18&amp;Paramètres!N18="",Dossiers!$D$53,MAX(IF(Paramètres!J18="",0,IF(Paramètres!K18="",NA(),IF(LEFT(TRIM(Paramètres!K18),1)="F",INDEX($F$2651:$F$2703,MATCH(Paramètres!J18,Paramètres!$G$5:$G$57,0)),INDEX($E$2651:$E$2703,MATCH(Paramètres!J18,Paramètres!$G$5:$G$57,0)))+IF(RIGHT(TRIM(Paramètres!K18),3)="Fin",1-$H2664,IF(LEFT(TRIM(Paramètres!K18),1)="F",1,0)))),IF(Paramètres!L18="",0,IF(Paramètres!M18="",NA(),IF(LEFT(TRIM(Paramètres!M18),1)="F",INDEX($F$2651:$F$2703,MATCH(Paramètres!L18,Paramètres!$G$5:$G$57,0)),INDEX($E$2651:$E$2703,MATCH(Paramètres!L18,Paramètres!$G$5:$G$57,0)))+IF(RIGHT(TRIM(Paramètres!M18),3)="Fin",1-$H2664,IF(LEFT(TRIM(Paramètres!M18),1)="F",1,0)))),IF(Paramètres!N18="",0,IF(Paramètres!O18="",NA(),IF(LEFT(TRIM(Paramètres!O18),1)="F",INDEX($F$2651:$F$2703,MATCH(Paramètres!N18,Paramètres!$G$5:$G$57,0)),INDEX($E$2651:$E$2703,MATCH(Paramètres!N18,Paramètres!$G$5:$G$57,0)))+IF(RIGHT(TRIM(Paramètres!O18),3)="Fin",1-$H2664,IF(LEFT(TRIM(Paramètres!O18),1)="F",1,0)))))))</f>
        <v/>
      </c>
      <c r="F2664" s="19">
        <f>IF($A2664="","",E2664+$H2664-1)</f>
        <v/>
      </c>
      <c r="G2664" s="18" t="n"/>
      <c r="H2664" s="18">
        <f>IF($A2664="","",IF(I2664&lt;&gt;"",I2664,Paramètres!B18))</f>
        <v/>
      </c>
      <c r="I2664" s="18" t="n"/>
    </row>
    <row r="2665">
      <c r="A2665" s="18">
        <f>IF(ISNUMBER(Dossiers!$D$53),Dossiers!$A$53&amp;" · "&amp;Dossiers!$B$53,"")</f>
        <v/>
      </c>
      <c r="B2665" s="18">
        <f>IF($A2665="","",Paramètres!G19)</f>
        <v/>
      </c>
      <c r="C2665" s="18">
        <f>IF($A2665="","",IF(Paramètres!H19="","",Paramètres!H19))</f>
        <v/>
      </c>
      <c r="D2665" s="18">
        <f>IF($A2665="","",IF(Paramètres!I19="","",Paramètres!I19))</f>
        <v/>
      </c>
      <c r="E2665" s="19">
        <f>IF($A2665="","",IF(Paramètres!J19&amp;Paramètres!L19&amp;Paramètres!N19="",Dossiers!$D$53,MAX(IF(Paramètres!J19="",0,IF(Paramètres!K19="",NA(),IF(LEFT(TRIM(Paramètres!K19),1)="F",INDEX($F$2651:$F$2703,MATCH(Paramètres!J19,Paramètres!$G$5:$G$57,0)),INDEX($E$2651:$E$2703,MATCH(Paramètres!J19,Paramètres!$G$5:$G$57,0)))+IF(RIGHT(TRIM(Paramètres!K19),3)="Fin",1-$H2665,IF(LEFT(TRIM(Paramètres!K19),1)="F",1,0)))),IF(Paramètres!L19="",0,IF(Paramètres!M19="",NA(),IF(LEFT(TRIM(Paramètres!M19),1)="F",INDEX($F$2651:$F$2703,MATCH(Paramètres!L19,Paramètres!$G$5:$G$57,0)),INDEX($E$2651:$E$2703,MATCH(Paramètres!L19,Paramètres!$G$5:$G$57,0)))+IF(RIGHT(TRIM(Paramètres!M19),3)="Fin",1-$H2665,IF(LEFT(TRIM(Paramètres!M19),1)="F",1,0)))),IF(Paramètres!N19="",0,IF(Paramètres!O19="",NA(),IF(LEFT(TRIM(Paramètres!O19),1)="F",INDEX($F$2651:$F$2703,MATCH(Paramètres!N19,Paramètres!$G$5:$G$57,0)),INDEX($E$2651:$E$2703,MATCH(Paramètres!N19,Paramètres!$G$5:$G$57,0)))+IF(RIGHT(TRIM(Paramètres!O19),3)="Fin",1-$H2665,IF(LEFT(TRIM(Paramètres!O19),1)="F",1,0)))))))</f>
        <v/>
      </c>
      <c r="F2665" s="19">
        <f>IF($A2665="","",E2665+$H2665-1)</f>
        <v/>
      </c>
      <c r="G2665" s="18" t="n"/>
      <c r="H2665" s="18">
        <f>IF($A2665="","",IF(I2665&lt;&gt;"",I2665,Paramètres!B19))</f>
        <v/>
      </c>
      <c r="I2665" s="18" t="n"/>
    </row>
    <row r="2666">
      <c r="A2666" s="18">
        <f>IF(ISNUMBER(Dossiers!$D$53),Dossiers!$A$53&amp;" · "&amp;Dossiers!$B$53,"")</f>
        <v/>
      </c>
      <c r="B2666" s="18">
        <f>IF($A2666="","",Paramètres!G20)</f>
        <v/>
      </c>
      <c r="C2666" s="18">
        <f>IF($A2666="","",IF(Paramètres!H20="","",Paramètres!H20))</f>
        <v/>
      </c>
      <c r="D2666" s="18">
        <f>IF($A2666="","",IF(Paramètres!I20="","",Paramètres!I20))</f>
        <v/>
      </c>
      <c r="E2666" s="19">
        <f>IF($A2666="","",IF(Paramètres!J20&amp;Paramètres!L20&amp;Paramètres!N20="",Dossiers!$D$53,MAX(IF(Paramètres!J20="",0,IF(Paramètres!K20="",NA(),IF(LEFT(TRIM(Paramètres!K20),1)="F",INDEX($F$2651:$F$2703,MATCH(Paramètres!J20,Paramètres!$G$5:$G$57,0)),INDEX($E$2651:$E$2703,MATCH(Paramètres!J20,Paramètres!$G$5:$G$57,0)))+IF(RIGHT(TRIM(Paramètres!K20),3)="Fin",1-$H2666,IF(LEFT(TRIM(Paramètres!K20),1)="F",1,0)))),IF(Paramètres!L20="",0,IF(Paramètres!M20="",NA(),IF(LEFT(TRIM(Paramètres!M20),1)="F",INDEX($F$2651:$F$2703,MATCH(Paramètres!L20,Paramètres!$G$5:$G$57,0)),INDEX($E$2651:$E$2703,MATCH(Paramètres!L20,Paramètres!$G$5:$G$57,0)))+IF(RIGHT(TRIM(Paramètres!M20),3)="Fin",1-$H2666,IF(LEFT(TRIM(Paramètres!M20),1)="F",1,0)))),IF(Paramètres!N20="",0,IF(Paramètres!O20="",NA(),IF(LEFT(TRIM(Paramètres!O20),1)="F",INDEX($F$2651:$F$2703,MATCH(Paramètres!N20,Paramètres!$G$5:$G$57,0)),INDEX($E$2651:$E$2703,MATCH(Paramètres!N20,Paramètres!$G$5:$G$57,0)))+IF(RIGHT(TRIM(Paramètres!O20),3)="Fin",1-$H2666,IF(LEFT(TRIM(Paramètres!O20),1)="F",1,0)))))))</f>
        <v/>
      </c>
      <c r="F2666" s="19">
        <f>IF($A2666="","",E2666+$H2666-1)</f>
        <v/>
      </c>
      <c r="G2666" s="18" t="n"/>
      <c r="H2666" s="18">
        <f>IF($A2666="","",IF(I2666&lt;&gt;"",I2666,Paramètres!B20))</f>
        <v/>
      </c>
      <c r="I2666" s="18" t="n"/>
    </row>
    <row r="2667">
      <c r="A2667" s="18">
        <f>IF(ISNUMBER(Dossiers!$D$53),Dossiers!$A$53&amp;" · "&amp;Dossiers!$B$53,"")</f>
        <v/>
      </c>
      <c r="B2667" s="18">
        <f>IF($A2667="","",Paramètres!G21)</f>
        <v/>
      </c>
      <c r="C2667" s="18">
        <f>IF($A2667="","",IF(Paramètres!H21="","",Paramètres!H21))</f>
        <v/>
      </c>
      <c r="D2667" s="18">
        <f>IF($A2667="","",IF(Paramètres!I21="","",Paramètres!I21))</f>
        <v/>
      </c>
      <c r="E2667" s="19">
        <f>IF($A2667="","",IF(Paramètres!J21&amp;Paramètres!L21&amp;Paramètres!N21="",Dossiers!$D$53,MAX(IF(Paramètres!J21="",0,IF(Paramètres!K21="",NA(),IF(LEFT(TRIM(Paramètres!K21),1)="F",INDEX($F$2651:$F$2703,MATCH(Paramètres!J21,Paramètres!$G$5:$G$57,0)),INDEX($E$2651:$E$2703,MATCH(Paramètres!J21,Paramètres!$G$5:$G$57,0)))+IF(RIGHT(TRIM(Paramètres!K21),3)="Fin",1-$H2667,IF(LEFT(TRIM(Paramètres!K21),1)="F",1,0)))),IF(Paramètres!L21="",0,IF(Paramètres!M21="",NA(),IF(LEFT(TRIM(Paramètres!M21),1)="F",INDEX($F$2651:$F$2703,MATCH(Paramètres!L21,Paramètres!$G$5:$G$57,0)),INDEX($E$2651:$E$2703,MATCH(Paramètres!L21,Paramètres!$G$5:$G$57,0)))+IF(RIGHT(TRIM(Paramètres!M21),3)="Fin",1-$H2667,IF(LEFT(TRIM(Paramètres!M21),1)="F",1,0)))),IF(Paramètres!N21="",0,IF(Paramètres!O21="",NA(),IF(LEFT(TRIM(Paramètres!O21),1)="F",INDEX($F$2651:$F$2703,MATCH(Paramètres!N21,Paramètres!$G$5:$G$57,0)),INDEX($E$2651:$E$2703,MATCH(Paramètres!N21,Paramètres!$G$5:$G$57,0)))+IF(RIGHT(TRIM(Paramètres!O21),3)="Fin",1-$H2667,IF(LEFT(TRIM(Paramètres!O21),1)="F",1,0)))))))</f>
        <v/>
      </c>
      <c r="F2667" s="19">
        <f>IF($A2667="","",E2667+$H2667-1)</f>
        <v/>
      </c>
      <c r="G2667" s="18" t="n"/>
      <c r="H2667" s="18">
        <f>IF($A2667="","",IF(I2667&lt;&gt;"",I2667,Paramètres!B21))</f>
        <v/>
      </c>
      <c r="I2667" s="18" t="n"/>
    </row>
    <row r="2668">
      <c r="A2668" s="18">
        <f>IF(ISNUMBER(Dossiers!$D$53),Dossiers!$A$53&amp;" · "&amp;Dossiers!$B$53,"")</f>
        <v/>
      </c>
      <c r="B2668" s="18">
        <f>IF($A2668="","",Paramètres!G22)</f>
        <v/>
      </c>
      <c r="C2668" s="18">
        <f>IF($A2668="","",IF(Paramètres!H22="","",Paramètres!H22))</f>
        <v/>
      </c>
      <c r="D2668" s="18">
        <f>IF($A2668="","",IF(Paramètres!I22="","",Paramètres!I22))</f>
        <v/>
      </c>
      <c r="E2668" s="19">
        <f>IF($A2668="","",IF(Paramètres!J22&amp;Paramètres!L22&amp;Paramètres!N22="",Dossiers!$D$53,MAX(IF(Paramètres!J22="",0,IF(Paramètres!K22="",NA(),IF(LEFT(TRIM(Paramètres!K22),1)="F",INDEX($F$2651:$F$2703,MATCH(Paramètres!J22,Paramètres!$G$5:$G$57,0)),INDEX($E$2651:$E$2703,MATCH(Paramètres!J22,Paramètres!$G$5:$G$57,0)))+IF(RIGHT(TRIM(Paramètres!K22),3)="Fin",1-$H2668,IF(LEFT(TRIM(Paramètres!K22),1)="F",1,0)))),IF(Paramètres!L22="",0,IF(Paramètres!M22="",NA(),IF(LEFT(TRIM(Paramètres!M22),1)="F",INDEX($F$2651:$F$2703,MATCH(Paramètres!L22,Paramètres!$G$5:$G$57,0)),INDEX($E$2651:$E$2703,MATCH(Paramètres!L22,Paramètres!$G$5:$G$57,0)))+IF(RIGHT(TRIM(Paramètres!M22),3)="Fin",1-$H2668,IF(LEFT(TRIM(Paramètres!M22),1)="F",1,0)))),IF(Paramètres!N22="",0,IF(Paramètres!O22="",NA(),IF(LEFT(TRIM(Paramètres!O22),1)="F",INDEX($F$2651:$F$2703,MATCH(Paramètres!N22,Paramètres!$G$5:$G$57,0)),INDEX($E$2651:$E$2703,MATCH(Paramètres!N22,Paramètres!$G$5:$G$57,0)))+IF(RIGHT(TRIM(Paramètres!O22),3)="Fin",1-$H2668,IF(LEFT(TRIM(Paramètres!O22),1)="F",1,0)))))))</f>
        <v/>
      </c>
      <c r="F2668" s="19">
        <f>IF($A2668="","",E2668+$H2668-1)</f>
        <v/>
      </c>
      <c r="G2668" s="18" t="n"/>
      <c r="H2668" s="18">
        <f>IF($A2668="","",IF(I2668&lt;&gt;"",I2668,Paramètres!B22))</f>
        <v/>
      </c>
      <c r="I2668" s="18" t="n"/>
    </row>
    <row r="2669">
      <c r="A2669" s="18">
        <f>IF(ISNUMBER(Dossiers!$D$53),Dossiers!$A$53&amp;" · "&amp;Dossiers!$B$53,"")</f>
        <v/>
      </c>
      <c r="B2669" s="18">
        <f>IF($A2669="","",Paramètres!G23)</f>
        <v/>
      </c>
      <c r="C2669" s="18">
        <f>IF($A2669="","",IF(Paramètres!H23="","",Paramètres!H23))</f>
        <v/>
      </c>
      <c r="D2669" s="18">
        <f>IF($A2669="","",IF(Paramètres!I23="","",Paramètres!I23))</f>
        <v/>
      </c>
      <c r="E2669" s="19">
        <f>IF($A2669="","",IF(Paramètres!J23&amp;Paramètres!L23&amp;Paramètres!N23="",Dossiers!$D$53,MAX(IF(Paramètres!J23="",0,IF(Paramètres!K23="",NA(),IF(LEFT(TRIM(Paramètres!K23),1)="F",INDEX($F$2651:$F$2703,MATCH(Paramètres!J23,Paramètres!$G$5:$G$57,0)),INDEX($E$2651:$E$2703,MATCH(Paramètres!J23,Paramètres!$G$5:$G$57,0)))+IF(RIGHT(TRIM(Paramètres!K23),3)="Fin",1-$H2669,IF(LEFT(TRIM(Paramètres!K23),1)="F",1,0)))),IF(Paramètres!L23="",0,IF(Paramètres!M23="",NA(),IF(LEFT(TRIM(Paramètres!M23),1)="F",INDEX($F$2651:$F$2703,MATCH(Paramètres!L23,Paramètres!$G$5:$G$57,0)),INDEX($E$2651:$E$2703,MATCH(Paramètres!L23,Paramètres!$G$5:$G$57,0)))+IF(RIGHT(TRIM(Paramètres!M23),3)="Fin",1-$H2669,IF(LEFT(TRIM(Paramètres!M23),1)="F",1,0)))),IF(Paramètres!N23="",0,IF(Paramètres!O23="",NA(),IF(LEFT(TRIM(Paramètres!O23),1)="F",INDEX($F$2651:$F$2703,MATCH(Paramètres!N23,Paramètres!$G$5:$G$57,0)),INDEX($E$2651:$E$2703,MATCH(Paramètres!N23,Paramètres!$G$5:$G$57,0)))+IF(RIGHT(TRIM(Paramètres!O23),3)="Fin",1-$H2669,IF(LEFT(TRIM(Paramètres!O23),1)="F",1,0)))))))</f>
        <v/>
      </c>
      <c r="F2669" s="19">
        <f>IF($A2669="","",E2669+$H2669-1)</f>
        <v/>
      </c>
      <c r="G2669" s="18" t="n"/>
      <c r="H2669" s="18">
        <f>IF($A2669="","",IF(I2669&lt;&gt;"",I2669,Paramètres!B23))</f>
        <v/>
      </c>
      <c r="I2669" s="18" t="n"/>
    </row>
    <row r="2670">
      <c r="A2670" s="18">
        <f>IF(ISNUMBER(Dossiers!$D$53),Dossiers!$A$53&amp;" · "&amp;Dossiers!$B$53,"")</f>
        <v/>
      </c>
      <c r="B2670" s="18">
        <f>IF($A2670="","",Paramètres!G24)</f>
        <v/>
      </c>
      <c r="C2670" s="18">
        <f>IF($A2670="","",IF(Paramètres!H24="","",Paramètres!H24))</f>
        <v/>
      </c>
      <c r="D2670" s="18">
        <f>IF($A2670="","",IF(Paramètres!I24="","",Paramètres!I24))</f>
        <v/>
      </c>
      <c r="E2670" s="19">
        <f>IF($A2670="","",IF(Paramètres!J24&amp;Paramètres!L24&amp;Paramètres!N24="",Dossiers!$D$53,MAX(IF(Paramètres!J24="",0,IF(Paramètres!K24="",NA(),IF(LEFT(TRIM(Paramètres!K24),1)="F",INDEX($F$2651:$F$2703,MATCH(Paramètres!J24,Paramètres!$G$5:$G$57,0)),INDEX($E$2651:$E$2703,MATCH(Paramètres!J24,Paramètres!$G$5:$G$57,0)))+IF(RIGHT(TRIM(Paramètres!K24),3)="Fin",1-$H2670,IF(LEFT(TRIM(Paramètres!K24),1)="F",1,0)))),IF(Paramètres!L24="",0,IF(Paramètres!M24="",NA(),IF(LEFT(TRIM(Paramètres!M24),1)="F",INDEX($F$2651:$F$2703,MATCH(Paramètres!L24,Paramètres!$G$5:$G$57,0)),INDEX($E$2651:$E$2703,MATCH(Paramètres!L24,Paramètres!$G$5:$G$57,0)))+IF(RIGHT(TRIM(Paramètres!M24),3)="Fin",1-$H2670,IF(LEFT(TRIM(Paramètres!M24),1)="F",1,0)))),IF(Paramètres!N24="",0,IF(Paramètres!O24="",NA(),IF(LEFT(TRIM(Paramètres!O24),1)="F",INDEX($F$2651:$F$2703,MATCH(Paramètres!N24,Paramètres!$G$5:$G$57,0)),INDEX($E$2651:$E$2703,MATCH(Paramètres!N24,Paramètres!$G$5:$G$57,0)))+IF(RIGHT(TRIM(Paramètres!O24),3)="Fin",1-$H2670,IF(LEFT(TRIM(Paramètres!O24),1)="F",1,0)))))))</f>
        <v/>
      </c>
      <c r="F2670" s="19">
        <f>IF($A2670="","",E2670+$H2670-1)</f>
        <v/>
      </c>
      <c r="G2670" s="18" t="n"/>
      <c r="H2670" s="18">
        <f>IF($A2670="","",IF(I2670&lt;&gt;"",I2670,Paramètres!B24))</f>
        <v/>
      </c>
      <c r="I2670" s="18" t="n"/>
    </row>
    <row r="2671">
      <c r="A2671" s="18">
        <f>IF(ISNUMBER(Dossiers!$D$53),Dossiers!$A$53&amp;" · "&amp;Dossiers!$B$53,"")</f>
        <v/>
      </c>
      <c r="B2671" s="18">
        <f>IF($A2671="","",Paramètres!G25)</f>
        <v/>
      </c>
      <c r="C2671" s="18">
        <f>IF($A2671="","",IF(Paramètres!H25="","",Paramètres!H25))</f>
        <v/>
      </c>
      <c r="D2671" s="18">
        <f>IF($A2671="","",IF(Paramètres!I25="","",Paramètres!I25))</f>
        <v/>
      </c>
      <c r="E2671" s="19">
        <f>IF($A2671="","",IF(Paramètres!J25&amp;Paramètres!L25&amp;Paramètres!N25="",Dossiers!$D$53,MAX(IF(Paramètres!J25="",0,IF(Paramètres!K25="",NA(),IF(LEFT(TRIM(Paramètres!K25),1)="F",INDEX($F$2651:$F$2703,MATCH(Paramètres!J25,Paramètres!$G$5:$G$57,0)),INDEX($E$2651:$E$2703,MATCH(Paramètres!J25,Paramètres!$G$5:$G$57,0)))+IF(RIGHT(TRIM(Paramètres!K25),3)="Fin",1-$H2671,IF(LEFT(TRIM(Paramètres!K25),1)="F",1,0)))),IF(Paramètres!L25="",0,IF(Paramètres!M25="",NA(),IF(LEFT(TRIM(Paramètres!M25),1)="F",INDEX($F$2651:$F$2703,MATCH(Paramètres!L25,Paramètres!$G$5:$G$57,0)),INDEX($E$2651:$E$2703,MATCH(Paramètres!L25,Paramètres!$G$5:$G$57,0)))+IF(RIGHT(TRIM(Paramètres!M25),3)="Fin",1-$H2671,IF(LEFT(TRIM(Paramètres!M25),1)="F",1,0)))),IF(Paramètres!N25="",0,IF(Paramètres!O25="",NA(),IF(LEFT(TRIM(Paramètres!O25),1)="F",INDEX($F$2651:$F$2703,MATCH(Paramètres!N25,Paramètres!$G$5:$G$57,0)),INDEX($E$2651:$E$2703,MATCH(Paramètres!N25,Paramètres!$G$5:$G$57,0)))+IF(RIGHT(TRIM(Paramètres!O25),3)="Fin",1-$H2671,IF(LEFT(TRIM(Paramètres!O25),1)="F",1,0)))))))</f>
        <v/>
      </c>
      <c r="F2671" s="19">
        <f>IF($A2671="","",E2671+$H2671-1)</f>
        <v/>
      </c>
      <c r="G2671" s="18" t="n"/>
      <c r="H2671" s="18">
        <f>IF($A2671="","",IF(I2671&lt;&gt;"",I2671,Paramètres!B25))</f>
        <v/>
      </c>
      <c r="I2671" s="18" t="n"/>
    </row>
    <row r="2672">
      <c r="A2672" s="18">
        <f>IF(ISNUMBER(Dossiers!$D$53),Dossiers!$A$53&amp;" · "&amp;Dossiers!$B$53,"")</f>
        <v/>
      </c>
      <c r="B2672" s="18">
        <f>IF($A2672="","",Paramètres!G26)</f>
        <v/>
      </c>
      <c r="C2672" s="18">
        <f>IF($A2672="","",IF(Paramètres!H26="","",Paramètres!H26))</f>
        <v/>
      </c>
      <c r="D2672" s="18">
        <f>IF($A2672="","",IF(Paramètres!I26="","",Paramètres!I26))</f>
        <v/>
      </c>
      <c r="E2672" s="19">
        <f>IF($A2672="","",IF(Paramètres!J26&amp;Paramètres!L26&amp;Paramètres!N26="",Dossiers!$D$53,MAX(IF(Paramètres!J26="",0,IF(Paramètres!K26="",NA(),IF(LEFT(TRIM(Paramètres!K26),1)="F",INDEX($F$2651:$F$2703,MATCH(Paramètres!J26,Paramètres!$G$5:$G$57,0)),INDEX($E$2651:$E$2703,MATCH(Paramètres!J26,Paramètres!$G$5:$G$57,0)))+IF(RIGHT(TRIM(Paramètres!K26),3)="Fin",1-$H2672,IF(LEFT(TRIM(Paramètres!K26),1)="F",1,0)))),IF(Paramètres!L26="",0,IF(Paramètres!M26="",NA(),IF(LEFT(TRIM(Paramètres!M26),1)="F",INDEX($F$2651:$F$2703,MATCH(Paramètres!L26,Paramètres!$G$5:$G$57,0)),INDEX($E$2651:$E$2703,MATCH(Paramètres!L26,Paramètres!$G$5:$G$57,0)))+IF(RIGHT(TRIM(Paramètres!M26),3)="Fin",1-$H2672,IF(LEFT(TRIM(Paramètres!M26),1)="F",1,0)))),IF(Paramètres!N26="",0,IF(Paramètres!O26="",NA(),IF(LEFT(TRIM(Paramètres!O26),1)="F",INDEX($F$2651:$F$2703,MATCH(Paramètres!N26,Paramètres!$G$5:$G$57,0)),INDEX($E$2651:$E$2703,MATCH(Paramètres!N26,Paramètres!$G$5:$G$57,0)))+IF(RIGHT(TRIM(Paramètres!O26),3)="Fin",1-$H2672,IF(LEFT(TRIM(Paramètres!O26),1)="F",1,0)))))))</f>
        <v/>
      </c>
      <c r="F2672" s="19">
        <f>IF($A2672="","",E2672+$H2672-1)</f>
        <v/>
      </c>
      <c r="G2672" s="18" t="n"/>
      <c r="H2672" s="18">
        <f>IF($A2672="","",IF(I2672&lt;&gt;"",I2672,Paramètres!B26))</f>
        <v/>
      </c>
      <c r="I2672" s="18" t="n"/>
    </row>
    <row r="2673">
      <c r="A2673" s="18">
        <f>IF(ISNUMBER(Dossiers!$D$53),Dossiers!$A$53&amp;" · "&amp;Dossiers!$B$53,"")</f>
        <v/>
      </c>
      <c r="B2673" s="18">
        <f>IF($A2673="","",Paramètres!G27)</f>
        <v/>
      </c>
      <c r="C2673" s="18">
        <f>IF($A2673="","",IF(Paramètres!H27="","",Paramètres!H27))</f>
        <v/>
      </c>
      <c r="D2673" s="18">
        <f>IF($A2673="","",IF(Paramètres!I27="","",Paramètres!I27))</f>
        <v/>
      </c>
      <c r="E2673" s="19">
        <f>IF($A2673="","",IF(Paramètres!J27&amp;Paramètres!L27&amp;Paramètres!N27="",Dossiers!$D$53,MAX(IF(Paramètres!J27="",0,IF(Paramètres!K27="",NA(),IF(LEFT(TRIM(Paramètres!K27),1)="F",INDEX($F$2651:$F$2703,MATCH(Paramètres!J27,Paramètres!$G$5:$G$57,0)),INDEX($E$2651:$E$2703,MATCH(Paramètres!J27,Paramètres!$G$5:$G$57,0)))+IF(RIGHT(TRIM(Paramètres!K27),3)="Fin",1-$H2673,IF(LEFT(TRIM(Paramètres!K27),1)="F",1,0)))),IF(Paramètres!L27="",0,IF(Paramètres!M27="",NA(),IF(LEFT(TRIM(Paramètres!M27),1)="F",INDEX($F$2651:$F$2703,MATCH(Paramètres!L27,Paramètres!$G$5:$G$57,0)),INDEX($E$2651:$E$2703,MATCH(Paramètres!L27,Paramètres!$G$5:$G$57,0)))+IF(RIGHT(TRIM(Paramètres!M27),3)="Fin",1-$H2673,IF(LEFT(TRIM(Paramètres!M27),1)="F",1,0)))),IF(Paramètres!N27="",0,IF(Paramètres!O27="",NA(),IF(LEFT(TRIM(Paramètres!O27),1)="F",INDEX($F$2651:$F$2703,MATCH(Paramètres!N27,Paramètres!$G$5:$G$57,0)),INDEX($E$2651:$E$2703,MATCH(Paramètres!N27,Paramètres!$G$5:$G$57,0)))+IF(RIGHT(TRIM(Paramètres!O27),3)="Fin",1-$H2673,IF(LEFT(TRIM(Paramètres!O27),1)="F",1,0)))))))</f>
        <v/>
      </c>
      <c r="F2673" s="19">
        <f>IF($A2673="","",E2673+$H2673-1)</f>
        <v/>
      </c>
      <c r="G2673" s="18" t="n"/>
      <c r="H2673" s="18">
        <f>IF($A2673="","",IF(I2673&lt;&gt;"",I2673,Paramètres!B27))</f>
        <v/>
      </c>
      <c r="I2673" s="18" t="n"/>
    </row>
    <row r="2674">
      <c r="A2674" s="18">
        <f>IF(ISNUMBER(Dossiers!$D$53),Dossiers!$A$53&amp;" · "&amp;Dossiers!$B$53,"")</f>
        <v/>
      </c>
      <c r="B2674" s="18">
        <f>IF($A2674="","",Paramètres!G28)</f>
        <v/>
      </c>
      <c r="C2674" s="18">
        <f>IF($A2674="","",IF(Paramètres!H28="","",Paramètres!H28))</f>
        <v/>
      </c>
      <c r="D2674" s="18">
        <f>IF($A2674="","",IF(Paramètres!I28="","",Paramètres!I28))</f>
        <v/>
      </c>
      <c r="E2674" s="19">
        <f>IF($A2674="","",IF(Paramètres!J28&amp;Paramètres!L28&amp;Paramètres!N28="",Dossiers!$D$53,MAX(IF(Paramètres!J28="",0,IF(Paramètres!K28="",NA(),IF(LEFT(TRIM(Paramètres!K28),1)="F",INDEX($F$2651:$F$2703,MATCH(Paramètres!J28,Paramètres!$G$5:$G$57,0)),INDEX($E$2651:$E$2703,MATCH(Paramètres!J28,Paramètres!$G$5:$G$57,0)))+IF(RIGHT(TRIM(Paramètres!K28),3)="Fin",1-$H2674,IF(LEFT(TRIM(Paramètres!K28),1)="F",1,0)))),IF(Paramètres!L28="",0,IF(Paramètres!M28="",NA(),IF(LEFT(TRIM(Paramètres!M28),1)="F",INDEX($F$2651:$F$2703,MATCH(Paramètres!L28,Paramètres!$G$5:$G$57,0)),INDEX($E$2651:$E$2703,MATCH(Paramètres!L28,Paramètres!$G$5:$G$57,0)))+IF(RIGHT(TRIM(Paramètres!M28),3)="Fin",1-$H2674,IF(LEFT(TRIM(Paramètres!M28),1)="F",1,0)))),IF(Paramètres!N28="",0,IF(Paramètres!O28="",NA(),IF(LEFT(TRIM(Paramètres!O28),1)="F",INDEX($F$2651:$F$2703,MATCH(Paramètres!N28,Paramètres!$G$5:$G$57,0)),INDEX($E$2651:$E$2703,MATCH(Paramètres!N28,Paramètres!$G$5:$G$57,0)))+IF(RIGHT(TRIM(Paramètres!O28),3)="Fin",1-$H2674,IF(LEFT(TRIM(Paramètres!O28),1)="F",1,0)))))))</f>
        <v/>
      </c>
      <c r="F2674" s="19">
        <f>IF($A2674="","",E2674+$H2674-1)</f>
        <v/>
      </c>
      <c r="G2674" s="18" t="n"/>
      <c r="H2674" s="18">
        <f>IF($A2674="","",IF(I2674&lt;&gt;"",I2674,Paramètres!B28))</f>
        <v/>
      </c>
      <c r="I2674" s="18" t="n"/>
    </row>
    <row r="2675">
      <c r="A2675" s="18">
        <f>IF(ISNUMBER(Dossiers!$D$53),Dossiers!$A$53&amp;" · "&amp;Dossiers!$B$53,"")</f>
        <v/>
      </c>
      <c r="B2675" s="18">
        <f>IF($A2675="","",Paramètres!G29)</f>
        <v/>
      </c>
      <c r="C2675" s="18">
        <f>IF($A2675="","",IF(Paramètres!H29="","",Paramètres!H29))</f>
        <v/>
      </c>
      <c r="D2675" s="18">
        <f>IF($A2675="","",IF(Paramètres!I29="","",Paramètres!I29))</f>
        <v/>
      </c>
      <c r="E2675" s="19">
        <f>IF($A2675="","",IF(Paramètres!J29&amp;Paramètres!L29&amp;Paramètres!N29="",Dossiers!$D$53,MAX(IF(Paramètres!J29="",0,IF(Paramètres!K29="",NA(),IF(LEFT(TRIM(Paramètres!K29),1)="F",INDEX($F$2651:$F$2703,MATCH(Paramètres!J29,Paramètres!$G$5:$G$57,0)),INDEX($E$2651:$E$2703,MATCH(Paramètres!J29,Paramètres!$G$5:$G$57,0)))+IF(RIGHT(TRIM(Paramètres!K29),3)="Fin",1-$H2675,IF(LEFT(TRIM(Paramètres!K29),1)="F",1,0)))),IF(Paramètres!L29="",0,IF(Paramètres!M29="",NA(),IF(LEFT(TRIM(Paramètres!M29),1)="F",INDEX($F$2651:$F$2703,MATCH(Paramètres!L29,Paramètres!$G$5:$G$57,0)),INDEX($E$2651:$E$2703,MATCH(Paramètres!L29,Paramètres!$G$5:$G$57,0)))+IF(RIGHT(TRIM(Paramètres!M29),3)="Fin",1-$H2675,IF(LEFT(TRIM(Paramètres!M29),1)="F",1,0)))),IF(Paramètres!N29="",0,IF(Paramètres!O29="",NA(),IF(LEFT(TRIM(Paramètres!O29),1)="F",INDEX($F$2651:$F$2703,MATCH(Paramètres!N29,Paramètres!$G$5:$G$57,0)),INDEX($E$2651:$E$2703,MATCH(Paramètres!N29,Paramètres!$G$5:$G$57,0)))+IF(RIGHT(TRIM(Paramètres!O29),3)="Fin",1-$H2675,IF(LEFT(TRIM(Paramètres!O29),1)="F",1,0)))))))</f>
        <v/>
      </c>
      <c r="F2675" s="19">
        <f>IF($A2675="","",E2675+$H2675-1)</f>
        <v/>
      </c>
      <c r="G2675" s="18" t="n"/>
      <c r="H2675" s="18">
        <f>IF($A2675="","",IF(I2675&lt;&gt;"",I2675,Paramètres!B29))</f>
        <v/>
      </c>
      <c r="I2675" s="18" t="n"/>
    </row>
    <row r="2676">
      <c r="A2676" s="18">
        <f>IF(ISNUMBER(Dossiers!$D$53),Dossiers!$A$53&amp;" · "&amp;Dossiers!$B$53,"")</f>
        <v/>
      </c>
      <c r="B2676" s="18">
        <f>IF($A2676="","",Paramètres!G30)</f>
        <v/>
      </c>
      <c r="C2676" s="18">
        <f>IF($A2676="","",IF(Paramètres!H30="","",Paramètres!H30))</f>
        <v/>
      </c>
      <c r="D2676" s="18">
        <f>IF($A2676="","",IF(Paramètres!I30="","",Paramètres!I30))</f>
        <v/>
      </c>
      <c r="E2676" s="19">
        <f>IF($A2676="","",IF(Paramètres!J30&amp;Paramètres!L30&amp;Paramètres!N30="",Dossiers!$D$53,MAX(IF(Paramètres!J30="",0,IF(Paramètres!K30="",NA(),IF(LEFT(TRIM(Paramètres!K30),1)="F",INDEX($F$2651:$F$2703,MATCH(Paramètres!J30,Paramètres!$G$5:$G$57,0)),INDEX($E$2651:$E$2703,MATCH(Paramètres!J30,Paramètres!$G$5:$G$57,0)))+IF(RIGHT(TRIM(Paramètres!K30),3)="Fin",1-$H2676,IF(LEFT(TRIM(Paramètres!K30),1)="F",1,0)))),IF(Paramètres!L30="",0,IF(Paramètres!M30="",NA(),IF(LEFT(TRIM(Paramètres!M30),1)="F",INDEX($F$2651:$F$2703,MATCH(Paramètres!L30,Paramètres!$G$5:$G$57,0)),INDEX($E$2651:$E$2703,MATCH(Paramètres!L30,Paramètres!$G$5:$G$57,0)))+IF(RIGHT(TRIM(Paramètres!M30),3)="Fin",1-$H2676,IF(LEFT(TRIM(Paramètres!M30),1)="F",1,0)))),IF(Paramètres!N30="",0,IF(Paramètres!O30="",NA(),IF(LEFT(TRIM(Paramètres!O30),1)="F",INDEX($F$2651:$F$2703,MATCH(Paramètres!N30,Paramètres!$G$5:$G$57,0)),INDEX($E$2651:$E$2703,MATCH(Paramètres!N30,Paramètres!$G$5:$G$57,0)))+IF(RIGHT(TRIM(Paramètres!O30),3)="Fin",1-$H2676,IF(LEFT(TRIM(Paramètres!O30),1)="F",1,0)))))))</f>
        <v/>
      </c>
      <c r="F2676" s="19">
        <f>IF($A2676="","",E2676+$H2676-1)</f>
        <v/>
      </c>
      <c r="G2676" s="18" t="n"/>
      <c r="H2676" s="18">
        <f>IF($A2676="","",IF(I2676&lt;&gt;"",I2676,Paramètres!B30))</f>
        <v/>
      </c>
      <c r="I2676" s="18" t="n"/>
    </row>
    <row r="2677">
      <c r="A2677" s="18">
        <f>IF(ISNUMBER(Dossiers!$D$53),Dossiers!$A$53&amp;" · "&amp;Dossiers!$B$53,"")</f>
        <v/>
      </c>
      <c r="B2677" s="18">
        <f>IF($A2677="","",Paramètres!G31)</f>
        <v/>
      </c>
      <c r="C2677" s="20">
        <f>IF($A2677="","",IF(Dossiers!$F$53="","",Dossiers!$F$53))</f>
        <v/>
      </c>
      <c r="D2677" s="18">
        <f>IF($A2677="","",IF(Paramètres!I31="","",Paramètres!I31))</f>
        <v/>
      </c>
      <c r="E2677" s="19">
        <f>IF($A2677="","",IF(Paramètres!J31&amp;Paramètres!L31&amp;Paramètres!N31="",Dossiers!$D$53,MAX(IF(Paramètres!J31="",0,IF(Paramètres!K31="",NA(),IF(LEFT(TRIM(Paramètres!K31),1)="F",INDEX($F$2651:$F$2703,MATCH(Paramètres!J31,Paramètres!$G$5:$G$57,0)),INDEX($E$2651:$E$2703,MATCH(Paramètres!J31,Paramètres!$G$5:$G$57,0)))+IF(RIGHT(TRIM(Paramètres!K31),3)="Fin",1-$H2677,IF(LEFT(TRIM(Paramètres!K31),1)="F",1,0)))),IF(Paramètres!L31="",0,IF(Paramètres!M31="",NA(),IF(LEFT(TRIM(Paramètres!M31),1)="F",INDEX($F$2651:$F$2703,MATCH(Paramètres!L31,Paramètres!$G$5:$G$57,0)),INDEX($E$2651:$E$2703,MATCH(Paramètres!L31,Paramètres!$G$5:$G$57,0)))+IF(RIGHT(TRIM(Paramètres!M31),3)="Fin",1-$H2677,IF(LEFT(TRIM(Paramètres!M31),1)="F",1,0)))),IF(Paramètres!N31="",0,IF(Paramètres!O31="",NA(),IF(LEFT(TRIM(Paramètres!O31),1)="F",INDEX($F$2651:$F$2703,MATCH(Paramètres!N31,Paramètres!$G$5:$G$57,0)),INDEX($E$2651:$E$2703,MATCH(Paramètres!N31,Paramètres!$G$5:$G$57,0)))+IF(RIGHT(TRIM(Paramètres!O31),3)="Fin",1-$H2677,IF(LEFT(TRIM(Paramètres!O31),1)="F",1,0)))))))</f>
        <v/>
      </c>
      <c r="F2677" s="19">
        <f>IF($A2677="","",E2677+$H2677-1)</f>
        <v/>
      </c>
      <c r="G2677" s="18" t="n"/>
      <c r="H2677" s="18">
        <f>IF($A2677="","",IF(I2677&lt;&gt;"",I2677,Paramètres!B31))</f>
        <v/>
      </c>
      <c r="I2677" s="18" t="n"/>
    </row>
    <row r="2678">
      <c r="A2678" s="18">
        <f>IF(ISNUMBER(Dossiers!$D$53),Dossiers!$A$53&amp;" · "&amp;Dossiers!$B$53,"")</f>
        <v/>
      </c>
      <c r="B2678" s="18">
        <f>IF($A2678="","",Paramètres!G32)</f>
        <v/>
      </c>
      <c r="C2678" s="18">
        <f>IF($A2678="","",IF(Paramètres!H32="","",Paramètres!H32))</f>
        <v/>
      </c>
      <c r="D2678" s="18">
        <f>IF($A2678="","",IF(Paramètres!I32="","",Paramètres!I32))</f>
        <v/>
      </c>
      <c r="E2678" s="19">
        <f>IF($A2678="","",MIN(E2679:E2682))</f>
        <v/>
      </c>
      <c r="F2678" s="19">
        <f>IF($A2678="","",MAX(F2679:F2682))</f>
        <v/>
      </c>
      <c r="G2678" s="18" t="n"/>
      <c r="H2678" s="18">
        <f>IF($A2678="","",F2678-E2678+1)</f>
        <v/>
      </c>
      <c r="I2678" s="18" t="n"/>
    </row>
    <row r="2679">
      <c r="A2679" s="18">
        <f>IF(ISNUMBER(Dossiers!$D$53),Dossiers!$A$53&amp;" · "&amp;Dossiers!$B$53,"")</f>
        <v/>
      </c>
      <c r="B2679" s="18">
        <f>IF($A2679="","",Paramètres!G33)</f>
        <v/>
      </c>
      <c r="C2679" s="18">
        <f>IF($A2679="","",IF(Paramètres!H33="","",Paramètres!H33))</f>
        <v/>
      </c>
      <c r="D2679" s="18">
        <f>IF($A2679="","",IF(Paramètres!I33="","",Paramètres!I33))</f>
        <v/>
      </c>
      <c r="E2679" s="19">
        <f>IF($A2679="","",IF(Paramètres!J33&amp;Paramètres!L33&amp;Paramètres!N33="",Dossiers!$D$53,MAX(IF(Paramètres!J33="",0,IF(Paramètres!K33="",NA(),IF(LEFT(TRIM(Paramètres!K33),1)="F",INDEX($F$2651:$F$2703,MATCH(Paramètres!J33,Paramètres!$G$5:$G$57,0)),INDEX($E$2651:$E$2703,MATCH(Paramètres!J33,Paramètres!$G$5:$G$57,0)))+IF(RIGHT(TRIM(Paramètres!K33),3)="Fin",1-$H2679,IF(LEFT(TRIM(Paramètres!K33),1)="F",1,0)))),IF(Paramètres!L33="",0,IF(Paramètres!M33="",NA(),IF(LEFT(TRIM(Paramètres!M33),1)="F",INDEX($F$2651:$F$2703,MATCH(Paramètres!L33,Paramètres!$G$5:$G$57,0)),INDEX($E$2651:$E$2703,MATCH(Paramètres!L33,Paramètres!$G$5:$G$57,0)))+IF(RIGHT(TRIM(Paramètres!M33),3)="Fin",1-$H2679,IF(LEFT(TRIM(Paramètres!M33),1)="F",1,0)))),IF(Paramètres!N33="",0,IF(Paramètres!O33="",NA(),IF(LEFT(TRIM(Paramètres!O33),1)="F",INDEX($F$2651:$F$2703,MATCH(Paramètres!N33,Paramètres!$G$5:$G$57,0)),INDEX($E$2651:$E$2703,MATCH(Paramètres!N33,Paramètres!$G$5:$G$57,0)))+IF(RIGHT(TRIM(Paramètres!O33),3)="Fin",1-$H2679,IF(LEFT(TRIM(Paramètres!O33),1)="F",1,0)))))))</f>
        <v/>
      </c>
      <c r="F2679" s="19">
        <f>IF($A2679="","",E2679+$H2679-1)</f>
        <v/>
      </c>
      <c r="G2679" s="18" t="n"/>
      <c r="H2679" s="18">
        <f>IF($A2679="","",IF(I2679&lt;&gt;"",I2679,Paramètres!B33))</f>
        <v/>
      </c>
      <c r="I2679" s="18" t="n"/>
    </row>
    <row r="2680">
      <c r="A2680" s="18">
        <f>IF(ISNUMBER(Dossiers!$D$53),Dossiers!$A$53&amp;" · "&amp;Dossiers!$B$53,"")</f>
        <v/>
      </c>
      <c r="B2680" s="18">
        <f>IF($A2680="","",Paramètres!G34)</f>
        <v/>
      </c>
      <c r="C2680" s="18">
        <f>IF($A2680="","",IF(Paramètres!H34="","",Paramètres!H34))</f>
        <v/>
      </c>
      <c r="D2680" s="18">
        <f>IF($A2680="","",IF(Paramètres!I34="","",Paramètres!I34))</f>
        <v/>
      </c>
      <c r="E2680" s="19">
        <f>IF($A2680="","",IF(Paramètres!J34&amp;Paramètres!L34&amp;Paramètres!N34="",Dossiers!$D$53,MAX(IF(Paramètres!J34="",0,IF(Paramètres!K34="",NA(),IF(LEFT(TRIM(Paramètres!K34),1)="F",INDEX($F$2651:$F$2703,MATCH(Paramètres!J34,Paramètres!$G$5:$G$57,0)),INDEX($E$2651:$E$2703,MATCH(Paramètres!J34,Paramètres!$G$5:$G$57,0)))+IF(RIGHT(TRIM(Paramètres!K34),3)="Fin",1-$H2680,IF(LEFT(TRIM(Paramètres!K34),1)="F",1,0)))),IF(Paramètres!L34="",0,IF(Paramètres!M34="",NA(),IF(LEFT(TRIM(Paramètres!M34),1)="F",INDEX($F$2651:$F$2703,MATCH(Paramètres!L34,Paramètres!$G$5:$G$57,0)),INDEX($E$2651:$E$2703,MATCH(Paramètres!L34,Paramètres!$G$5:$G$57,0)))+IF(RIGHT(TRIM(Paramètres!M34),3)="Fin",1-$H2680,IF(LEFT(TRIM(Paramètres!M34),1)="F",1,0)))),IF(Paramètres!N34="",0,IF(Paramètres!O34="",NA(),IF(LEFT(TRIM(Paramètres!O34),1)="F",INDEX($F$2651:$F$2703,MATCH(Paramètres!N34,Paramètres!$G$5:$G$57,0)),INDEX($E$2651:$E$2703,MATCH(Paramètres!N34,Paramètres!$G$5:$G$57,0)))+IF(RIGHT(TRIM(Paramètres!O34),3)="Fin",1-$H2680,IF(LEFT(TRIM(Paramètres!O34),1)="F",1,0)))))))</f>
        <v/>
      </c>
      <c r="F2680" s="19">
        <f>IF($A2680="","",E2680+$H2680-1)</f>
        <v/>
      </c>
      <c r="G2680" s="18" t="n"/>
      <c r="H2680" s="18">
        <f>IF($A2680="","",IF(I2680&lt;&gt;"",I2680,Paramètres!B34))</f>
        <v/>
      </c>
      <c r="I2680" s="18" t="n"/>
    </row>
    <row r="2681">
      <c r="A2681" s="18">
        <f>IF(ISNUMBER(Dossiers!$D$53),Dossiers!$A$53&amp;" · "&amp;Dossiers!$B$53,"")</f>
        <v/>
      </c>
      <c r="B2681" s="18">
        <f>IF($A2681="","",Paramètres!G35)</f>
        <v/>
      </c>
      <c r="C2681" s="18">
        <f>IF($A2681="","",IF(Paramètres!H35="","",Paramètres!H35))</f>
        <v/>
      </c>
      <c r="D2681" s="18">
        <f>IF($A2681="","",IF(Paramètres!I35="","",Paramètres!I35))</f>
        <v/>
      </c>
      <c r="E2681" s="19">
        <f>IF($A2681="","",IF(Paramètres!J35&amp;Paramètres!L35&amp;Paramètres!N35="",Dossiers!$D$53,MAX(IF(Paramètres!J35="",0,IF(Paramètres!K35="",NA(),IF(LEFT(TRIM(Paramètres!K35),1)="F",INDEX($F$2651:$F$2703,MATCH(Paramètres!J35,Paramètres!$G$5:$G$57,0)),INDEX($E$2651:$E$2703,MATCH(Paramètres!J35,Paramètres!$G$5:$G$57,0)))+IF(RIGHT(TRIM(Paramètres!K35),3)="Fin",1-$H2681,IF(LEFT(TRIM(Paramètres!K35),1)="F",1,0)))),IF(Paramètres!L35="",0,IF(Paramètres!M35="",NA(),IF(LEFT(TRIM(Paramètres!M35),1)="F",INDEX($F$2651:$F$2703,MATCH(Paramètres!L35,Paramètres!$G$5:$G$57,0)),INDEX($E$2651:$E$2703,MATCH(Paramètres!L35,Paramètres!$G$5:$G$57,0)))+IF(RIGHT(TRIM(Paramètres!M35),3)="Fin",1-$H2681,IF(LEFT(TRIM(Paramètres!M35),1)="F",1,0)))),IF(Paramètres!N35="",0,IF(Paramètres!O35="",NA(),IF(LEFT(TRIM(Paramètres!O35),1)="F",INDEX($F$2651:$F$2703,MATCH(Paramètres!N35,Paramètres!$G$5:$G$57,0)),INDEX($E$2651:$E$2703,MATCH(Paramètres!N35,Paramètres!$G$5:$G$57,0)))+IF(RIGHT(TRIM(Paramètres!O35),3)="Fin",1-$H2681,IF(LEFT(TRIM(Paramètres!O35),1)="F",1,0)))))))</f>
        <v/>
      </c>
      <c r="F2681" s="19">
        <f>IF($A2681="","",E2681+$H2681-1)</f>
        <v/>
      </c>
      <c r="G2681" s="18" t="n"/>
      <c r="H2681" s="18">
        <f>IF($A2681="","",IF(I2681&lt;&gt;"",I2681,Paramètres!B35))</f>
        <v/>
      </c>
      <c r="I2681" s="18" t="n"/>
    </row>
    <row r="2682">
      <c r="A2682" s="18">
        <f>IF(ISNUMBER(Dossiers!$D$53),Dossiers!$A$53&amp;" · "&amp;Dossiers!$B$53,"")</f>
        <v/>
      </c>
      <c r="B2682" s="18">
        <f>IF($A2682="","",Paramètres!G36)</f>
        <v/>
      </c>
      <c r="C2682" s="18">
        <f>IF($A2682="","",IF(Paramètres!H36="","",Paramètres!H36))</f>
        <v/>
      </c>
      <c r="D2682" s="18">
        <f>IF($A2682="","",IF(Paramètres!I36="","",Paramètres!I36))</f>
        <v/>
      </c>
      <c r="E2682" s="19">
        <f>IF($A2682="","",IF(Paramètres!J36&amp;Paramètres!L36&amp;Paramètres!N36="",Dossiers!$D$53,MAX(IF(Paramètres!J36="",0,IF(Paramètres!K36="",NA(),IF(LEFT(TRIM(Paramètres!K36),1)="F",INDEX($F$2651:$F$2703,MATCH(Paramètres!J36,Paramètres!$G$5:$G$57,0)),INDEX($E$2651:$E$2703,MATCH(Paramètres!J36,Paramètres!$G$5:$G$57,0)))+IF(RIGHT(TRIM(Paramètres!K36),3)="Fin",1-$H2682,IF(LEFT(TRIM(Paramètres!K36),1)="F",1,0)))),IF(Paramètres!L36="",0,IF(Paramètres!M36="",NA(),IF(LEFT(TRIM(Paramètres!M36),1)="F",INDEX($F$2651:$F$2703,MATCH(Paramètres!L36,Paramètres!$G$5:$G$57,0)),INDEX($E$2651:$E$2703,MATCH(Paramètres!L36,Paramètres!$G$5:$G$57,0)))+IF(RIGHT(TRIM(Paramètres!M36),3)="Fin",1-$H2682,IF(LEFT(TRIM(Paramètres!M36),1)="F",1,0)))),IF(Paramètres!N36="",0,IF(Paramètres!O36="",NA(),IF(LEFT(TRIM(Paramètres!O36),1)="F",INDEX($F$2651:$F$2703,MATCH(Paramètres!N36,Paramètres!$G$5:$G$57,0)),INDEX($E$2651:$E$2703,MATCH(Paramètres!N36,Paramètres!$G$5:$G$57,0)))+IF(RIGHT(TRIM(Paramètres!O36),3)="Fin",1-$H2682,IF(LEFT(TRIM(Paramètres!O36),1)="F",1,0)))))))</f>
        <v/>
      </c>
      <c r="F2682" s="19">
        <f>IF($A2682="","",E2682+$H2682-1)</f>
        <v/>
      </c>
      <c r="G2682" s="18" t="n"/>
      <c r="H2682" s="18">
        <f>IF($A2682="","",IF(I2682&lt;&gt;"",I2682,Paramètres!B36))</f>
        <v/>
      </c>
      <c r="I2682" s="18" t="n"/>
    </row>
    <row r="2683">
      <c r="A2683" s="18">
        <f>IF(ISNUMBER(Dossiers!$D$53),Dossiers!$A$53&amp;" · "&amp;Dossiers!$B$53,"")</f>
        <v/>
      </c>
      <c r="B2683" s="18">
        <f>IF($A2683="","",Paramètres!G37)</f>
        <v/>
      </c>
      <c r="C2683" s="18">
        <f>IF($A2683="","",IF(Paramètres!H37="","",Paramètres!H37))</f>
        <v/>
      </c>
      <c r="D2683" s="18">
        <f>IF($A2683="","",IF(Paramètres!I37="","",Paramètres!I37))</f>
        <v/>
      </c>
      <c r="E2683" s="19">
        <f>IF($A2683="","",MIN(E2684:E2701))</f>
        <v/>
      </c>
      <c r="F2683" s="19">
        <f>IF($A2683="","",MAX(F2684:F2701))</f>
        <v/>
      </c>
      <c r="G2683" s="18" t="n"/>
      <c r="H2683" s="18">
        <f>IF($A2683="","",F2683-E2683+1)</f>
        <v/>
      </c>
      <c r="I2683" s="18" t="n"/>
    </row>
    <row r="2684">
      <c r="A2684" s="18">
        <f>IF(ISNUMBER(Dossiers!$D$53),Dossiers!$A$53&amp;" · "&amp;Dossiers!$B$53,"")</f>
        <v/>
      </c>
      <c r="B2684" s="18">
        <f>IF($A2684="","",Paramètres!G38)</f>
        <v/>
      </c>
      <c r="C2684" s="18">
        <f>IF($A2684="","",IF(Paramètres!H38="","",Paramètres!H38))</f>
        <v/>
      </c>
      <c r="D2684" s="18">
        <f>IF($A2684="","",IF(Paramètres!I38="","",Paramètres!I38))</f>
        <v/>
      </c>
      <c r="E2684" s="19">
        <f>IF($A2684="","",IF(Paramètres!J38&amp;Paramètres!L38&amp;Paramètres!N38="",Dossiers!$D$53,MAX(IF(Paramètres!J38="",0,IF(Paramètres!K38="",NA(),IF(LEFT(TRIM(Paramètres!K38),1)="F",INDEX($F$2651:$F$2703,MATCH(Paramètres!J38,Paramètres!$G$5:$G$57,0)),INDEX($E$2651:$E$2703,MATCH(Paramètres!J38,Paramètres!$G$5:$G$57,0)))+IF(RIGHT(TRIM(Paramètres!K38),3)="Fin",1-$H2684,IF(LEFT(TRIM(Paramètres!K38),1)="F",1,0)))),IF(Paramètres!L38="",0,IF(Paramètres!M38="",NA(),IF(LEFT(TRIM(Paramètres!M38),1)="F",INDEX($F$2651:$F$2703,MATCH(Paramètres!L38,Paramètres!$G$5:$G$57,0)),INDEX($E$2651:$E$2703,MATCH(Paramètres!L38,Paramètres!$G$5:$G$57,0)))+IF(RIGHT(TRIM(Paramètres!M38),3)="Fin",1-$H2684,IF(LEFT(TRIM(Paramètres!M38),1)="F",1,0)))),IF(Paramètres!N38="",0,IF(Paramètres!O38="",NA(),IF(LEFT(TRIM(Paramètres!O38),1)="F",INDEX($F$2651:$F$2703,MATCH(Paramètres!N38,Paramètres!$G$5:$G$57,0)),INDEX($E$2651:$E$2703,MATCH(Paramètres!N38,Paramètres!$G$5:$G$57,0)))+IF(RIGHT(TRIM(Paramètres!O38),3)="Fin",1-$H2684,IF(LEFT(TRIM(Paramètres!O38),1)="F",1,0)))))))</f>
        <v/>
      </c>
      <c r="F2684" s="19">
        <f>IF($A2684="","",E2684+$H2684-1)</f>
        <v/>
      </c>
      <c r="G2684" s="18" t="n"/>
      <c r="H2684" s="18">
        <f>IF($A2684="","",IF(I2684&lt;&gt;"",I2684,Paramètres!B38))</f>
        <v/>
      </c>
      <c r="I2684" s="18" t="n"/>
    </row>
    <row r="2685">
      <c r="A2685" s="18">
        <f>IF(ISNUMBER(Dossiers!$D$53),Dossiers!$A$53&amp;" · "&amp;Dossiers!$B$53,"")</f>
        <v/>
      </c>
      <c r="B2685" s="18">
        <f>IF($A2685="","",Paramètres!G39)</f>
        <v/>
      </c>
      <c r="C2685" s="18">
        <f>IF($A2685="","",IF(Paramètres!H39="","",Paramètres!H39))</f>
        <v/>
      </c>
      <c r="D2685" s="18">
        <f>IF($A2685="","",IF(Paramètres!I39="","",Paramètres!I39))</f>
        <v/>
      </c>
      <c r="E2685" s="19">
        <f>IF($A2685="","",IF(Paramètres!J39&amp;Paramètres!L39&amp;Paramètres!N39="",Dossiers!$D$53,MAX(IF(Paramètres!J39="",0,IF(Paramètres!K39="",NA(),IF(LEFT(TRIM(Paramètres!K39),1)="F",INDEX($F$2651:$F$2703,MATCH(Paramètres!J39,Paramètres!$G$5:$G$57,0)),INDEX($E$2651:$E$2703,MATCH(Paramètres!J39,Paramètres!$G$5:$G$57,0)))+IF(RIGHT(TRIM(Paramètres!K39),3)="Fin",1-$H2685,IF(LEFT(TRIM(Paramètres!K39),1)="F",1,0)))),IF(Paramètres!L39="",0,IF(Paramètres!M39="",NA(),IF(LEFT(TRIM(Paramètres!M39),1)="F",INDEX($F$2651:$F$2703,MATCH(Paramètres!L39,Paramètres!$G$5:$G$57,0)),INDEX($E$2651:$E$2703,MATCH(Paramètres!L39,Paramètres!$G$5:$G$57,0)))+IF(RIGHT(TRIM(Paramètres!M39),3)="Fin",1-$H2685,IF(LEFT(TRIM(Paramètres!M39),1)="F",1,0)))),IF(Paramètres!N39="",0,IF(Paramètres!O39="",NA(),IF(LEFT(TRIM(Paramètres!O39),1)="F",INDEX($F$2651:$F$2703,MATCH(Paramètres!N39,Paramètres!$G$5:$G$57,0)),INDEX($E$2651:$E$2703,MATCH(Paramètres!N39,Paramètres!$G$5:$G$57,0)))+IF(RIGHT(TRIM(Paramètres!O39),3)="Fin",1-$H2685,IF(LEFT(TRIM(Paramètres!O39),1)="F",1,0)))))))</f>
        <v/>
      </c>
      <c r="F2685" s="19">
        <f>IF($A2685="","",E2685+$H2685-1)</f>
        <v/>
      </c>
      <c r="G2685" s="18" t="n"/>
      <c r="H2685" s="18">
        <f>IF($A2685="","",IF(I2685&lt;&gt;"",I2685,Paramètres!B39))</f>
        <v/>
      </c>
      <c r="I2685" s="18" t="n"/>
    </row>
    <row r="2686">
      <c r="A2686" s="18">
        <f>IF(ISNUMBER(Dossiers!$D$53),Dossiers!$A$53&amp;" · "&amp;Dossiers!$B$53,"")</f>
        <v/>
      </c>
      <c r="B2686" s="18">
        <f>IF($A2686="","",Paramètres!G40)</f>
        <v/>
      </c>
      <c r="C2686" s="18">
        <f>IF($A2686="","",IF(Paramètres!H40="","",Paramètres!H40))</f>
        <v/>
      </c>
      <c r="D2686" s="18">
        <f>IF($A2686="","",IF(Paramètres!I40="","",Paramètres!I40))</f>
        <v/>
      </c>
      <c r="E2686" s="19">
        <f>IF($A2686="","",IF(Paramètres!J40&amp;Paramètres!L40&amp;Paramètres!N40="",Dossiers!$D$53,MAX(IF(Paramètres!J40="",0,IF(Paramètres!K40="",NA(),IF(LEFT(TRIM(Paramètres!K40),1)="F",INDEX($F$2651:$F$2703,MATCH(Paramètres!J40,Paramètres!$G$5:$G$57,0)),INDEX($E$2651:$E$2703,MATCH(Paramètres!J40,Paramètres!$G$5:$G$57,0)))+IF(RIGHT(TRIM(Paramètres!K40),3)="Fin",1-$H2686,IF(LEFT(TRIM(Paramètres!K40),1)="F",1,0)))),IF(Paramètres!L40="",0,IF(Paramètres!M40="",NA(),IF(LEFT(TRIM(Paramètres!M40),1)="F",INDEX($F$2651:$F$2703,MATCH(Paramètres!L40,Paramètres!$G$5:$G$57,0)),INDEX($E$2651:$E$2703,MATCH(Paramètres!L40,Paramètres!$G$5:$G$57,0)))+IF(RIGHT(TRIM(Paramètres!M40),3)="Fin",1-$H2686,IF(LEFT(TRIM(Paramètres!M40),1)="F",1,0)))),IF(Paramètres!N40="",0,IF(Paramètres!O40="",NA(),IF(LEFT(TRIM(Paramètres!O40),1)="F",INDEX($F$2651:$F$2703,MATCH(Paramètres!N40,Paramètres!$G$5:$G$57,0)),INDEX($E$2651:$E$2703,MATCH(Paramètres!N40,Paramètres!$G$5:$G$57,0)))+IF(RIGHT(TRIM(Paramètres!O40),3)="Fin",1-$H2686,IF(LEFT(TRIM(Paramètres!O40),1)="F",1,0)))))))</f>
        <v/>
      </c>
      <c r="F2686" s="19">
        <f>IF($A2686="","",E2686+$H2686-1)</f>
        <v/>
      </c>
      <c r="G2686" s="18" t="n"/>
      <c r="H2686" s="18">
        <f>IF($A2686="","",IF(I2686&lt;&gt;"",I2686,Paramètres!B40))</f>
        <v/>
      </c>
      <c r="I2686" s="18" t="n"/>
    </row>
    <row r="2687">
      <c r="A2687" s="18">
        <f>IF(ISNUMBER(Dossiers!$D$53),Dossiers!$A$53&amp;" · "&amp;Dossiers!$B$53,"")</f>
        <v/>
      </c>
      <c r="B2687" s="18">
        <f>IF($A2687="","",Paramètres!G41)</f>
        <v/>
      </c>
      <c r="C2687" s="18">
        <f>IF($A2687="","",IF(Paramètres!H41="","",Paramètres!H41))</f>
        <v/>
      </c>
      <c r="D2687" s="18">
        <f>IF($A2687="","",IF(Paramètres!I41="","",Paramètres!I41))</f>
        <v/>
      </c>
      <c r="E2687" s="19">
        <f>IF($A2687="","",IF(Paramètres!J41&amp;Paramètres!L41&amp;Paramètres!N41="",Dossiers!$D$53,MAX(IF(Paramètres!J41="",0,IF(Paramètres!K41="",NA(),IF(LEFT(TRIM(Paramètres!K41),1)="F",INDEX($F$2651:$F$2703,MATCH(Paramètres!J41,Paramètres!$G$5:$G$57,0)),INDEX($E$2651:$E$2703,MATCH(Paramètres!J41,Paramètres!$G$5:$G$57,0)))+IF(RIGHT(TRIM(Paramètres!K41),3)="Fin",1-$H2687,IF(LEFT(TRIM(Paramètres!K41),1)="F",1,0)))),IF(Paramètres!L41="",0,IF(Paramètres!M41="",NA(),IF(LEFT(TRIM(Paramètres!M41),1)="F",INDEX($F$2651:$F$2703,MATCH(Paramètres!L41,Paramètres!$G$5:$G$57,0)),INDEX($E$2651:$E$2703,MATCH(Paramètres!L41,Paramètres!$G$5:$G$57,0)))+IF(RIGHT(TRIM(Paramètres!M41),3)="Fin",1-$H2687,IF(LEFT(TRIM(Paramètres!M41),1)="F",1,0)))),IF(Paramètres!N41="",0,IF(Paramètres!O41="",NA(),IF(LEFT(TRIM(Paramètres!O41),1)="F",INDEX($F$2651:$F$2703,MATCH(Paramètres!N41,Paramètres!$G$5:$G$57,0)),INDEX($E$2651:$E$2703,MATCH(Paramètres!N41,Paramètres!$G$5:$G$57,0)))+IF(RIGHT(TRIM(Paramètres!O41),3)="Fin",1-$H2687,IF(LEFT(TRIM(Paramètres!O41),1)="F",1,0)))))))</f>
        <v/>
      </c>
      <c r="F2687" s="19">
        <f>IF($A2687="","",E2687+$H2687-1)</f>
        <v/>
      </c>
      <c r="G2687" s="18" t="n"/>
      <c r="H2687" s="18">
        <f>IF($A2687="","",IF(I2687&lt;&gt;"",I2687,Paramètres!B41))</f>
        <v/>
      </c>
      <c r="I2687" s="18" t="n"/>
    </row>
    <row r="2688">
      <c r="A2688" s="18">
        <f>IF(ISNUMBER(Dossiers!$D$53),Dossiers!$A$53&amp;" · "&amp;Dossiers!$B$53,"")</f>
        <v/>
      </c>
      <c r="B2688" s="18">
        <f>IF($A2688="","",Paramètres!G42)</f>
        <v/>
      </c>
      <c r="C2688" s="18">
        <f>IF($A2688="","",IF(Paramètres!H42="","",Paramètres!H42))</f>
        <v/>
      </c>
      <c r="D2688" s="18">
        <f>IF($A2688="","",IF(Paramètres!I42="","",Paramètres!I42))</f>
        <v/>
      </c>
      <c r="E2688" s="19">
        <f>IF($A2688="","",IF(Paramètres!J42&amp;Paramètres!L42&amp;Paramètres!N42="",Dossiers!$D$53,MAX(IF(Paramètres!J42="",0,IF(Paramètres!K42="",NA(),IF(LEFT(TRIM(Paramètres!K42),1)="F",INDEX($F$2651:$F$2703,MATCH(Paramètres!J42,Paramètres!$G$5:$G$57,0)),INDEX($E$2651:$E$2703,MATCH(Paramètres!J42,Paramètres!$G$5:$G$57,0)))+IF(RIGHT(TRIM(Paramètres!K42),3)="Fin",1-$H2688,IF(LEFT(TRIM(Paramètres!K42),1)="F",1,0)))),IF(Paramètres!L42="",0,IF(Paramètres!M42="",NA(),IF(LEFT(TRIM(Paramètres!M42),1)="F",INDEX($F$2651:$F$2703,MATCH(Paramètres!L42,Paramètres!$G$5:$G$57,0)),INDEX($E$2651:$E$2703,MATCH(Paramètres!L42,Paramètres!$G$5:$G$57,0)))+IF(RIGHT(TRIM(Paramètres!M42),3)="Fin",1-$H2688,IF(LEFT(TRIM(Paramètres!M42),1)="F",1,0)))),IF(Paramètres!N42="",0,IF(Paramètres!O42="",NA(),IF(LEFT(TRIM(Paramètres!O42),1)="F",INDEX($F$2651:$F$2703,MATCH(Paramètres!N42,Paramètres!$G$5:$G$57,0)),INDEX($E$2651:$E$2703,MATCH(Paramètres!N42,Paramètres!$G$5:$G$57,0)))+IF(RIGHT(TRIM(Paramètres!O42),3)="Fin",1-$H2688,IF(LEFT(TRIM(Paramètres!O42),1)="F",1,0)))))))</f>
        <v/>
      </c>
      <c r="F2688" s="19">
        <f>IF($A2688="","",E2688+$H2688-1)</f>
        <v/>
      </c>
      <c r="G2688" s="18" t="n"/>
      <c r="H2688" s="18">
        <f>IF($A2688="","",IF(I2688&lt;&gt;"",I2688,Paramètres!B42))</f>
        <v/>
      </c>
      <c r="I2688" s="18" t="n"/>
    </row>
    <row r="2689">
      <c r="A2689" s="18">
        <f>IF(ISNUMBER(Dossiers!$D$53),Dossiers!$A$53&amp;" · "&amp;Dossiers!$B$53,"")</f>
        <v/>
      </c>
      <c r="B2689" s="18">
        <f>IF($A2689="","",Paramètres!G43)</f>
        <v/>
      </c>
      <c r="C2689" s="18">
        <f>IF($A2689="","",IF(Paramètres!H43="","",Paramètres!H43))</f>
        <v/>
      </c>
      <c r="D2689" s="18">
        <f>IF($A2689="","",IF(Paramètres!I43="","",Paramètres!I43))</f>
        <v/>
      </c>
      <c r="E2689" s="19">
        <f>IF($A2689="","",IF(Paramètres!J43&amp;Paramètres!L43&amp;Paramètres!N43="",Dossiers!$D$53,MAX(IF(Paramètres!J43="",0,IF(Paramètres!K43="",NA(),IF(LEFT(TRIM(Paramètres!K43),1)="F",INDEX($F$2651:$F$2703,MATCH(Paramètres!J43,Paramètres!$G$5:$G$57,0)),INDEX($E$2651:$E$2703,MATCH(Paramètres!J43,Paramètres!$G$5:$G$57,0)))+IF(RIGHT(TRIM(Paramètres!K43),3)="Fin",1-$H2689,IF(LEFT(TRIM(Paramètres!K43),1)="F",1,0)))),IF(Paramètres!L43="",0,IF(Paramètres!M43="",NA(),IF(LEFT(TRIM(Paramètres!M43),1)="F",INDEX($F$2651:$F$2703,MATCH(Paramètres!L43,Paramètres!$G$5:$G$57,0)),INDEX($E$2651:$E$2703,MATCH(Paramètres!L43,Paramètres!$G$5:$G$57,0)))+IF(RIGHT(TRIM(Paramètres!M43),3)="Fin",1-$H2689,IF(LEFT(TRIM(Paramètres!M43),1)="F",1,0)))),IF(Paramètres!N43="",0,IF(Paramètres!O43="",NA(),IF(LEFT(TRIM(Paramètres!O43),1)="F",INDEX($F$2651:$F$2703,MATCH(Paramètres!N43,Paramètres!$G$5:$G$57,0)),INDEX($E$2651:$E$2703,MATCH(Paramètres!N43,Paramètres!$G$5:$G$57,0)))+IF(RIGHT(TRIM(Paramètres!O43),3)="Fin",1-$H2689,IF(LEFT(TRIM(Paramètres!O43),1)="F",1,0)))))))</f>
        <v/>
      </c>
      <c r="F2689" s="19">
        <f>IF($A2689="","",E2689+$H2689-1)</f>
        <v/>
      </c>
      <c r="G2689" s="18" t="n"/>
      <c r="H2689" s="18">
        <f>IF($A2689="","",IF(I2689&lt;&gt;"",I2689,Paramètres!B43))</f>
        <v/>
      </c>
      <c r="I2689" s="18" t="n"/>
    </row>
    <row r="2690">
      <c r="A2690" s="18">
        <f>IF(ISNUMBER(Dossiers!$D$53),Dossiers!$A$53&amp;" · "&amp;Dossiers!$B$53,"")</f>
        <v/>
      </c>
      <c r="B2690" s="18">
        <f>IF($A2690="","",Paramètres!G44)</f>
        <v/>
      </c>
      <c r="C2690" s="18">
        <f>IF($A2690="","",IF(Paramètres!H44="","",Paramètres!H44))</f>
        <v/>
      </c>
      <c r="D2690" s="18">
        <f>IF($A2690="","",IF(Paramètres!I44="","",Paramètres!I44))</f>
        <v/>
      </c>
      <c r="E2690" s="19">
        <f>IF($A2690="","",IF(Paramètres!J44&amp;Paramètres!L44&amp;Paramètres!N44="",Dossiers!$D$53,MAX(IF(Paramètres!J44="",0,IF(Paramètres!K44="",NA(),IF(LEFT(TRIM(Paramètres!K44),1)="F",INDEX($F$2651:$F$2703,MATCH(Paramètres!J44,Paramètres!$G$5:$G$57,0)),INDEX($E$2651:$E$2703,MATCH(Paramètres!J44,Paramètres!$G$5:$G$57,0)))+IF(RIGHT(TRIM(Paramètres!K44),3)="Fin",1-$H2690,IF(LEFT(TRIM(Paramètres!K44),1)="F",1,0)))),IF(Paramètres!L44="",0,IF(Paramètres!M44="",NA(),IF(LEFT(TRIM(Paramètres!M44),1)="F",INDEX($F$2651:$F$2703,MATCH(Paramètres!L44,Paramètres!$G$5:$G$57,0)),INDEX($E$2651:$E$2703,MATCH(Paramètres!L44,Paramètres!$G$5:$G$57,0)))+IF(RIGHT(TRIM(Paramètres!M44),3)="Fin",1-$H2690,IF(LEFT(TRIM(Paramètres!M44),1)="F",1,0)))),IF(Paramètres!N44="",0,IF(Paramètres!O44="",NA(),IF(LEFT(TRIM(Paramètres!O44),1)="F",INDEX($F$2651:$F$2703,MATCH(Paramètres!N44,Paramètres!$G$5:$G$57,0)),INDEX($E$2651:$E$2703,MATCH(Paramètres!N44,Paramètres!$G$5:$G$57,0)))+IF(RIGHT(TRIM(Paramètres!O44),3)="Fin",1-$H2690,IF(LEFT(TRIM(Paramètres!O44),1)="F",1,0)))))))</f>
        <v/>
      </c>
      <c r="F2690" s="19">
        <f>IF($A2690="","",E2690+$H2690-1)</f>
        <v/>
      </c>
      <c r="G2690" s="18" t="n"/>
      <c r="H2690" s="18">
        <f>IF($A2690="","",IF(I2690&lt;&gt;"",I2690,Paramètres!B44))</f>
        <v/>
      </c>
      <c r="I2690" s="18" t="n"/>
    </row>
    <row r="2691">
      <c r="A2691" s="18">
        <f>IF(ISNUMBER(Dossiers!$D$53),Dossiers!$A$53&amp;" · "&amp;Dossiers!$B$53,"")</f>
        <v/>
      </c>
      <c r="B2691" s="18">
        <f>IF($A2691="","",Paramètres!G45)</f>
        <v/>
      </c>
      <c r="C2691" s="20">
        <f>IF($A2691="","",IF(Dossiers!$G$53="","",Dossiers!$G$53))</f>
        <v/>
      </c>
      <c r="D2691" s="18">
        <f>IF($A2691="","",IF(Paramètres!I45="","",Paramètres!I45))</f>
        <v/>
      </c>
      <c r="E2691" s="19">
        <f>IF($A2691="","",IF(Paramètres!J45&amp;Paramètres!L45&amp;Paramètres!N45="",Dossiers!$D$53,MAX(IF(Paramètres!J45="",0,IF(Paramètres!K45="",NA(),IF(LEFT(TRIM(Paramètres!K45),1)="F",INDEX($F$2651:$F$2703,MATCH(Paramètres!J45,Paramètres!$G$5:$G$57,0)),INDEX($E$2651:$E$2703,MATCH(Paramètres!J45,Paramètres!$G$5:$G$57,0)))+IF(RIGHT(TRIM(Paramètres!K45),3)="Fin",1-$H2691,IF(LEFT(TRIM(Paramètres!K45),1)="F",1,0)))),IF(Paramètres!L45="",0,IF(Paramètres!M45="",NA(),IF(LEFT(TRIM(Paramètres!M45),1)="F",INDEX($F$2651:$F$2703,MATCH(Paramètres!L45,Paramètres!$G$5:$G$57,0)),INDEX($E$2651:$E$2703,MATCH(Paramètres!L45,Paramètres!$G$5:$G$57,0)))+IF(RIGHT(TRIM(Paramètres!M45),3)="Fin",1-$H2691,IF(LEFT(TRIM(Paramètres!M45),1)="F",1,0)))),IF(Paramètres!N45="",0,IF(Paramètres!O45="",NA(),IF(LEFT(TRIM(Paramètres!O45),1)="F",INDEX($F$2651:$F$2703,MATCH(Paramètres!N45,Paramètres!$G$5:$G$57,0)),INDEX($E$2651:$E$2703,MATCH(Paramètres!N45,Paramètres!$G$5:$G$57,0)))+IF(RIGHT(TRIM(Paramètres!O45),3)="Fin",1-$H2691,IF(LEFT(TRIM(Paramètres!O45),1)="F",1,0)))))))</f>
        <v/>
      </c>
      <c r="F2691" s="19">
        <f>IF($A2691="","",E2691+$H2691-1)</f>
        <v/>
      </c>
      <c r="G2691" s="18" t="n"/>
      <c r="H2691" s="18">
        <f>IF($A2691="","",IF(I2691&lt;&gt;"",I2691,Paramètres!B45))</f>
        <v/>
      </c>
      <c r="I2691" s="18" t="n"/>
    </row>
    <row r="2692">
      <c r="A2692" s="18">
        <f>IF(ISNUMBER(Dossiers!$D$53),Dossiers!$A$53&amp;" · "&amp;Dossiers!$B$53,"")</f>
        <v/>
      </c>
      <c r="B2692" s="18">
        <f>IF($A2692="","",Paramètres!G46)</f>
        <v/>
      </c>
      <c r="C2692" s="18">
        <f>IF($A2692="","",IF(Paramètres!H46="","",Paramètres!H46))</f>
        <v/>
      </c>
      <c r="D2692" s="18">
        <f>IF($A2692="","",IF(Paramètres!I46="","",Paramètres!I46))</f>
        <v/>
      </c>
      <c r="E2692" s="19">
        <f>IF($A2692="","",IF(Paramètres!J46&amp;Paramètres!L46&amp;Paramètres!N46="",Dossiers!$D$53,MAX(IF(Paramètres!J46="",0,IF(Paramètres!K46="",NA(),IF(LEFT(TRIM(Paramètres!K46),1)="F",INDEX($F$2651:$F$2703,MATCH(Paramètres!J46,Paramètres!$G$5:$G$57,0)),INDEX($E$2651:$E$2703,MATCH(Paramètres!J46,Paramètres!$G$5:$G$57,0)))+IF(RIGHT(TRIM(Paramètres!K46),3)="Fin",1-$H2692,IF(LEFT(TRIM(Paramètres!K46),1)="F",1,0)))),IF(Paramètres!L46="",0,IF(Paramètres!M46="",NA(),IF(LEFT(TRIM(Paramètres!M46),1)="F",INDEX($F$2651:$F$2703,MATCH(Paramètres!L46,Paramètres!$G$5:$G$57,0)),INDEX($E$2651:$E$2703,MATCH(Paramètres!L46,Paramètres!$G$5:$G$57,0)))+IF(RIGHT(TRIM(Paramètres!M46),3)="Fin",1-$H2692,IF(LEFT(TRIM(Paramètres!M46),1)="F",1,0)))),IF(Paramètres!N46="",0,IF(Paramètres!O46="",NA(),IF(LEFT(TRIM(Paramètres!O46),1)="F",INDEX($F$2651:$F$2703,MATCH(Paramètres!N46,Paramètres!$G$5:$G$57,0)),INDEX($E$2651:$E$2703,MATCH(Paramètres!N46,Paramètres!$G$5:$G$57,0)))+IF(RIGHT(TRIM(Paramètres!O46),3)="Fin",1-$H2692,IF(LEFT(TRIM(Paramètres!O46),1)="F",1,0)))))))</f>
        <v/>
      </c>
      <c r="F2692" s="19">
        <f>IF($A2692="","",E2692+$H2692-1)</f>
        <v/>
      </c>
      <c r="G2692" s="18" t="n"/>
      <c r="H2692" s="18">
        <f>IF($A2692="","",IF(I2692&lt;&gt;"",I2692,Paramètres!B46))</f>
        <v/>
      </c>
      <c r="I2692" s="18" t="n"/>
    </row>
    <row r="2693">
      <c r="A2693" s="18">
        <f>IF(ISNUMBER(Dossiers!$D$53),Dossiers!$A$53&amp;" · "&amp;Dossiers!$B$53,"")</f>
        <v/>
      </c>
      <c r="B2693" s="18">
        <f>IF($A2693="","",Paramètres!G47)</f>
        <v/>
      </c>
      <c r="C2693" s="18">
        <f>IF($A2693="","",IF(Paramètres!H47="","",Paramètres!H47))</f>
        <v/>
      </c>
      <c r="D2693" s="18">
        <f>IF($A2693="","",IF(Paramètres!I47="","",Paramètres!I47))</f>
        <v/>
      </c>
      <c r="E2693" s="19">
        <f>IF($A2693="","",IF(Paramètres!J47&amp;Paramètres!L47&amp;Paramètres!N47="",Dossiers!$D$53,MAX(IF(Paramètres!J47="",0,IF(Paramètres!K47="",NA(),IF(LEFT(TRIM(Paramètres!K47),1)="F",INDEX($F$2651:$F$2703,MATCH(Paramètres!J47,Paramètres!$G$5:$G$57,0)),INDEX($E$2651:$E$2703,MATCH(Paramètres!J47,Paramètres!$G$5:$G$57,0)))+IF(RIGHT(TRIM(Paramètres!K47),3)="Fin",1-$H2693,IF(LEFT(TRIM(Paramètres!K47),1)="F",1,0)))),IF(Paramètres!L47="",0,IF(Paramètres!M47="",NA(),IF(LEFT(TRIM(Paramètres!M47),1)="F",INDEX($F$2651:$F$2703,MATCH(Paramètres!L47,Paramètres!$G$5:$G$57,0)),INDEX($E$2651:$E$2703,MATCH(Paramètres!L47,Paramètres!$G$5:$G$57,0)))+IF(RIGHT(TRIM(Paramètres!M47),3)="Fin",1-$H2693,IF(LEFT(TRIM(Paramètres!M47),1)="F",1,0)))),IF(Paramètres!N47="",0,IF(Paramètres!O47="",NA(),IF(LEFT(TRIM(Paramètres!O47),1)="F",INDEX($F$2651:$F$2703,MATCH(Paramètres!N47,Paramètres!$G$5:$G$57,0)),INDEX($E$2651:$E$2703,MATCH(Paramètres!N47,Paramètres!$G$5:$G$57,0)))+IF(RIGHT(TRIM(Paramètres!O47),3)="Fin",1-$H2693,IF(LEFT(TRIM(Paramètres!O47),1)="F",1,0)))))))</f>
        <v/>
      </c>
      <c r="F2693" s="19">
        <f>IF($A2693="","",E2693+$H2693-1)</f>
        <v/>
      </c>
      <c r="G2693" s="18" t="n"/>
      <c r="H2693" s="18">
        <f>IF($A2693="","",IF(I2693&lt;&gt;"",I2693,Paramètres!B47))</f>
        <v/>
      </c>
      <c r="I2693" s="18" t="n"/>
    </row>
    <row r="2694">
      <c r="A2694" s="18">
        <f>IF(ISNUMBER(Dossiers!$D$53),Dossiers!$A$53&amp;" · "&amp;Dossiers!$B$53,"")</f>
        <v/>
      </c>
      <c r="B2694" s="18">
        <f>IF($A2694="","",Paramètres!G48)</f>
        <v/>
      </c>
      <c r="C2694" s="18">
        <f>IF($A2694="","",IF(Paramètres!H48="","",Paramètres!H48))</f>
        <v/>
      </c>
      <c r="D2694" s="18">
        <f>IF($A2694="","",IF(Paramètres!I48="","",Paramètres!I48))</f>
        <v/>
      </c>
      <c r="E2694" s="19">
        <f>IF($A2694="","",IF(Paramètres!J48&amp;Paramètres!L48&amp;Paramètres!N48="",Dossiers!$D$53,MAX(IF(Paramètres!J48="",0,IF(Paramètres!K48="",NA(),IF(LEFT(TRIM(Paramètres!K48),1)="F",INDEX($F$2651:$F$2703,MATCH(Paramètres!J48,Paramètres!$G$5:$G$57,0)),INDEX($E$2651:$E$2703,MATCH(Paramètres!J48,Paramètres!$G$5:$G$57,0)))+IF(RIGHT(TRIM(Paramètres!K48),3)="Fin",1-$H2694,IF(LEFT(TRIM(Paramètres!K48),1)="F",1,0)))),IF(Paramètres!L48="",0,IF(Paramètres!M48="",NA(),IF(LEFT(TRIM(Paramètres!M48),1)="F",INDEX($F$2651:$F$2703,MATCH(Paramètres!L48,Paramètres!$G$5:$G$57,0)),INDEX($E$2651:$E$2703,MATCH(Paramètres!L48,Paramètres!$G$5:$G$57,0)))+IF(RIGHT(TRIM(Paramètres!M48),3)="Fin",1-$H2694,IF(LEFT(TRIM(Paramètres!M48),1)="F",1,0)))),IF(Paramètres!N48="",0,IF(Paramètres!O48="",NA(),IF(LEFT(TRIM(Paramètres!O48),1)="F",INDEX($F$2651:$F$2703,MATCH(Paramètres!N48,Paramètres!$G$5:$G$57,0)),INDEX($E$2651:$E$2703,MATCH(Paramètres!N48,Paramètres!$G$5:$G$57,0)))+IF(RIGHT(TRIM(Paramètres!O48),3)="Fin",1-$H2694,IF(LEFT(TRIM(Paramètres!O48),1)="F",1,0)))))))</f>
        <v/>
      </c>
      <c r="F2694" s="19">
        <f>IF($A2694="","",E2694+$H2694-1)</f>
        <v/>
      </c>
      <c r="G2694" s="18" t="n"/>
      <c r="H2694" s="18">
        <f>IF($A2694="","",IF(I2694&lt;&gt;"",I2694,Paramètres!B48))</f>
        <v/>
      </c>
      <c r="I2694" s="18" t="n"/>
    </row>
    <row r="2695">
      <c r="A2695" s="18">
        <f>IF(ISNUMBER(Dossiers!$D$53),Dossiers!$A$53&amp;" · "&amp;Dossiers!$B$53,"")</f>
        <v/>
      </c>
      <c r="B2695" s="18">
        <f>IF($A2695="","",Paramètres!G49)</f>
        <v/>
      </c>
      <c r="C2695" s="18">
        <f>IF($A2695="","",IF(Paramètres!H49="","",Paramètres!H49))</f>
        <v/>
      </c>
      <c r="D2695" s="18">
        <f>IF($A2695="","",IF(Paramètres!I49="","",Paramètres!I49))</f>
        <v/>
      </c>
      <c r="E2695" s="19">
        <f>IF($A2695="","",IF(Paramètres!J49&amp;Paramètres!L49&amp;Paramètres!N49="",Dossiers!$D$53,MAX(IF(Paramètres!J49="",0,IF(Paramètres!K49="",NA(),IF(LEFT(TRIM(Paramètres!K49),1)="F",INDEX($F$2651:$F$2703,MATCH(Paramètres!J49,Paramètres!$G$5:$G$57,0)),INDEX($E$2651:$E$2703,MATCH(Paramètres!J49,Paramètres!$G$5:$G$57,0)))+IF(RIGHT(TRIM(Paramètres!K49),3)="Fin",1-$H2695,IF(LEFT(TRIM(Paramètres!K49),1)="F",1,0)))),IF(Paramètres!L49="",0,IF(Paramètres!M49="",NA(),IF(LEFT(TRIM(Paramètres!M49),1)="F",INDEX($F$2651:$F$2703,MATCH(Paramètres!L49,Paramètres!$G$5:$G$57,0)),INDEX($E$2651:$E$2703,MATCH(Paramètres!L49,Paramètres!$G$5:$G$57,0)))+IF(RIGHT(TRIM(Paramètres!M49),3)="Fin",1-$H2695,IF(LEFT(TRIM(Paramètres!M49),1)="F",1,0)))),IF(Paramètres!N49="",0,IF(Paramètres!O49="",NA(),IF(LEFT(TRIM(Paramètres!O49),1)="F",INDEX($F$2651:$F$2703,MATCH(Paramètres!N49,Paramètres!$G$5:$G$57,0)),INDEX($E$2651:$E$2703,MATCH(Paramètres!N49,Paramètres!$G$5:$G$57,0)))+IF(RIGHT(TRIM(Paramètres!O49),3)="Fin",1-$H2695,IF(LEFT(TRIM(Paramètres!O49),1)="F",1,0)))))))</f>
        <v/>
      </c>
      <c r="F2695" s="19">
        <f>IF($A2695="","",E2695+$H2695-1)</f>
        <v/>
      </c>
      <c r="G2695" s="18" t="n"/>
      <c r="H2695" s="18">
        <f>IF($A2695="","",IF(I2695&lt;&gt;"",I2695,Paramètres!B49))</f>
        <v/>
      </c>
      <c r="I2695" s="18" t="n"/>
    </row>
    <row r="2696">
      <c r="A2696" s="18">
        <f>IF(ISNUMBER(Dossiers!$D$53),Dossiers!$A$53&amp;" · "&amp;Dossiers!$B$53,"")</f>
        <v/>
      </c>
      <c r="B2696" s="18">
        <f>IF($A2696="","",Paramètres!G50)</f>
        <v/>
      </c>
      <c r="C2696" s="18">
        <f>IF($A2696="","",IF(Paramètres!H50="","",Paramètres!H50))</f>
        <v/>
      </c>
      <c r="D2696" s="18">
        <f>IF($A2696="","",IF(Paramètres!I50="","",Paramètres!I50))</f>
        <v/>
      </c>
      <c r="E2696" s="19">
        <f>IF($A2696="","",IF(Paramètres!J50&amp;Paramètres!L50&amp;Paramètres!N50="",Dossiers!$D$53,MAX(IF(Paramètres!J50="",0,IF(Paramètres!K50="",NA(),IF(LEFT(TRIM(Paramètres!K50),1)="F",INDEX($F$2651:$F$2703,MATCH(Paramètres!J50,Paramètres!$G$5:$G$57,0)),INDEX($E$2651:$E$2703,MATCH(Paramètres!J50,Paramètres!$G$5:$G$57,0)))+IF(RIGHT(TRIM(Paramètres!K50),3)="Fin",1-$H2696,IF(LEFT(TRIM(Paramètres!K50),1)="F",1,0)))),IF(Paramètres!L50="",0,IF(Paramètres!M50="",NA(),IF(LEFT(TRIM(Paramètres!M50),1)="F",INDEX($F$2651:$F$2703,MATCH(Paramètres!L50,Paramètres!$G$5:$G$57,0)),INDEX($E$2651:$E$2703,MATCH(Paramètres!L50,Paramètres!$G$5:$G$57,0)))+IF(RIGHT(TRIM(Paramètres!M50),3)="Fin",1-$H2696,IF(LEFT(TRIM(Paramètres!M50),1)="F",1,0)))),IF(Paramètres!N50="",0,IF(Paramètres!O50="",NA(),IF(LEFT(TRIM(Paramètres!O50),1)="F",INDEX($F$2651:$F$2703,MATCH(Paramètres!N50,Paramètres!$G$5:$G$57,0)),INDEX($E$2651:$E$2703,MATCH(Paramètres!N50,Paramètres!$G$5:$G$57,0)))+IF(RIGHT(TRIM(Paramètres!O50),3)="Fin",1-$H2696,IF(LEFT(TRIM(Paramètres!O50),1)="F",1,0)))))))</f>
        <v/>
      </c>
      <c r="F2696" s="19">
        <f>IF($A2696="","",E2696+$H2696-1)</f>
        <v/>
      </c>
      <c r="G2696" s="18" t="n"/>
      <c r="H2696" s="18">
        <f>IF($A2696="","",IF(I2696&lt;&gt;"",I2696,Paramètres!B50))</f>
        <v/>
      </c>
      <c r="I2696" s="18" t="n"/>
    </row>
    <row r="2697">
      <c r="A2697" s="18">
        <f>IF(ISNUMBER(Dossiers!$D$53),Dossiers!$A$53&amp;" · "&amp;Dossiers!$B$53,"")</f>
        <v/>
      </c>
      <c r="B2697" s="18">
        <f>IF($A2697="","",Paramètres!G51)</f>
        <v/>
      </c>
      <c r="C2697" s="18">
        <f>IF($A2697="","",IF(Paramètres!H51="","",Paramètres!H51))</f>
        <v/>
      </c>
      <c r="D2697" s="18">
        <f>IF($A2697="","",IF(Paramètres!I51="","",Paramètres!I51))</f>
        <v/>
      </c>
      <c r="E2697" s="19">
        <f>IF($A2697="","",IF(Paramètres!J51&amp;Paramètres!L51&amp;Paramètres!N51="",Dossiers!$D$53,MAX(IF(Paramètres!J51="",0,IF(Paramètres!K51="",NA(),IF(LEFT(TRIM(Paramètres!K51),1)="F",INDEX($F$2651:$F$2703,MATCH(Paramètres!J51,Paramètres!$G$5:$G$57,0)),INDEX($E$2651:$E$2703,MATCH(Paramètres!J51,Paramètres!$G$5:$G$57,0)))+IF(RIGHT(TRIM(Paramètres!K51),3)="Fin",1-$H2697,IF(LEFT(TRIM(Paramètres!K51),1)="F",1,0)))),IF(Paramètres!L51="",0,IF(Paramètres!M51="",NA(),IF(LEFT(TRIM(Paramètres!M51),1)="F",INDEX($F$2651:$F$2703,MATCH(Paramètres!L51,Paramètres!$G$5:$G$57,0)),INDEX($E$2651:$E$2703,MATCH(Paramètres!L51,Paramètres!$G$5:$G$57,0)))+IF(RIGHT(TRIM(Paramètres!M51),3)="Fin",1-$H2697,IF(LEFT(TRIM(Paramètres!M51),1)="F",1,0)))),IF(Paramètres!N51="",0,IF(Paramètres!O51="",NA(),IF(LEFT(TRIM(Paramètres!O51),1)="F",INDEX($F$2651:$F$2703,MATCH(Paramètres!N51,Paramètres!$G$5:$G$57,0)),INDEX($E$2651:$E$2703,MATCH(Paramètres!N51,Paramètres!$G$5:$G$57,0)))+IF(RIGHT(TRIM(Paramètres!O51),3)="Fin",1-$H2697,IF(LEFT(TRIM(Paramètres!O51),1)="F",1,0)))))))</f>
        <v/>
      </c>
      <c r="F2697" s="19">
        <f>IF($A2697="","",E2697+$H2697-1)</f>
        <v/>
      </c>
      <c r="G2697" s="18" t="n"/>
      <c r="H2697" s="18">
        <f>IF($A2697="","",IF(I2697&lt;&gt;"",I2697,Paramètres!B51))</f>
        <v/>
      </c>
      <c r="I2697" s="18" t="n"/>
    </row>
    <row r="2698">
      <c r="A2698" s="18">
        <f>IF(ISNUMBER(Dossiers!$D$53),Dossiers!$A$53&amp;" · "&amp;Dossiers!$B$53,"")</f>
        <v/>
      </c>
      <c r="B2698" s="18">
        <f>IF($A2698="","",Paramètres!G52)</f>
        <v/>
      </c>
      <c r="C2698" s="18">
        <f>IF($A2698="","",IF(Paramètres!H52="","",Paramètres!H52))</f>
        <v/>
      </c>
      <c r="D2698" s="18">
        <f>IF($A2698="","",IF(Paramètres!I52="","",Paramètres!I52))</f>
        <v/>
      </c>
      <c r="E2698" s="19">
        <f>IF($A2698="","",IF(Paramètres!J52&amp;Paramètres!L52&amp;Paramètres!N52="",Dossiers!$D$53,MAX(IF(Paramètres!J52="",0,IF(Paramètres!K52="",NA(),IF(LEFT(TRIM(Paramètres!K52),1)="F",INDEX($F$2651:$F$2703,MATCH(Paramètres!J52,Paramètres!$G$5:$G$57,0)),INDEX($E$2651:$E$2703,MATCH(Paramètres!J52,Paramètres!$G$5:$G$57,0)))+IF(RIGHT(TRIM(Paramètres!K52),3)="Fin",1-$H2698,IF(LEFT(TRIM(Paramètres!K52),1)="F",1,0)))),IF(Paramètres!L52="",0,IF(Paramètres!M52="",NA(),IF(LEFT(TRIM(Paramètres!M52),1)="F",INDEX($F$2651:$F$2703,MATCH(Paramètres!L52,Paramètres!$G$5:$G$57,0)),INDEX($E$2651:$E$2703,MATCH(Paramètres!L52,Paramètres!$G$5:$G$57,0)))+IF(RIGHT(TRIM(Paramètres!M52),3)="Fin",1-$H2698,IF(LEFT(TRIM(Paramètres!M52),1)="F",1,0)))),IF(Paramètres!N52="",0,IF(Paramètres!O52="",NA(),IF(LEFT(TRIM(Paramètres!O52),1)="F",INDEX($F$2651:$F$2703,MATCH(Paramètres!N52,Paramètres!$G$5:$G$57,0)),INDEX($E$2651:$E$2703,MATCH(Paramètres!N52,Paramètres!$G$5:$G$57,0)))+IF(RIGHT(TRIM(Paramètres!O52),3)="Fin",1-$H2698,IF(LEFT(TRIM(Paramètres!O52),1)="F",1,0)))))))</f>
        <v/>
      </c>
      <c r="F2698" s="19">
        <f>IF($A2698="","",E2698+$H2698-1)</f>
        <v/>
      </c>
      <c r="G2698" s="18" t="n"/>
      <c r="H2698" s="18">
        <f>IF($A2698="","",IF(I2698&lt;&gt;"",I2698,Paramètres!B52))</f>
        <v/>
      </c>
      <c r="I2698" s="18" t="n"/>
    </row>
    <row r="2699">
      <c r="A2699" s="18">
        <f>IF(ISNUMBER(Dossiers!$D$53),Dossiers!$A$53&amp;" · "&amp;Dossiers!$B$53,"")</f>
        <v/>
      </c>
      <c r="B2699" s="18">
        <f>IF($A2699="","",Paramètres!G53)</f>
        <v/>
      </c>
      <c r="C2699" s="18">
        <f>IF($A2699="","",IF(Paramètres!H53="","",Paramètres!H53))</f>
        <v/>
      </c>
      <c r="D2699" s="18">
        <f>IF($A2699="","",IF(Paramètres!I53="","",Paramètres!I53))</f>
        <v/>
      </c>
      <c r="E2699" s="19">
        <f>IF($A2699="","",IF(Paramètres!J53&amp;Paramètres!L53&amp;Paramètres!N53="",Dossiers!$D$53,MAX(IF(Paramètres!J53="",0,IF(Paramètres!K53="",NA(),IF(LEFT(TRIM(Paramètres!K53),1)="F",INDEX($F$2651:$F$2703,MATCH(Paramètres!J53,Paramètres!$G$5:$G$57,0)),INDEX($E$2651:$E$2703,MATCH(Paramètres!J53,Paramètres!$G$5:$G$57,0)))+IF(RIGHT(TRIM(Paramètres!K53),3)="Fin",1-$H2699,IF(LEFT(TRIM(Paramètres!K53),1)="F",1,0)))),IF(Paramètres!L53="",0,IF(Paramètres!M53="",NA(),IF(LEFT(TRIM(Paramètres!M53),1)="F",INDEX($F$2651:$F$2703,MATCH(Paramètres!L53,Paramètres!$G$5:$G$57,0)),INDEX($E$2651:$E$2703,MATCH(Paramètres!L53,Paramètres!$G$5:$G$57,0)))+IF(RIGHT(TRIM(Paramètres!M53),3)="Fin",1-$H2699,IF(LEFT(TRIM(Paramètres!M53),1)="F",1,0)))),IF(Paramètres!N53="",0,IF(Paramètres!O53="",NA(),IF(LEFT(TRIM(Paramètres!O53),1)="F",INDEX($F$2651:$F$2703,MATCH(Paramètres!N53,Paramètres!$G$5:$G$57,0)),INDEX($E$2651:$E$2703,MATCH(Paramètres!N53,Paramètres!$G$5:$G$57,0)))+IF(RIGHT(TRIM(Paramètres!O53),3)="Fin",1-$H2699,IF(LEFT(TRIM(Paramètres!O53),1)="F",1,0)))))))</f>
        <v/>
      </c>
      <c r="F2699" s="19">
        <f>IF($A2699="","",E2699+$H2699-1)</f>
        <v/>
      </c>
      <c r="G2699" s="18" t="n"/>
      <c r="H2699" s="18">
        <f>IF($A2699="","",IF(I2699&lt;&gt;"",I2699,Paramètres!B53))</f>
        <v/>
      </c>
      <c r="I2699" s="18" t="n"/>
    </row>
    <row r="2700">
      <c r="A2700" s="18">
        <f>IF(ISNUMBER(Dossiers!$D$53),Dossiers!$A$53&amp;" · "&amp;Dossiers!$B$53,"")</f>
        <v/>
      </c>
      <c r="B2700" s="18">
        <f>IF($A2700="","",Paramètres!G54)</f>
        <v/>
      </c>
      <c r="C2700" s="18">
        <f>IF($A2700="","",IF(Paramètres!H54="","",Paramètres!H54))</f>
        <v/>
      </c>
      <c r="D2700" s="18">
        <f>IF($A2700="","",IF(Paramètres!I54="","",Paramètres!I54))</f>
        <v/>
      </c>
      <c r="E2700" s="19">
        <f>IF($A2700="","",IF(Paramètres!J54&amp;Paramètres!L54&amp;Paramètres!N54="",Dossiers!$D$53,MAX(IF(Paramètres!J54="",0,IF(Paramètres!K54="",NA(),IF(LEFT(TRIM(Paramètres!K54),1)="F",INDEX($F$2651:$F$2703,MATCH(Paramètres!J54,Paramètres!$G$5:$G$57,0)),INDEX($E$2651:$E$2703,MATCH(Paramètres!J54,Paramètres!$G$5:$G$57,0)))+IF(RIGHT(TRIM(Paramètres!K54),3)="Fin",1-$H2700,IF(LEFT(TRIM(Paramètres!K54),1)="F",1,0)))),IF(Paramètres!L54="",0,IF(Paramètres!M54="",NA(),IF(LEFT(TRIM(Paramètres!M54),1)="F",INDEX($F$2651:$F$2703,MATCH(Paramètres!L54,Paramètres!$G$5:$G$57,0)),INDEX($E$2651:$E$2703,MATCH(Paramètres!L54,Paramètres!$G$5:$G$57,0)))+IF(RIGHT(TRIM(Paramètres!M54),3)="Fin",1-$H2700,IF(LEFT(TRIM(Paramètres!M54),1)="F",1,0)))),IF(Paramètres!N54="",0,IF(Paramètres!O54="",NA(),IF(LEFT(TRIM(Paramètres!O54),1)="F",INDEX($F$2651:$F$2703,MATCH(Paramètres!N54,Paramètres!$G$5:$G$57,0)),INDEX($E$2651:$E$2703,MATCH(Paramètres!N54,Paramètres!$G$5:$G$57,0)))+IF(RIGHT(TRIM(Paramètres!O54),3)="Fin",1-$H2700,IF(LEFT(TRIM(Paramètres!O54),1)="F",1,0)))))))</f>
        <v/>
      </c>
      <c r="F2700" s="19">
        <f>IF($A2700="","",E2700+$H2700-1)</f>
        <v/>
      </c>
      <c r="G2700" s="18" t="n"/>
      <c r="H2700" s="18">
        <f>IF($A2700="","",IF(I2700&lt;&gt;"",I2700,Paramètres!B54))</f>
        <v/>
      </c>
      <c r="I2700" s="18" t="n"/>
    </row>
    <row r="2701">
      <c r="A2701" s="18">
        <f>IF(ISNUMBER(Dossiers!$D$53),Dossiers!$A$53&amp;" · "&amp;Dossiers!$B$53,"")</f>
        <v/>
      </c>
      <c r="B2701" s="18">
        <f>IF($A2701="","",Paramètres!G55)</f>
        <v/>
      </c>
      <c r="C2701" s="18">
        <f>IF($A2701="","",IF(Paramètres!H55="","",Paramètres!H55))</f>
        <v/>
      </c>
      <c r="D2701" s="18">
        <f>IF($A2701="","",IF(Paramètres!I55="","",Paramètres!I55))</f>
        <v/>
      </c>
      <c r="E2701" s="19">
        <f>IF($A2701="","",IF(Paramètres!J55&amp;Paramètres!L55&amp;Paramètres!N55="",Dossiers!$D$53,MAX(IF(Paramètres!J55="",0,IF(Paramètres!K55="",NA(),IF(LEFT(TRIM(Paramètres!K55),1)="F",INDEX($F$2651:$F$2703,MATCH(Paramètres!J55,Paramètres!$G$5:$G$57,0)),INDEX($E$2651:$E$2703,MATCH(Paramètres!J55,Paramètres!$G$5:$G$57,0)))+IF(RIGHT(TRIM(Paramètres!K55),3)="Fin",1-$H2701,IF(LEFT(TRIM(Paramètres!K55),1)="F",1,0)))),IF(Paramètres!L55="",0,IF(Paramètres!M55="",NA(),IF(LEFT(TRIM(Paramètres!M55),1)="F",INDEX($F$2651:$F$2703,MATCH(Paramètres!L55,Paramètres!$G$5:$G$57,0)),INDEX($E$2651:$E$2703,MATCH(Paramètres!L55,Paramètres!$G$5:$G$57,0)))+IF(RIGHT(TRIM(Paramètres!M55),3)="Fin",1-$H2701,IF(LEFT(TRIM(Paramètres!M55),1)="F",1,0)))),IF(Paramètres!N55="",0,IF(Paramètres!O55="",NA(),IF(LEFT(TRIM(Paramètres!O55),1)="F",INDEX($F$2651:$F$2703,MATCH(Paramètres!N55,Paramètres!$G$5:$G$57,0)),INDEX($E$2651:$E$2703,MATCH(Paramètres!N55,Paramètres!$G$5:$G$57,0)))+IF(RIGHT(TRIM(Paramètres!O55),3)="Fin",1-$H2701,IF(LEFT(TRIM(Paramètres!O55),1)="F",1,0)))))))</f>
        <v/>
      </c>
      <c r="F2701" s="19">
        <f>IF($A2701="","",E2701+$H2701-1)</f>
        <v/>
      </c>
      <c r="G2701" s="18" t="n"/>
      <c r="H2701" s="18">
        <f>IF($A2701="","",IF(I2701&lt;&gt;"",I2701,Paramètres!B55))</f>
        <v/>
      </c>
      <c r="I2701" s="18" t="n"/>
    </row>
    <row r="2702">
      <c r="A2702" s="18">
        <f>IF(ISNUMBER(Dossiers!$D$53),Dossiers!$A$53&amp;" · "&amp;Dossiers!$B$53,"")</f>
        <v/>
      </c>
      <c r="B2702" s="18">
        <f>IF($A2702="","",Paramètres!G56)</f>
        <v/>
      </c>
      <c r="C2702" s="18">
        <f>IF($A2702="","",IF(Paramètres!H56="","",Paramètres!H56))</f>
        <v/>
      </c>
      <c r="D2702" s="18">
        <f>IF($A2702="","",IF(Paramètres!I56="","",Paramètres!I56))</f>
        <v/>
      </c>
      <c r="E2702" s="19">
        <f>IF($A2702="","",MIN(E2703:E2703))</f>
        <v/>
      </c>
      <c r="F2702" s="19">
        <f>IF($A2702="","",MAX(F2703:F2703))</f>
        <v/>
      </c>
      <c r="G2702" s="18" t="n"/>
      <c r="H2702" s="18">
        <f>IF($A2702="","",F2702-E2702+1)</f>
        <v/>
      </c>
      <c r="I2702" s="18" t="n"/>
    </row>
    <row r="2703">
      <c r="A2703" s="18">
        <f>IF(ISNUMBER(Dossiers!$D$53),Dossiers!$A$53&amp;" · "&amp;Dossiers!$B$53,"")</f>
        <v/>
      </c>
      <c r="B2703" s="18">
        <f>IF($A2703="","",Paramètres!G57)</f>
        <v/>
      </c>
      <c r="C2703" s="18">
        <f>IF($A2703="","",IF(Paramètres!H57="","",Paramètres!H57))</f>
        <v/>
      </c>
      <c r="D2703" s="18">
        <f>IF($A2703="","",IF(Paramètres!I57="","",Paramètres!I57))</f>
        <v/>
      </c>
      <c r="E2703" s="19">
        <f>IF($A2703="","",IF(Paramètres!J57&amp;Paramètres!L57&amp;Paramètres!N57="",Dossiers!$D$53,MAX(IF(Paramètres!J57="",0,IF(Paramètres!K57="",NA(),IF(LEFT(TRIM(Paramètres!K57),1)="F",INDEX($F$2651:$F$2703,MATCH(Paramètres!J57,Paramètres!$G$5:$G$57,0)),INDEX($E$2651:$E$2703,MATCH(Paramètres!J57,Paramètres!$G$5:$G$57,0)))+IF(RIGHT(TRIM(Paramètres!K57),3)="Fin",1-$H2703,IF(LEFT(TRIM(Paramètres!K57),1)="F",1,0)))),IF(Paramètres!L57="",0,IF(Paramètres!M57="",NA(),IF(LEFT(TRIM(Paramètres!M57),1)="F",INDEX($F$2651:$F$2703,MATCH(Paramètres!L57,Paramètres!$G$5:$G$57,0)),INDEX($E$2651:$E$2703,MATCH(Paramètres!L57,Paramètres!$G$5:$G$57,0)))+IF(RIGHT(TRIM(Paramètres!M57),3)="Fin",1-$H2703,IF(LEFT(TRIM(Paramètres!M57),1)="F",1,0)))),IF(Paramètres!N57="",0,IF(Paramètres!O57="",NA(),IF(LEFT(TRIM(Paramètres!O57),1)="F",INDEX($F$2651:$F$2703,MATCH(Paramètres!N57,Paramètres!$G$5:$G$57,0)),INDEX($E$2651:$E$2703,MATCH(Paramètres!N57,Paramètres!$G$5:$G$57,0)))+IF(RIGHT(TRIM(Paramètres!O57),3)="Fin",1-$H2703,IF(LEFT(TRIM(Paramètres!O57),1)="F",1,0)))))))</f>
        <v/>
      </c>
      <c r="F2703" s="19">
        <f>IF($A2703="","",E2703+$H2703-1)</f>
        <v/>
      </c>
      <c r="G2703" s="18" t="n"/>
      <c r="H2703" s="18">
        <f>IF($A2703="","",IF(I2703&lt;&gt;"",I2703,Paramètres!B57))</f>
        <v/>
      </c>
      <c r="I2703" s="18" t="n"/>
    </row>
    <row r="2704">
      <c r="A2704" s="16">
        <f>IF(ISNUMBER(Dossiers!$D$54),Dossiers!$E$54,"")</f>
        <v/>
      </c>
      <c r="B2704" s="16">
        <f>IF($A2704="","","Identifiant")</f>
        <v/>
      </c>
      <c r="C2704" s="16">
        <f>IF($A2704="","","Macro Etape")</f>
        <v/>
      </c>
      <c r="D2704" s="16">
        <f>IF($A2704="","","Etape")</f>
        <v/>
      </c>
      <c r="E2704" s="17">
        <f>IF($A2704="","","Début le")</f>
        <v/>
      </c>
      <c r="F2704" s="17">
        <f>IF($A2704="","","Fin prévue le")</f>
        <v/>
      </c>
      <c r="G2704" s="16">
        <f>IF($A2704="","","Statut")</f>
        <v/>
      </c>
      <c r="H2704" s="16">
        <f>IF($A2704="","","Durée (jours)")</f>
        <v/>
      </c>
      <c r="I2704" s="16">
        <f>IF($A2704="","","Durée particulière")</f>
        <v/>
      </c>
      <c r="J2704" s="10">
        <f>IF($A2704="","",HYPERLINK("#'Tableau de bord'!A1","↑ Tableau de bord"))</f>
        <v/>
      </c>
    </row>
    <row r="2705">
      <c r="A2705" s="18">
        <f>IF(ISNUMBER(Dossiers!$D$54),Dossiers!$A$54&amp;" · "&amp;Dossiers!$B$54,"")</f>
        <v/>
      </c>
      <c r="B2705" s="18">
        <f>IF($A2705="","",Paramètres!G5)</f>
        <v/>
      </c>
      <c r="C2705" s="18">
        <f>IF($A2705="","",IF(Paramètres!H5="","",Paramètres!H5))</f>
        <v/>
      </c>
      <c r="D2705" s="18">
        <f>IF($A2705="","",IF(Paramètres!I5="","",Paramètres!I5))</f>
        <v/>
      </c>
      <c r="E2705" s="19">
        <f>IF($A2705="","",MIN(E2706:E2709))</f>
        <v/>
      </c>
      <c r="F2705" s="19">
        <f>IF($A2705="","",MAX(F2706:F2709))</f>
        <v/>
      </c>
      <c r="G2705" s="18" t="n"/>
      <c r="H2705" s="18">
        <f>IF($A2705="","",F2705-E2705+1)</f>
        <v/>
      </c>
      <c r="I2705" s="18" t="n"/>
    </row>
    <row r="2706">
      <c r="A2706" s="18">
        <f>IF(ISNUMBER(Dossiers!$D$54),Dossiers!$A$54&amp;" · "&amp;Dossiers!$B$54,"")</f>
        <v/>
      </c>
      <c r="B2706" s="18">
        <f>IF($A2706="","",Paramètres!G6)</f>
        <v/>
      </c>
      <c r="C2706" s="18">
        <f>IF($A2706="","",IF(Paramètres!H6="","",Paramètres!H6))</f>
        <v/>
      </c>
      <c r="D2706" s="18">
        <f>IF($A2706="","",IF(Paramètres!I6="","",Paramètres!I6))</f>
        <v/>
      </c>
      <c r="E2706" s="19">
        <f>IF($A2706="","",IF(Paramètres!J6&amp;Paramètres!L6&amp;Paramètres!N6="",Dossiers!$D$54,MAX(IF(Paramètres!J6="",0,IF(Paramètres!K6="",NA(),IF(LEFT(TRIM(Paramètres!K6),1)="F",INDEX($F$2705:$F$2757,MATCH(Paramètres!J6,Paramètres!$G$5:$G$57,0)),INDEX($E$2705:$E$2757,MATCH(Paramètres!J6,Paramètres!$G$5:$G$57,0)))+IF(RIGHT(TRIM(Paramètres!K6),3)="Fin",1-$H2706,IF(LEFT(TRIM(Paramètres!K6),1)="F",1,0)))),IF(Paramètres!L6="",0,IF(Paramètres!M6="",NA(),IF(LEFT(TRIM(Paramètres!M6),1)="F",INDEX($F$2705:$F$2757,MATCH(Paramètres!L6,Paramètres!$G$5:$G$57,0)),INDEX($E$2705:$E$2757,MATCH(Paramètres!L6,Paramètres!$G$5:$G$57,0)))+IF(RIGHT(TRIM(Paramètres!M6),3)="Fin",1-$H2706,IF(LEFT(TRIM(Paramètres!M6),1)="F",1,0)))),IF(Paramètres!N6="",0,IF(Paramètres!O6="",NA(),IF(LEFT(TRIM(Paramètres!O6),1)="F",INDEX($F$2705:$F$2757,MATCH(Paramètres!N6,Paramètres!$G$5:$G$57,0)),INDEX($E$2705:$E$2757,MATCH(Paramètres!N6,Paramètres!$G$5:$G$57,0)))+IF(RIGHT(TRIM(Paramètres!O6),3)="Fin",1-$H2706,IF(LEFT(TRIM(Paramètres!O6),1)="F",1,0)))))))</f>
        <v/>
      </c>
      <c r="F2706" s="19">
        <f>IF($A2706="","",E2706+$H2706-1)</f>
        <v/>
      </c>
      <c r="G2706" s="18" t="n"/>
      <c r="H2706" s="18">
        <f>IF($A2706="","",IF(I2706&lt;&gt;"",I2706,Paramètres!B6))</f>
        <v/>
      </c>
      <c r="I2706" s="18" t="n"/>
    </row>
    <row r="2707">
      <c r="A2707" s="18">
        <f>IF(ISNUMBER(Dossiers!$D$54),Dossiers!$A$54&amp;" · "&amp;Dossiers!$B$54,"")</f>
        <v/>
      </c>
      <c r="B2707" s="18">
        <f>IF($A2707="","",Paramètres!G7)</f>
        <v/>
      </c>
      <c r="C2707" s="18">
        <f>IF($A2707="","",IF(Paramètres!H7="","",Paramètres!H7))</f>
        <v/>
      </c>
      <c r="D2707" s="18">
        <f>IF($A2707="","",IF(Paramètres!I7="","",Paramètres!I7))</f>
        <v/>
      </c>
      <c r="E2707" s="19">
        <f>IF($A2707="","",IF(Paramètres!J7&amp;Paramètres!L7&amp;Paramètres!N7="",Dossiers!$D$54,MAX(IF(Paramètres!J7="",0,IF(Paramètres!K7="",NA(),IF(LEFT(TRIM(Paramètres!K7),1)="F",INDEX($F$2705:$F$2757,MATCH(Paramètres!J7,Paramètres!$G$5:$G$57,0)),INDEX($E$2705:$E$2757,MATCH(Paramètres!J7,Paramètres!$G$5:$G$57,0)))+IF(RIGHT(TRIM(Paramètres!K7),3)="Fin",1-$H2707,IF(LEFT(TRIM(Paramètres!K7),1)="F",1,0)))),IF(Paramètres!L7="",0,IF(Paramètres!M7="",NA(),IF(LEFT(TRIM(Paramètres!M7),1)="F",INDEX($F$2705:$F$2757,MATCH(Paramètres!L7,Paramètres!$G$5:$G$57,0)),INDEX($E$2705:$E$2757,MATCH(Paramètres!L7,Paramètres!$G$5:$G$57,0)))+IF(RIGHT(TRIM(Paramètres!M7),3)="Fin",1-$H2707,IF(LEFT(TRIM(Paramètres!M7),1)="F",1,0)))),IF(Paramètres!N7="",0,IF(Paramètres!O7="",NA(),IF(LEFT(TRIM(Paramètres!O7),1)="F",INDEX($F$2705:$F$2757,MATCH(Paramètres!N7,Paramètres!$G$5:$G$57,0)),INDEX($E$2705:$E$2757,MATCH(Paramètres!N7,Paramètres!$G$5:$G$57,0)))+IF(RIGHT(TRIM(Paramètres!O7),3)="Fin",1-$H2707,IF(LEFT(TRIM(Paramètres!O7),1)="F",1,0)))))))</f>
        <v/>
      </c>
      <c r="F2707" s="19">
        <f>IF($A2707="","",E2707+$H2707-1)</f>
        <v/>
      </c>
      <c r="G2707" s="18" t="n"/>
      <c r="H2707" s="18">
        <f>IF($A2707="","",IF(I2707&lt;&gt;"",I2707,Paramètres!B7))</f>
        <v/>
      </c>
      <c r="I2707" s="18" t="n"/>
    </row>
    <row r="2708">
      <c r="A2708" s="18">
        <f>IF(ISNUMBER(Dossiers!$D$54),Dossiers!$A$54&amp;" · "&amp;Dossiers!$B$54,"")</f>
        <v/>
      </c>
      <c r="B2708" s="18">
        <f>IF($A2708="","",Paramètres!G8)</f>
        <v/>
      </c>
      <c r="C2708" s="18">
        <f>IF($A2708="","",IF(Paramètres!H8="","",Paramètres!H8))</f>
        <v/>
      </c>
      <c r="D2708" s="18">
        <f>IF($A2708="","",IF(Paramètres!I8="","",Paramètres!I8))</f>
        <v/>
      </c>
      <c r="E2708" s="19">
        <f>IF($A2708="","",IF(Paramètres!J8&amp;Paramètres!L8&amp;Paramètres!N8="",Dossiers!$D$54,MAX(IF(Paramètres!J8="",0,IF(Paramètres!K8="",NA(),IF(LEFT(TRIM(Paramètres!K8),1)="F",INDEX($F$2705:$F$2757,MATCH(Paramètres!J8,Paramètres!$G$5:$G$57,0)),INDEX($E$2705:$E$2757,MATCH(Paramètres!J8,Paramètres!$G$5:$G$57,0)))+IF(RIGHT(TRIM(Paramètres!K8),3)="Fin",1-$H2708,IF(LEFT(TRIM(Paramètres!K8),1)="F",1,0)))),IF(Paramètres!L8="",0,IF(Paramètres!M8="",NA(),IF(LEFT(TRIM(Paramètres!M8),1)="F",INDEX($F$2705:$F$2757,MATCH(Paramètres!L8,Paramètres!$G$5:$G$57,0)),INDEX($E$2705:$E$2757,MATCH(Paramètres!L8,Paramètres!$G$5:$G$57,0)))+IF(RIGHT(TRIM(Paramètres!M8),3)="Fin",1-$H2708,IF(LEFT(TRIM(Paramètres!M8),1)="F",1,0)))),IF(Paramètres!N8="",0,IF(Paramètres!O8="",NA(),IF(LEFT(TRIM(Paramètres!O8),1)="F",INDEX($F$2705:$F$2757,MATCH(Paramètres!N8,Paramètres!$G$5:$G$57,0)),INDEX($E$2705:$E$2757,MATCH(Paramètres!N8,Paramètres!$G$5:$G$57,0)))+IF(RIGHT(TRIM(Paramètres!O8),3)="Fin",1-$H2708,IF(LEFT(TRIM(Paramètres!O8),1)="F",1,0)))))))</f>
        <v/>
      </c>
      <c r="F2708" s="19">
        <f>IF($A2708="","",E2708+$H2708-1)</f>
        <v/>
      </c>
      <c r="G2708" s="18" t="n"/>
      <c r="H2708" s="18">
        <f>IF($A2708="","",IF(I2708&lt;&gt;"",I2708,Paramètres!B8))</f>
        <v/>
      </c>
      <c r="I2708" s="18" t="n"/>
    </row>
    <row r="2709">
      <c r="A2709" s="18">
        <f>IF(ISNUMBER(Dossiers!$D$54),Dossiers!$A$54&amp;" · "&amp;Dossiers!$B$54,"")</f>
        <v/>
      </c>
      <c r="B2709" s="18">
        <f>IF($A2709="","",Paramètres!G9)</f>
        <v/>
      </c>
      <c r="C2709" s="18">
        <f>IF($A2709="","",IF(Paramètres!H9="","",Paramètres!H9))</f>
        <v/>
      </c>
      <c r="D2709" s="18">
        <f>IF($A2709="","",IF(Paramètres!I9="","",Paramètres!I9))</f>
        <v/>
      </c>
      <c r="E2709" s="19">
        <f>IF($A2709="","",IF(Paramètres!J9&amp;Paramètres!L9&amp;Paramètres!N9="",Dossiers!$D$54,MAX(IF(Paramètres!J9="",0,IF(Paramètres!K9="",NA(),IF(LEFT(TRIM(Paramètres!K9),1)="F",INDEX($F$2705:$F$2757,MATCH(Paramètres!J9,Paramètres!$G$5:$G$57,0)),INDEX($E$2705:$E$2757,MATCH(Paramètres!J9,Paramètres!$G$5:$G$57,0)))+IF(RIGHT(TRIM(Paramètres!K9),3)="Fin",1-$H2709,IF(LEFT(TRIM(Paramètres!K9),1)="F",1,0)))),IF(Paramètres!L9="",0,IF(Paramètres!M9="",NA(),IF(LEFT(TRIM(Paramètres!M9),1)="F",INDEX($F$2705:$F$2757,MATCH(Paramètres!L9,Paramètres!$G$5:$G$57,0)),INDEX($E$2705:$E$2757,MATCH(Paramètres!L9,Paramètres!$G$5:$G$57,0)))+IF(RIGHT(TRIM(Paramètres!M9),3)="Fin",1-$H2709,IF(LEFT(TRIM(Paramètres!M9),1)="F",1,0)))),IF(Paramètres!N9="",0,IF(Paramètres!O9="",NA(),IF(LEFT(TRIM(Paramètres!O9),1)="F",INDEX($F$2705:$F$2757,MATCH(Paramètres!N9,Paramètres!$G$5:$G$57,0)),INDEX($E$2705:$E$2757,MATCH(Paramètres!N9,Paramètres!$G$5:$G$57,0)))+IF(RIGHT(TRIM(Paramètres!O9),3)="Fin",1-$H2709,IF(LEFT(TRIM(Paramètres!O9),1)="F",1,0)))))))</f>
        <v/>
      </c>
      <c r="F2709" s="19">
        <f>IF($A2709="","",E2709+$H2709-1)</f>
        <v/>
      </c>
      <c r="G2709" s="18" t="n"/>
      <c r="H2709" s="18">
        <f>IF($A2709="","",IF(I2709&lt;&gt;"",I2709,Paramètres!B9))</f>
        <v/>
      </c>
      <c r="I2709" s="18" t="n"/>
    </row>
    <row r="2710">
      <c r="A2710" s="18">
        <f>IF(ISNUMBER(Dossiers!$D$54),Dossiers!$A$54&amp;" · "&amp;Dossiers!$B$54,"")</f>
        <v/>
      </c>
      <c r="B2710" s="18">
        <f>IF($A2710="","",Paramètres!G10)</f>
        <v/>
      </c>
      <c r="C2710" s="18">
        <f>IF($A2710="","",IF(Paramètres!H10="","",Paramètres!H10))</f>
        <v/>
      </c>
      <c r="D2710" s="18">
        <f>IF($A2710="","",IF(Paramètres!I10="","",Paramètres!I10))</f>
        <v/>
      </c>
      <c r="E2710" s="19">
        <f>IF($A2710="","",MIN(E2711:E2714))</f>
        <v/>
      </c>
      <c r="F2710" s="19">
        <f>IF($A2710="","",MAX(F2711:F2714))</f>
        <v/>
      </c>
      <c r="G2710" s="18" t="n"/>
      <c r="H2710" s="18">
        <f>IF($A2710="","",F2710-E2710+1)</f>
        <v/>
      </c>
      <c r="I2710" s="18" t="n"/>
    </row>
    <row r="2711">
      <c r="A2711" s="18">
        <f>IF(ISNUMBER(Dossiers!$D$54),Dossiers!$A$54&amp;" · "&amp;Dossiers!$B$54,"")</f>
        <v/>
      </c>
      <c r="B2711" s="18">
        <f>IF($A2711="","",Paramètres!G11)</f>
        <v/>
      </c>
      <c r="C2711" s="18">
        <f>IF($A2711="","",IF(Paramètres!H11="","",Paramètres!H11))</f>
        <v/>
      </c>
      <c r="D2711" s="18">
        <f>IF($A2711="","",IF(Paramètres!I11="","",Paramètres!I11))</f>
        <v/>
      </c>
      <c r="E2711" s="19">
        <f>IF($A2711="","",IF(Paramètres!J11&amp;Paramètres!L11&amp;Paramètres!N11="",Dossiers!$D$54,MAX(IF(Paramètres!J11="",0,IF(Paramètres!K11="",NA(),IF(LEFT(TRIM(Paramètres!K11),1)="F",INDEX($F$2705:$F$2757,MATCH(Paramètres!J11,Paramètres!$G$5:$G$57,0)),INDEX($E$2705:$E$2757,MATCH(Paramètres!J11,Paramètres!$G$5:$G$57,0)))+IF(RIGHT(TRIM(Paramètres!K11),3)="Fin",1-$H2711,IF(LEFT(TRIM(Paramètres!K11),1)="F",1,0)))),IF(Paramètres!L11="",0,IF(Paramètres!M11="",NA(),IF(LEFT(TRIM(Paramètres!M11),1)="F",INDEX($F$2705:$F$2757,MATCH(Paramètres!L11,Paramètres!$G$5:$G$57,0)),INDEX($E$2705:$E$2757,MATCH(Paramètres!L11,Paramètres!$G$5:$G$57,0)))+IF(RIGHT(TRIM(Paramètres!M11),3)="Fin",1-$H2711,IF(LEFT(TRIM(Paramètres!M11),1)="F",1,0)))),IF(Paramètres!N11="",0,IF(Paramètres!O11="",NA(),IF(LEFT(TRIM(Paramètres!O11),1)="F",INDEX($F$2705:$F$2757,MATCH(Paramètres!N11,Paramètres!$G$5:$G$57,0)),INDEX($E$2705:$E$2757,MATCH(Paramètres!N11,Paramètres!$G$5:$G$57,0)))+IF(RIGHT(TRIM(Paramètres!O11),3)="Fin",1-$H2711,IF(LEFT(TRIM(Paramètres!O11),1)="F",1,0)))))))</f>
        <v/>
      </c>
      <c r="F2711" s="19">
        <f>IF($A2711="","",E2711+$H2711-1)</f>
        <v/>
      </c>
      <c r="G2711" s="18" t="n"/>
      <c r="H2711" s="18">
        <f>IF($A2711="","",IF(I2711&lt;&gt;"",I2711,Paramètres!B11))</f>
        <v/>
      </c>
      <c r="I2711" s="18" t="n"/>
    </row>
    <row r="2712">
      <c r="A2712" s="18">
        <f>IF(ISNUMBER(Dossiers!$D$54),Dossiers!$A$54&amp;" · "&amp;Dossiers!$B$54,"")</f>
        <v/>
      </c>
      <c r="B2712" s="18">
        <f>IF($A2712="","",Paramètres!G12)</f>
        <v/>
      </c>
      <c r="C2712" s="18">
        <f>IF($A2712="","",IF(Paramètres!H12="","",Paramètres!H12))</f>
        <v/>
      </c>
      <c r="D2712" s="18">
        <f>IF($A2712="","",IF(Paramètres!I12="","",Paramètres!I12))</f>
        <v/>
      </c>
      <c r="E2712" s="19">
        <f>IF($A2712="","",IF(Paramètres!J12&amp;Paramètres!L12&amp;Paramètres!N12="",Dossiers!$D$54,MAX(IF(Paramètres!J12="",0,IF(Paramètres!K12="",NA(),IF(LEFT(TRIM(Paramètres!K12),1)="F",INDEX($F$2705:$F$2757,MATCH(Paramètres!J12,Paramètres!$G$5:$G$57,0)),INDEX($E$2705:$E$2757,MATCH(Paramètres!J12,Paramètres!$G$5:$G$57,0)))+IF(RIGHT(TRIM(Paramètres!K12),3)="Fin",1-$H2712,IF(LEFT(TRIM(Paramètres!K12),1)="F",1,0)))),IF(Paramètres!L12="",0,IF(Paramètres!M12="",NA(),IF(LEFT(TRIM(Paramètres!M12),1)="F",INDEX($F$2705:$F$2757,MATCH(Paramètres!L12,Paramètres!$G$5:$G$57,0)),INDEX($E$2705:$E$2757,MATCH(Paramètres!L12,Paramètres!$G$5:$G$57,0)))+IF(RIGHT(TRIM(Paramètres!M12),3)="Fin",1-$H2712,IF(LEFT(TRIM(Paramètres!M12),1)="F",1,0)))),IF(Paramètres!N12="",0,IF(Paramètres!O12="",NA(),IF(LEFT(TRIM(Paramètres!O12),1)="F",INDEX($F$2705:$F$2757,MATCH(Paramètres!N12,Paramètres!$G$5:$G$57,0)),INDEX($E$2705:$E$2757,MATCH(Paramètres!N12,Paramètres!$G$5:$G$57,0)))+IF(RIGHT(TRIM(Paramètres!O12),3)="Fin",1-$H2712,IF(LEFT(TRIM(Paramètres!O12),1)="F",1,0)))))))</f>
        <v/>
      </c>
      <c r="F2712" s="19">
        <f>IF($A2712="","",E2712+$H2712-1)</f>
        <v/>
      </c>
      <c r="G2712" s="18" t="n"/>
      <c r="H2712" s="18">
        <f>IF($A2712="","",IF(I2712&lt;&gt;"",I2712,Paramètres!B12))</f>
        <v/>
      </c>
      <c r="I2712" s="18" t="n"/>
    </row>
    <row r="2713">
      <c r="A2713" s="18">
        <f>IF(ISNUMBER(Dossiers!$D$54),Dossiers!$A$54&amp;" · "&amp;Dossiers!$B$54,"")</f>
        <v/>
      </c>
      <c r="B2713" s="18">
        <f>IF($A2713="","",Paramètres!G13)</f>
        <v/>
      </c>
      <c r="C2713" s="18">
        <f>IF($A2713="","",IF(Paramètres!H13="","",Paramètres!H13))</f>
        <v/>
      </c>
      <c r="D2713" s="18">
        <f>IF($A2713="","",IF(Paramètres!I13="","",Paramètres!I13))</f>
        <v/>
      </c>
      <c r="E2713" s="19">
        <f>IF($A2713="","",IF(Paramètres!J13&amp;Paramètres!L13&amp;Paramètres!N13="",Dossiers!$D$54,MAX(IF(Paramètres!J13="",0,IF(Paramètres!K13="",NA(),IF(LEFT(TRIM(Paramètres!K13),1)="F",INDEX($F$2705:$F$2757,MATCH(Paramètres!J13,Paramètres!$G$5:$G$57,0)),INDEX($E$2705:$E$2757,MATCH(Paramètres!J13,Paramètres!$G$5:$G$57,0)))+IF(RIGHT(TRIM(Paramètres!K13),3)="Fin",1-$H2713,IF(LEFT(TRIM(Paramètres!K13),1)="F",1,0)))),IF(Paramètres!L13="",0,IF(Paramètres!M13="",NA(),IF(LEFT(TRIM(Paramètres!M13),1)="F",INDEX($F$2705:$F$2757,MATCH(Paramètres!L13,Paramètres!$G$5:$G$57,0)),INDEX($E$2705:$E$2757,MATCH(Paramètres!L13,Paramètres!$G$5:$G$57,0)))+IF(RIGHT(TRIM(Paramètres!M13),3)="Fin",1-$H2713,IF(LEFT(TRIM(Paramètres!M13),1)="F",1,0)))),IF(Paramètres!N13="",0,IF(Paramètres!O13="",NA(),IF(LEFT(TRIM(Paramètres!O13),1)="F",INDEX($F$2705:$F$2757,MATCH(Paramètres!N13,Paramètres!$G$5:$G$57,0)),INDEX($E$2705:$E$2757,MATCH(Paramètres!N13,Paramètres!$G$5:$G$57,0)))+IF(RIGHT(TRIM(Paramètres!O13),3)="Fin",1-$H2713,IF(LEFT(TRIM(Paramètres!O13),1)="F",1,0)))))))</f>
        <v/>
      </c>
      <c r="F2713" s="19">
        <f>IF($A2713="","",E2713+$H2713-1)</f>
        <v/>
      </c>
      <c r="G2713" s="18" t="n"/>
      <c r="H2713" s="18">
        <f>IF($A2713="","",IF(I2713&lt;&gt;"",I2713,Paramètres!B13))</f>
        <v/>
      </c>
      <c r="I2713" s="18" t="n"/>
    </row>
    <row r="2714">
      <c r="A2714" s="18">
        <f>IF(ISNUMBER(Dossiers!$D$54),Dossiers!$A$54&amp;" · "&amp;Dossiers!$B$54,"")</f>
        <v/>
      </c>
      <c r="B2714" s="18">
        <f>IF($A2714="","",Paramètres!G14)</f>
        <v/>
      </c>
      <c r="C2714" s="18">
        <f>IF($A2714="","",IF(Paramètres!H14="","",Paramètres!H14))</f>
        <v/>
      </c>
      <c r="D2714" s="18">
        <f>IF($A2714="","",IF(Paramètres!I14="","",Paramètres!I14))</f>
        <v/>
      </c>
      <c r="E2714" s="19">
        <f>IF($A2714="","",IF(Paramètres!J14&amp;Paramètres!L14&amp;Paramètres!N14="",Dossiers!$D$54,MAX(IF(Paramètres!J14="",0,IF(Paramètres!K14="",NA(),IF(LEFT(TRIM(Paramètres!K14),1)="F",INDEX($F$2705:$F$2757,MATCH(Paramètres!J14,Paramètres!$G$5:$G$57,0)),INDEX($E$2705:$E$2757,MATCH(Paramètres!J14,Paramètres!$G$5:$G$57,0)))+IF(RIGHT(TRIM(Paramètres!K14),3)="Fin",1-$H2714,IF(LEFT(TRIM(Paramètres!K14),1)="F",1,0)))),IF(Paramètres!L14="",0,IF(Paramètres!M14="",NA(),IF(LEFT(TRIM(Paramètres!M14),1)="F",INDEX($F$2705:$F$2757,MATCH(Paramètres!L14,Paramètres!$G$5:$G$57,0)),INDEX($E$2705:$E$2757,MATCH(Paramètres!L14,Paramètres!$G$5:$G$57,0)))+IF(RIGHT(TRIM(Paramètres!M14),3)="Fin",1-$H2714,IF(LEFT(TRIM(Paramètres!M14),1)="F",1,0)))),IF(Paramètres!N14="",0,IF(Paramètres!O14="",NA(),IF(LEFT(TRIM(Paramètres!O14),1)="F",INDEX($F$2705:$F$2757,MATCH(Paramètres!N14,Paramètres!$G$5:$G$57,0)),INDEX($E$2705:$E$2757,MATCH(Paramètres!N14,Paramètres!$G$5:$G$57,0)))+IF(RIGHT(TRIM(Paramètres!O14),3)="Fin",1-$H2714,IF(LEFT(TRIM(Paramètres!O14),1)="F",1,0)))))))</f>
        <v/>
      </c>
      <c r="F2714" s="19">
        <f>IF($A2714="","",E2714+$H2714-1)</f>
        <v/>
      </c>
      <c r="G2714" s="18" t="n"/>
      <c r="H2714" s="18">
        <f>IF($A2714="","",IF(I2714&lt;&gt;"",I2714,Paramètres!B14))</f>
        <v/>
      </c>
      <c r="I2714" s="18" t="n"/>
    </row>
    <row r="2715">
      <c r="A2715" s="18">
        <f>IF(ISNUMBER(Dossiers!$D$54),Dossiers!$A$54&amp;" · "&amp;Dossiers!$B$54,"")</f>
        <v/>
      </c>
      <c r="B2715" s="18">
        <f>IF($A2715="","",Paramètres!G15)</f>
        <v/>
      </c>
      <c r="C2715" s="18">
        <f>IF($A2715="","",IF(Paramètres!H15="","",Paramètres!H15))</f>
        <v/>
      </c>
      <c r="D2715" s="18">
        <f>IF($A2715="","",IF(Paramètres!I15="","",Paramètres!I15))</f>
        <v/>
      </c>
      <c r="E2715" s="19">
        <f>IF($A2715="","",MIN(E2716:E2731))</f>
        <v/>
      </c>
      <c r="F2715" s="19">
        <f>IF($A2715="","",MAX(F2716:F2731))</f>
        <v/>
      </c>
      <c r="G2715" s="18" t="n"/>
      <c r="H2715" s="18">
        <f>IF($A2715="","",F2715-E2715+1)</f>
        <v/>
      </c>
      <c r="I2715" s="18" t="n"/>
    </row>
    <row r="2716">
      <c r="A2716" s="18">
        <f>IF(ISNUMBER(Dossiers!$D$54),Dossiers!$A$54&amp;" · "&amp;Dossiers!$B$54,"")</f>
        <v/>
      </c>
      <c r="B2716" s="18">
        <f>IF($A2716="","",Paramètres!G16)</f>
        <v/>
      </c>
      <c r="C2716" s="18">
        <f>IF($A2716="","",IF(Paramètres!H16="","",Paramètres!H16))</f>
        <v/>
      </c>
      <c r="D2716" s="18">
        <f>IF($A2716="","",IF(Paramètres!I16="","",Paramètres!I16))</f>
        <v/>
      </c>
      <c r="E2716" s="19">
        <f>IF($A2716="","",IF(Paramètres!J16&amp;Paramètres!L16&amp;Paramètres!N16="",Dossiers!$D$54,MAX(IF(Paramètres!J16="",0,IF(Paramètres!K16="",NA(),IF(LEFT(TRIM(Paramètres!K16),1)="F",INDEX($F$2705:$F$2757,MATCH(Paramètres!J16,Paramètres!$G$5:$G$57,0)),INDEX($E$2705:$E$2757,MATCH(Paramètres!J16,Paramètres!$G$5:$G$57,0)))+IF(RIGHT(TRIM(Paramètres!K16),3)="Fin",1-$H2716,IF(LEFT(TRIM(Paramètres!K16),1)="F",1,0)))),IF(Paramètres!L16="",0,IF(Paramètres!M16="",NA(),IF(LEFT(TRIM(Paramètres!M16),1)="F",INDEX($F$2705:$F$2757,MATCH(Paramètres!L16,Paramètres!$G$5:$G$57,0)),INDEX($E$2705:$E$2757,MATCH(Paramètres!L16,Paramètres!$G$5:$G$57,0)))+IF(RIGHT(TRIM(Paramètres!M16),3)="Fin",1-$H2716,IF(LEFT(TRIM(Paramètres!M16),1)="F",1,0)))),IF(Paramètres!N16="",0,IF(Paramètres!O16="",NA(),IF(LEFT(TRIM(Paramètres!O16),1)="F",INDEX($F$2705:$F$2757,MATCH(Paramètres!N16,Paramètres!$G$5:$G$57,0)),INDEX($E$2705:$E$2757,MATCH(Paramètres!N16,Paramètres!$G$5:$G$57,0)))+IF(RIGHT(TRIM(Paramètres!O16),3)="Fin",1-$H2716,IF(LEFT(TRIM(Paramètres!O16),1)="F",1,0)))))))</f>
        <v/>
      </c>
      <c r="F2716" s="19">
        <f>IF($A2716="","",E2716+$H2716-1)</f>
        <v/>
      </c>
      <c r="G2716" s="18" t="n"/>
      <c r="H2716" s="18">
        <f>IF($A2716="","",IF(I2716&lt;&gt;"",I2716,Paramètres!B16))</f>
        <v/>
      </c>
      <c r="I2716" s="18" t="n"/>
    </row>
    <row r="2717">
      <c r="A2717" s="18">
        <f>IF(ISNUMBER(Dossiers!$D$54),Dossiers!$A$54&amp;" · "&amp;Dossiers!$B$54,"")</f>
        <v/>
      </c>
      <c r="B2717" s="18">
        <f>IF($A2717="","",Paramètres!G17)</f>
        <v/>
      </c>
      <c r="C2717" s="18">
        <f>IF($A2717="","",IF(Paramètres!H17="","",Paramètres!H17))</f>
        <v/>
      </c>
      <c r="D2717" s="18">
        <f>IF($A2717="","",IF(Paramètres!I17="","",Paramètres!I17))</f>
        <v/>
      </c>
      <c r="E2717" s="19">
        <f>IF($A2717="","",IF(Paramètres!J17&amp;Paramètres!L17&amp;Paramètres!N17="",Dossiers!$D$54,MAX(IF(Paramètres!J17="",0,IF(Paramètres!K17="",NA(),IF(LEFT(TRIM(Paramètres!K17),1)="F",INDEX($F$2705:$F$2757,MATCH(Paramètres!J17,Paramètres!$G$5:$G$57,0)),INDEX($E$2705:$E$2757,MATCH(Paramètres!J17,Paramètres!$G$5:$G$57,0)))+IF(RIGHT(TRIM(Paramètres!K17),3)="Fin",1-$H2717,IF(LEFT(TRIM(Paramètres!K17),1)="F",1,0)))),IF(Paramètres!L17="",0,IF(Paramètres!M17="",NA(),IF(LEFT(TRIM(Paramètres!M17),1)="F",INDEX($F$2705:$F$2757,MATCH(Paramètres!L17,Paramètres!$G$5:$G$57,0)),INDEX($E$2705:$E$2757,MATCH(Paramètres!L17,Paramètres!$G$5:$G$57,0)))+IF(RIGHT(TRIM(Paramètres!M17),3)="Fin",1-$H2717,IF(LEFT(TRIM(Paramètres!M17),1)="F",1,0)))),IF(Paramètres!N17="",0,IF(Paramètres!O17="",NA(),IF(LEFT(TRIM(Paramètres!O17),1)="F",INDEX($F$2705:$F$2757,MATCH(Paramètres!N17,Paramètres!$G$5:$G$57,0)),INDEX($E$2705:$E$2757,MATCH(Paramètres!N17,Paramètres!$G$5:$G$57,0)))+IF(RIGHT(TRIM(Paramètres!O17),3)="Fin",1-$H2717,IF(LEFT(TRIM(Paramètres!O17),1)="F",1,0)))))))</f>
        <v/>
      </c>
      <c r="F2717" s="19">
        <f>IF($A2717="","",E2717+$H2717-1)</f>
        <v/>
      </c>
      <c r="G2717" s="18" t="n"/>
      <c r="H2717" s="18">
        <f>IF($A2717="","",IF(I2717&lt;&gt;"",I2717,Paramètres!B17))</f>
        <v/>
      </c>
      <c r="I2717" s="18" t="n"/>
    </row>
    <row r="2718">
      <c r="A2718" s="18">
        <f>IF(ISNUMBER(Dossiers!$D$54),Dossiers!$A$54&amp;" · "&amp;Dossiers!$B$54,"")</f>
        <v/>
      </c>
      <c r="B2718" s="18">
        <f>IF($A2718="","",Paramètres!G18)</f>
        <v/>
      </c>
      <c r="C2718" s="18">
        <f>IF($A2718="","",IF(Paramètres!H18="","",Paramètres!H18))</f>
        <v/>
      </c>
      <c r="D2718" s="18">
        <f>IF($A2718="","",IF(Paramètres!I18="","",Paramètres!I18))</f>
        <v/>
      </c>
      <c r="E2718" s="19">
        <f>IF($A2718="","",IF(Paramètres!J18&amp;Paramètres!L18&amp;Paramètres!N18="",Dossiers!$D$54,MAX(IF(Paramètres!J18="",0,IF(Paramètres!K18="",NA(),IF(LEFT(TRIM(Paramètres!K18),1)="F",INDEX($F$2705:$F$2757,MATCH(Paramètres!J18,Paramètres!$G$5:$G$57,0)),INDEX($E$2705:$E$2757,MATCH(Paramètres!J18,Paramètres!$G$5:$G$57,0)))+IF(RIGHT(TRIM(Paramètres!K18),3)="Fin",1-$H2718,IF(LEFT(TRIM(Paramètres!K18),1)="F",1,0)))),IF(Paramètres!L18="",0,IF(Paramètres!M18="",NA(),IF(LEFT(TRIM(Paramètres!M18),1)="F",INDEX($F$2705:$F$2757,MATCH(Paramètres!L18,Paramètres!$G$5:$G$57,0)),INDEX($E$2705:$E$2757,MATCH(Paramètres!L18,Paramètres!$G$5:$G$57,0)))+IF(RIGHT(TRIM(Paramètres!M18),3)="Fin",1-$H2718,IF(LEFT(TRIM(Paramètres!M18),1)="F",1,0)))),IF(Paramètres!N18="",0,IF(Paramètres!O18="",NA(),IF(LEFT(TRIM(Paramètres!O18),1)="F",INDEX($F$2705:$F$2757,MATCH(Paramètres!N18,Paramètres!$G$5:$G$57,0)),INDEX($E$2705:$E$2757,MATCH(Paramètres!N18,Paramètres!$G$5:$G$57,0)))+IF(RIGHT(TRIM(Paramètres!O18),3)="Fin",1-$H2718,IF(LEFT(TRIM(Paramètres!O18),1)="F",1,0)))))))</f>
        <v/>
      </c>
      <c r="F2718" s="19">
        <f>IF($A2718="","",E2718+$H2718-1)</f>
        <v/>
      </c>
      <c r="G2718" s="18" t="n"/>
      <c r="H2718" s="18">
        <f>IF($A2718="","",IF(I2718&lt;&gt;"",I2718,Paramètres!B18))</f>
        <v/>
      </c>
      <c r="I2718" s="18" t="n"/>
    </row>
    <row r="2719">
      <c r="A2719" s="18">
        <f>IF(ISNUMBER(Dossiers!$D$54),Dossiers!$A$54&amp;" · "&amp;Dossiers!$B$54,"")</f>
        <v/>
      </c>
      <c r="B2719" s="18">
        <f>IF($A2719="","",Paramètres!G19)</f>
        <v/>
      </c>
      <c r="C2719" s="18">
        <f>IF($A2719="","",IF(Paramètres!H19="","",Paramètres!H19))</f>
        <v/>
      </c>
      <c r="D2719" s="18">
        <f>IF($A2719="","",IF(Paramètres!I19="","",Paramètres!I19))</f>
        <v/>
      </c>
      <c r="E2719" s="19">
        <f>IF($A2719="","",IF(Paramètres!J19&amp;Paramètres!L19&amp;Paramètres!N19="",Dossiers!$D$54,MAX(IF(Paramètres!J19="",0,IF(Paramètres!K19="",NA(),IF(LEFT(TRIM(Paramètres!K19),1)="F",INDEX($F$2705:$F$2757,MATCH(Paramètres!J19,Paramètres!$G$5:$G$57,0)),INDEX($E$2705:$E$2757,MATCH(Paramètres!J19,Paramètres!$G$5:$G$57,0)))+IF(RIGHT(TRIM(Paramètres!K19),3)="Fin",1-$H2719,IF(LEFT(TRIM(Paramètres!K19),1)="F",1,0)))),IF(Paramètres!L19="",0,IF(Paramètres!M19="",NA(),IF(LEFT(TRIM(Paramètres!M19),1)="F",INDEX($F$2705:$F$2757,MATCH(Paramètres!L19,Paramètres!$G$5:$G$57,0)),INDEX($E$2705:$E$2757,MATCH(Paramètres!L19,Paramètres!$G$5:$G$57,0)))+IF(RIGHT(TRIM(Paramètres!M19),3)="Fin",1-$H2719,IF(LEFT(TRIM(Paramètres!M19),1)="F",1,0)))),IF(Paramètres!N19="",0,IF(Paramètres!O19="",NA(),IF(LEFT(TRIM(Paramètres!O19),1)="F",INDEX($F$2705:$F$2757,MATCH(Paramètres!N19,Paramètres!$G$5:$G$57,0)),INDEX($E$2705:$E$2757,MATCH(Paramètres!N19,Paramètres!$G$5:$G$57,0)))+IF(RIGHT(TRIM(Paramètres!O19),3)="Fin",1-$H2719,IF(LEFT(TRIM(Paramètres!O19),1)="F",1,0)))))))</f>
        <v/>
      </c>
      <c r="F2719" s="19">
        <f>IF($A2719="","",E2719+$H2719-1)</f>
        <v/>
      </c>
      <c r="G2719" s="18" t="n"/>
      <c r="H2719" s="18">
        <f>IF($A2719="","",IF(I2719&lt;&gt;"",I2719,Paramètres!B19))</f>
        <v/>
      </c>
      <c r="I2719" s="18" t="n"/>
    </row>
    <row r="2720">
      <c r="A2720" s="18">
        <f>IF(ISNUMBER(Dossiers!$D$54),Dossiers!$A$54&amp;" · "&amp;Dossiers!$B$54,"")</f>
        <v/>
      </c>
      <c r="B2720" s="18">
        <f>IF($A2720="","",Paramètres!G20)</f>
        <v/>
      </c>
      <c r="C2720" s="18">
        <f>IF($A2720="","",IF(Paramètres!H20="","",Paramètres!H20))</f>
        <v/>
      </c>
      <c r="D2720" s="18">
        <f>IF($A2720="","",IF(Paramètres!I20="","",Paramètres!I20))</f>
        <v/>
      </c>
      <c r="E2720" s="19">
        <f>IF($A2720="","",IF(Paramètres!J20&amp;Paramètres!L20&amp;Paramètres!N20="",Dossiers!$D$54,MAX(IF(Paramètres!J20="",0,IF(Paramètres!K20="",NA(),IF(LEFT(TRIM(Paramètres!K20),1)="F",INDEX($F$2705:$F$2757,MATCH(Paramètres!J20,Paramètres!$G$5:$G$57,0)),INDEX($E$2705:$E$2757,MATCH(Paramètres!J20,Paramètres!$G$5:$G$57,0)))+IF(RIGHT(TRIM(Paramètres!K20),3)="Fin",1-$H2720,IF(LEFT(TRIM(Paramètres!K20),1)="F",1,0)))),IF(Paramètres!L20="",0,IF(Paramètres!M20="",NA(),IF(LEFT(TRIM(Paramètres!M20),1)="F",INDEX($F$2705:$F$2757,MATCH(Paramètres!L20,Paramètres!$G$5:$G$57,0)),INDEX($E$2705:$E$2757,MATCH(Paramètres!L20,Paramètres!$G$5:$G$57,0)))+IF(RIGHT(TRIM(Paramètres!M20),3)="Fin",1-$H2720,IF(LEFT(TRIM(Paramètres!M20),1)="F",1,0)))),IF(Paramètres!N20="",0,IF(Paramètres!O20="",NA(),IF(LEFT(TRIM(Paramètres!O20),1)="F",INDEX($F$2705:$F$2757,MATCH(Paramètres!N20,Paramètres!$G$5:$G$57,0)),INDEX($E$2705:$E$2757,MATCH(Paramètres!N20,Paramètres!$G$5:$G$57,0)))+IF(RIGHT(TRIM(Paramètres!O20),3)="Fin",1-$H2720,IF(LEFT(TRIM(Paramètres!O20),1)="F",1,0)))))))</f>
        <v/>
      </c>
      <c r="F2720" s="19">
        <f>IF($A2720="","",E2720+$H2720-1)</f>
        <v/>
      </c>
      <c r="G2720" s="18" t="n"/>
      <c r="H2720" s="18">
        <f>IF($A2720="","",IF(I2720&lt;&gt;"",I2720,Paramètres!B20))</f>
        <v/>
      </c>
      <c r="I2720" s="18" t="n"/>
    </row>
    <row r="2721">
      <c r="A2721" s="18">
        <f>IF(ISNUMBER(Dossiers!$D$54),Dossiers!$A$54&amp;" · "&amp;Dossiers!$B$54,"")</f>
        <v/>
      </c>
      <c r="B2721" s="18">
        <f>IF($A2721="","",Paramètres!G21)</f>
        <v/>
      </c>
      <c r="C2721" s="18">
        <f>IF($A2721="","",IF(Paramètres!H21="","",Paramètres!H21))</f>
        <v/>
      </c>
      <c r="D2721" s="18">
        <f>IF($A2721="","",IF(Paramètres!I21="","",Paramètres!I21))</f>
        <v/>
      </c>
      <c r="E2721" s="19">
        <f>IF($A2721="","",IF(Paramètres!J21&amp;Paramètres!L21&amp;Paramètres!N21="",Dossiers!$D$54,MAX(IF(Paramètres!J21="",0,IF(Paramètres!K21="",NA(),IF(LEFT(TRIM(Paramètres!K21),1)="F",INDEX($F$2705:$F$2757,MATCH(Paramètres!J21,Paramètres!$G$5:$G$57,0)),INDEX($E$2705:$E$2757,MATCH(Paramètres!J21,Paramètres!$G$5:$G$57,0)))+IF(RIGHT(TRIM(Paramètres!K21),3)="Fin",1-$H2721,IF(LEFT(TRIM(Paramètres!K21),1)="F",1,0)))),IF(Paramètres!L21="",0,IF(Paramètres!M21="",NA(),IF(LEFT(TRIM(Paramètres!M21),1)="F",INDEX($F$2705:$F$2757,MATCH(Paramètres!L21,Paramètres!$G$5:$G$57,0)),INDEX($E$2705:$E$2757,MATCH(Paramètres!L21,Paramètres!$G$5:$G$57,0)))+IF(RIGHT(TRIM(Paramètres!M21),3)="Fin",1-$H2721,IF(LEFT(TRIM(Paramètres!M21),1)="F",1,0)))),IF(Paramètres!N21="",0,IF(Paramètres!O21="",NA(),IF(LEFT(TRIM(Paramètres!O21),1)="F",INDEX($F$2705:$F$2757,MATCH(Paramètres!N21,Paramètres!$G$5:$G$57,0)),INDEX($E$2705:$E$2757,MATCH(Paramètres!N21,Paramètres!$G$5:$G$57,0)))+IF(RIGHT(TRIM(Paramètres!O21),3)="Fin",1-$H2721,IF(LEFT(TRIM(Paramètres!O21),1)="F",1,0)))))))</f>
        <v/>
      </c>
      <c r="F2721" s="19">
        <f>IF($A2721="","",E2721+$H2721-1)</f>
        <v/>
      </c>
      <c r="G2721" s="18" t="n"/>
      <c r="H2721" s="18">
        <f>IF($A2721="","",IF(I2721&lt;&gt;"",I2721,Paramètres!B21))</f>
        <v/>
      </c>
      <c r="I2721" s="18" t="n"/>
    </row>
    <row r="2722">
      <c r="A2722" s="18">
        <f>IF(ISNUMBER(Dossiers!$D$54),Dossiers!$A$54&amp;" · "&amp;Dossiers!$B$54,"")</f>
        <v/>
      </c>
      <c r="B2722" s="18">
        <f>IF($A2722="","",Paramètres!G22)</f>
        <v/>
      </c>
      <c r="C2722" s="18">
        <f>IF($A2722="","",IF(Paramètres!H22="","",Paramètres!H22))</f>
        <v/>
      </c>
      <c r="D2722" s="18">
        <f>IF($A2722="","",IF(Paramètres!I22="","",Paramètres!I22))</f>
        <v/>
      </c>
      <c r="E2722" s="19">
        <f>IF($A2722="","",IF(Paramètres!J22&amp;Paramètres!L22&amp;Paramètres!N22="",Dossiers!$D$54,MAX(IF(Paramètres!J22="",0,IF(Paramètres!K22="",NA(),IF(LEFT(TRIM(Paramètres!K22),1)="F",INDEX($F$2705:$F$2757,MATCH(Paramètres!J22,Paramètres!$G$5:$G$57,0)),INDEX($E$2705:$E$2757,MATCH(Paramètres!J22,Paramètres!$G$5:$G$57,0)))+IF(RIGHT(TRIM(Paramètres!K22),3)="Fin",1-$H2722,IF(LEFT(TRIM(Paramètres!K22),1)="F",1,0)))),IF(Paramètres!L22="",0,IF(Paramètres!M22="",NA(),IF(LEFT(TRIM(Paramètres!M22),1)="F",INDEX($F$2705:$F$2757,MATCH(Paramètres!L22,Paramètres!$G$5:$G$57,0)),INDEX($E$2705:$E$2757,MATCH(Paramètres!L22,Paramètres!$G$5:$G$57,0)))+IF(RIGHT(TRIM(Paramètres!M22),3)="Fin",1-$H2722,IF(LEFT(TRIM(Paramètres!M22),1)="F",1,0)))),IF(Paramètres!N22="",0,IF(Paramètres!O22="",NA(),IF(LEFT(TRIM(Paramètres!O22),1)="F",INDEX($F$2705:$F$2757,MATCH(Paramètres!N22,Paramètres!$G$5:$G$57,0)),INDEX($E$2705:$E$2757,MATCH(Paramètres!N22,Paramètres!$G$5:$G$57,0)))+IF(RIGHT(TRIM(Paramètres!O22),3)="Fin",1-$H2722,IF(LEFT(TRIM(Paramètres!O22),1)="F",1,0)))))))</f>
        <v/>
      </c>
      <c r="F2722" s="19">
        <f>IF($A2722="","",E2722+$H2722-1)</f>
        <v/>
      </c>
      <c r="G2722" s="18" t="n"/>
      <c r="H2722" s="18">
        <f>IF($A2722="","",IF(I2722&lt;&gt;"",I2722,Paramètres!B22))</f>
        <v/>
      </c>
      <c r="I2722" s="18" t="n"/>
    </row>
    <row r="2723">
      <c r="A2723" s="18">
        <f>IF(ISNUMBER(Dossiers!$D$54),Dossiers!$A$54&amp;" · "&amp;Dossiers!$B$54,"")</f>
        <v/>
      </c>
      <c r="B2723" s="18">
        <f>IF($A2723="","",Paramètres!G23)</f>
        <v/>
      </c>
      <c r="C2723" s="18">
        <f>IF($A2723="","",IF(Paramètres!H23="","",Paramètres!H23))</f>
        <v/>
      </c>
      <c r="D2723" s="18">
        <f>IF($A2723="","",IF(Paramètres!I23="","",Paramètres!I23))</f>
        <v/>
      </c>
      <c r="E2723" s="19">
        <f>IF($A2723="","",IF(Paramètres!J23&amp;Paramètres!L23&amp;Paramètres!N23="",Dossiers!$D$54,MAX(IF(Paramètres!J23="",0,IF(Paramètres!K23="",NA(),IF(LEFT(TRIM(Paramètres!K23),1)="F",INDEX($F$2705:$F$2757,MATCH(Paramètres!J23,Paramètres!$G$5:$G$57,0)),INDEX($E$2705:$E$2757,MATCH(Paramètres!J23,Paramètres!$G$5:$G$57,0)))+IF(RIGHT(TRIM(Paramètres!K23),3)="Fin",1-$H2723,IF(LEFT(TRIM(Paramètres!K23),1)="F",1,0)))),IF(Paramètres!L23="",0,IF(Paramètres!M23="",NA(),IF(LEFT(TRIM(Paramètres!M23),1)="F",INDEX($F$2705:$F$2757,MATCH(Paramètres!L23,Paramètres!$G$5:$G$57,0)),INDEX($E$2705:$E$2757,MATCH(Paramètres!L23,Paramètres!$G$5:$G$57,0)))+IF(RIGHT(TRIM(Paramètres!M23),3)="Fin",1-$H2723,IF(LEFT(TRIM(Paramètres!M23),1)="F",1,0)))),IF(Paramètres!N23="",0,IF(Paramètres!O23="",NA(),IF(LEFT(TRIM(Paramètres!O23),1)="F",INDEX($F$2705:$F$2757,MATCH(Paramètres!N23,Paramètres!$G$5:$G$57,0)),INDEX($E$2705:$E$2757,MATCH(Paramètres!N23,Paramètres!$G$5:$G$57,0)))+IF(RIGHT(TRIM(Paramètres!O23),3)="Fin",1-$H2723,IF(LEFT(TRIM(Paramètres!O23),1)="F",1,0)))))))</f>
        <v/>
      </c>
      <c r="F2723" s="19">
        <f>IF($A2723="","",E2723+$H2723-1)</f>
        <v/>
      </c>
      <c r="G2723" s="18" t="n"/>
      <c r="H2723" s="18">
        <f>IF($A2723="","",IF(I2723&lt;&gt;"",I2723,Paramètres!B23))</f>
        <v/>
      </c>
      <c r="I2723" s="18" t="n"/>
    </row>
    <row r="2724">
      <c r="A2724" s="18">
        <f>IF(ISNUMBER(Dossiers!$D$54),Dossiers!$A$54&amp;" · "&amp;Dossiers!$B$54,"")</f>
        <v/>
      </c>
      <c r="B2724" s="18">
        <f>IF($A2724="","",Paramètres!G24)</f>
        <v/>
      </c>
      <c r="C2724" s="18">
        <f>IF($A2724="","",IF(Paramètres!H24="","",Paramètres!H24))</f>
        <v/>
      </c>
      <c r="D2724" s="18">
        <f>IF($A2724="","",IF(Paramètres!I24="","",Paramètres!I24))</f>
        <v/>
      </c>
      <c r="E2724" s="19">
        <f>IF($A2724="","",IF(Paramètres!J24&amp;Paramètres!L24&amp;Paramètres!N24="",Dossiers!$D$54,MAX(IF(Paramètres!J24="",0,IF(Paramètres!K24="",NA(),IF(LEFT(TRIM(Paramètres!K24),1)="F",INDEX($F$2705:$F$2757,MATCH(Paramètres!J24,Paramètres!$G$5:$G$57,0)),INDEX($E$2705:$E$2757,MATCH(Paramètres!J24,Paramètres!$G$5:$G$57,0)))+IF(RIGHT(TRIM(Paramètres!K24),3)="Fin",1-$H2724,IF(LEFT(TRIM(Paramètres!K24),1)="F",1,0)))),IF(Paramètres!L24="",0,IF(Paramètres!M24="",NA(),IF(LEFT(TRIM(Paramètres!M24),1)="F",INDEX($F$2705:$F$2757,MATCH(Paramètres!L24,Paramètres!$G$5:$G$57,0)),INDEX($E$2705:$E$2757,MATCH(Paramètres!L24,Paramètres!$G$5:$G$57,0)))+IF(RIGHT(TRIM(Paramètres!M24),3)="Fin",1-$H2724,IF(LEFT(TRIM(Paramètres!M24),1)="F",1,0)))),IF(Paramètres!N24="",0,IF(Paramètres!O24="",NA(),IF(LEFT(TRIM(Paramètres!O24),1)="F",INDEX($F$2705:$F$2757,MATCH(Paramètres!N24,Paramètres!$G$5:$G$57,0)),INDEX($E$2705:$E$2757,MATCH(Paramètres!N24,Paramètres!$G$5:$G$57,0)))+IF(RIGHT(TRIM(Paramètres!O24),3)="Fin",1-$H2724,IF(LEFT(TRIM(Paramètres!O24),1)="F",1,0)))))))</f>
        <v/>
      </c>
      <c r="F2724" s="19">
        <f>IF($A2724="","",E2724+$H2724-1)</f>
        <v/>
      </c>
      <c r="G2724" s="18" t="n"/>
      <c r="H2724" s="18">
        <f>IF($A2724="","",IF(I2724&lt;&gt;"",I2724,Paramètres!B24))</f>
        <v/>
      </c>
      <c r="I2724" s="18" t="n"/>
    </row>
    <row r="2725">
      <c r="A2725" s="18">
        <f>IF(ISNUMBER(Dossiers!$D$54),Dossiers!$A$54&amp;" · "&amp;Dossiers!$B$54,"")</f>
        <v/>
      </c>
      <c r="B2725" s="18">
        <f>IF($A2725="","",Paramètres!G25)</f>
        <v/>
      </c>
      <c r="C2725" s="18">
        <f>IF($A2725="","",IF(Paramètres!H25="","",Paramètres!H25))</f>
        <v/>
      </c>
      <c r="D2725" s="18">
        <f>IF($A2725="","",IF(Paramètres!I25="","",Paramètres!I25))</f>
        <v/>
      </c>
      <c r="E2725" s="19">
        <f>IF($A2725="","",IF(Paramètres!J25&amp;Paramètres!L25&amp;Paramètres!N25="",Dossiers!$D$54,MAX(IF(Paramètres!J25="",0,IF(Paramètres!K25="",NA(),IF(LEFT(TRIM(Paramètres!K25),1)="F",INDEX($F$2705:$F$2757,MATCH(Paramètres!J25,Paramètres!$G$5:$G$57,0)),INDEX($E$2705:$E$2757,MATCH(Paramètres!J25,Paramètres!$G$5:$G$57,0)))+IF(RIGHT(TRIM(Paramètres!K25),3)="Fin",1-$H2725,IF(LEFT(TRIM(Paramètres!K25),1)="F",1,0)))),IF(Paramètres!L25="",0,IF(Paramètres!M25="",NA(),IF(LEFT(TRIM(Paramètres!M25),1)="F",INDEX($F$2705:$F$2757,MATCH(Paramètres!L25,Paramètres!$G$5:$G$57,0)),INDEX($E$2705:$E$2757,MATCH(Paramètres!L25,Paramètres!$G$5:$G$57,0)))+IF(RIGHT(TRIM(Paramètres!M25),3)="Fin",1-$H2725,IF(LEFT(TRIM(Paramètres!M25),1)="F",1,0)))),IF(Paramètres!N25="",0,IF(Paramètres!O25="",NA(),IF(LEFT(TRIM(Paramètres!O25),1)="F",INDEX($F$2705:$F$2757,MATCH(Paramètres!N25,Paramètres!$G$5:$G$57,0)),INDEX($E$2705:$E$2757,MATCH(Paramètres!N25,Paramètres!$G$5:$G$57,0)))+IF(RIGHT(TRIM(Paramètres!O25),3)="Fin",1-$H2725,IF(LEFT(TRIM(Paramètres!O25),1)="F",1,0)))))))</f>
        <v/>
      </c>
      <c r="F2725" s="19">
        <f>IF($A2725="","",E2725+$H2725-1)</f>
        <v/>
      </c>
      <c r="G2725" s="18" t="n"/>
      <c r="H2725" s="18">
        <f>IF($A2725="","",IF(I2725&lt;&gt;"",I2725,Paramètres!B25))</f>
        <v/>
      </c>
      <c r="I2725" s="18" t="n"/>
    </row>
    <row r="2726">
      <c r="A2726" s="18">
        <f>IF(ISNUMBER(Dossiers!$D$54),Dossiers!$A$54&amp;" · "&amp;Dossiers!$B$54,"")</f>
        <v/>
      </c>
      <c r="B2726" s="18">
        <f>IF($A2726="","",Paramètres!G26)</f>
        <v/>
      </c>
      <c r="C2726" s="18">
        <f>IF($A2726="","",IF(Paramètres!H26="","",Paramètres!H26))</f>
        <v/>
      </c>
      <c r="D2726" s="18">
        <f>IF($A2726="","",IF(Paramètres!I26="","",Paramètres!I26))</f>
        <v/>
      </c>
      <c r="E2726" s="19">
        <f>IF($A2726="","",IF(Paramètres!J26&amp;Paramètres!L26&amp;Paramètres!N26="",Dossiers!$D$54,MAX(IF(Paramètres!J26="",0,IF(Paramètres!K26="",NA(),IF(LEFT(TRIM(Paramètres!K26),1)="F",INDEX($F$2705:$F$2757,MATCH(Paramètres!J26,Paramètres!$G$5:$G$57,0)),INDEX($E$2705:$E$2757,MATCH(Paramètres!J26,Paramètres!$G$5:$G$57,0)))+IF(RIGHT(TRIM(Paramètres!K26),3)="Fin",1-$H2726,IF(LEFT(TRIM(Paramètres!K26),1)="F",1,0)))),IF(Paramètres!L26="",0,IF(Paramètres!M26="",NA(),IF(LEFT(TRIM(Paramètres!M26),1)="F",INDEX($F$2705:$F$2757,MATCH(Paramètres!L26,Paramètres!$G$5:$G$57,0)),INDEX($E$2705:$E$2757,MATCH(Paramètres!L26,Paramètres!$G$5:$G$57,0)))+IF(RIGHT(TRIM(Paramètres!M26),3)="Fin",1-$H2726,IF(LEFT(TRIM(Paramètres!M26),1)="F",1,0)))),IF(Paramètres!N26="",0,IF(Paramètres!O26="",NA(),IF(LEFT(TRIM(Paramètres!O26),1)="F",INDEX($F$2705:$F$2757,MATCH(Paramètres!N26,Paramètres!$G$5:$G$57,0)),INDEX($E$2705:$E$2757,MATCH(Paramètres!N26,Paramètres!$G$5:$G$57,0)))+IF(RIGHT(TRIM(Paramètres!O26),3)="Fin",1-$H2726,IF(LEFT(TRIM(Paramètres!O26),1)="F",1,0)))))))</f>
        <v/>
      </c>
      <c r="F2726" s="19">
        <f>IF($A2726="","",E2726+$H2726-1)</f>
        <v/>
      </c>
      <c r="G2726" s="18" t="n"/>
      <c r="H2726" s="18">
        <f>IF($A2726="","",IF(I2726&lt;&gt;"",I2726,Paramètres!B26))</f>
        <v/>
      </c>
      <c r="I2726" s="18" t="n"/>
    </row>
    <row r="2727">
      <c r="A2727" s="18">
        <f>IF(ISNUMBER(Dossiers!$D$54),Dossiers!$A$54&amp;" · "&amp;Dossiers!$B$54,"")</f>
        <v/>
      </c>
      <c r="B2727" s="18">
        <f>IF($A2727="","",Paramètres!G27)</f>
        <v/>
      </c>
      <c r="C2727" s="18">
        <f>IF($A2727="","",IF(Paramètres!H27="","",Paramètres!H27))</f>
        <v/>
      </c>
      <c r="D2727" s="18">
        <f>IF($A2727="","",IF(Paramètres!I27="","",Paramètres!I27))</f>
        <v/>
      </c>
      <c r="E2727" s="19">
        <f>IF($A2727="","",IF(Paramètres!J27&amp;Paramètres!L27&amp;Paramètres!N27="",Dossiers!$D$54,MAX(IF(Paramètres!J27="",0,IF(Paramètres!K27="",NA(),IF(LEFT(TRIM(Paramètres!K27),1)="F",INDEX($F$2705:$F$2757,MATCH(Paramètres!J27,Paramètres!$G$5:$G$57,0)),INDEX($E$2705:$E$2757,MATCH(Paramètres!J27,Paramètres!$G$5:$G$57,0)))+IF(RIGHT(TRIM(Paramètres!K27),3)="Fin",1-$H2727,IF(LEFT(TRIM(Paramètres!K27),1)="F",1,0)))),IF(Paramètres!L27="",0,IF(Paramètres!M27="",NA(),IF(LEFT(TRIM(Paramètres!M27),1)="F",INDEX($F$2705:$F$2757,MATCH(Paramètres!L27,Paramètres!$G$5:$G$57,0)),INDEX($E$2705:$E$2757,MATCH(Paramètres!L27,Paramètres!$G$5:$G$57,0)))+IF(RIGHT(TRIM(Paramètres!M27),3)="Fin",1-$H2727,IF(LEFT(TRIM(Paramètres!M27),1)="F",1,0)))),IF(Paramètres!N27="",0,IF(Paramètres!O27="",NA(),IF(LEFT(TRIM(Paramètres!O27),1)="F",INDEX($F$2705:$F$2757,MATCH(Paramètres!N27,Paramètres!$G$5:$G$57,0)),INDEX($E$2705:$E$2757,MATCH(Paramètres!N27,Paramètres!$G$5:$G$57,0)))+IF(RIGHT(TRIM(Paramètres!O27),3)="Fin",1-$H2727,IF(LEFT(TRIM(Paramètres!O27),1)="F",1,0)))))))</f>
        <v/>
      </c>
      <c r="F2727" s="19">
        <f>IF($A2727="","",E2727+$H2727-1)</f>
        <v/>
      </c>
      <c r="G2727" s="18" t="n"/>
      <c r="H2727" s="18">
        <f>IF($A2727="","",IF(I2727&lt;&gt;"",I2727,Paramètres!B27))</f>
        <v/>
      </c>
      <c r="I2727" s="18" t="n"/>
    </row>
    <row r="2728">
      <c r="A2728" s="18">
        <f>IF(ISNUMBER(Dossiers!$D$54),Dossiers!$A$54&amp;" · "&amp;Dossiers!$B$54,"")</f>
        <v/>
      </c>
      <c r="B2728" s="18">
        <f>IF($A2728="","",Paramètres!G28)</f>
        <v/>
      </c>
      <c r="C2728" s="18">
        <f>IF($A2728="","",IF(Paramètres!H28="","",Paramètres!H28))</f>
        <v/>
      </c>
      <c r="D2728" s="18">
        <f>IF($A2728="","",IF(Paramètres!I28="","",Paramètres!I28))</f>
        <v/>
      </c>
      <c r="E2728" s="19">
        <f>IF($A2728="","",IF(Paramètres!J28&amp;Paramètres!L28&amp;Paramètres!N28="",Dossiers!$D$54,MAX(IF(Paramètres!J28="",0,IF(Paramètres!K28="",NA(),IF(LEFT(TRIM(Paramètres!K28),1)="F",INDEX($F$2705:$F$2757,MATCH(Paramètres!J28,Paramètres!$G$5:$G$57,0)),INDEX($E$2705:$E$2757,MATCH(Paramètres!J28,Paramètres!$G$5:$G$57,0)))+IF(RIGHT(TRIM(Paramètres!K28),3)="Fin",1-$H2728,IF(LEFT(TRIM(Paramètres!K28),1)="F",1,0)))),IF(Paramètres!L28="",0,IF(Paramètres!M28="",NA(),IF(LEFT(TRIM(Paramètres!M28),1)="F",INDEX($F$2705:$F$2757,MATCH(Paramètres!L28,Paramètres!$G$5:$G$57,0)),INDEX($E$2705:$E$2757,MATCH(Paramètres!L28,Paramètres!$G$5:$G$57,0)))+IF(RIGHT(TRIM(Paramètres!M28),3)="Fin",1-$H2728,IF(LEFT(TRIM(Paramètres!M28),1)="F",1,0)))),IF(Paramètres!N28="",0,IF(Paramètres!O28="",NA(),IF(LEFT(TRIM(Paramètres!O28),1)="F",INDEX($F$2705:$F$2757,MATCH(Paramètres!N28,Paramètres!$G$5:$G$57,0)),INDEX($E$2705:$E$2757,MATCH(Paramètres!N28,Paramètres!$G$5:$G$57,0)))+IF(RIGHT(TRIM(Paramètres!O28),3)="Fin",1-$H2728,IF(LEFT(TRIM(Paramètres!O28),1)="F",1,0)))))))</f>
        <v/>
      </c>
      <c r="F2728" s="19">
        <f>IF($A2728="","",E2728+$H2728-1)</f>
        <v/>
      </c>
      <c r="G2728" s="18" t="n"/>
      <c r="H2728" s="18">
        <f>IF($A2728="","",IF(I2728&lt;&gt;"",I2728,Paramètres!B28))</f>
        <v/>
      </c>
      <c r="I2728" s="18" t="n"/>
    </row>
    <row r="2729">
      <c r="A2729" s="18">
        <f>IF(ISNUMBER(Dossiers!$D$54),Dossiers!$A$54&amp;" · "&amp;Dossiers!$B$54,"")</f>
        <v/>
      </c>
      <c r="B2729" s="18">
        <f>IF($A2729="","",Paramètres!G29)</f>
        <v/>
      </c>
      <c r="C2729" s="18">
        <f>IF($A2729="","",IF(Paramètres!H29="","",Paramètres!H29))</f>
        <v/>
      </c>
      <c r="D2729" s="18">
        <f>IF($A2729="","",IF(Paramètres!I29="","",Paramètres!I29))</f>
        <v/>
      </c>
      <c r="E2729" s="19">
        <f>IF($A2729="","",IF(Paramètres!J29&amp;Paramètres!L29&amp;Paramètres!N29="",Dossiers!$D$54,MAX(IF(Paramètres!J29="",0,IF(Paramètres!K29="",NA(),IF(LEFT(TRIM(Paramètres!K29),1)="F",INDEX($F$2705:$F$2757,MATCH(Paramètres!J29,Paramètres!$G$5:$G$57,0)),INDEX($E$2705:$E$2757,MATCH(Paramètres!J29,Paramètres!$G$5:$G$57,0)))+IF(RIGHT(TRIM(Paramètres!K29),3)="Fin",1-$H2729,IF(LEFT(TRIM(Paramètres!K29),1)="F",1,0)))),IF(Paramètres!L29="",0,IF(Paramètres!M29="",NA(),IF(LEFT(TRIM(Paramètres!M29),1)="F",INDEX($F$2705:$F$2757,MATCH(Paramètres!L29,Paramètres!$G$5:$G$57,0)),INDEX($E$2705:$E$2757,MATCH(Paramètres!L29,Paramètres!$G$5:$G$57,0)))+IF(RIGHT(TRIM(Paramètres!M29),3)="Fin",1-$H2729,IF(LEFT(TRIM(Paramètres!M29),1)="F",1,0)))),IF(Paramètres!N29="",0,IF(Paramètres!O29="",NA(),IF(LEFT(TRIM(Paramètres!O29),1)="F",INDEX($F$2705:$F$2757,MATCH(Paramètres!N29,Paramètres!$G$5:$G$57,0)),INDEX($E$2705:$E$2757,MATCH(Paramètres!N29,Paramètres!$G$5:$G$57,0)))+IF(RIGHT(TRIM(Paramètres!O29),3)="Fin",1-$H2729,IF(LEFT(TRIM(Paramètres!O29),1)="F",1,0)))))))</f>
        <v/>
      </c>
      <c r="F2729" s="19">
        <f>IF($A2729="","",E2729+$H2729-1)</f>
        <v/>
      </c>
      <c r="G2729" s="18" t="n"/>
      <c r="H2729" s="18">
        <f>IF($A2729="","",IF(I2729&lt;&gt;"",I2729,Paramètres!B29))</f>
        <v/>
      </c>
      <c r="I2729" s="18" t="n"/>
    </row>
    <row r="2730">
      <c r="A2730" s="18">
        <f>IF(ISNUMBER(Dossiers!$D$54),Dossiers!$A$54&amp;" · "&amp;Dossiers!$B$54,"")</f>
        <v/>
      </c>
      <c r="B2730" s="18">
        <f>IF($A2730="","",Paramètres!G30)</f>
        <v/>
      </c>
      <c r="C2730" s="18">
        <f>IF($A2730="","",IF(Paramètres!H30="","",Paramètres!H30))</f>
        <v/>
      </c>
      <c r="D2730" s="18">
        <f>IF($A2730="","",IF(Paramètres!I30="","",Paramètres!I30))</f>
        <v/>
      </c>
      <c r="E2730" s="19">
        <f>IF($A2730="","",IF(Paramètres!J30&amp;Paramètres!L30&amp;Paramètres!N30="",Dossiers!$D$54,MAX(IF(Paramètres!J30="",0,IF(Paramètres!K30="",NA(),IF(LEFT(TRIM(Paramètres!K30),1)="F",INDEX($F$2705:$F$2757,MATCH(Paramètres!J30,Paramètres!$G$5:$G$57,0)),INDEX($E$2705:$E$2757,MATCH(Paramètres!J30,Paramètres!$G$5:$G$57,0)))+IF(RIGHT(TRIM(Paramètres!K30),3)="Fin",1-$H2730,IF(LEFT(TRIM(Paramètres!K30),1)="F",1,0)))),IF(Paramètres!L30="",0,IF(Paramètres!M30="",NA(),IF(LEFT(TRIM(Paramètres!M30),1)="F",INDEX($F$2705:$F$2757,MATCH(Paramètres!L30,Paramètres!$G$5:$G$57,0)),INDEX($E$2705:$E$2757,MATCH(Paramètres!L30,Paramètres!$G$5:$G$57,0)))+IF(RIGHT(TRIM(Paramètres!M30),3)="Fin",1-$H2730,IF(LEFT(TRIM(Paramètres!M30),1)="F",1,0)))),IF(Paramètres!N30="",0,IF(Paramètres!O30="",NA(),IF(LEFT(TRIM(Paramètres!O30),1)="F",INDEX($F$2705:$F$2757,MATCH(Paramètres!N30,Paramètres!$G$5:$G$57,0)),INDEX($E$2705:$E$2757,MATCH(Paramètres!N30,Paramètres!$G$5:$G$57,0)))+IF(RIGHT(TRIM(Paramètres!O30),3)="Fin",1-$H2730,IF(LEFT(TRIM(Paramètres!O30),1)="F",1,0)))))))</f>
        <v/>
      </c>
      <c r="F2730" s="19">
        <f>IF($A2730="","",E2730+$H2730-1)</f>
        <v/>
      </c>
      <c r="G2730" s="18" t="n"/>
      <c r="H2730" s="18">
        <f>IF($A2730="","",IF(I2730&lt;&gt;"",I2730,Paramètres!B30))</f>
        <v/>
      </c>
      <c r="I2730" s="18" t="n"/>
    </row>
    <row r="2731">
      <c r="A2731" s="18">
        <f>IF(ISNUMBER(Dossiers!$D$54),Dossiers!$A$54&amp;" · "&amp;Dossiers!$B$54,"")</f>
        <v/>
      </c>
      <c r="B2731" s="18">
        <f>IF($A2731="","",Paramètres!G31)</f>
        <v/>
      </c>
      <c r="C2731" s="20">
        <f>IF($A2731="","",IF(Dossiers!$F$54="","",Dossiers!$F$54))</f>
        <v/>
      </c>
      <c r="D2731" s="18">
        <f>IF($A2731="","",IF(Paramètres!I31="","",Paramètres!I31))</f>
        <v/>
      </c>
      <c r="E2731" s="19">
        <f>IF($A2731="","",IF(Paramètres!J31&amp;Paramètres!L31&amp;Paramètres!N31="",Dossiers!$D$54,MAX(IF(Paramètres!J31="",0,IF(Paramètres!K31="",NA(),IF(LEFT(TRIM(Paramètres!K31),1)="F",INDEX($F$2705:$F$2757,MATCH(Paramètres!J31,Paramètres!$G$5:$G$57,0)),INDEX($E$2705:$E$2757,MATCH(Paramètres!J31,Paramètres!$G$5:$G$57,0)))+IF(RIGHT(TRIM(Paramètres!K31),3)="Fin",1-$H2731,IF(LEFT(TRIM(Paramètres!K31),1)="F",1,0)))),IF(Paramètres!L31="",0,IF(Paramètres!M31="",NA(),IF(LEFT(TRIM(Paramètres!M31),1)="F",INDEX($F$2705:$F$2757,MATCH(Paramètres!L31,Paramètres!$G$5:$G$57,0)),INDEX($E$2705:$E$2757,MATCH(Paramètres!L31,Paramètres!$G$5:$G$57,0)))+IF(RIGHT(TRIM(Paramètres!M31),3)="Fin",1-$H2731,IF(LEFT(TRIM(Paramètres!M31),1)="F",1,0)))),IF(Paramètres!N31="",0,IF(Paramètres!O31="",NA(),IF(LEFT(TRIM(Paramètres!O31),1)="F",INDEX($F$2705:$F$2757,MATCH(Paramètres!N31,Paramètres!$G$5:$G$57,0)),INDEX($E$2705:$E$2757,MATCH(Paramètres!N31,Paramètres!$G$5:$G$57,0)))+IF(RIGHT(TRIM(Paramètres!O31),3)="Fin",1-$H2731,IF(LEFT(TRIM(Paramètres!O31),1)="F",1,0)))))))</f>
        <v/>
      </c>
      <c r="F2731" s="19">
        <f>IF($A2731="","",E2731+$H2731-1)</f>
        <v/>
      </c>
      <c r="G2731" s="18" t="n"/>
      <c r="H2731" s="18">
        <f>IF($A2731="","",IF(I2731&lt;&gt;"",I2731,Paramètres!B31))</f>
        <v/>
      </c>
      <c r="I2731" s="18" t="n"/>
    </row>
    <row r="2732">
      <c r="A2732" s="18">
        <f>IF(ISNUMBER(Dossiers!$D$54),Dossiers!$A$54&amp;" · "&amp;Dossiers!$B$54,"")</f>
        <v/>
      </c>
      <c r="B2732" s="18">
        <f>IF($A2732="","",Paramètres!G32)</f>
        <v/>
      </c>
      <c r="C2732" s="18">
        <f>IF($A2732="","",IF(Paramètres!H32="","",Paramètres!H32))</f>
        <v/>
      </c>
      <c r="D2732" s="18">
        <f>IF($A2732="","",IF(Paramètres!I32="","",Paramètres!I32))</f>
        <v/>
      </c>
      <c r="E2732" s="19">
        <f>IF($A2732="","",MIN(E2733:E2736))</f>
        <v/>
      </c>
      <c r="F2732" s="19">
        <f>IF($A2732="","",MAX(F2733:F2736))</f>
        <v/>
      </c>
      <c r="G2732" s="18" t="n"/>
      <c r="H2732" s="18">
        <f>IF($A2732="","",F2732-E2732+1)</f>
        <v/>
      </c>
      <c r="I2732" s="18" t="n"/>
    </row>
    <row r="2733">
      <c r="A2733" s="18">
        <f>IF(ISNUMBER(Dossiers!$D$54),Dossiers!$A$54&amp;" · "&amp;Dossiers!$B$54,"")</f>
        <v/>
      </c>
      <c r="B2733" s="18">
        <f>IF($A2733="","",Paramètres!G33)</f>
        <v/>
      </c>
      <c r="C2733" s="18">
        <f>IF($A2733="","",IF(Paramètres!H33="","",Paramètres!H33))</f>
        <v/>
      </c>
      <c r="D2733" s="18">
        <f>IF($A2733="","",IF(Paramètres!I33="","",Paramètres!I33))</f>
        <v/>
      </c>
      <c r="E2733" s="19">
        <f>IF($A2733="","",IF(Paramètres!J33&amp;Paramètres!L33&amp;Paramètres!N33="",Dossiers!$D$54,MAX(IF(Paramètres!J33="",0,IF(Paramètres!K33="",NA(),IF(LEFT(TRIM(Paramètres!K33),1)="F",INDEX($F$2705:$F$2757,MATCH(Paramètres!J33,Paramètres!$G$5:$G$57,0)),INDEX($E$2705:$E$2757,MATCH(Paramètres!J33,Paramètres!$G$5:$G$57,0)))+IF(RIGHT(TRIM(Paramètres!K33),3)="Fin",1-$H2733,IF(LEFT(TRIM(Paramètres!K33),1)="F",1,0)))),IF(Paramètres!L33="",0,IF(Paramètres!M33="",NA(),IF(LEFT(TRIM(Paramètres!M33),1)="F",INDEX($F$2705:$F$2757,MATCH(Paramètres!L33,Paramètres!$G$5:$G$57,0)),INDEX($E$2705:$E$2757,MATCH(Paramètres!L33,Paramètres!$G$5:$G$57,0)))+IF(RIGHT(TRIM(Paramètres!M33),3)="Fin",1-$H2733,IF(LEFT(TRIM(Paramètres!M33),1)="F",1,0)))),IF(Paramètres!N33="",0,IF(Paramètres!O33="",NA(),IF(LEFT(TRIM(Paramètres!O33),1)="F",INDEX($F$2705:$F$2757,MATCH(Paramètres!N33,Paramètres!$G$5:$G$57,0)),INDEX($E$2705:$E$2757,MATCH(Paramètres!N33,Paramètres!$G$5:$G$57,0)))+IF(RIGHT(TRIM(Paramètres!O33),3)="Fin",1-$H2733,IF(LEFT(TRIM(Paramètres!O33),1)="F",1,0)))))))</f>
        <v/>
      </c>
      <c r="F2733" s="19">
        <f>IF($A2733="","",E2733+$H2733-1)</f>
        <v/>
      </c>
      <c r="G2733" s="18" t="n"/>
      <c r="H2733" s="18">
        <f>IF($A2733="","",IF(I2733&lt;&gt;"",I2733,Paramètres!B33))</f>
        <v/>
      </c>
      <c r="I2733" s="18" t="n"/>
    </row>
    <row r="2734">
      <c r="A2734" s="18">
        <f>IF(ISNUMBER(Dossiers!$D$54),Dossiers!$A$54&amp;" · "&amp;Dossiers!$B$54,"")</f>
        <v/>
      </c>
      <c r="B2734" s="18">
        <f>IF($A2734="","",Paramètres!G34)</f>
        <v/>
      </c>
      <c r="C2734" s="18">
        <f>IF($A2734="","",IF(Paramètres!H34="","",Paramètres!H34))</f>
        <v/>
      </c>
      <c r="D2734" s="18">
        <f>IF($A2734="","",IF(Paramètres!I34="","",Paramètres!I34))</f>
        <v/>
      </c>
      <c r="E2734" s="19">
        <f>IF($A2734="","",IF(Paramètres!J34&amp;Paramètres!L34&amp;Paramètres!N34="",Dossiers!$D$54,MAX(IF(Paramètres!J34="",0,IF(Paramètres!K34="",NA(),IF(LEFT(TRIM(Paramètres!K34),1)="F",INDEX($F$2705:$F$2757,MATCH(Paramètres!J34,Paramètres!$G$5:$G$57,0)),INDEX($E$2705:$E$2757,MATCH(Paramètres!J34,Paramètres!$G$5:$G$57,0)))+IF(RIGHT(TRIM(Paramètres!K34),3)="Fin",1-$H2734,IF(LEFT(TRIM(Paramètres!K34),1)="F",1,0)))),IF(Paramètres!L34="",0,IF(Paramètres!M34="",NA(),IF(LEFT(TRIM(Paramètres!M34),1)="F",INDEX($F$2705:$F$2757,MATCH(Paramètres!L34,Paramètres!$G$5:$G$57,0)),INDEX($E$2705:$E$2757,MATCH(Paramètres!L34,Paramètres!$G$5:$G$57,0)))+IF(RIGHT(TRIM(Paramètres!M34),3)="Fin",1-$H2734,IF(LEFT(TRIM(Paramètres!M34),1)="F",1,0)))),IF(Paramètres!N34="",0,IF(Paramètres!O34="",NA(),IF(LEFT(TRIM(Paramètres!O34),1)="F",INDEX($F$2705:$F$2757,MATCH(Paramètres!N34,Paramètres!$G$5:$G$57,0)),INDEX($E$2705:$E$2757,MATCH(Paramètres!N34,Paramètres!$G$5:$G$57,0)))+IF(RIGHT(TRIM(Paramètres!O34),3)="Fin",1-$H2734,IF(LEFT(TRIM(Paramètres!O34),1)="F",1,0)))))))</f>
        <v/>
      </c>
      <c r="F2734" s="19">
        <f>IF($A2734="","",E2734+$H2734-1)</f>
        <v/>
      </c>
      <c r="G2734" s="18" t="n"/>
      <c r="H2734" s="18">
        <f>IF($A2734="","",IF(I2734&lt;&gt;"",I2734,Paramètres!B34))</f>
        <v/>
      </c>
      <c r="I2734" s="18" t="n"/>
    </row>
    <row r="2735">
      <c r="A2735" s="18">
        <f>IF(ISNUMBER(Dossiers!$D$54),Dossiers!$A$54&amp;" · "&amp;Dossiers!$B$54,"")</f>
        <v/>
      </c>
      <c r="B2735" s="18">
        <f>IF($A2735="","",Paramètres!G35)</f>
        <v/>
      </c>
      <c r="C2735" s="18">
        <f>IF($A2735="","",IF(Paramètres!H35="","",Paramètres!H35))</f>
        <v/>
      </c>
      <c r="D2735" s="18">
        <f>IF($A2735="","",IF(Paramètres!I35="","",Paramètres!I35))</f>
        <v/>
      </c>
      <c r="E2735" s="19">
        <f>IF($A2735="","",IF(Paramètres!J35&amp;Paramètres!L35&amp;Paramètres!N35="",Dossiers!$D$54,MAX(IF(Paramètres!J35="",0,IF(Paramètres!K35="",NA(),IF(LEFT(TRIM(Paramètres!K35),1)="F",INDEX($F$2705:$F$2757,MATCH(Paramètres!J35,Paramètres!$G$5:$G$57,0)),INDEX($E$2705:$E$2757,MATCH(Paramètres!J35,Paramètres!$G$5:$G$57,0)))+IF(RIGHT(TRIM(Paramètres!K35),3)="Fin",1-$H2735,IF(LEFT(TRIM(Paramètres!K35),1)="F",1,0)))),IF(Paramètres!L35="",0,IF(Paramètres!M35="",NA(),IF(LEFT(TRIM(Paramètres!M35),1)="F",INDEX($F$2705:$F$2757,MATCH(Paramètres!L35,Paramètres!$G$5:$G$57,0)),INDEX($E$2705:$E$2757,MATCH(Paramètres!L35,Paramètres!$G$5:$G$57,0)))+IF(RIGHT(TRIM(Paramètres!M35),3)="Fin",1-$H2735,IF(LEFT(TRIM(Paramètres!M35),1)="F",1,0)))),IF(Paramètres!N35="",0,IF(Paramètres!O35="",NA(),IF(LEFT(TRIM(Paramètres!O35),1)="F",INDEX($F$2705:$F$2757,MATCH(Paramètres!N35,Paramètres!$G$5:$G$57,0)),INDEX($E$2705:$E$2757,MATCH(Paramètres!N35,Paramètres!$G$5:$G$57,0)))+IF(RIGHT(TRIM(Paramètres!O35),3)="Fin",1-$H2735,IF(LEFT(TRIM(Paramètres!O35),1)="F",1,0)))))))</f>
        <v/>
      </c>
      <c r="F2735" s="19">
        <f>IF($A2735="","",E2735+$H2735-1)</f>
        <v/>
      </c>
      <c r="G2735" s="18" t="n"/>
      <c r="H2735" s="18">
        <f>IF($A2735="","",IF(I2735&lt;&gt;"",I2735,Paramètres!B35))</f>
        <v/>
      </c>
      <c r="I2735" s="18" t="n"/>
    </row>
    <row r="2736">
      <c r="A2736" s="18">
        <f>IF(ISNUMBER(Dossiers!$D$54),Dossiers!$A$54&amp;" · "&amp;Dossiers!$B$54,"")</f>
        <v/>
      </c>
      <c r="B2736" s="18">
        <f>IF($A2736="","",Paramètres!G36)</f>
        <v/>
      </c>
      <c r="C2736" s="18">
        <f>IF($A2736="","",IF(Paramètres!H36="","",Paramètres!H36))</f>
        <v/>
      </c>
      <c r="D2736" s="18">
        <f>IF($A2736="","",IF(Paramètres!I36="","",Paramètres!I36))</f>
        <v/>
      </c>
      <c r="E2736" s="19">
        <f>IF($A2736="","",IF(Paramètres!J36&amp;Paramètres!L36&amp;Paramètres!N36="",Dossiers!$D$54,MAX(IF(Paramètres!J36="",0,IF(Paramètres!K36="",NA(),IF(LEFT(TRIM(Paramètres!K36),1)="F",INDEX($F$2705:$F$2757,MATCH(Paramètres!J36,Paramètres!$G$5:$G$57,0)),INDEX($E$2705:$E$2757,MATCH(Paramètres!J36,Paramètres!$G$5:$G$57,0)))+IF(RIGHT(TRIM(Paramètres!K36),3)="Fin",1-$H2736,IF(LEFT(TRIM(Paramètres!K36),1)="F",1,0)))),IF(Paramètres!L36="",0,IF(Paramètres!M36="",NA(),IF(LEFT(TRIM(Paramètres!M36),1)="F",INDEX($F$2705:$F$2757,MATCH(Paramètres!L36,Paramètres!$G$5:$G$57,0)),INDEX($E$2705:$E$2757,MATCH(Paramètres!L36,Paramètres!$G$5:$G$57,0)))+IF(RIGHT(TRIM(Paramètres!M36),3)="Fin",1-$H2736,IF(LEFT(TRIM(Paramètres!M36),1)="F",1,0)))),IF(Paramètres!N36="",0,IF(Paramètres!O36="",NA(),IF(LEFT(TRIM(Paramètres!O36),1)="F",INDEX($F$2705:$F$2757,MATCH(Paramètres!N36,Paramètres!$G$5:$G$57,0)),INDEX($E$2705:$E$2757,MATCH(Paramètres!N36,Paramètres!$G$5:$G$57,0)))+IF(RIGHT(TRIM(Paramètres!O36),3)="Fin",1-$H2736,IF(LEFT(TRIM(Paramètres!O36),1)="F",1,0)))))))</f>
        <v/>
      </c>
      <c r="F2736" s="19">
        <f>IF($A2736="","",E2736+$H2736-1)</f>
        <v/>
      </c>
      <c r="G2736" s="18" t="n"/>
      <c r="H2736" s="18">
        <f>IF($A2736="","",IF(I2736&lt;&gt;"",I2736,Paramètres!B36))</f>
        <v/>
      </c>
      <c r="I2736" s="18" t="n"/>
    </row>
    <row r="2737">
      <c r="A2737" s="18">
        <f>IF(ISNUMBER(Dossiers!$D$54),Dossiers!$A$54&amp;" · "&amp;Dossiers!$B$54,"")</f>
        <v/>
      </c>
      <c r="B2737" s="18">
        <f>IF($A2737="","",Paramètres!G37)</f>
        <v/>
      </c>
      <c r="C2737" s="18">
        <f>IF($A2737="","",IF(Paramètres!H37="","",Paramètres!H37))</f>
        <v/>
      </c>
      <c r="D2737" s="18">
        <f>IF($A2737="","",IF(Paramètres!I37="","",Paramètres!I37))</f>
        <v/>
      </c>
      <c r="E2737" s="19">
        <f>IF($A2737="","",MIN(E2738:E2755))</f>
        <v/>
      </c>
      <c r="F2737" s="19">
        <f>IF($A2737="","",MAX(F2738:F2755))</f>
        <v/>
      </c>
      <c r="G2737" s="18" t="n"/>
      <c r="H2737" s="18">
        <f>IF($A2737="","",F2737-E2737+1)</f>
        <v/>
      </c>
      <c r="I2737" s="18" t="n"/>
    </row>
    <row r="2738">
      <c r="A2738" s="18">
        <f>IF(ISNUMBER(Dossiers!$D$54),Dossiers!$A$54&amp;" · "&amp;Dossiers!$B$54,"")</f>
        <v/>
      </c>
      <c r="B2738" s="18">
        <f>IF($A2738="","",Paramètres!G38)</f>
        <v/>
      </c>
      <c r="C2738" s="18">
        <f>IF($A2738="","",IF(Paramètres!H38="","",Paramètres!H38))</f>
        <v/>
      </c>
      <c r="D2738" s="18">
        <f>IF($A2738="","",IF(Paramètres!I38="","",Paramètres!I38))</f>
        <v/>
      </c>
      <c r="E2738" s="19">
        <f>IF($A2738="","",IF(Paramètres!J38&amp;Paramètres!L38&amp;Paramètres!N38="",Dossiers!$D$54,MAX(IF(Paramètres!J38="",0,IF(Paramètres!K38="",NA(),IF(LEFT(TRIM(Paramètres!K38),1)="F",INDEX($F$2705:$F$2757,MATCH(Paramètres!J38,Paramètres!$G$5:$G$57,0)),INDEX($E$2705:$E$2757,MATCH(Paramètres!J38,Paramètres!$G$5:$G$57,0)))+IF(RIGHT(TRIM(Paramètres!K38),3)="Fin",1-$H2738,IF(LEFT(TRIM(Paramètres!K38),1)="F",1,0)))),IF(Paramètres!L38="",0,IF(Paramètres!M38="",NA(),IF(LEFT(TRIM(Paramètres!M38),1)="F",INDEX($F$2705:$F$2757,MATCH(Paramètres!L38,Paramètres!$G$5:$G$57,0)),INDEX($E$2705:$E$2757,MATCH(Paramètres!L38,Paramètres!$G$5:$G$57,0)))+IF(RIGHT(TRIM(Paramètres!M38),3)="Fin",1-$H2738,IF(LEFT(TRIM(Paramètres!M38),1)="F",1,0)))),IF(Paramètres!N38="",0,IF(Paramètres!O38="",NA(),IF(LEFT(TRIM(Paramètres!O38),1)="F",INDEX($F$2705:$F$2757,MATCH(Paramètres!N38,Paramètres!$G$5:$G$57,0)),INDEX($E$2705:$E$2757,MATCH(Paramètres!N38,Paramètres!$G$5:$G$57,0)))+IF(RIGHT(TRIM(Paramètres!O38),3)="Fin",1-$H2738,IF(LEFT(TRIM(Paramètres!O38),1)="F",1,0)))))))</f>
        <v/>
      </c>
      <c r="F2738" s="19">
        <f>IF($A2738="","",E2738+$H2738-1)</f>
        <v/>
      </c>
      <c r="G2738" s="18" t="n"/>
      <c r="H2738" s="18">
        <f>IF($A2738="","",IF(I2738&lt;&gt;"",I2738,Paramètres!B38))</f>
        <v/>
      </c>
      <c r="I2738" s="18" t="n"/>
    </row>
    <row r="2739">
      <c r="A2739" s="18">
        <f>IF(ISNUMBER(Dossiers!$D$54),Dossiers!$A$54&amp;" · "&amp;Dossiers!$B$54,"")</f>
        <v/>
      </c>
      <c r="B2739" s="18">
        <f>IF($A2739="","",Paramètres!G39)</f>
        <v/>
      </c>
      <c r="C2739" s="18">
        <f>IF($A2739="","",IF(Paramètres!H39="","",Paramètres!H39))</f>
        <v/>
      </c>
      <c r="D2739" s="18">
        <f>IF($A2739="","",IF(Paramètres!I39="","",Paramètres!I39))</f>
        <v/>
      </c>
      <c r="E2739" s="19">
        <f>IF($A2739="","",IF(Paramètres!J39&amp;Paramètres!L39&amp;Paramètres!N39="",Dossiers!$D$54,MAX(IF(Paramètres!J39="",0,IF(Paramètres!K39="",NA(),IF(LEFT(TRIM(Paramètres!K39),1)="F",INDEX($F$2705:$F$2757,MATCH(Paramètres!J39,Paramètres!$G$5:$G$57,0)),INDEX($E$2705:$E$2757,MATCH(Paramètres!J39,Paramètres!$G$5:$G$57,0)))+IF(RIGHT(TRIM(Paramètres!K39),3)="Fin",1-$H2739,IF(LEFT(TRIM(Paramètres!K39),1)="F",1,0)))),IF(Paramètres!L39="",0,IF(Paramètres!M39="",NA(),IF(LEFT(TRIM(Paramètres!M39),1)="F",INDEX($F$2705:$F$2757,MATCH(Paramètres!L39,Paramètres!$G$5:$G$57,0)),INDEX($E$2705:$E$2757,MATCH(Paramètres!L39,Paramètres!$G$5:$G$57,0)))+IF(RIGHT(TRIM(Paramètres!M39),3)="Fin",1-$H2739,IF(LEFT(TRIM(Paramètres!M39),1)="F",1,0)))),IF(Paramètres!N39="",0,IF(Paramètres!O39="",NA(),IF(LEFT(TRIM(Paramètres!O39),1)="F",INDEX($F$2705:$F$2757,MATCH(Paramètres!N39,Paramètres!$G$5:$G$57,0)),INDEX($E$2705:$E$2757,MATCH(Paramètres!N39,Paramètres!$G$5:$G$57,0)))+IF(RIGHT(TRIM(Paramètres!O39),3)="Fin",1-$H2739,IF(LEFT(TRIM(Paramètres!O39),1)="F",1,0)))))))</f>
        <v/>
      </c>
      <c r="F2739" s="19">
        <f>IF($A2739="","",E2739+$H2739-1)</f>
        <v/>
      </c>
      <c r="G2739" s="18" t="n"/>
      <c r="H2739" s="18">
        <f>IF($A2739="","",IF(I2739&lt;&gt;"",I2739,Paramètres!B39))</f>
        <v/>
      </c>
      <c r="I2739" s="18" t="n"/>
    </row>
    <row r="2740">
      <c r="A2740" s="18">
        <f>IF(ISNUMBER(Dossiers!$D$54),Dossiers!$A$54&amp;" · "&amp;Dossiers!$B$54,"")</f>
        <v/>
      </c>
      <c r="B2740" s="18">
        <f>IF($A2740="","",Paramètres!G40)</f>
        <v/>
      </c>
      <c r="C2740" s="18">
        <f>IF($A2740="","",IF(Paramètres!H40="","",Paramètres!H40))</f>
        <v/>
      </c>
      <c r="D2740" s="18">
        <f>IF($A2740="","",IF(Paramètres!I40="","",Paramètres!I40))</f>
        <v/>
      </c>
      <c r="E2740" s="19">
        <f>IF($A2740="","",IF(Paramètres!J40&amp;Paramètres!L40&amp;Paramètres!N40="",Dossiers!$D$54,MAX(IF(Paramètres!J40="",0,IF(Paramètres!K40="",NA(),IF(LEFT(TRIM(Paramètres!K40),1)="F",INDEX($F$2705:$F$2757,MATCH(Paramètres!J40,Paramètres!$G$5:$G$57,0)),INDEX($E$2705:$E$2757,MATCH(Paramètres!J40,Paramètres!$G$5:$G$57,0)))+IF(RIGHT(TRIM(Paramètres!K40),3)="Fin",1-$H2740,IF(LEFT(TRIM(Paramètres!K40),1)="F",1,0)))),IF(Paramètres!L40="",0,IF(Paramètres!M40="",NA(),IF(LEFT(TRIM(Paramètres!M40),1)="F",INDEX($F$2705:$F$2757,MATCH(Paramètres!L40,Paramètres!$G$5:$G$57,0)),INDEX($E$2705:$E$2757,MATCH(Paramètres!L40,Paramètres!$G$5:$G$57,0)))+IF(RIGHT(TRIM(Paramètres!M40),3)="Fin",1-$H2740,IF(LEFT(TRIM(Paramètres!M40),1)="F",1,0)))),IF(Paramètres!N40="",0,IF(Paramètres!O40="",NA(),IF(LEFT(TRIM(Paramètres!O40),1)="F",INDEX($F$2705:$F$2757,MATCH(Paramètres!N40,Paramètres!$G$5:$G$57,0)),INDEX($E$2705:$E$2757,MATCH(Paramètres!N40,Paramètres!$G$5:$G$57,0)))+IF(RIGHT(TRIM(Paramètres!O40),3)="Fin",1-$H2740,IF(LEFT(TRIM(Paramètres!O40),1)="F",1,0)))))))</f>
        <v/>
      </c>
      <c r="F2740" s="19">
        <f>IF($A2740="","",E2740+$H2740-1)</f>
        <v/>
      </c>
      <c r="G2740" s="18" t="n"/>
      <c r="H2740" s="18">
        <f>IF($A2740="","",IF(I2740&lt;&gt;"",I2740,Paramètres!B40))</f>
        <v/>
      </c>
      <c r="I2740" s="18" t="n"/>
    </row>
    <row r="2741">
      <c r="A2741" s="18">
        <f>IF(ISNUMBER(Dossiers!$D$54),Dossiers!$A$54&amp;" · "&amp;Dossiers!$B$54,"")</f>
        <v/>
      </c>
      <c r="B2741" s="18">
        <f>IF($A2741="","",Paramètres!G41)</f>
        <v/>
      </c>
      <c r="C2741" s="18">
        <f>IF($A2741="","",IF(Paramètres!H41="","",Paramètres!H41))</f>
        <v/>
      </c>
      <c r="D2741" s="18">
        <f>IF($A2741="","",IF(Paramètres!I41="","",Paramètres!I41))</f>
        <v/>
      </c>
      <c r="E2741" s="19">
        <f>IF($A2741="","",IF(Paramètres!J41&amp;Paramètres!L41&amp;Paramètres!N41="",Dossiers!$D$54,MAX(IF(Paramètres!J41="",0,IF(Paramètres!K41="",NA(),IF(LEFT(TRIM(Paramètres!K41),1)="F",INDEX($F$2705:$F$2757,MATCH(Paramètres!J41,Paramètres!$G$5:$G$57,0)),INDEX($E$2705:$E$2757,MATCH(Paramètres!J41,Paramètres!$G$5:$G$57,0)))+IF(RIGHT(TRIM(Paramètres!K41),3)="Fin",1-$H2741,IF(LEFT(TRIM(Paramètres!K41),1)="F",1,0)))),IF(Paramètres!L41="",0,IF(Paramètres!M41="",NA(),IF(LEFT(TRIM(Paramètres!M41),1)="F",INDEX($F$2705:$F$2757,MATCH(Paramètres!L41,Paramètres!$G$5:$G$57,0)),INDEX($E$2705:$E$2757,MATCH(Paramètres!L41,Paramètres!$G$5:$G$57,0)))+IF(RIGHT(TRIM(Paramètres!M41),3)="Fin",1-$H2741,IF(LEFT(TRIM(Paramètres!M41),1)="F",1,0)))),IF(Paramètres!N41="",0,IF(Paramètres!O41="",NA(),IF(LEFT(TRIM(Paramètres!O41),1)="F",INDEX($F$2705:$F$2757,MATCH(Paramètres!N41,Paramètres!$G$5:$G$57,0)),INDEX($E$2705:$E$2757,MATCH(Paramètres!N41,Paramètres!$G$5:$G$57,0)))+IF(RIGHT(TRIM(Paramètres!O41),3)="Fin",1-$H2741,IF(LEFT(TRIM(Paramètres!O41),1)="F",1,0)))))))</f>
        <v/>
      </c>
      <c r="F2741" s="19">
        <f>IF($A2741="","",E2741+$H2741-1)</f>
        <v/>
      </c>
      <c r="G2741" s="18" t="n"/>
      <c r="H2741" s="18">
        <f>IF($A2741="","",IF(I2741&lt;&gt;"",I2741,Paramètres!B41))</f>
        <v/>
      </c>
      <c r="I2741" s="18" t="n"/>
    </row>
    <row r="2742">
      <c r="A2742" s="18">
        <f>IF(ISNUMBER(Dossiers!$D$54),Dossiers!$A$54&amp;" · "&amp;Dossiers!$B$54,"")</f>
        <v/>
      </c>
      <c r="B2742" s="18">
        <f>IF($A2742="","",Paramètres!G42)</f>
        <v/>
      </c>
      <c r="C2742" s="18">
        <f>IF($A2742="","",IF(Paramètres!H42="","",Paramètres!H42))</f>
        <v/>
      </c>
      <c r="D2742" s="18">
        <f>IF($A2742="","",IF(Paramètres!I42="","",Paramètres!I42))</f>
        <v/>
      </c>
      <c r="E2742" s="19">
        <f>IF($A2742="","",IF(Paramètres!J42&amp;Paramètres!L42&amp;Paramètres!N42="",Dossiers!$D$54,MAX(IF(Paramètres!J42="",0,IF(Paramètres!K42="",NA(),IF(LEFT(TRIM(Paramètres!K42),1)="F",INDEX($F$2705:$F$2757,MATCH(Paramètres!J42,Paramètres!$G$5:$G$57,0)),INDEX($E$2705:$E$2757,MATCH(Paramètres!J42,Paramètres!$G$5:$G$57,0)))+IF(RIGHT(TRIM(Paramètres!K42),3)="Fin",1-$H2742,IF(LEFT(TRIM(Paramètres!K42),1)="F",1,0)))),IF(Paramètres!L42="",0,IF(Paramètres!M42="",NA(),IF(LEFT(TRIM(Paramètres!M42),1)="F",INDEX($F$2705:$F$2757,MATCH(Paramètres!L42,Paramètres!$G$5:$G$57,0)),INDEX($E$2705:$E$2757,MATCH(Paramètres!L42,Paramètres!$G$5:$G$57,0)))+IF(RIGHT(TRIM(Paramètres!M42),3)="Fin",1-$H2742,IF(LEFT(TRIM(Paramètres!M42),1)="F",1,0)))),IF(Paramètres!N42="",0,IF(Paramètres!O42="",NA(),IF(LEFT(TRIM(Paramètres!O42),1)="F",INDEX($F$2705:$F$2757,MATCH(Paramètres!N42,Paramètres!$G$5:$G$57,0)),INDEX($E$2705:$E$2757,MATCH(Paramètres!N42,Paramètres!$G$5:$G$57,0)))+IF(RIGHT(TRIM(Paramètres!O42),3)="Fin",1-$H2742,IF(LEFT(TRIM(Paramètres!O42),1)="F",1,0)))))))</f>
        <v/>
      </c>
      <c r="F2742" s="19">
        <f>IF($A2742="","",E2742+$H2742-1)</f>
        <v/>
      </c>
      <c r="G2742" s="18" t="n"/>
      <c r="H2742" s="18">
        <f>IF($A2742="","",IF(I2742&lt;&gt;"",I2742,Paramètres!B42))</f>
        <v/>
      </c>
      <c r="I2742" s="18" t="n"/>
    </row>
    <row r="2743">
      <c r="A2743" s="18">
        <f>IF(ISNUMBER(Dossiers!$D$54),Dossiers!$A$54&amp;" · "&amp;Dossiers!$B$54,"")</f>
        <v/>
      </c>
      <c r="B2743" s="18">
        <f>IF($A2743="","",Paramètres!G43)</f>
        <v/>
      </c>
      <c r="C2743" s="18">
        <f>IF($A2743="","",IF(Paramètres!H43="","",Paramètres!H43))</f>
        <v/>
      </c>
      <c r="D2743" s="18">
        <f>IF($A2743="","",IF(Paramètres!I43="","",Paramètres!I43))</f>
        <v/>
      </c>
      <c r="E2743" s="19">
        <f>IF($A2743="","",IF(Paramètres!J43&amp;Paramètres!L43&amp;Paramètres!N43="",Dossiers!$D$54,MAX(IF(Paramètres!J43="",0,IF(Paramètres!K43="",NA(),IF(LEFT(TRIM(Paramètres!K43),1)="F",INDEX($F$2705:$F$2757,MATCH(Paramètres!J43,Paramètres!$G$5:$G$57,0)),INDEX($E$2705:$E$2757,MATCH(Paramètres!J43,Paramètres!$G$5:$G$57,0)))+IF(RIGHT(TRIM(Paramètres!K43),3)="Fin",1-$H2743,IF(LEFT(TRIM(Paramètres!K43),1)="F",1,0)))),IF(Paramètres!L43="",0,IF(Paramètres!M43="",NA(),IF(LEFT(TRIM(Paramètres!M43),1)="F",INDEX($F$2705:$F$2757,MATCH(Paramètres!L43,Paramètres!$G$5:$G$57,0)),INDEX($E$2705:$E$2757,MATCH(Paramètres!L43,Paramètres!$G$5:$G$57,0)))+IF(RIGHT(TRIM(Paramètres!M43),3)="Fin",1-$H2743,IF(LEFT(TRIM(Paramètres!M43),1)="F",1,0)))),IF(Paramètres!N43="",0,IF(Paramètres!O43="",NA(),IF(LEFT(TRIM(Paramètres!O43),1)="F",INDEX($F$2705:$F$2757,MATCH(Paramètres!N43,Paramètres!$G$5:$G$57,0)),INDEX($E$2705:$E$2757,MATCH(Paramètres!N43,Paramètres!$G$5:$G$57,0)))+IF(RIGHT(TRIM(Paramètres!O43),3)="Fin",1-$H2743,IF(LEFT(TRIM(Paramètres!O43),1)="F",1,0)))))))</f>
        <v/>
      </c>
      <c r="F2743" s="19">
        <f>IF($A2743="","",E2743+$H2743-1)</f>
        <v/>
      </c>
      <c r="G2743" s="18" t="n"/>
      <c r="H2743" s="18">
        <f>IF($A2743="","",IF(I2743&lt;&gt;"",I2743,Paramètres!B43))</f>
        <v/>
      </c>
      <c r="I2743" s="18" t="n"/>
    </row>
    <row r="2744">
      <c r="A2744" s="18">
        <f>IF(ISNUMBER(Dossiers!$D$54),Dossiers!$A$54&amp;" · "&amp;Dossiers!$B$54,"")</f>
        <v/>
      </c>
      <c r="B2744" s="18">
        <f>IF($A2744="","",Paramètres!G44)</f>
        <v/>
      </c>
      <c r="C2744" s="18">
        <f>IF($A2744="","",IF(Paramètres!H44="","",Paramètres!H44))</f>
        <v/>
      </c>
      <c r="D2744" s="18">
        <f>IF($A2744="","",IF(Paramètres!I44="","",Paramètres!I44))</f>
        <v/>
      </c>
      <c r="E2744" s="19">
        <f>IF($A2744="","",IF(Paramètres!J44&amp;Paramètres!L44&amp;Paramètres!N44="",Dossiers!$D$54,MAX(IF(Paramètres!J44="",0,IF(Paramètres!K44="",NA(),IF(LEFT(TRIM(Paramètres!K44),1)="F",INDEX($F$2705:$F$2757,MATCH(Paramètres!J44,Paramètres!$G$5:$G$57,0)),INDEX($E$2705:$E$2757,MATCH(Paramètres!J44,Paramètres!$G$5:$G$57,0)))+IF(RIGHT(TRIM(Paramètres!K44),3)="Fin",1-$H2744,IF(LEFT(TRIM(Paramètres!K44),1)="F",1,0)))),IF(Paramètres!L44="",0,IF(Paramètres!M44="",NA(),IF(LEFT(TRIM(Paramètres!M44),1)="F",INDEX($F$2705:$F$2757,MATCH(Paramètres!L44,Paramètres!$G$5:$G$57,0)),INDEX($E$2705:$E$2757,MATCH(Paramètres!L44,Paramètres!$G$5:$G$57,0)))+IF(RIGHT(TRIM(Paramètres!M44),3)="Fin",1-$H2744,IF(LEFT(TRIM(Paramètres!M44),1)="F",1,0)))),IF(Paramètres!N44="",0,IF(Paramètres!O44="",NA(),IF(LEFT(TRIM(Paramètres!O44),1)="F",INDEX($F$2705:$F$2757,MATCH(Paramètres!N44,Paramètres!$G$5:$G$57,0)),INDEX($E$2705:$E$2757,MATCH(Paramètres!N44,Paramètres!$G$5:$G$57,0)))+IF(RIGHT(TRIM(Paramètres!O44),3)="Fin",1-$H2744,IF(LEFT(TRIM(Paramètres!O44),1)="F",1,0)))))))</f>
        <v/>
      </c>
      <c r="F2744" s="19">
        <f>IF($A2744="","",E2744+$H2744-1)</f>
        <v/>
      </c>
      <c r="G2744" s="18" t="n"/>
      <c r="H2744" s="18">
        <f>IF($A2744="","",IF(I2744&lt;&gt;"",I2744,Paramètres!B44))</f>
        <v/>
      </c>
      <c r="I2744" s="18" t="n"/>
    </row>
    <row r="2745">
      <c r="A2745" s="18">
        <f>IF(ISNUMBER(Dossiers!$D$54),Dossiers!$A$54&amp;" · "&amp;Dossiers!$B$54,"")</f>
        <v/>
      </c>
      <c r="B2745" s="18">
        <f>IF($A2745="","",Paramètres!G45)</f>
        <v/>
      </c>
      <c r="C2745" s="20">
        <f>IF($A2745="","",IF(Dossiers!$G$54="","",Dossiers!$G$54))</f>
        <v/>
      </c>
      <c r="D2745" s="18">
        <f>IF($A2745="","",IF(Paramètres!I45="","",Paramètres!I45))</f>
        <v/>
      </c>
      <c r="E2745" s="19">
        <f>IF($A2745="","",IF(Paramètres!J45&amp;Paramètres!L45&amp;Paramètres!N45="",Dossiers!$D$54,MAX(IF(Paramètres!J45="",0,IF(Paramètres!K45="",NA(),IF(LEFT(TRIM(Paramètres!K45),1)="F",INDEX($F$2705:$F$2757,MATCH(Paramètres!J45,Paramètres!$G$5:$G$57,0)),INDEX($E$2705:$E$2757,MATCH(Paramètres!J45,Paramètres!$G$5:$G$57,0)))+IF(RIGHT(TRIM(Paramètres!K45),3)="Fin",1-$H2745,IF(LEFT(TRIM(Paramètres!K45),1)="F",1,0)))),IF(Paramètres!L45="",0,IF(Paramètres!M45="",NA(),IF(LEFT(TRIM(Paramètres!M45),1)="F",INDEX($F$2705:$F$2757,MATCH(Paramètres!L45,Paramètres!$G$5:$G$57,0)),INDEX($E$2705:$E$2757,MATCH(Paramètres!L45,Paramètres!$G$5:$G$57,0)))+IF(RIGHT(TRIM(Paramètres!M45),3)="Fin",1-$H2745,IF(LEFT(TRIM(Paramètres!M45),1)="F",1,0)))),IF(Paramètres!N45="",0,IF(Paramètres!O45="",NA(),IF(LEFT(TRIM(Paramètres!O45),1)="F",INDEX($F$2705:$F$2757,MATCH(Paramètres!N45,Paramètres!$G$5:$G$57,0)),INDEX($E$2705:$E$2757,MATCH(Paramètres!N45,Paramètres!$G$5:$G$57,0)))+IF(RIGHT(TRIM(Paramètres!O45),3)="Fin",1-$H2745,IF(LEFT(TRIM(Paramètres!O45),1)="F",1,0)))))))</f>
        <v/>
      </c>
      <c r="F2745" s="19">
        <f>IF($A2745="","",E2745+$H2745-1)</f>
        <v/>
      </c>
      <c r="G2745" s="18" t="n"/>
      <c r="H2745" s="18">
        <f>IF($A2745="","",IF(I2745&lt;&gt;"",I2745,Paramètres!B45))</f>
        <v/>
      </c>
      <c r="I2745" s="18" t="n"/>
    </row>
    <row r="2746">
      <c r="A2746" s="18">
        <f>IF(ISNUMBER(Dossiers!$D$54),Dossiers!$A$54&amp;" · "&amp;Dossiers!$B$54,"")</f>
        <v/>
      </c>
      <c r="B2746" s="18">
        <f>IF($A2746="","",Paramètres!G46)</f>
        <v/>
      </c>
      <c r="C2746" s="18">
        <f>IF($A2746="","",IF(Paramètres!H46="","",Paramètres!H46))</f>
        <v/>
      </c>
      <c r="D2746" s="18">
        <f>IF($A2746="","",IF(Paramètres!I46="","",Paramètres!I46))</f>
        <v/>
      </c>
      <c r="E2746" s="19">
        <f>IF($A2746="","",IF(Paramètres!J46&amp;Paramètres!L46&amp;Paramètres!N46="",Dossiers!$D$54,MAX(IF(Paramètres!J46="",0,IF(Paramètres!K46="",NA(),IF(LEFT(TRIM(Paramètres!K46),1)="F",INDEX($F$2705:$F$2757,MATCH(Paramètres!J46,Paramètres!$G$5:$G$57,0)),INDEX($E$2705:$E$2757,MATCH(Paramètres!J46,Paramètres!$G$5:$G$57,0)))+IF(RIGHT(TRIM(Paramètres!K46),3)="Fin",1-$H2746,IF(LEFT(TRIM(Paramètres!K46),1)="F",1,0)))),IF(Paramètres!L46="",0,IF(Paramètres!M46="",NA(),IF(LEFT(TRIM(Paramètres!M46),1)="F",INDEX($F$2705:$F$2757,MATCH(Paramètres!L46,Paramètres!$G$5:$G$57,0)),INDEX($E$2705:$E$2757,MATCH(Paramètres!L46,Paramètres!$G$5:$G$57,0)))+IF(RIGHT(TRIM(Paramètres!M46),3)="Fin",1-$H2746,IF(LEFT(TRIM(Paramètres!M46),1)="F",1,0)))),IF(Paramètres!N46="",0,IF(Paramètres!O46="",NA(),IF(LEFT(TRIM(Paramètres!O46),1)="F",INDEX($F$2705:$F$2757,MATCH(Paramètres!N46,Paramètres!$G$5:$G$57,0)),INDEX($E$2705:$E$2757,MATCH(Paramètres!N46,Paramètres!$G$5:$G$57,0)))+IF(RIGHT(TRIM(Paramètres!O46),3)="Fin",1-$H2746,IF(LEFT(TRIM(Paramètres!O46),1)="F",1,0)))))))</f>
        <v/>
      </c>
      <c r="F2746" s="19">
        <f>IF($A2746="","",E2746+$H2746-1)</f>
        <v/>
      </c>
      <c r="G2746" s="18" t="n"/>
      <c r="H2746" s="18">
        <f>IF($A2746="","",IF(I2746&lt;&gt;"",I2746,Paramètres!B46))</f>
        <v/>
      </c>
      <c r="I2746" s="18" t="n"/>
    </row>
    <row r="2747">
      <c r="A2747" s="18">
        <f>IF(ISNUMBER(Dossiers!$D$54),Dossiers!$A$54&amp;" · "&amp;Dossiers!$B$54,"")</f>
        <v/>
      </c>
      <c r="B2747" s="18">
        <f>IF($A2747="","",Paramètres!G47)</f>
        <v/>
      </c>
      <c r="C2747" s="18">
        <f>IF($A2747="","",IF(Paramètres!H47="","",Paramètres!H47))</f>
        <v/>
      </c>
      <c r="D2747" s="18">
        <f>IF($A2747="","",IF(Paramètres!I47="","",Paramètres!I47))</f>
        <v/>
      </c>
      <c r="E2747" s="19">
        <f>IF($A2747="","",IF(Paramètres!J47&amp;Paramètres!L47&amp;Paramètres!N47="",Dossiers!$D$54,MAX(IF(Paramètres!J47="",0,IF(Paramètres!K47="",NA(),IF(LEFT(TRIM(Paramètres!K47),1)="F",INDEX($F$2705:$F$2757,MATCH(Paramètres!J47,Paramètres!$G$5:$G$57,0)),INDEX($E$2705:$E$2757,MATCH(Paramètres!J47,Paramètres!$G$5:$G$57,0)))+IF(RIGHT(TRIM(Paramètres!K47),3)="Fin",1-$H2747,IF(LEFT(TRIM(Paramètres!K47),1)="F",1,0)))),IF(Paramètres!L47="",0,IF(Paramètres!M47="",NA(),IF(LEFT(TRIM(Paramètres!M47),1)="F",INDEX($F$2705:$F$2757,MATCH(Paramètres!L47,Paramètres!$G$5:$G$57,0)),INDEX($E$2705:$E$2757,MATCH(Paramètres!L47,Paramètres!$G$5:$G$57,0)))+IF(RIGHT(TRIM(Paramètres!M47),3)="Fin",1-$H2747,IF(LEFT(TRIM(Paramètres!M47),1)="F",1,0)))),IF(Paramètres!N47="",0,IF(Paramètres!O47="",NA(),IF(LEFT(TRIM(Paramètres!O47),1)="F",INDEX($F$2705:$F$2757,MATCH(Paramètres!N47,Paramètres!$G$5:$G$57,0)),INDEX($E$2705:$E$2757,MATCH(Paramètres!N47,Paramètres!$G$5:$G$57,0)))+IF(RIGHT(TRIM(Paramètres!O47),3)="Fin",1-$H2747,IF(LEFT(TRIM(Paramètres!O47),1)="F",1,0)))))))</f>
        <v/>
      </c>
      <c r="F2747" s="19">
        <f>IF($A2747="","",E2747+$H2747-1)</f>
        <v/>
      </c>
      <c r="G2747" s="18" t="n"/>
      <c r="H2747" s="18">
        <f>IF($A2747="","",IF(I2747&lt;&gt;"",I2747,Paramètres!B47))</f>
        <v/>
      </c>
      <c r="I2747" s="18" t="n"/>
    </row>
    <row r="2748">
      <c r="A2748" s="18">
        <f>IF(ISNUMBER(Dossiers!$D$54),Dossiers!$A$54&amp;" · "&amp;Dossiers!$B$54,"")</f>
        <v/>
      </c>
      <c r="B2748" s="18">
        <f>IF($A2748="","",Paramètres!G48)</f>
        <v/>
      </c>
      <c r="C2748" s="18">
        <f>IF($A2748="","",IF(Paramètres!H48="","",Paramètres!H48))</f>
        <v/>
      </c>
      <c r="D2748" s="18">
        <f>IF($A2748="","",IF(Paramètres!I48="","",Paramètres!I48))</f>
        <v/>
      </c>
      <c r="E2748" s="19">
        <f>IF($A2748="","",IF(Paramètres!J48&amp;Paramètres!L48&amp;Paramètres!N48="",Dossiers!$D$54,MAX(IF(Paramètres!J48="",0,IF(Paramètres!K48="",NA(),IF(LEFT(TRIM(Paramètres!K48),1)="F",INDEX($F$2705:$F$2757,MATCH(Paramètres!J48,Paramètres!$G$5:$G$57,0)),INDEX($E$2705:$E$2757,MATCH(Paramètres!J48,Paramètres!$G$5:$G$57,0)))+IF(RIGHT(TRIM(Paramètres!K48),3)="Fin",1-$H2748,IF(LEFT(TRIM(Paramètres!K48),1)="F",1,0)))),IF(Paramètres!L48="",0,IF(Paramètres!M48="",NA(),IF(LEFT(TRIM(Paramètres!M48),1)="F",INDEX($F$2705:$F$2757,MATCH(Paramètres!L48,Paramètres!$G$5:$G$57,0)),INDEX($E$2705:$E$2757,MATCH(Paramètres!L48,Paramètres!$G$5:$G$57,0)))+IF(RIGHT(TRIM(Paramètres!M48),3)="Fin",1-$H2748,IF(LEFT(TRIM(Paramètres!M48),1)="F",1,0)))),IF(Paramètres!N48="",0,IF(Paramètres!O48="",NA(),IF(LEFT(TRIM(Paramètres!O48),1)="F",INDEX($F$2705:$F$2757,MATCH(Paramètres!N48,Paramètres!$G$5:$G$57,0)),INDEX($E$2705:$E$2757,MATCH(Paramètres!N48,Paramètres!$G$5:$G$57,0)))+IF(RIGHT(TRIM(Paramètres!O48),3)="Fin",1-$H2748,IF(LEFT(TRIM(Paramètres!O48),1)="F",1,0)))))))</f>
        <v/>
      </c>
      <c r="F2748" s="19">
        <f>IF($A2748="","",E2748+$H2748-1)</f>
        <v/>
      </c>
      <c r="G2748" s="18" t="n"/>
      <c r="H2748" s="18">
        <f>IF($A2748="","",IF(I2748&lt;&gt;"",I2748,Paramètres!B48))</f>
        <v/>
      </c>
      <c r="I2748" s="18" t="n"/>
    </row>
    <row r="2749">
      <c r="A2749" s="18">
        <f>IF(ISNUMBER(Dossiers!$D$54),Dossiers!$A$54&amp;" · "&amp;Dossiers!$B$54,"")</f>
        <v/>
      </c>
      <c r="B2749" s="18">
        <f>IF($A2749="","",Paramètres!G49)</f>
        <v/>
      </c>
      <c r="C2749" s="18">
        <f>IF($A2749="","",IF(Paramètres!H49="","",Paramètres!H49))</f>
        <v/>
      </c>
      <c r="D2749" s="18">
        <f>IF($A2749="","",IF(Paramètres!I49="","",Paramètres!I49))</f>
        <v/>
      </c>
      <c r="E2749" s="19">
        <f>IF($A2749="","",IF(Paramètres!J49&amp;Paramètres!L49&amp;Paramètres!N49="",Dossiers!$D$54,MAX(IF(Paramètres!J49="",0,IF(Paramètres!K49="",NA(),IF(LEFT(TRIM(Paramètres!K49),1)="F",INDEX($F$2705:$F$2757,MATCH(Paramètres!J49,Paramètres!$G$5:$G$57,0)),INDEX($E$2705:$E$2757,MATCH(Paramètres!J49,Paramètres!$G$5:$G$57,0)))+IF(RIGHT(TRIM(Paramètres!K49),3)="Fin",1-$H2749,IF(LEFT(TRIM(Paramètres!K49),1)="F",1,0)))),IF(Paramètres!L49="",0,IF(Paramètres!M49="",NA(),IF(LEFT(TRIM(Paramètres!M49),1)="F",INDEX($F$2705:$F$2757,MATCH(Paramètres!L49,Paramètres!$G$5:$G$57,0)),INDEX($E$2705:$E$2757,MATCH(Paramètres!L49,Paramètres!$G$5:$G$57,0)))+IF(RIGHT(TRIM(Paramètres!M49),3)="Fin",1-$H2749,IF(LEFT(TRIM(Paramètres!M49),1)="F",1,0)))),IF(Paramètres!N49="",0,IF(Paramètres!O49="",NA(),IF(LEFT(TRIM(Paramètres!O49),1)="F",INDEX($F$2705:$F$2757,MATCH(Paramètres!N49,Paramètres!$G$5:$G$57,0)),INDEX($E$2705:$E$2757,MATCH(Paramètres!N49,Paramètres!$G$5:$G$57,0)))+IF(RIGHT(TRIM(Paramètres!O49),3)="Fin",1-$H2749,IF(LEFT(TRIM(Paramètres!O49),1)="F",1,0)))))))</f>
        <v/>
      </c>
      <c r="F2749" s="19">
        <f>IF($A2749="","",E2749+$H2749-1)</f>
        <v/>
      </c>
      <c r="G2749" s="18" t="n"/>
      <c r="H2749" s="18">
        <f>IF($A2749="","",IF(I2749&lt;&gt;"",I2749,Paramètres!B49))</f>
        <v/>
      </c>
      <c r="I2749" s="18" t="n"/>
    </row>
    <row r="2750">
      <c r="A2750" s="18">
        <f>IF(ISNUMBER(Dossiers!$D$54),Dossiers!$A$54&amp;" · "&amp;Dossiers!$B$54,"")</f>
        <v/>
      </c>
      <c r="B2750" s="18">
        <f>IF($A2750="","",Paramètres!G50)</f>
        <v/>
      </c>
      <c r="C2750" s="18">
        <f>IF($A2750="","",IF(Paramètres!H50="","",Paramètres!H50))</f>
        <v/>
      </c>
      <c r="D2750" s="18">
        <f>IF($A2750="","",IF(Paramètres!I50="","",Paramètres!I50))</f>
        <v/>
      </c>
      <c r="E2750" s="19">
        <f>IF($A2750="","",IF(Paramètres!J50&amp;Paramètres!L50&amp;Paramètres!N50="",Dossiers!$D$54,MAX(IF(Paramètres!J50="",0,IF(Paramètres!K50="",NA(),IF(LEFT(TRIM(Paramètres!K50),1)="F",INDEX($F$2705:$F$2757,MATCH(Paramètres!J50,Paramètres!$G$5:$G$57,0)),INDEX($E$2705:$E$2757,MATCH(Paramètres!J50,Paramètres!$G$5:$G$57,0)))+IF(RIGHT(TRIM(Paramètres!K50),3)="Fin",1-$H2750,IF(LEFT(TRIM(Paramètres!K50),1)="F",1,0)))),IF(Paramètres!L50="",0,IF(Paramètres!M50="",NA(),IF(LEFT(TRIM(Paramètres!M50),1)="F",INDEX($F$2705:$F$2757,MATCH(Paramètres!L50,Paramètres!$G$5:$G$57,0)),INDEX($E$2705:$E$2757,MATCH(Paramètres!L50,Paramètres!$G$5:$G$57,0)))+IF(RIGHT(TRIM(Paramètres!M50),3)="Fin",1-$H2750,IF(LEFT(TRIM(Paramètres!M50),1)="F",1,0)))),IF(Paramètres!N50="",0,IF(Paramètres!O50="",NA(),IF(LEFT(TRIM(Paramètres!O50),1)="F",INDEX($F$2705:$F$2757,MATCH(Paramètres!N50,Paramètres!$G$5:$G$57,0)),INDEX($E$2705:$E$2757,MATCH(Paramètres!N50,Paramètres!$G$5:$G$57,0)))+IF(RIGHT(TRIM(Paramètres!O50),3)="Fin",1-$H2750,IF(LEFT(TRIM(Paramètres!O50),1)="F",1,0)))))))</f>
        <v/>
      </c>
      <c r="F2750" s="19">
        <f>IF($A2750="","",E2750+$H2750-1)</f>
        <v/>
      </c>
      <c r="G2750" s="18" t="n"/>
      <c r="H2750" s="18">
        <f>IF($A2750="","",IF(I2750&lt;&gt;"",I2750,Paramètres!B50))</f>
        <v/>
      </c>
      <c r="I2750" s="18" t="n"/>
    </row>
    <row r="2751">
      <c r="A2751" s="18">
        <f>IF(ISNUMBER(Dossiers!$D$54),Dossiers!$A$54&amp;" · "&amp;Dossiers!$B$54,"")</f>
        <v/>
      </c>
      <c r="B2751" s="18">
        <f>IF($A2751="","",Paramètres!G51)</f>
        <v/>
      </c>
      <c r="C2751" s="18">
        <f>IF($A2751="","",IF(Paramètres!H51="","",Paramètres!H51))</f>
        <v/>
      </c>
      <c r="D2751" s="18">
        <f>IF($A2751="","",IF(Paramètres!I51="","",Paramètres!I51))</f>
        <v/>
      </c>
      <c r="E2751" s="19">
        <f>IF($A2751="","",IF(Paramètres!J51&amp;Paramètres!L51&amp;Paramètres!N51="",Dossiers!$D$54,MAX(IF(Paramètres!J51="",0,IF(Paramètres!K51="",NA(),IF(LEFT(TRIM(Paramètres!K51),1)="F",INDEX($F$2705:$F$2757,MATCH(Paramètres!J51,Paramètres!$G$5:$G$57,0)),INDEX($E$2705:$E$2757,MATCH(Paramètres!J51,Paramètres!$G$5:$G$57,0)))+IF(RIGHT(TRIM(Paramètres!K51),3)="Fin",1-$H2751,IF(LEFT(TRIM(Paramètres!K51),1)="F",1,0)))),IF(Paramètres!L51="",0,IF(Paramètres!M51="",NA(),IF(LEFT(TRIM(Paramètres!M51),1)="F",INDEX($F$2705:$F$2757,MATCH(Paramètres!L51,Paramètres!$G$5:$G$57,0)),INDEX($E$2705:$E$2757,MATCH(Paramètres!L51,Paramètres!$G$5:$G$57,0)))+IF(RIGHT(TRIM(Paramètres!M51),3)="Fin",1-$H2751,IF(LEFT(TRIM(Paramètres!M51),1)="F",1,0)))),IF(Paramètres!N51="",0,IF(Paramètres!O51="",NA(),IF(LEFT(TRIM(Paramètres!O51),1)="F",INDEX($F$2705:$F$2757,MATCH(Paramètres!N51,Paramètres!$G$5:$G$57,0)),INDEX($E$2705:$E$2757,MATCH(Paramètres!N51,Paramètres!$G$5:$G$57,0)))+IF(RIGHT(TRIM(Paramètres!O51),3)="Fin",1-$H2751,IF(LEFT(TRIM(Paramètres!O51),1)="F",1,0)))))))</f>
        <v/>
      </c>
      <c r="F2751" s="19">
        <f>IF($A2751="","",E2751+$H2751-1)</f>
        <v/>
      </c>
      <c r="G2751" s="18" t="n"/>
      <c r="H2751" s="18">
        <f>IF($A2751="","",IF(I2751&lt;&gt;"",I2751,Paramètres!B51))</f>
        <v/>
      </c>
      <c r="I2751" s="18" t="n"/>
    </row>
    <row r="2752">
      <c r="A2752" s="18">
        <f>IF(ISNUMBER(Dossiers!$D$54),Dossiers!$A$54&amp;" · "&amp;Dossiers!$B$54,"")</f>
        <v/>
      </c>
      <c r="B2752" s="18">
        <f>IF($A2752="","",Paramètres!G52)</f>
        <v/>
      </c>
      <c r="C2752" s="18">
        <f>IF($A2752="","",IF(Paramètres!H52="","",Paramètres!H52))</f>
        <v/>
      </c>
      <c r="D2752" s="18">
        <f>IF($A2752="","",IF(Paramètres!I52="","",Paramètres!I52))</f>
        <v/>
      </c>
      <c r="E2752" s="19">
        <f>IF($A2752="","",IF(Paramètres!J52&amp;Paramètres!L52&amp;Paramètres!N52="",Dossiers!$D$54,MAX(IF(Paramètres!J52="",0,IF(Paramètres!K52="",NA(),IF(LEFT(TRIM(Paramètres!K52),1)="F",INDEX($F$2705:$F$2757,MATCH(Paramètres!J52,Paramètres!$G$5:$G$57,0)),INDEX($E$2705:$E$2757,MATCH(Paramètres!J52,Paramètres!$G$5:$G$57,0)))+IF(RIGHT(TRIM(Paramètres!K52),3)="Fin",1-$H2752,IF(LEFT(TRIM(Paramètres!K52),1)="F",1,0)))),IF(Paramètres!L52="",0,IF(Paramètres!M52="",NA(),IF(LEFT(TRIM(Paramètres!M52),1)="F",INDEX($F$2705:$F$2757,MATCH(Paramètres!L52,Paramètres!$G$5:$G$57,0)),INDEX($E$2705:$E$2757,MATCH(Paramètres!L52,Paramètres!$G$5:$G$57,0)))+IF(RIGHT(TRIM(Paramètres!M52),3)="Fin",1-$H2752,IF(LEFT(TRIM(Paramètres!M52),1)="F",1,0)))),IF(Paramètres!N52="",0,IF(Paramètres!O52="",NA(),IF(LEFT(TRIM(Paramètres!O52),1)="F",INDEX($F$2705:$F$2757,MATCH(Paramètres!N52,Paramètres!$G$5:$G$57,0)),INDEX($E$2705:$E$2757,MATCH(Paramètres!N52,Paramètres!$G$5:$G$57,0)))+IF(RIGHT(TRIM(Paramètres!O52),3)="Fin",1-$H2752,IF(LEFT(TRIM(Paramètres!O52),1)="F",1,0)))))))</f>
        <v/>
      </c>
      <c r="F2752" s="19">
        <f>IF($A2752="","",E2752+$H2752-1)</f>
        <v/>
      </c>
      <c r="G2752" s="18" t="n"/>
      <c r="H2752" s="18">
        <f>IF($A2752="","",IF(I2752&lt;&gt;"",I2752,Paramètres!B52))</f>
        <v/>
      </c>
      <c r="I2752" s="18" t="n"/>
    </row>
    <row r="2753">
      <c r="A2753" s="18">
        <f>IF(ISNUMBER(Dossiers!$D$54),Dossiers!$A$54&amp;" · "&amp;Dossiers!$B$54,"")</f>
        <v/>
      </c>
      <c r="B2753" s="18">
        <f>IF($A2753="","",Paramètres!G53)</f>
        <v/>
      </c>
      <c r="C2753" s="18">
        <f>IF($A2753="","",IF(Paramètres!H53="","",Paramètres!H53))</f>
        <v/>
      </c>
      <c r="D2753" s="18">
        <f>IF($A2753="","",IF(Paramètres!I53="","",Paramètres!I53))</f>
        <v/>
      </c>
      <c r="E2753" s="19">
        <f>IF($A2753="","",IF(Paramètres!J53&amp;Paramètres!L53&amp;Paramètres!N53="",Dossiers!$D$54,MAX(IF(Paramètres!J53="",0,IF(Paramètres!K53="",NA(),IF(LEFT(TRIM(Paramètres!K53),1)="F",INDEX($F$2705:$F$2757,MATCH(Paramètres!J53,Paramètres!$G$5:$G$57,0)),INDEX($E$2705:$E$2757,MATCH(Paramètres!J53,Paramètres!$G$5:$G$57,0)))+IF(RIGHT(TRIM(Paramètres!K53),3)="Fin",1-$H2753,IF(LEFT(TRIM(Paramètres!K53),1)="F",1,0)))),IF(Paramètres!L53="",0,IF(Paramètres!M53="",NA(),IF(LEFT(TRIM(Paramètres!M53),1)="F",INDEX($F$2705:$F$2757,MATCH(Paramètres!L53,Paramètres!$G$5:$G$57,0)),INDEX($E$2705:$E$2757,MATCH(Paramètres!L53,Paramètres!$G$5:$G$57,0)))+IF(RIGHT(TRIM(Paramètres!M53),3)="Fin",1-$H2753,IF(LEFT(TRIM(Paramètres!M53),1)="F",1,0)))),IF(Paramètres!N53="",0,IF(Paramètres!O53="",NA(),IF(LEFT(TRIM(Paramètres!O53),1)="F",INDEX($F$2705:$F$2757,MATCH(Paramètres!N53,Paramètres!$G$5:$G$57,0)),INDEX($E$2705:$E$2757,MATCH(Paramètres!N53,Paramètres!$G$5:$G$57,0)))+IF(RIGHT(TRIM(Paramètres!O53),3)="Fin",1-$H2753,IF(LEFT(TRIM(Paramètres!O53),1)="F",1,0)))))))</f>
        <v/>
      </c>
      <c r="F2753" s="19">
        <f>IF($A2753="","",E2753+$H2753-1)</f>
        <v/>
      </c>
      <c r="G2753" s="18" t="n"/>
      <c r="H2753" s="18">
        <f>IF($A2753="","",IF(I2753&lt;&gt;"",I2753,Paramètres!B53))</f>
        <v/>
      </c>
      <c r="I2753" s="18" t="n"/>
    </row>
    <row r="2754">
      <c r="A2754" s="18">
        <f>IF(ISNUMBER(Dossiers!$D$54),Dossiers!$A$54&amp;" · "&amp;Dossiers!$B$54,"")</f>
        <v/>
      </c>
      <c r="B2754" s="18">
        <f>IF($A2754="","",Paramètres!G54)</f>
        <v/>
      </c>
      <c r="C2754" s="18">
        <f>IF($A2754="","",IF(Paramètres!H54="","",Paramètres!H54))</f>
        <v/>
      </c>
      <c r="D2754" s="18">
        <f>IF($A2754="","",IF(Paramètres!I54="","",Paramètres!I54))</f>
        <v/>
      </c>
      <c r="E2754" s="19">
        <f>IF($A2754="","",IF(Paramètres!J54&amp;Paramètres!L54&amp;Paramètres!N54="",Dossiers!$D$54,MAX(IF(Paramètres!J54="",0,IF(Paramètres!K54="",NA(),IF(LEFT(TRIM(Paramètres!K54),1)="F",INDEX($F$2705:$F$2757,MATCH(Paramètres!J54,Paramètres!$G$5:$G$57,0)),INDEX($E$2705:$E$2757,MATCH(Paramètres!J54,Paramètres!$G$5:$G$57,0)))+IF(RIGHT(TRIM(Paramètres!K54),3)="Fin",1-$H2754,IF(LEFT(TRIM(Paramètres!K54),1)="F",1,0)))),IF(Paramètres!L54="",0,IF(Paramètres!M54="",NA(),IF(LEFT(TRIM(Paramètres!M54),1)="F",INDEX($F$2705:$F$2757,MATCH(Paramètres!L54,Paramètres!$G$5:$G$57,0)),INDEX($E$2705:$E$2757,MATCH(Paramètres!L54,Paramètres!$G$5:$G$57,0)))+IF(RIGHT(TRIM(Paramètres!M54),3)="Fin",1-$H2754,IF(LEFT(TRIM(Paramètres!M54),1)="F",1,0)))),IF(Paramètres!N54="",0,IF(Paramètres!O54="",NA(),IF(LEFT(TRIM(Paramètres!O54),1)="F",INDEX($F$2705:$F$2757,MATCH(Paramètres!N54,Paramètres!$G$5:$G$57,0)),INDEX($E$2705:$E$2757,MATCH(Paramètres!N54,Paramètres!$G$5:$G$57,0)))+IF(RIGHT(TRIM(Paramètres!O54),3)="Fin",1-$H2754,IF(LEFT(TRIM(Paramètres!O54),1)="F",1,0)))))))</f>
        <v/>
      </c>
      <c r="F2754" s="19">
        <f>IF($A2754="","",E2754+$H2754-1)</f>
        <v/>
      </c>
      <c r="G2754" s="18" t="n"/>
      <c r="H2754" s="18">
        <f>IF($A2754="","",IF(I2754&lt;&gt;"",I2754,Paramètres!B54))</f>
        <v/>
      </c>
      <c r="I2754" s="18" t="n"/>
    </row>
    <row r="2755">
      <c r="A2755" s="18">
        <f>IF(ISNUMBER(Dossiers!$D$54),Dossiers!$A$54&amp;" · "&amp;Dossiers!$B$54,"")</f>
        <v/>
      </c>
      <c r="B2755" s="18">
        <f>IF($A2755="","",Paramètres!G55)</f>
        <v/>
      </c>
      <c r="C2755" s="18">
        <f>IF($A2755="","",IF(Paramètres!H55="","",Paramètres!H55))</f>
        <v/>
      </c>
      <c r="D2755" s="18">
        <f>IF($A2755="","",IF(Paramètres!I55="","",Paramètres!I55))</f>
        <v/>
      </c>
      <c r="E2755" s="19">
        <f>IF($A2755="","",IF(Paramètres!J55&amp;Paramètres!L55&amp;Paramètres!N55="",Dossiers!$D$54,MAX(IF(Paramètres!J55="",0,IF(Paramètres!K55="",NA(),IF(LEFT(TRIM(Paramètres!K55),1)="F",INDEX($F$2705:$F$2757,MATCH(Paramètres!J55,Paramètres!$G$5:$G$57,0)),INDEX($E$2705:$E$2757,MATCH(Paramètres!J55,Paramètres!$G$5:$G$57,0)))+IF(RIGHT(TRIM(Paramètres!K55),3)="Fin",1-$H2755,IF(LEFT(TRIM(Paramètres!K55),1)="F",1,0)))),IF(Paramètres!L55="",0,IF(Paramètres!M55="",NA(),IF(LEFT(TRIM(Paramètres!M55),1)="F",INDEX($F$2705:$F$2757,MATCH(Paramètres!L55,Paramètres!$G$5:$G$57,0)),INDEX($E$2705:$E$2757,MATCH(Paramètres!L55,Paramètres!$G$5:$G$57,0)))+IF(RIGHT(TRIM(Paramètres!M55),3)="Fin",1-$H2755,IF(LEFT(TRIM(Paramètres!M55),1)="F",1,0)))),IF(Paramètres!N55="",0,IF(Paramètres!O55="",NA(),IF(LEFT(TRIM(Paramètres!O55),1)="F",INDEX($F$2705:$F$2757,MATCH(Paramètres!N55,Paramètres!$G$5:$G$57,0)),INDEX($E$2705:$E$2757,MATCH(Paramètres!N55,Paramètres!$G$5:$G$57,0)))+IF(RIGHT(TRIM(Paramètres!O55),3)="Fin",1-$H2755,IF(LEFT(TRIM(Paramètres!O55),1)="F",1,0)))))))</f>
        <v/>
      </c>
      <c r="F2755" s="19">
        <f>IF($A2755="","",E2755+$H2755-1)</f>
        <v/>
      </c>
      <c r="G2755" s="18" t="n"/>
      <c r="H2755" s="18">
        <f>IF($A2755="","",IF(I2755&lt;&gt;"",I2755,Paramètres!B55))</f>
        <v/>
      </c>
      <c r="I2755" s="18" t="n"/>
    </row>
    <row r="2756">
      <c r="A2756" s="18">
        <f>IF(ISNUMBER(Dossiers!$D$54),Dossiers!$A$54&amp;" · "&amp;Dossiers!$B$54,"")</f>
        <v/>
      </c>
      <c r="B2756" s="18">
        <f>IF($A2756="","",Paramètres!G56)</f>
        <v/>
      </c>
      <c r="C2756" s="18">
        <f>IF($A2756="","",IF(Paramètres!H56="","",Paramètres!H56))</f>
        <v/>
      </c>
      <c r="D2756" s="18">
        <f>IF($A2756="","",IF(Paramètres!I56="","",Paramètres!I56))</f>
        <v/>
      </c>
      <c r="E2756" s="19">
        <f>IF($A2756="","",MIN(E2757:E2757))</f>
        <v/>
      </c>
      <c r="F2756" s="19">
        <f>IF($A2756="","",MAX(F2757:F2757))</f>
        <v/>
      </c>
      <c r="G2756" s="18" t="n"/>
      <c r="H2756" s="18">
        <f>IF($A2756="","",F2756-E2756+1)</f>
        <v/>
      </c>
      <c r="I2756" s="18" t="n"/>
    </row>
    <row r="2757">
      <c r="A2757" s="18">
        <f>IF(ISNUMBER(Dossiers!$D$54),Dossiers!$A$54&amp;" · "&amp;Dossiers!$B$54,"")</f>
        <v/>
      </c>
      <c r="B2757" s="18">
        <f>IF($A2757="","",Paramètres!G57)</f>
        <v/>
      </c>
      <c r="C2757" s="18">
        <f>IF($A2757="","",IF(Paramètres!H57="","",Paramètres!H57))</f>
        <v/>
      </c>
      <c r="D2757" s="18">
        <f>IF($A2757="","",IF(Paramètres!I57="","",Paramètres!I57))</f>
        <v/>
      </c>
      <c r="E2757" s="19">
        <f>IF($A2757="","",IF(Paramètres!J57&amp;Paramètres!L57&amp;Paramètres!N57="",Dossiers!$D$54,MAX(IF(Paramètres!J57="",0,IF(Paramètres!K57="",NA(),IF(LEFT(TRIM(Paramètres!K57),1)="F",INDEX($F$2705:$F$2757,MATCH(Paramètres!J57,Paramètres!$G$5:$G$57,0)),INDEX($E$2705:$E$2757,MATCH(Paramètres!J57,Paramètres!$G$5:$G$57,0)))+IF(RIGHT(TRIM(Paramètres!K57),3)="Fin",1-$H2757,IF(LEFT(TRIM(Paramètres!K57),1)="F",1,0)))),IF(Paramètres!L57="",0,IF(Paramètres!M57="",NA(),IF(LEFT(TRIM(Paramètres!M57),1)="F",INDEX($F$2705:$F$2757,MATCH(Paramètres!L57,Paramètres!$G$5:$G$57,0)),INDEX($E$2705:$E$2757,MATCH(Paramètres!L57,Paramètres!$G$5:$G$57,0)))+IF(RIGHT(TRIM(Paramètres!M57),3)="Fin",1-$H2757,IF(LEFT(TRIM(Paramètres!M57),1)="F",1,0)))),IF(Paramètres!N57="",0,IF(Paramètres!O57="",NA(),IF(LEFT(TRIM(Paramètres!O57),1)="F",INDEX($F$2705:$F$2757,MATCH(Paramètres!N57,Paramètres!$G$5:$G$57,0)),INDEX($E$2705:$E$2757,MATCH(Paramètres!N57,Paramètres!$G$5:$G$57,0)))+IF(RIGHT(TRIM(Paramètres!O57),3)="Fin",1-$H2757,IF(LEFT(TRIM(Paramètres!O57),1)="F",1,0)))))))</f>
        <v/>
      </c>
      <c r="F2757" s="19">
        <f>IF($A2757="","",E2757+$H2757-1)</f>
        <v/>
      </c>
      <c r="G2757" s="18" t="n"/>
      <c r="H2757" s="18">
        <f>IF($A2757="","",IF(I2757&lt;&gt;"",I2757,Paramètres!B57))</f>
        <v/>
      </c>
      <c r="I2757" s="18" t="n"/>
    </row>
    <row r="2758">
      <c r="A2758" s="16">
        <f>IF(ISNUMBER(Dossiers!$D$55),Dossiers!$E$55,"")</f>
        <v/>
      </c>
      <c r="B2758" s="16">
        <f>IF($A2758="","","Identifiant")</f>
        <v/>
      </c>
      <c r="C2758" s="16">
        <f>IF($A2758="","","Macro Etape")</f>
        <v/>
      </c>
      <c r="D2758" s="16">
        <f>IF($A2758="","","Etape")</f>
        <v/>
      </c>
      <c r="E2758" s="17">
        <f>IF($A2758="","","Début le")</f>
        <v/>
      </c>
      <c r="F2758" s="17">
        <f>IF($A2758="","","Fin prévue le")</f>
        <v/>
      </c>
      <c r="G2758" s="16">
        <f>IF($A2758="","","Statut")</f>
        <v/>
      </c>
      <c r="H2758" s="16">
        <f>IF($A2758="","","Durée (jours)")</f>
        <v/>
      </c>
      <c r="I2758" s="16">
        <f>IF($A2758="","","Durée particulière")</f>
        <v/>
      </c>
      <c r="J2758" s="10">
        <f>IF($A2758="","",HYPERLINK("#'Tableau de bord'!A1","↑ Tableau de bord"))</f>
        <v/>
      </c>
    </row>
    <row r="2759">
      <c r="A2759" s="18">
        <f>IF(ISNUMBER(Dossiers!$D$55),Dossiers!$A$55&amp;" · "&amp;Dossiers!$B$55,"")</f>
        <v/>
      </c>
      <c r="B2759" s="18">
        <f>IF($A2759="","",Paramètres!G5)</f>
        <v/>
      </c>
      <c r="C2759" s="18">
        <f>IF($A2759="","",IF(Paramètres!H5="","",Paramètres!H5))</f>
        <v/>
      </c>
      <c r="D2759" s="18">
        <f>IF($A2759="","",IF(Paramètres!I5="","",Paramètres!I5))</f>
        <v/>
      </c>
      <c r="E2759" s="19">
        <f>IF($A2759="","",MIN(E2760:E2763))</f>
        <v/>
      </c>
      <c r="F2759" s="19">
        <f>IF($A2759="","",MAX(F2760:F2763))</f>
        <v/>
      </c>
      <c r="G2759" s="18" t="n"/>
      <c r="H2759" s="18">
        <f>IF($A2759="","",F2759-E2759+1)</f>
        <v/>
      </c>
      <c r="I2759" s="18" t="n"/>
    </row>
    <row r="2760">
      <c r="A2760" s="18">
        <f>IF(ISNUMBER(Dossiers!$D$55),Dossiers!$A$55&amp;" · "&amp;Dossiers!$B$55,"")</f>
        <v/>
      </c>
      <c r="B2760" s="18">
        <f>IF($A2760="","",Paramètres!G6)</f>
        <v/>
      </c>
      <c r="C2760" s="18">
        <f>IF($A2760="","",IF(Paramètres!H6="","",Paramètres!H6))</f>
        <v/>
      </c>
      <c r="D2760" s="18">
        <f>IF($A2760="","",IF(Paramètres!I6="","",Paramètres!I6))</f>
        <v/>
      </c>
      <c r="E2760" s="19">
        <f>IF($A2760="","",IF(Paramètres!J6&amp;Paramètres!L6&amp;Paramètres!N6="",Dossiers!$D$55,MAX(IF(Paramètres!J6="",0,IF(Paramètres!K6="",NA(),IF(LEFT(TRIM(Paramètres!K6),1)="F",INDEX($F$2759:$F$2811,MATCH(Paramètres!J6,Paramètres!$G$5:$G$57,0)),INDEX($E$2759:$E$2811,MATCH(Paramètres!J6,Paramètres!$G$5:$G$57,0)))+IF(RIGHT(TRIM(Paramètres!K6),3)="Fin",1-$H2760,IF(LEFT(TRIM(Paramètres!K6),1)="F",1,0)))),IF(Paramètres!L6="",0,IF(Paramètres!M6="",NA(),IF(LEFT(TRIM(Paramètres!M6),1)="F",INDEX($F$2759:$F$2811,MATCH(Paramètres!L6,Paramètres!$G$5:$G$57,0)),INDEX($E$2759:$E$2811,MATCH(Paramètres!L6,Paramètres!$G$5:$G$57,0)))+IF(RIGHT(TRIM(Paramètres!M6),3)="Fin",1-$H2760,IF(LEFT(TRIM(Paramètres!M6),1)="F",1,0)))),IF(Paramètres!N6="",0,IF(Paramètres!O6="",NA(),IF(LEFT(TRIM(Paramètres!O6),1)="F",INDEX($F$2759:$F$2811,MATCH(Paramètres!N6,Paramètres!$G$5:$G$57,0)),INDEX($E$2759:$E$2811,MATCH(Paramètres!N6,Paramètres!$G$5:$G$57,0)))+IF(RIGHT(TRIM(Paramètres!O6),3)="Fin",1-$H2760,IF(LEFT(TRIM(Paramètres!O6),1)="F",1,0)))))))</f>
        <v/>
      </c>
      <c r="F2760" s="19">
        <f>IF($A2760="","",E2760+$H2760-1)</f>
        <v/>
      </c>
      <c r="G2760" s="18" t="n"/>
      <c r="H2760" s="18">
        <f>IF($A2760="","",IF(I2760&lt;&gt;"",I2760,Paramètres!B6))</f>
        <v/>
      </c>
      <c r="I2760" s="18" t="n"/>
    </row>
    <row r="2761">
      <c r="A2761" s="18">
        <f>IF(ISNUMBER(Dossiers!$D$55),Dossiers!$A$55&amp;" · "&amp;Dossiers!$B$55,"")</f>
        <v/>
      </c>
      <c r="B2761" s="18">
        <f>IF($A2761="","",Paramètres!G7)</f>
        <v/>
      </c>
      <c r="C2761" s="18">
        <f>IF($A2761="","",IF(Paramètres!H7="","",Paramètres!H7))</f>
        <v/>
      </c>
      <c r="D2761" s="18">
        <f>IF($A2761="","",IF(Paramètres!I7="","",Paramètres!I7))</f>
        <v/>
      </c>
      <c r="E2761" s="19">
        <f>IF($A2761="","",IF(Paramètres!J7&amp;Paramètres!L7&amp;Paramètres!N7="",Dossiers!$D$55,MAX(IF(Paramètres!J7="",0,IF(Paramètres!K7="",NA(),IF(LEFT(TRIM(Paramètres!K7),1)="F",INDEX($F$2759:$F$2811,MATCH(Paramètres!J7,Paramètres!$G$5:$G$57,0)),INDEX($E$2759:$E$2811,MATCH(Paramètres!J7,Paramètres!$G$5:$G$57,0)))+IF(RIGHT(TRIM(Paramètres!K7),3)="Fin",1-$H2761,IF(LEFT(TRIM(Paramètres!K7),1)="F",1,0)))),IF(Paramètres!L7="",0,IF(Paramètres!M7="",NA(),IF(LEFT(TRIM(Paramètres!M7),1)="F",INDEX($F$2759:$F$2811,MATCH(Paramètres!L7,Paramètres!$G$5:$G$57,0)),INDEX($E$2759:$E$2811,MATCH(Paramètres!L7,Paramètres!$G$5:$G$57,0)))+IF(RIGHT(TRIM(Paramètres!M7),3)="Fin",1-$H2761,IF(LEFT(TRIM(Paramètres!M7),1)="F",1,0)))),IF(Paramètres!N7="",0,IF(Paramètres!O7="",NA(),IF(LEFT(TRIM(Paramètres!O7),1)="F",INDEX($F$2759:$F$2811,MATCH(Paramètres!N7,Paramètres!$G$5:$G$57,0)),INDEX($E$2759:$E$2811,MATCH(Paramètres!N7,Paramètres!$G$5:$G$57,0)))+IF(RIGHT(TRIM(Paramètres!O7),3)="Fin",1-$H2761,IF(LEFT(TRIM(Paramètres!O7),1)="F",1,0)))))))</f>
        <v/>
      </c>
      <c r="F2761" s="19">
        <f>IF($A2761="","",E2761+$H2761-1)</f>
        <v/>
      </c>
      <c r="G2761" s="18" t="n"/>
      <c r="H2761" s="18">
        <f>IF($A2761="","",IF(I2761&lt;&gt;"",I2761,Paramètres!B7))</f>
        <v/>
      </c>
      <c r="I2761" s="18" t="n"/>
    </row>
    <row r="2762">
      <c r="A2762" s="18">
        <f>IF(ISNUMBER(Dossiers!$D$55),Dossiers!$A$55&amp;" · "&amp;Dossiers!$B$55,"")</f>
        <v/>
      </c>
      <c r="B2762" s="18">
        <f>IF($A2762="","",Paramètres!G8)</f>
        <v/>
      </c>
      <c r="C2762" s="18">
        <f>IF($A2762="","",IF(Paramètres!H8="","",Paramètres!H8))</f>
        <v/>
      </c>
      <c r="D2762" s="18">
        <f>IF($A2762="","",IF(Paramètres!I8="","",Paramètres!I8))</f>
        <v/>
      </c>
      <c r="E2762" s="19">
        <f>IF($A2762="","",IF(Paramètres!J8&amp;Paramètres!L8&amp;Paramètres!N8="",Dossiers!$D$55,MAX(IF(Paramètres!J8="",0,IF(Paramètres!K8="",NA(),IF(LEFT(TRIM(Paramètres!K8),1)="F",INDEX($F$2759:$F$2811,MATCH(Paramètres!J8,Paramètres!$G$5:$G$57,0)),INDEX($E$2759:$E$2811,MATCH(Paramètres!J8,Paramètres!$G$5:$G$57,0)))+IF(RIGHT(TRIM(Paramètres!K8),3)="Fin",1-$H2762,IF(LEFT(TRIM(Paramètres!K8),1)="F",1,0)))),IF(Paramètres!L8="",0,IF(Paramètres!M8="",NA(),IF(LEFT(TRIM(Paramètres!M8),1)="F",INDEX($F$2759:$F$2811,MATCH(Paramètres!L8,Paramètres!$G$5:$G$57,0)),INDEX($E$2759:$E$2811,MATCH(Paramètres!L8,Paramètres!$G$5:$G$57,0)))+IF(RIGHT(TRIM(Paramètres!M8),3)="Fin",1-$H2762,IF(LEFT(TRIM(Paramètres!M8),1)="F",1,0)))),IF(Paramètres!N8="",0,IF(Paramètres!O8="",NA(),IF(LEFT(TRIM(Paramètres!O8),1)="F",INDEX($F$2759:$F$2811,MATCH(Paramètres!N8,Paramètres!$G$5:$G$57,0)),INDEX($E$2759:$E$2811,MATCH(Paramètres!N8,Paramètres!$G$5:$G$57,0)))+IF(RIGHT(TRIM(Paramètres!O8),3)="Fin",1-$H2762,IF(LEFT(TRIM(Paramètres!O8),1)="F",1,0)))))))</f>
        <v/>
      </c>
      <c r="F2762" s="19">
        <f>IF($A2762="","",E2762+$H2762-1)</f>
        <v/>
      </c>
      <c r="G2762" s="18" t="n"/>
      <c r="H2762" s="18">
        <f>IF($A2762="","",IF(I2762&lt;&gt;"",I2762,Paramètres!B8))</f>
        <v/>
      </c>
      <c r="I2762" s="18" t="n"/>
    </row>
    <row r="2763">
      <c r="A2763" s="18">
        <f>IF(ISNUMBER(Dossiers!$D$55),Dossiers!$A$55&amp;" · "&amp;Dossiers!$B$55,"")</f>
        <v/>
      </c>
      <c r="B2763" s="18">
        <f>IF($A2763="","",Paramètres!G9)</f>
        <v/>
      </c>
      <c r="C2763" s="18">
        <f>IF($A2763="","",IF(Paramètres!H9="","",Paramètres!H9))</f>
        <v/>
      </c>
      <c r="D2763" s="18">
        <f>IF($A2763="","",IF(Paramètres!I9="","",Paramètres!I9))</f>
        <v/>
      </c>
      <c r="E2763" s="19">
        <f>IF($A2763="","",IF(Paramètres!J9&amp;Paramètres!L9&amp;Paramètres!N9="",Dossiers!$D$55,MAX(IF(Paramètres!J9="",0,IF(Paramètres!K9="",NA(),IF(LEFT(TRIM(Paramètres!K9),1)="F",INDEX($F$2759:$F$2811,MATCH(Paramètres!J9,Paramètres!$G$5:$G$57,0)),INDEX($E$2759:$E$2811,MATCH(Paramètres!J9,Paramètres!$G$5:$G$57,0)))+IF(RIGHT(TRIM(Paramètres!K9),3)="Fin",1-$H2763,IF(LEFT(TRIM(Paramètres!K9),1)="F",1,0)))),IF(Paramètres!L9="",0,IF(Paramètres!M9="",NA(),IF(LEFT(TRIM(Paramètres!M9),1)="F",INDEX($F$2759:$F$2811,MATCH(Paramètres!L9,Paramètres!$G$5:$G$57,0)),INDEX($E$2759:$E$2811,MATCH(Paramètres!L9,Paramètres!$G$5:$G$57,0)))+IF(RIGHT(TRIM(Paramètres!M9),3)="Fin",1-$H2763,IF(LEFT(TRIM(Paramètres!M9),1)="F",1,0)))),IF(Paramètres!N9="",0,IF(Paramètres!O9="",NA(),IF(LEFT(TRIM(Paramètres!O9),1)="F",INDEX($F$2759:$F$2811,MATCH(Paramètres!N9,Paramètres!$G$5:$G$57,0)),INDEX($E$2759:$E$2811,MATCH(Paramètres!N9,Paramètres!$G$5:$G$57,0)))+IF(RIGHT(TRIM(Paramètres!O9),3)="Fin",1-$H2763,IF(LEFT(TRIM(Paramètres!O9),1)="F",1,0)))))))</f>
        <v/>
      </c>
      <c r="F2763" s="19">
        <f>IF($A2763="","",E2763+$H2763-1)</f>
        <v/>
      </c>
      <c r="G2763" s="18" t="n"/>
      <c r="H2763" s="18">
        <f>IF($A2763="","",IF(I2763&lt;&gt;"",I2763,Paramètres!B9))</f>
        <v/>
      </c>
      <c r="I2763" s="18" t="n"/>
    </row>
    <row r="2764">
      <c r="A2764" s="18">
        <f>IF(ISNUMBER(Dossiers!$D$55),Dossiers!$A$55&amp;" · "&amp;Dossiers!$B$55,"")</f>
        <v/>
      </c>
      <c r="B2764" s="18">
        <f>IF($A2764="","",Paramètres!G10)</f>
        <v/>
      </c>
      <c r="C2764" s="18">
        <f>IF($A2764="","",IF(Paramètres!H10="","",Paramètres!H10))</f>
        <v/>
      </c>
      <c r="D2764" s="18">
        <f>IF($A2764="","",IF(Paramètres!I10="","",Paramètres!I10))</f>
        <v/>
      </c>
      <c r="E2764" s="19">
        <f>IF($A2764="","",MIN(E2765:E2768))</f>
        <v/>
      </c>
      <c r="F2764" s="19">
        <f>IF($A2764="","",MAX(F2765:F2768))</f>
        <v/>
      </c>
      <c r="G2764" s="18" t="n"/>
      <c r="H2764" s="18">
        <f>IF($A2764="","",F2764-E2764+1)</f>
        <v/>
      </c>
      <c r="I2764" s="18" t="n"/>
    </row>
    <row r="2765">
      <c r="A2765" s="18">
        <f>IF(ISNUMBER(Dossiers!$D$55),Dossiers!$A$55&amp;" · "&amp;Dossiers!$B$55,"")</f>
        <v/>
      </c>
      <c r="B2765" s="18">
        <f>IF($A2765="","",Paramètres!G11)</f>
        <v/>
      </c>
      <c r="C2765" s="18">
        <f>IF($A2765="","",IF(Paramètres!H11="","",Paramètres!H11))</f>
        <v/>
      </c>
      <c r="D2765" s="18">
        <f>IF($A2765="","",IF(Paramètres!I11="","",Paramètres!I11))</f>
        <v/>
      </c>
      <c r="E2765" s="19">
        <f>IF($A2765="","",IF(Paramètres!J11&amp;Paramètres!L11&amp;Paramètres!N11="",Dossiers!$D$55,MAX(IF(Paramètres!J11="",0,IF(Paramètres!K11="",NA(),IF(LEFT(TRIM(Paramètres!K11),1)="F",INDEX($F$2759:$F$2811,MATCH(Paramètres!J11,Paramètres!$G$5:$G$57,0)),INDEX($E$2759:$E$2811,MATCH(Paramètres!J11,Paramètres!$G$5:$G$57,0)))+IF(RIGHT(TRIM(Paramètres!K11),3)="Fin",1-$H2765,IF(LEFT(TRIM(Paramètres!K11),1)="F",1,0)))),IF(Paramètres!L11="",0,IF(Paramètres!M11="",NA(),IF(LEFT(TRIM(Paramètres!M11),1)="F",INDEX($F$2759:$F$2811,MATCH(Paramètres!L11,Paramètres!$G$5:$G$57,0)),INDEX($E$2759:$E$2811,MATCH(Paramètres!L11,Paramètres!$G$5:$G$57,0)))+IF(RIGHT(TRIM(Paramètres!M11),3)="Fin",1-$H2765,IF(LEFT(TRIM(Paramètres!M11),1)="F",1,0)))),IF(Paramètres!N11="",0,IF(Paramètres!O11="",NA(),IF(LEFT(TRIM(Paramètres!O11),1)="F",INDEX($F$2759:$F$2811,MATCH(Paramètres!N11,Paramètres!$G$5:$G$57,0)),INDEX($E$2759:$E$2811,MATCH(Paramètres!N11,Paramètres!$G$5:$G$57,0)))+IF(RIGHT(TRIM(Paramètres!O11),3)="Fin",1-$H2765,IF(LEFT(TRIM(Paramètres!O11),1)="F",1,0)))))))</f>
        <v/>
      </c>
      <c r="F2765" s="19">
        <f>IF($A2765="","",E2765+$H2765-1)</f>
        <v/>
      </c>
      <c r="G2765" s="18" t="n"/>
      <c r="H2765" s="18">
        <f>IF($A2765="","",IF(I2765&lt;&gt;"",I2765,Paramètres!B11))</f>
        <v/>
      </c>
      <c r="I2765" s="18" t="n"/>
    </row>
    <row r="2766">
      <c r="A2766" s="18">
        <f>IF(ISNUMBER(Dossiers!$D$55),Dossiers!$A$55&amp;" · "&amp;Dossiers!$B$55,"")</f>
        <v/>
      </c>
      <c r="B2766" s="18">
        <f>IF($A2766="","",Paramètres!G12)</f>
        <v/>
      </c>
      <c r="C2766" s="18">
        <f>IF($A2766="","",IF(Paramètres!H12="","",Paramètres!H12))</f>
        <v/>
      </c>
      <c r="D2766" s="18">
        <f>IF($A2766="","",IF(Paramètres!I12="","",Paramètres!I12))</f>
        <v/>
      </c>
      <c r="E2766" s="19">
        <f>IF($A2766="","",IF(Paramètres!J12&amp;Paramètres!L12&amp;Paramètres!N12="",Dossiers!$D$55,MAX(IF(Paramètres!J12="",0,IF(Paramètres!K12="",NA(),IF(LEFT(TRIM(Paramètres!K12),1)="F",INDEX($F$2759:$F$2811,MATCH(Paramètres!J12,Paramètres!$G$5:$G$57,0)),INDEX($E$2759:$E$2811,MATCH(Paramètres!J12,Paramètres!$G$5:$G$57,0)))+IF(RIGHT(TRIM(Paramètres!K12),3)="Fin",1-$H2766,IF(LEFT(TRIM(Paramètres!K12),1)="F",1,0)))),IF(Paramètres!L12="",0,IF(Paramètres!M12="",NA(),IF(LEFT(TRIM(Paramètres!M12),1)="F",INDEX($F$2759:$F$2811,MATCH(Paramètres!L12,Paramètres!$G$5:$G$57,0)),INDEX($E$2759:$E$2811,MATCH(Paramètres!L12,Paramètres!$G$5:$G$57,0)))+IF(RIGHT(TRIM(Paramètres!M12),3)="Fin",1-$H2766,IF(LEFT(TRIM(Paramètres!M12),1)="F",1,0)))),IF(Paramètres!N12="",0,IF(Paramètres!O12="",NA(),IF(LEFT(TRIM(Paramètres!O12),1)="F",INDEX($F$2759:$F$2811,MATCH(Paramètres!N12,Paramètres!$G$5:$G$57,0)),INDEX($E$2759:$E$2811,MATCH(Paramètres!N12,Paramètres!$G$5:$G$57,0)))+IF(RIGHT(TRIM(Paramètres!O12),3)="Fin",1-$H2766,IF(LEFT(TRIM(Paramètres!O12),1)="F",1,0)))))))</f>
        <v/>
      </c>
      <c r="F2766" s="19">
        <f>IF($A2766="","",E2766+$H2766-1)</f>
        <v/>
      </c>
      <c r="G2766" s="18" t="n"/>
      <c r="H2766" s="18">
        <f>IF($A2766="","",IF(I2766&lt;&gt;"",I2766,Paramètres!B12))</f>
        <v/>
      </c>
      <c r="I2766" s="18" t="n"/>
    </row>
    <row r="2767">
      <c r="A2767" s="18">
        <f>IF(ISNUMBER(Dossiers!$D$55),Dossiers!$A$55&amp;" · "&amp;Dossiers!$B$55,"")</f>
        <v/>
      </c>
      <c r="B2767" s="18">
        <f>IF($A2767="","",Paramètres!G13)</f>
        <v/>
      </c>
      <c r="C2767" s="18">
        <f>IF($A2767="","",IF(Paramètres!H13="","",Paramètres!H13))</f>
        <v/>
      </c>
      <c r="D2767" s="18">
        <f>IF($A2767="","",IF(Paramètres!I13="","",Paramètres!I13))</f>
        <v/>
      </c>
      <c r="E2767" s="19">
        <f>IF($A2767="","",IF(Paramètres!J13&amp;Paramètres!L13&amp;Paramètres!N13="",Dossiers!$D$55,MAX(IF(Paramètres!J13="",0,IF(Paramètres!K13="",NA(),IF(LEFT(TRIM(Paramètres!K13),1)="F",INDEX($F$2759:$F$2811,MATCH(Paramètres!J13,Paramètres!$G$5:$G$57,0)),INDEX($E$2759:$E$2811,MATCH(Paramètres!J13,Paramètres!$G$5:$G$57,0)))+IF(RIGHT(TRIM(Paramètres!K13),3)="Fin",1-$H2767,IF(LEFT(TRIM(Paramètres!K13),1)="F",1,0)))),IF(Paramètres!L13="",0,IF(Paramètres!M13="",NA(),IF(LEFT(TRIM(Paramètres!M13),1)="F",INDEX($F$2759:$F$2811,MATCH(Paramètres!L13,Paramètres!$G$5:$G$57,0)),INDEX($E$2759:$E$2811,MATCH(Paramètres!L13,Paramètres!$G$5:$G$57,0)))+IF(RIGHT(TRIM(Paramètres!M13),3)="Fin",1-$H2767,IF(LEFT(TRIM(Paramètres!M13),1)="F",1,0)))),IF(Paramètres!N13="",0,IF(Paramètres!O13="",NA(),IF(LEFT(TRIM(Paramètres!O13),1)="F",INDEX($F$2759:$F$2811,MATCH(Paramètres!N13,Paramètres!$G$5:$G$57,0)),INDEX($E$2759:$E$2811,MATCH(Paramètres!N13,Paramètres!$G$5:$G$57,0)))+IF(RIGHT(TRIM(Paramètres!O13),3)="Fin",1-$H2767,IF(LEFT(TRIM(Paramètres!O13),1)="F",1,0)))))))</f>
        <v/>
      </c>
      <c r="F2767" s="19">
        <f>IF($A2767="","",E2767+$H2767-1)</f>
        <v/>
      </c>
      <c r="G2767" s="18" t="n"/>
      <c r="H2767" s="18">
        <f>IF($A2767="","",IF(I2767&lt;&gt;"",I2767,Paramètres!B13))</f>
        <v/>
      </c>
      <c r="I2767" s="18" t="n"/>
    </row>
    <row r="2768">
      <c r="A2768" s="18">
        <f>IF(ISNUMBER(Dossiers!$D$55),Dossiers!$A$55&amp;" · "&amp;Dossiers!$B$55,"")</f>
        <v/>
      </c>
      <c r="B2768" s="18">
        <f>IF($A2768="","",Paramètres!G14)</f>
        <v/>
      </c>
      <c r="C2768" s="18">
        <f>IF($A2768="","",IF(Paramètres!H14="","",Paramètres!H14))</f>
        <v/>
      </c>
      <c r="D2768" s="18">
        <f>IF($A2768="","",IF(Paramètres!I14="","",Paramètres!I14))</f>
        <v/>
      </c>
      <c r="E2768" s="19">
        <f>IF($A2768="","",IF(Paramètres!J14&amp;Paramètres!L14&amp;Paramètres!N14="",Dossiers!$D$55,MAX(IF(Paramètres!J14="",0,IF(Paramètres!K14="",NA(),IF(LEFT(TRIM(Paramètres!K14),1)="F",INDEX($F$2759:$F$2811,MATCH(Paramètres!J14,Paramètres!$G$5:$G$57,0)),INDEX($E$2759:$E$2811,MATCH(Paramètres!J14,Paramètres!$G$5:$G$57,0)))+IF(RIGHT(TRIM(Paramètres!K14),3)="Fin",1-$H2768,IF(LEFT(TRIM(Paramètres!K14),1)="F",1,0)))),IF(Paramètres!L14="",0,IF(Paramètres!M14="",NA(),IF(LEFT(TRIM(Paramètres!M14),1)="F",INDEX($F$2759:$F$2811,MATCH(Paramètres!L14,Paramètres!$G$5:$G$57,0)),INDEX($E$2759:$E$2811,MATCH(Paramètres!L14,Paramètres!$G$5:$G$57,0)))+IF(RIGHT(TRIM(Paramètres!M14),3)="Fin",1-$H2768,IF(LEFT(TRIM(Paramètres!M14),1)="F",1,0)))),IF(Paramètres!N14="",0,IF(Paramètres!O14="",NA(),IF(LEFT(TRIM(Paramètres!O14),1)="F",INDEX($F$2759:$F$2811,MATCH(Paramètres!N14,Paramètres!$G$5:$G$57,0)),INDEX($E$2759:$E$2811,MATCH(Paramètres!N14,Paramètres!$G$5:$G$57,0)))+IF(RIGHT(TRIM(Paramètres!O14),3)="Fin",1-$H2768,IF(LEFT(TRIM(Paramètres!O14),1)="F",1,0)))))))</f>
        <v/>
      </c>
      <c r="F2768" s="19">
        <f>IF($A2768="","",E2768+$H2768-1)</f>
        <v/>
      </c>
      <c r="G2768" s="18" t="n"/>
      <c r="H2768" s="18">
        <f>IF($A2768="","",IF(I2768&lt;&gt;"",I2768,Paramètres!B14))</f>
        <v/>
      </c>
      <c r="I2768" s="18" t="n"/>
    </row>
    <row r="2769">
      <c r="A2769" s="18">
        <f>IF(ISNUMBER(Dossiers!$D$55),Dossiers!$A$55&amp;" · "&amp;Dossiers!$B$55,"")</f>
        <v/>
      </c>
      <c r="B2769" s="18">
        <f>IF($A2769="","",Paramètres!G15)</f>
        <v/>
      </c>
      <c r="C2769" s="18">
        <f>IF($A2769="","",IF(Paramètres!H15="","",Paramètres!H15))</f>
        <v/>
      </c>
      <c r="D2769" s="18">
        <f>IF($A2769="","",IF(Paramètres!I15="","",Paramètres!I15))</f>
        <v/>
      </c>
      <c r="E2769" s="19">
        <f>IF($A2769="","",MIN(E2770:E2785))</f>
        <v/>
      </c>
      <c r="F2769" s="19">
        <f>IF($A2769="","",MAX(F2770:F2785))</f>
        <v/>
      </c>
      <c r="G2769" s="18" t="n"/>
      <c r="H2769" s="18">
        <f>IF($A2769="","",F2769-E2769+1)</f>
        <v/>
      </c>
      <c r="I2769" s="18" t="n"/>
    </row>
    <row r="2770">
      <c r="A2770" s="18">
        <f>IF(ISNUMBER(Dossiers!$D$55),Dossiers!$A$55&amp;" · "&amp;Dossiers!$B$55,"")</f>
        <v/>
      </c>
      <c r="B2770" s="18">
        <f>IF($A2770="","",Paramètres!G16)</f>
        <v/>
      </c>
      <c r="C2770" s="18">
        <f>IF($A2770="","",IF(Paramètres!H16="","",Paramètres!H16))</f>
        <v/>
      </c>
      <c r="D2770" s="18">
        <f>IF($A2770="","",IF(Paramètres!I16="","",Paramètres!I16))</f>
        <v/>
      </c>
      <c r="E2770" s="19">
        <f>IF($A2770="","",IF(Paramètres!J16&amp;Paramètres!L16&amp;Paramètres!N16="",Dossiers!$D$55,MAX(IF(Paramètres!J16="",0,IF(Paramètres!K16="",NA(),IF(LEFT(TRIM(Paramètres!K16),1)="F",INDEX($F$2759:$F$2811,MATCH(Paramètres!J16,Paramètres!$G$5:$G$57,0)),INDEX($E$2759:$E$2811,MATCH(Paramètres!J16,Paramètres!$G$5:$G$57,0)))+IF(RIGHT(TRIM(Paramètres!K16),3)="Fin",1-$H2770,IF(LEFT(TRIM(Paramètres!K16),1)="F",1,0)))),IF(Paramètres!L16="",0,IF(Paramètres!M16="",NA(),IF(LEFT(TRIM(Paramètres!M16),1)="F",INDEX($F$2759:$F$2811,MATCH(Paramètres!L16,Paramètres!$G$5:$G$57,0)),INDEX($E$2759:$E$2811,MATCH(Paramètres!L16,Paramètres!$G$5:$G$57,0)))+IF(RIGHT(TRIM(Paramètres!M16),3)="Fin",1-$H2770,IF(LEFT(TRIM(Paramètres!M16),1)="F",1,0)))),IF(Paramètres!N16="",0,IF(Paramètres!O16="",NA(),IF(LEFT(TRIM(Paramètres!O16),1)="F",INDEX($F$2759:$F$2811,MATCH(Paramètres!N16,Paramètres!$G$5:$G$57,0)),INDEX($E$2759:$E$2811,MATCH(Paramètres!N16,Paramètres!$G$5:$G$57,0)))+IF(RIGHT(TRIM(Paramètres!O16),3)="Fin",1-$H2770,IF(LEFT(TRIM(Paramètres!O16),1)="F",1,0)))))))</f>
        <v/>
      </c>
      <c r="F2770" s="19">
        <f>IF($A2770="","",E2770+$H2770-1)</f>
        <v/>
      </c>
      <c r="G2770" s="18" t="n"/>
      <c r="H2770" s="18">
        <f>IF($A2770="","",IF(I2770&lt;&gt;"",I2770,Paramètres!B16))</f>
        <v/>
      </c>
      <c r="I2770" s="18" t="n"/>
    </row>
    <row r="2771">
      <c r="A2771" s="18">
        <f>IF(ISNUMBER(Dossiers!$D$55),Dossiers!$A$55&amp;" · "&amp;Dossiers!$B$55,"")</f>
        <v/>
      </c>
      <c r="B2771" s="18">
        <f>IF($A2771="","",Paramètres!G17)</f>
        <v/>
      </c>
      <c r="C2771" s="18">
        <f>IF($A2771="","",IF(Paramètres!H17="","",Paramètres!H17))</f>
        <v/>
      </c>
      <c r="D2771" s="18">
        <f>IF($A2771="","",IF(Paramètres!I17="","",Paramètres!I17))</f>
        <v/>
      </c>
      <c r="E2771" s="19">
        <f>IF($A2771="","",IF(Paramètres!J17&amp;Paramètres!L17&amp;Paramètres!N17="",Dossiers!$D$55,MAX(IF(Paramètres!J17="",0,IF(Paramètres!K17="",NA(),IF(LEFT(TRIM(Paramètres!K17),1)="F",INDEX($F$2759:$F$2811,MATCH(Paramètres!J17,Paramètres!$G$5:$G$57,0)),INDEX($E$2759:$E$2811,MATCH(Paramètres!J17,Paramètres!$G$5:$G$57,0)))+IF(RIGHT(TRIM(Paramètres!K17),3)="Fin",1-$H2771,IF(LEFT(TRIM(Paramètres!K17),1)="F",1,0)))),IF(Paramètres!L17="",0,IF(Paramètres!M17="",NA(),IF(LEFT(TRIM(Paramètres!M17),1)="F",INDEX($F$2759:$F$2811,MATCH(Paramètres!L17,Paramètres!$G$5:$G$57,0)),INDEX($E$2759:$E$2811,MATCH(Paramètres!L17,Paramètres!$G$5:$G$57,0)))+IF(RIGHT(TRIM(Paramètres!M17),3)="Fin",1-$H2771,IF(LEFT(TRIM(Paramètres!M17),1)="F",1,0)))),IF(Paramètres!N17="",0,IF(Paramètres!O17="",NA(),IF(LEFT(TRIM(Paramètres!O17),1)="F",INDEX($F$2759:$F$2811,MATCH(Paramètres!N17,Paramètres!$G$5:$G$57,0)),INDEX($E$2759:$E$2811,MATCH(Paramètres!N17,Paramètres!$G$5:$G$57,0)))+IF(RIGHT(TRIM(Paramètres!O17),3)="Fin",1-$H2771,IF(LEFT(TRIM(Paramètres!O17),1)="F",1,0)))))))</f>
        <v/>
      </c>
      <c r="F2771" s="19">
        <f>IF($A2771="","",E2771+$H2771-1)</f>
        <v/>
      </c>
      <c r="G2771" s="18" t="n"/>
      <c r="H2771" s="18">
        <f>IF($A2771="","",IF(I2771&lt;&gt;"",I2771,Paramètres!B17))</f>
        <v/>
      </c>
      <c r="I2771" s="18" t="n"/>
    </row>
    <row r="2772">
      <c r="A2772" s="18">
        <f>IF(ISNUMBER(Dossiers!$D$55),Dossiers!$A$55&amp;" · "&amp;Dossiers!$B$55,"")</f>
        <v/>
      </c>
      <c r="B2772" s="18">
        <f>IF($A2772="","",Paramètres!G18)</f>
        <v/>
      </c>
      <c r="C2772" s="18">
        <f>IF($A2772="","",IF(Paramètres!H18="","",Paramètres!H18))</f>
        <v/>
      </c>
      <c r="D2772" s="18">
        <f>IF($A2772="","",IF(Paramètres!I18="","",Paramètres!I18))</f>
        <v/>
      </c>
      <c r="E2772" s="19">
        <f>IF($A2772="","",IF(Paramètres!J18&amp;Paramètres!L18&amp;Paramètres!N18="",Dossiers!$D$55,MAX(IF(Paramètres!J18="",0,IF(Paramètres!K18="",NA(),IF(LEFT(TRIM(Paramètres!K18),1)="F",INDEX($F$2759:$F$2811,MATCH(Paramètres!J18,Paramètres!$G$5:$G$57,0)),INDEX($E$2759:$E$2811,MATCH(Paramètres!J18,Paramètres!$G$5:$G$57,0)))+IF(RIGHT(TRIM(Paramètres!K18),3)="Fin",1-$H2772,IF(LEFT(TRIM(Paramètres!K18),1)="F",1,0)))),IF(Paramètres!L18="",0,IF(Paramètres!M18="",NA(),IF(LEFT(TRIM(Paramètres!M18),1)="F",INDEX($F$2759:$F$2811,MATCH(Paramètres!L18,Paramètres!$G$5:$G$57,0)),INDEX($E$2759:$E$2811,MATCH(Paramètres!L18,Paramètres!$G$5:$G$57,0)))+IF(RIGHT(TRIM(Paramètres!M18),3)="Fin",1-$H2772,IF(LEFT(TRIM(Paramètres!M18),1)="F",1,0)))),IF(Paramètres!N18="",0,IF(Paramètres!O18="",NA(),IF(LEFT(TRIM(Paramètres!O18),1)="F",INDEX($F$2759:$F$2811,MATCH(Paramètres!N18,Paramètres!$G$5:$G$57,0)),INDEX($E$2759:$E$2811,MATCH(Paramètres!N18,Paramètres!$G$5:$G$57,0)))+IF(RIGHT(TRIM(Paramètres!O18),3)="Fin",1-$H2772,IF(LEFT(TRIM(Paramètres!O18),1)="F",1,0)))))))</f>
        <v/>
      </c>
      <c r="F2772" s="19">
        <f>IF($A2772="","",E2772+$H2772-1)</f>
        <v/>
      </c>
      <c r="G2772" s="18" t="n"/>
      <c r="H2772" s="18">
        <f>IF($A2772="","",IF(I2772&lt;&gt;"",I2772,Paramètres!B18))</f>
        <v/>
      </c>
      <c r="I2772" s="18" t="n"/>
    </row>
    <row r="2773">
      <c r="A2773" s="18">
        <f>IF(ISNUMBER(Dossiers!$D$55),Dossiers!$A$55&amp;" · "&amp;Dossiers!$B$55,"")</f>
        <v/>
      </c>
      <c r="B2773" s="18">
        <f>IF($A2773="","",Paramètres!G19)</f>
        <v/>
      </c>
      <c r="C2773" s="18">
        <f>IF($A2773="","",IF(Paramètres!H19="","",Paramètres!H19))</f>
        <v/>
      </c>
      <c r="D2773" s="18">
        <f>IF($A2773="","",IF(Paramètres!I19="","",Paramètres!I19))</f>
        <v/>
      </c>
      <c r="E2773" s="19">
        <f>IF($A2773="","",IF(Paramètres!J19&amp;Paramètres!L19&amp;Paramètres!N19="",Dossiers!$D$55,MAX(IF(Paramètres!J19="",0,IF(Paramètres!K19="",NA(),IF(LEFT(TRIM(Paramètres!K19),1)="F",INDEX($F$2759:$F$2811,MATCH(Paramètres!J19,Paramètres!$G$5:$G$57,0)),INDEX($E$2759:$E$2811,MATCH(Paramètres!J19,Paramètres!$G$5:$G$57,0)))+IF(RIGHT(TRIM(Paramètres!K19),3)="Fin",1-$H2773,IF(LEFT(TRIM(Paramètres!K19),1)="F",1,0)))),IF(Paramètres!L19="",0,IF(Paramètres!M19="",NA(),IF(LEFT(TRIM(Paramètres!M19),1)="F",INDEX($F$2759:$F$2811,MATCH(Paramètres!L19,Paramètres!$G$5:$G$57,0)),INDEX($E$2759:$E$2811,MATCH(Paramètres!L19,Paramètres!$G$5:$G$57,0)))+IF(RIGHT(TRIM(Paramètres!M19),3)="Fin",1-$H2773,IF(LEFT(TRIM(Paramètres!M19),1)="F",1,0)))),IF(Paramètres!N19="",0,IF(Paramètres!O19="",NA(),IF(LEFT(TRIM(Paramètres!O19),1)="F",INDEX($F$2759:$F$2811,MATCH(Paramètres!N19,Paramètres!$G$5:$G$57,0)),INDEX($E$2759:$E$2811,MATCH(Paramètres!N19,Paramètres!$G$5:$G$57,0)))+IF(RIGHT(TRIM(Paramètres!O19),3)="Fin",1-$H2773,IF(LEFT(TRIM(Paramètres!O19),1)="F",1,0)))))))</f>
        <v/>
      </c>
      <c r="F2773" s="19">
        <f>IF($A2773="","",E2773+$H2773-1)</f>
        <v/>
      </c>
      <c r="G2773" s="18" t="n"/>
      <c r="H2773" s="18">
        <f>IF($A2773="","",IF(I2773&lt;&gt;"",I2773,Paramètres!B19))</f>
        <v/>
      </c>
      <c r="I2773" s="18" t="n"/>
    </row>
    <row r="2774">
      <c r="A2774" s="18">
        <f>IF(ISNUMBER(Dossiers!$D$55),Dossiers!$A$55&amp;" · "&amp;Dossiers!$B$55,"")</f>
        <v/>
      </c>
      <c r="B2774" s="18">
        <f>IF($A2774="","",Paramètres!G20)</f>
        <v/>
      </c>
      <c r="C2774" s="18">
        <f>IF($A2774="","",IF(Paramètres!H20="","",Paramètres!H20))</f>
        <v/>
      </c>
      <c r="D2774" s="18">
        <f>IF($A2774="","",IF(Paramètres!I20="","",Paramètres!I20))</f>
        <v/>
      </c>
      <c r="E2774" s="19">
        <f>IF($A2774="","",IF(Paramètres!J20&amp;Paramètres!L20&amp;Paramètres!N20="",Dossiers!$D$55,MAX(IF(Paramètres!J20="",0,IF(Paramètres!K20="",NA(),IF(LEFT(TRIM(Paramètres!K20),1)="F",INDEX($F$2759:$F$2811,MATCH(Paramètres!J20,Paramètres!$G$5:$G$57,0)),INDEX($E$2759:$E$2811,MATCH(Paramètres!J20,Paramètres!$G$5:$G$57,0)))+IF(RIGHT(TRIM(Paramètres!K20),3)="Fin",1-$H2774,IF(LEFT(TRIM(Paramètres!K20),1)="F",1,0)))),IF(Paramètres!L20="",0,IF(Paramètres!M20="",NA(),IF(LEFT(TRIM(Paramètres!M20),1)="F",INDEX($F$2759:$F$2811,MATCH(Paramètres!L20,Paramètres!$G$5:$G$57,0)),INDEX($E$2759:$E$2811,MATCH(Paramètres!L20,Paramètres!$G$5:$G$57,0)))+IF(RIGHT(TRIM(Paramètres!M20),3)="Fin",1-$H2774,IF(LEFT(TRIM(Paramètres!M20),1)="F",1,0)))),IF(Paramètres!N20="",0,IF(Paramètres!O20="",NA(),IF(LEFT(TRIM(Paramètres!O20),1)="F",INDEX($F$2759:$F$2811,MATCH(Paramètres!N20,Paramètres!$G$5:$G$57,0)),INDEX($E$2759:$E$2811,MATCH(Paramètres!N20,Paramètres!$G$5:$G$57,0)))+IF(RIGHT(TRIM(Paramètres!O20),3)="Fin",1-$H2774,IF(LEFT(TRIM(Paramètres!O20),1)="F",1,0)))))))</f>
        <v/>
      </c>
      <c r="F2774" s="19">
        <f>IF($A2774="","",E2774+$H2774-1)</f>
        <v/>
      </c>
      <c r="G2774" s="18" t="n"/>
      <c r="H2774" s="18">
        <f>IF($A2774="","",IF(I2774&lt;&gt;"",I2774,Paramètres!B20))</f>
        <v/>
      </c>
      <c r="I2774" s="18" t="n"/>
    </row>
    <row r="2775">
      <c r="A2775" s="18">
        <f>IF(ISNUMBER(Dossiers!$D$55),Dossiers!$A$55&amp;" · "&amp;Dossiers!$B$55,"")</f>
        <v/>
      </c>
      <c r="B2775" s="18">
        <f>IF($A2775="","",Paramètres!G21)</f>
        <v/>
      </c>
      <c r="C2775" s="18">
        <f>IF($A2775="","",IF(Paramètres!H21="","",Paramètres!H21))</f>
        <v/>
      </c>
      <c r="D2775" s="18">
        <f>IF($A2775="","",IF(Paramètres!I21="","",Paramètres!I21))</f>
        <v/>
      </c>
      <c r="E2775" s="19">
        <f>IF($A2775="","",IF(Paramètres!J21&amp;Paramètres!L21&amp;Paramètres!N21="",Dossiers!$D$55,MAX(IF(Paramètres!J21="",0,IF(Paramètres!K21="",NA(),IF(LEFT(TRIM(Paramètres!K21),1)="F",INDEX($F$2759:$F$2811,MATCH(Paramètres!J21,Paramètres!$G$5:$G$57,0)),INDEX($E$2759:$E$2811,MATCH(Paramètres!J21,Paramètres!$G$5:$G$57,0)))+IF(RIGHT(TRIM(Paramètres!K21),3)="Fin",1-$H2775,IF(LEFT(TRIM(Paramètres!K21),1)="F",1,0)))),IF(Paramètres!L21="",0,IF(Paramètres!M21="",NA(),IF(LEFT(TRIM(Paramètres!M21),1)="F",INDEX($F$2759:$F$2811,MATCH(Paramètres!L21,Paramètres!$G$5:$G$57,0)),INDEX($E$2759:$E$2811,MATCH(Paramètres!L21,Paramètres!$G$5:$G$57,0)))+IF(RIGHT(TRIM(Paramètres!M21),3)="Fin",1-$H2775,IF(LEFT(TRIM(Paramètres!M21),1)="F",1,0)))),IF(Paramètres!N21="",0,IF(Paramètres!O21="",NA(),IF(LEFT(TRIM(Paramètres!O21),1)="F",INDEX($F$2759:$F$2811,MATCH(Paramètres!N21,Paramètres!$G$5:$G$57,0)),INDEX($E$2759:$E$2811,MATCH(Paramètres!N21,Paramètres!$G$5:$G$57,0)))+IF(RIGHT(TRIM(Paramètres!O21),3)="Fin",1-$H2775,IF(LEFT(TRIM(Paramètres!O21),1)="F",1,0)))))))</f>
        <v/>
      </c>
      <c r="F2775" s="19">
        <f>IF($A2775="","",E2775+$H2775-1)</f>
        <v/>
      </c>
      <c r="G2775" s="18" t="n"/>
      <c r="H2775" s="18">
        <f>IF($A2775="","",IF(I2775&lt;&gt;"",I2775,Paramètres!B21))</f>
        <v/>
      </c>
      <c r="I2775" s="18" t="n"/>
    </row>
    <row r="2776">
      <c r="A2776" s="18">
        <f>IF(ISNUMBER(Dossiers!$D$55),Dossiers!$A$55&amp;" · "&amp;Dossiers!$B$55,"")</f>
        <v/>
      </c>
      <c r="B2776" s="18">
        <f>IF($A2776="","",Paramètres!G22)</f>
        <v/>
      </c>
      <c r="C2776" s="18">
        <f>IF($A2776="","",IF(Paramètres!H22="","",Paramètres!H22))</f>
        <v/>
      </c>
      <c r="D2776" s="18">
        <f>IF($A2776="","",IF(Paramètres!I22="","",Paramètres!I22))</f>
        <v/>
      </c>
      <c r="E2776" s="19">
        <f>IF($A2776="","",IF(Paramètres!J22&amp;Paramètres!L22&amp;Paramètres!N22="",Dossiers!$D$55,MAX(IF(Paramètres!J22="",0,IF(Paramètres!K22="",NA(),IF(LEFT(TRIM(Paramètres!K22),1)="F",INDEX($F$2759:$F$2811,MATCH(Paramètres!J22,Paramètres!$G$5:$G$57,0)),INDEX($E$2759:$E$2811,MATCH(Paramètres!J22,Paramètres!$G$5:$G$57,0)))+IF(RIGHT(TRIM(Paramètres!K22),3)="Fin",1-$H2776,IF(LEFT(TRIM(Paramètres!K22),1)="F",1,0)))),IF(Paramètres!L22="",0,IF(Paramètres!M22="",NA(),IF(LEFT(TRIM(Paramètres!M22),1)="F",INDEX($F$2759:$F$2811,MATCH(Paramètres!L22,Paramètres!$G$5:$G$57,0)),INDEX($E$2759:$E$2811,MATCH(Paramètres!L22,Paramètres!$G$5:$G$57,0)))+IF(RIGHT(TRIM(Paramètres!M22),3)="Fin",1-$H2776,IF(LEFT(TRIM(Paramètres!M22),1)="F",1,0)))),IF(Paramètres!N22="",0,IF(Paramètres!O22="",NA(),IF(LEFT(TRIM(Paramètres!O22),1)="F",INDEX($F$2759:$F$2811,MATCH(Paramètres!N22,Paramètres!$G$5:$G$57,0)),INDEX($E$2759:$E$2811,MATCH(Paramètres!N22,Paramètres!$G$5:$G$57,0)))+IF(RIGHT(TRIM(Paramètres!O22),3)="Fin",1-$H2776,IF(LEFT(TRIM(Paramètres!O22),1)="F",1,0)))))))</f>
        <v/>
      </c>
      <c r="F2776" s="19">
        <f>IF($A2776="","",E2776+$H2776-1)</f>
        <v/>
      </c>
      <c r="G2776" s="18" t="n"/>
      <c r="H2776" s="18">
        <f>IF($A2776="","",IF(I2776&lt;&gt;"",I2776,Paramètres!B22))</f>
        <v/>
      </c>
      <c r="I2776" s="18" t="n"/>
    </row>
    <row r="2777">
      <c r="A2777" s="18">
        <f>IF(ISNUMBER(Dossiers!$D$55),Dossiers!$A$55&amp;" · "&amp;Dossiers!$B$55,"")</f>
        <v/>
      </c>
      <c r="B2777" s="18">
        <f>IF($A2777="","",Paramètres!G23)</f>
        <v/>
      </c>
      <c r="C2777" s="18">
        <f>IF($A2777="","",IF(Paramètres!H23="","",Paramètres!H23))</f>
        <v/>
      </c>
      <c r="D2777" s="18">
        <f>IF($A2777="","",IF(Paramètres!I23="","",Paramètres!I23))</f>
        <v/>
      </c>
      <c r="E2777" s="19">
        <f>IF($A2777="","",IF(Paramètres!J23&amp;Paramètres!L23&amp;Paramètres!N23="",Dossiers!$D$55,MAX(IF(Paramètres!J23="",0,IF(Paramètres!K23="",NA(),IF(LEFT(TRIM(Paramètres!K23),1)="F",INDEX($F$2759:$F$2811,MATCH(Paramètres!J23,Paramètres!$G$5:$G$57,0)),INDEX($E$2759:$E$2811,MATCH(Paramètres!J23,Paramètres!$G$5:$G$57,0)))+IF(RIGHT(TRIM(Paramètres!K23),3)="Fin",1-$H2777,IF(LEFT(TRIM(Paramètres!K23),1)="F",1,0)))),IF(Paramètres!L23="",0,IF(Paramètres!M23="",NA(),IF(LEFT(TRIM(Paramètres!M23),1)="F",INDEX($F$2759:$F$2811,MATCH(Paramètres!L23,Paramètres!$G$5:$G$57,0)),INDEX($E$2759:$E$2811,MATCH(Paramètres!L23,Paramètres!$G$5:$G$57,0)))+IF(RIGHT(TRIM(Paramètres!M23),3)="Fin",1-$H2777,IF(LEFT(TRIM(Paramètres!M23),1)="F",1,0)))),IF(Paramètres!N23="",0,IF(Paramètres!O23="",NA(),IF(LEFT(TRIM(Paramètres!O23),1)="F",INDEX($F$2759:$F$2811,MATCH(Paramètres!N23,Paramètres!$G$5:$G$57,0)),INDEX($E$2759:$E$2811,MATCH(Paramètres!N23,Paramètres!$G$5:$G$57,0)))+IF(RIGHT(TRIM(Paramètres!O23),3)="Fin",1-$H2777,IF(LEFT(TRIM(Paramètres!O23),1)="F",1,0)))))))</f>
        <v/>
      </c>
      <c r="F2777" s="19">
        <f>IF($A2777="","",E2777+$H2777-1)</f>
        <v/>
      </c>
      <c r="G2777" s="18" t="n"/>
      <c r="H2777" s="18">
        <f>IF($A2777="","",IF(I2777&lt;&gt;"",I2777,Paramètres!B23))</f>
        <v/>
      </c>
      <c r="I2777" s="18" t="n"/>
    </row>
    <row r="2778">
      <c r="A2778" s="18">
        <f>IF(ISNUMBER(Dossiers!$D$55),Dossiers!$A$55&amp;" · "&amp;Dossiers!$B$55,"")</f>
        <v/>
      </c>
      <c r="B2778" s="18">
        <f>IF($A2778="","",Paramètres!G24)</f>
        <v/>
      </c>
      <c r="C2778" s="18">
        <f>IF($A2778="","",IF(Paramètres!H24="","",Paramètres!H24))</f>
        <v/>
      </c>
      <c r="D2778" s="18">
        <f>IF($A2778="","",IF(Paramètres!I24="","",Paramètres!I24))</f>
        <v/>
      </c>
      <c r="E2778" s="19">
        <f>IF($A2778="","",IF(Paramètres!J24&amp;Paramètres!L24&amp;Paramètres!N24="",Dossiers!$D$55,MAX(IF(Paramètres!J24="",0,IF(Paramètres!K24="",NA(),IF(LEFT(TRIM(Paramètres!K24),1)="F",INDEX($F$2759:$F$2811,MATCH(Paramètres!J24,Paramètres!$G$5:$G$57,0)),INDEX($E$2759:$E$2811,MATCH(Paramètres!J24,Paramètres!$G$5:$G$57,0)))+IF(RIGHT(TRIM(Paramètres!K24),3)="Fin",1-$H2778,IF(LEFT(TRIM(Paramètres!K24),1)="F",1,0)))),IF(Paramètres!L24="",0,IF(Paramètres!M24="",NA(),IF(LEFT(TRIM(Paramètres!M24),1)="F",INDEX($F$2759:$F$2811,MATCH(Paramètres!L24,Paramètres!$G$5:$G$57,0)),INDEX($E$2759:$E$2811,MATCH(Paramètres!L24,Paramètres!$G$5:$G$57,0)))+IF(RIGHT(TRIM(Paramètres!M24),3)="Fin",1-$H2778,IF(LEFT(TRIM(Paramètres!M24),1)="F",1,0)))),IF(Paramètres!N24="",0,IF(Paramètres!O24="",NA(),IF(LEFT(TRIM(Paramètres!O24),1)="F",INDEX($F$2759:$F$2811,MATCH(Paramètres!N24,Paramètres!$G$5:$G$57,0)),INDEX($E$2759:$E$2811,MATCH(Paramètres!N24,Paramètres!$G$5:$G$57,0)))+IF(RIGHT(TRIM(Paramètres!O24),3)="Fin",1-$H2778,IF(LEFT(TRIM(Paramètres!O24),1)="F",1,0)))))))</f>
        <v/>
      </c>
      <c r="F2778" s="19">
        <f>IF($A2778="","",E2778+$H2778-1)</f>
        <v/>
      </c>
      <c r="G2778" s="18" t="n"/>
      <c r="H2778" s="18">
        <f>IF($A2778="","",IF(I2778&lt;&gt;"",I2778,Paramètres!B24))</f>
        <v/>
      </c>
      <c r="I2778" s="18" t="n"/>
    </row>
    <row r="2779">
      <c r="A2779" s="18">
        <f>IF(ISNUMBER(Dossiers!$D$55),Dossiers!$A$55&amp;" · "&amp;Dossiers!$B$55,"")</f>
        <v/>
      </c>
      <c r="B2779" s="18">
        <f>IF($A2779="","",Paramètres!G25)</f>
        <v/>
      </c>
      <c r="C2779" s="18">
        <f>IF($A2779="","",IF(Paramètres!H25="","",Paramètres!H25))</f>
        <v/>
      </c>
      <c r="D2779" s="18">
        <f>IF($A2779="","",IF(Paramètres!I25="","",Paramètres!I25))</f>
        <v/>
      </c>
      <c r="E2779" s="19">
        <f>IF($A2779="","",IF(Paramètres!J25&amp;Paramètres!L25&amp;Paramètres!N25="",Dossiers!$D$55,MAX(IF(Paramètres!J25="",0,IF(Paramètres!K25="",NA(),IF(LEFT(TRIM(Paramètres!K25),1)="F",INDEX($F$2759:$F$2811,MATCH(Paramètres!J25,Paramètres!$G$5:$G$57,0)),INDEX($E$2759:$E$2811,MATCH(Paramètres!J25,Paramètres!$G$5:$G$57,0)))+IF(RIGHT(TRIM(Paramètres!K25),3)="Fin",1-$H2779,IF(LEFT(TRIM(Paramètres!K25),1)="F",1,0)))),IF(Paramètres!L25="",0,IF(Paramètres!M25="",NA(),IF(LEFT(TRIM(Paramètres!M25),1)="F",INDEX($F$2759:$F$2811,MATCH(Paramètres!L25,Paramètres!$G$5:$G$57,0)),INDEX($E$2759:$E$2811,MATCH(Paramètres!L25,Paramètres!$G$5:$G$57,0)))+IF(RIGHT(TRIM(Paramètres!M25),3)="Fin",1-$H2779,IF(LEFT(TRIM(Paramètres!M25),1)="F",1,0)))),IF(Paramètres!N25="",0,IF(Paramètres!O25="",NA(),IF(LEFT(TRIM(Paramètres!O25),1)="F",INDEX($F$2759:$F$2811,MATCH(Paramètres!N25,Paramètres!$G$5:$G$57,0)),INDEX($E$2759:$E$2811,MATCH(Paramètres!N25,Paramètres!$G$5:$G$57,0)))+IF(RIGHT(TRIM(Paramètres!O25),3)="Fin",1-$H2779,IF(LEFT(TRIM(Paramètres!O25),1)="F",1,0)))))))</f>
        <v/>
      </c>
      <c r="F2779" s="19">
        <f>IF($A2779="","",E2779+$H2779-1)</f>
        <v/>
      </c>
      <c r="G2779" s="18" t="n"/>
      <c r="H2779" s="18">
        <f>IF($A2779="","",IF(I2779&lt;&gt;"",I2779,Paramètres!B25))</f>
        <v/>
      </c>
      <c r="I2779" s="18" t="n"/>
    </row>
    <row r="2780">
      <c r="A2780" s="18">
        <f>IF(ISNUMBER(Dossiers!$D$55),Dossiers!$A$55&amp;" · "&amp;Dossiers!$B$55,"")</f>
        <v/>
      </c>
      <c r="B2780" s="18">
        <f>IF($A2780="","",Paramètres!G26)</f>
        <v/>
      </c>
      <c r="C2780" s="18">
        <f>IF($A2780="","",IF(Paramètres!H26="","",Paramètres!H26))</f>
        <v/>
      </c>
      <c r="D2780" s="18">
        <f>IF($A2780="","",IF(Paramètres!I26="","",Paramètres!I26))</f>
        <v/>
      </c>
      <c r="E2780" s="19">
        <f>IF($A2780="","",IF(Paramètres!J26&amp;Paramètres!L26&amp;Paramètres!N26="",Dossiers!$D$55,MAX(IF(Paramètres!J26="",0,IF(Paramètres!K26="",NA(),IF(LEFT(TRIM(Paramètres!K26),1)="F",INDEX($F$2759:$F$2811,MATCH(Paramètres!J26,Paramètres!$G$5:$G$57,0)),INDEX($E$2759:$E$2811,MATCH(Paramètres!J26,Paramètres!$G$5:$G$57,0)))+IF(RIGHT(TRIM(Paramètres!K26),3)="Fin",1-$H2780,IF(LEFT(TRIM(Paramètres!K26),1)="F",1,0)))),IF(Paramètres!L26="",0,IF(Paramètres!M26="",NA(),IF(LEFT(TRIM(Paramètres!M26),1)="F",INDEX($F$2759:$F$2811,MATCH(Paramètres!L26,Paramètres!$G$5:$G$57,0)),INDEX($E$2759:$E$2811,MATCH(Paramètres!L26,Paramètres!$G$5:$G$57,0)))+IF(RIGHT(TRIM(Paramètres!M26),3)="Fin",1-$H2780,IF(LEFT(TRIM(Paramètres!M26),1)="F",1,0)))),IF(Paramètres!N26="",0,IF(Paramètres!O26="",NA(),IF(LEFT(TRIM(Paramètres!O26),1)="F",INDEX($F$2759:$F$2811,MATCH(Paramètres!N26,Paramètres!$G$5:$G$57,0)),INDEX($E$2759:$E$2811,MATCH(Paramètres!N26,Paramètres!$G$5:$G$57,0)))+IF(RIGHT(TRIM(Paramètres!O26),3)="Fin",1-$H2780,IF(LEFT(TRIM(Paramètres!O26),1)="F",1,0)))))))</f>
        <v/>
      </c>
      <c r="F2780" s="19">
        <f>IF($A2780="","",E2780+$H2780-1)</f>
        <v/>
      </c>
      <c r="G2780" s="18" t="n"/>
      <c r="H2780" s="18">
        <f>IF($A2780="","",IF(I2780&lt;&gt;"",I2780,Paramètres!B26))</f>
        <v/>
      </c>
      <c r="I2780" s="18" t="n"/>
    </row>
    <row r="2781">
      <c r="A2781" s="18">
        <f>IF(ISNUMBER(Dossiers!$D$55),Dossiers!$A$55&amp;" · "&amp;Dossiers!$B$55,"")</f>
        <v/>
      </c>
      <c r="B2781" s="18">
        <f>IF($A2781="","",Paramètres!G27)</f>
        <v/>
      </c>
      <c r="C2781" s="18">
        <f>IF($A2781="","",IF(Paramètres!H27="","",Paramètres!H27))</f>
        <v/>
      </c>
      <c r="D2781" s="18">
        <f>IF($A2781="","",IF(Paramètres!I27="","",Paramètres!I27))</f>
        <v/>
      </c>
      <c r="E2781" s="19">
        <f>IF($A2781="","",IF(Paramètres!J27&amp;Paramètres!L27&amp;Paramètres!N27="",Dossiers!$D$55,MAX(IF(Paramètres!J27="",0,IF(Paramètres!K27="",NA(),IF(LEFT(TRIM(Paramètres!K27),1)="F",INDEX($F$2759:$F$2811,MATCH(Paramètres!J27,Paramètres!$G$5:$G$57,0)),INDEX($E$2759:$E$2811,MATCH(Paramètres!J27,Paramètres!$G$5:$G$57,0)))+IF(RIGHT(TRIM(Paramètres!K27),3)="Fin",1-$H2781,IF(LEFT(TRIM(Paramètres!K27),1)="F",1,0)))),IF(Paramètres!L27="",0,IF(Paramètres!M27="",NA(),IF(LEFT(TRIM(Paramètres!M27),1)="F",INDEX($F$2759:$F$2811,MATCH(Paramètres!L27,Paramètres!$G$5:$G$57,0)),INDEX($E$2759:$E$2811,MATCH(Paramètres!L27,Paramètres!$G$5:$G$57,0)))+IF(RIGHT(TRIM(Paramètres!M27),3)="Fin",1-$H2781,IF(LEFT(TRIM(Paramètres!M27),1)="F",1,0)))),IF(Paramètres!N27="",0,IF(Paramètres!O27="",NA(),IF(LEFT(TRIM(Paramètres!O27),1)="F",INDEX($F$2759:$F$2811,MATCH(Paramètres!N27,Paramètres!$G$5:$G$57,0)),INDEX($E$2759:$E$2811,MATCH(Paramètres!N27,Paramètres!$G$5:$G$57,0)))+IF(RIGHT(TRIM(Paramètres!O27),3)="Fin",1-$H2781,IF(LEFT(TRIM(Paramètres!O27),1)="F",1,0)))))))</f>
        <v/>
      </c>
      <c r="F2781" s="19">
        <f>IF($A2781="","",E2781+$H2781-1)</f>
        <v/>
      </c>
      <c r="G2781" s="18" t="n"/>
      <c r="H2781" s="18">
        <f>IF($A2781="","",IF(I2781&lt;&gt;"",I2781,Paramètres!B27))</f>
        <v/>
      </c>
      <c r="I2781" s="18" t="n"/>
    </row>
    <row r="2782">
      <c r="A2782" s="18">
        <f>IF(ISNUMBER(Dossiers!$D$55),Dossiers!$A$55&amp;" · "&amp;Dossiers!$B$55,"")</f>
        <v/>
      </c>
      <c r="B2782" s="18">
        <f>IF($A2782="","",Paramètres!G28)</f>
        <v/>
      </c>
      <c r="C2782" s="18">
        <f>IF($A2782="","",IF(Paramètres!H28="","",Paramètres!H28))</f>
        <v/>
      </c>
      <c r="D2782" s="18">
        <f>IF($A2782="","",IF(Paramètres!I28="","",Paramètres!I28))</f>
        <v/>
      </c>
      <c r="E2782" s="19">
        <f>IF($A2782="","",IF(Paramètres!J28&amp;Paramètres!L28&amp;Paramètres!N28="",Dossiers!$D$55,MAX(IF(Paramètres!J28="",0,IF(Paramètres!K28="",NA(),IF(LEFT(TRIM(Paramètres!K28),1)="F",INDEX($F$2759:$F$2811,MATCH(Paramètres!J28,Paramètres!$G$5:$G$57,0)),INDEX($E$2759:$E$2811,MATCH(Paramètres!J28,Paramètres!$G$5:$G$57,0)))+IF(RIGHT(TRIM(Paramètres!K28),3)="Fin",1-$H2782,IF(LEFT(TRIM(Paramètres!K28),1)="F",1,0)))),IF(Paramètres!L28="",0,IF(Paramètres!M28="",NA(),IF(LEFT(TRIM(Paramètres!M28),1)="F",INDEX($F$2759:$F$2811,MATCH(Paramètres!L28,Paramètres!$G$5:$G$57,0)),INDEX($E$2759:$E$2811,MATCH(Paramètres!L28,Paramètres!$G$5:$G$57,0)))+IF(RIGHT(TRIM(Paramètres!M28),3)="Fin",1-$H2782,IF(LEFT(TRIM(Paramètres!M28),1)="F",1,0)))),IF(Paramètres!N28="",0,IF(Paramètres!O28="",NA(),IF(LEFT(TRIM(Paramètres!O28),1)="F",INDEX($F$2759:$F$2811,MATCH(Paramètres!N28,Paramètres!$G$5:$G$57,0)),INDEX($E$2759:$E$2811,MATCH(Paramètres!N28,Paramètres!$G$5:$G$57,0)))+IF(RIGHT(TRIM(Paramètres!O28),3)="Fin",1-$H2782,IF(LEFT(TRIM(Paramètres!O28),1)="F",1,0)))))))</f>
        <v/>
      </c>
      <c r="F2782" s="19">
        <f>IF($A2782="","",E2782+$H2782-1)</f>
        <v/>
      </c>
      <c r="G2782" s="18" t="n"/>
      <c r="H2782" s="18">
        <f>IF($A2782="","",IF(I2782&lt;&gt;"",I2782,Paramètres!B28))</f>
        <v/>
      </c>
      <c r="I2782" s="18" t="n"/>
    </row>
    <row r="2783">
      <c r="A2783" s="18">
        <f>IF(ISNUMBER(Dossiers!$D$55),Dossiers!$A$55&amp;" · "&amp;Dossiers!$B$55,"")</f>
        <v/>
      </c>
      <c r="B2783" s="18">
        <f>IF($A2783="","",Paramètres!G29)</f>
        <v/>
      </c>
      <c r="C2783" s="18">
        <f>IF($A2783="","",IF(Paramètres!H29="","",Paramètres!H29))</f>
        <v/>
      </c>
      <c r="D2783" s="18">
        <f>IF($A2783="","",IF(Paramètres!I29="","",Paramètres!I29))</f>
        <v/>
      </c>
      <c r="E2783" s="19">
        <f>IF($A2783="","",IF(Paramètres!J29&amp;Paramètres!L29&amp;Paramètres!N29="",Dossiers!$D$55,MAX(IF(Paramètres!J29="",0,IF(Paramètres!K29="",NA(),IF(LEFT(TRIM(Paramètres!K29),1)="F",INDEX($F$2759:$F$2811,MATCH(Paramètres!J29,Paramètres!$G$5:$G$57,0)),INDEX($E$2759:$E$2811,MATCH(Paramètres!J29,Paramètres!$G$5:$G$57,0)))+IF(RIGHT(TRIM(Paramètres!K29),3)="Fin",1-$H2783,IF(LEFT(TRIM(Paramètres!K29),1)="F",1,0)))),IF(Paramètres!L29="",0,IF(Paramètres!M29="",NA(),IF(LEFT(TRIM(Paramètres!M29),1)="F",INDEX($F$2759:$F$2811,MATCH(Paramètres!L29,Paramètres!$G$5:$G$57,0)),INDEX($E$2759:$E$2811,MATCH(Paramètres!L29,Paramètres!$G$5:$G$57,0)))+IF(RIGHT(TRIM(Paramètres!M29),3)="Fin",1-$H2783,IF(LEFT(TRIM(Paramètres!M29),1)="F",1,0)))),IF(Paramètres!N29="",0,IF(Paramètres!O29="",NA(),IF(LEFT(TRIM(Paramètres!O29),1)="F",INDEX($F$2759:$F$2811,MATCH(Paramètres!N29,Paramètres!$G$5:$G$57,0)),INDEX($E$2759:$E$2811,MATCH(Paramètres!N29,Paramètres!$G$5:$G$57,0)))+IF(RIGHT(TRIM(Paramètres!O29),3)="Fin",1-$H2783,IF(LEFT(TRIM(Paramètres!O29),1)="F",1,0)))))))</f>
        <v/>
      </c>
      <c r="F2783" s="19">
        <f>IF($A2783="","",E2783+$H2783-1)</f>
        <v/>
      </c>
      <c r="G2783" s="18" t="n"/>
      <c r="H2783" s="18">
        <f>IF($A2783="","",IF(I2783&lt;&gt;"",I2783,Paramètres!B29))</f>
        <v/>
      </c>
      <c r="I2783" s="18" t="n"/>
    </row>
    <row r="2784">
      <c r="A2784" s="18">
        <f>IF(ISNUMBER(Dossiers!$D$55),Dossiers!$A$55&amp;" · "&amp;Dossiers!$B$55,"")</f>
        <v/>
      </c>
      <c r="B2784" s="18">
        <f>IF($A2784="","",Paramètres!G30)</f>
        <v/>
      </c>
      <c r="C2784" s="18">
        <f>IF($A2784="","",IF(Paramètres!H30="","",Paramètres!H30))</f>
        <v/>
      </c>
      <c r="D2784" s="18">
        <f>IF($A2784="","",IF(Paramètres!I30="","",Paramètres!I30))</f>
        <v/>
      </c>
      <c r="E2784" s="19">
        <f>IF($A2784="","",IF(Paramètres!J30&amp;Paramètres!L30&amp;Paramètres!N30="",Dossiers!$D$55,MAX(IF(Paramètres!J30="",0,IF(Paramètres!K30="",NA(),IF(LEFT(TRIM(Paramètres!K30),1)="F",INDEX($F$2759:$F$2811,MATCH(Paramètres!J30,Paramètres!$G$5:$G$57,0)),INDEX($E$2759:$E$2811,MATCH(Paramètres!J30,Paramètres!$G$5:$G$57,0)))+IF(RIGHT(TRIM(Paramètres!K30),3)="Fin",1-$H2784,IF(LEFT(TRIM(Paramètres!K30),1)="F",1,0)))),IF(Paramètres!L30="",0,IF(Paramètres!M30="",NA(),IF(LEFT(TRIM(Paramètres!M30),1)="F",INDEX($F$2759:$F$2811,MATCH(Paramètres!L30,Paramètres!$G$5:$G$57,0)),INDEX($E$2759:$E$2811,MATCH(Paramètres!L30,Paramètres!$G$5:$G$57,0)))+IF(RIGHT(TRIM(Paramètres!M30),3)="Fin",1-$H2784,IF(LEFT(TRIM(Paramètres!M30),1)="F",1,0)))),IF(Paramètres!N30="",0,IF(Paramètres!O30="",NA(),IF(LEFT(TRIM(Paramètres!O30),1)="F",INDEX($F$2759:$F$2811,MATCH(Paramètres!N30,Paramètres!$G$5:$G$57,0)),INDEX($E$2759:$E$2811,MATCH(Paramètres!N30,Paramètres!$G$5:$G$57,0)))+IF(RIGHT(TRIM(Paramètres!O30),3)="Fin",1-$H2784,IF(LEFT(TRIM(Paramètres!O30),1)="F",1,0)))))))</f>
        <v/>
      </c>
      <c r="F2784" s="19">
        <f>IF($A2784="","",E2784+$H2784-1)</f>
        <v/>
      </c>
      <c r="G2784" s="18" t="n"/>
      <c r="H2784" s="18">
        <f>IF($A2784="","",IF(I2784&lt;&gt;"",I2784,Paramètres!B30))</f>
        <v/>
      </c>
      <c r="I2784" s="18" t="n"/>
    </row>
    <row r="2785">
      <c r="A2785" s="18">
        <f>IF(ISNUMBER(Dossiers!$D$55),Dossiers!$A$55&amp;" · "&amp;Dossiers!$B$55,"")</f>
        <v/>
      </c>
      <c r="B2785" s="18">
        <f>IF($A2785="","",Paramètres!G31)</f>
        <v/>
      </c>
      <c r="C2785" s="20">
        <f>IF($A2785="","",IF(Dossiers!$F$55="","",Dossiers!$F$55))</f>
        <v/>
      </c>
      <c r="D2785" s="18">
        <f>IF($A2785="","",IF(Paramètres!I31="","",Paramètres!I31))</f>
        <v/>
      </c>
      <c r="E2785" s="19">
        <f>IF($A2785="","",IF(Paramètres!J31&amp;Paramètres!L31&amp;Paramètres!N31="",Dossiers!$D$55,MAX(IF(Paramètres!J31="",0,IF(Paramètres!K31="",NA(),IF(LEFT(TRIM(Paramètres!K31),1)="F",INDEX($F$2759:$F$2811,MATCH(Paramètres!J31,Paramètres!$G$5:$G$57,0)),INDEX($E$2759:$E$2811,MATCH(Paramètres!J31,Paramètres!$G$5:$G$57,0)))+IF(RIGHT(TRIM(Paramètres!K31),3)="Fin",1-$H2785,IF(LEFT(TRIM(Paramètres!K31),1)="F",1,0)))),IF(Paramètres!L31="",0,IF(Paramètres!M31="",NA(),IF(LEFT(TRIM(Paramètres!M31),1)="F",INDEX($F$2759:$F$2811,MATCH(Paramètres!L31,Paramètres!$G$5:$G$57,0)),INDEX($E$2759:$E$2811,MATCH(Paramètres!L31,Paramètres!$G$5:$G$57,0)))+IF(RIGHT(TRIM(Paramètres!M31),3)="Fin",1-$H2785,IF(LEFT(TRIM(Paramètres!M31),1)="F",1,0)))),IF(Paramètres!N31="",0,IF(Paramètres!O31="",NA(),IF(LEFT(TRIM(Paramètres!O31),1)="F",INDEX($F$2759:$F$2811,MATCH(Paramètres!N31,Paramètres!$G$5:$G$57,0)),INDEX($E$2759:$E$2811,MATCH(Paramètres!N31,Paramètres!$G$5:$G$57,0)))+IF(RIGHT(TRIM(Paramètres!O31),3)="Fin",1-$H2785,IF(LEFT(TRIM(Paramètres!O31),1)="F",1,0)))))))</f>
        <v/>
      </c>
      <c r="F2785" s="19">
        <f>IF($A2785="","",E2785+$H2785-1)</f>
        <v/>
      </c>
      <c r="G2785" s="18" t="n"/>
      <c r="H2785" s="18">
        <f>IF($A2785="","",IF(I2785&lt;&gt;"",I2785,Paramètres!B31))</f>
        <v/>
      </c>
      <c r="I2785" s="18" t="n"/>
    </row>
    <row r="2786">
      <c r="A2786" s="18">
        <f>IF(ISNUMBER(Dossiers!$D$55),Dossiers!$A$55&amp;" · "&amp;Dossiers!$B$55,"")</f>
        <v/>
      </c>
      <c r="B2786" s="18">
        <f>IF($A2786="","",Paramètres!G32)</f>
        <v/>
      </c>
      <c r="C2786" s="18">
        <f>IF($A2786="","",IF(Paramètres!H32="","",Paramètres!H32))</f>
        <v/>
      </c>
      <c r="D2786" s="18">
        <f>IF($A2786="","",IF(Paramètres!I32="","",Paramètres!I32))</f>
        <v/>
      </c>
      <c r="E2786" s="19">
        <f>IF($A2786="","",MIN(E2787:E2790))</f>
        <v/>
      </c>
      <c r="F2786" s="19">
        <f>IF($A2786="","",MAX(F2787:F2790))</f>
        <v/>
      </c>
      <c r="G2786" s="18" t="n"/>
      <c r="H2786" s="18">
        <f>IF($A2786="","",F2786-E2786+1)</f>
        <v/>
      </c>
      <c r="I2786" s="18" t="n"/>
    </row>
    <row r="2787">
      <c r="A2787" s="18">
        <f>IF(ISNUMBER(Dossiers!$D$55),Dossiers!$A$55&amp;" · "&amp;Dossiers!$B$55,"")</f>
        <v/>
      </c>
      <c r="B2787" s="18">
        <f>IF($A2787="","",Paramètres!G33)</f>
        <v/>
      </c>
      <c r="C2787" s="18">
        <f>IF($A2787="","",IF(Paramètres!H33="","",Paramètres!H33))</f>
        <v/>
      </c>
      <c r="D2787" s="18">
        <f>IF($A2787="","",IF(Paramètres!I33="","",Paramètres!I33))</f>
        <v/>
      </c>
      <c r="E2787" s="19">
        <f>IF($A2787="","",IF(Paramètres!J33&amp;Paramètres!L33&amp;Paramètres!N33="",Dossiers!$D$55,MAX(IF(Paramètres!J33="",0,IF(Paramètres!K33="",NA(),IF(LEFT(TRIM(Paramètres!K33),1)="F",INDEX($F$2759:$F$2811,MATCH(Paramètres!J33,Paramètres!$G$5:$G$57,0)),INDEX($E$2759:$E$2811,MATCH(Paramètres!J33,Paramètres!$G$5:$G$57,0)))+IF(RIGHT(TRIM(Paramètres!K33),3)="Fin",1-$H2787,IF(LEFT(TRIM(Paramètres!K33),1)="F",1,0)))),IF(Paramètres!L33="",0,IF(Paramètres!M33="",NA(),IF(LEFT(TRIM(Paramètres!M33),1)="F",INDEX($F$2759:$F$2811,MATCH(Paramètres!L33,Paramètres!$G$5:$G$57,0)),INDEX($E$2759:$E$2811,MATCH(Paramètres!L33,Paramètres!$G$5:$G$57,0)))+IF(RIGHT(TRIM(Paramètres!M33),3)="Fin",1-$H2787,IF(LEFT(TRIM(Paramètres!M33),1)="F",1,0)))),IF(Paramètres!N33="",0,IF(Paramètres!O33="",NA(),IF(LEFT(TRIM(Paramètres!O33),1)="F",INDEX($F$2759:$F$2811,MATCH(Paramètres!N33,Paramètres!$G$5:$G$57,0)),INDEX($E$2759:$E$2811,MATCH(Paramètres!N33,Paramètres!$G$5:$G$57,0)))+IF(RIGHT(TRIM(Paramètres!O33),3)="Fin",1-$H2787,IF(LEFT(TRIM(Paramètres!O33),1)="F",1,0)))))))</f>
        <v/>
      </c>
      <c r="F2787" s="19">
        <f>IF($A2787="","",E2787+$H2787-1)</f>
        <v/>
      </c>
      <c r="G2787" s="18" t="n"/>
      <c r="H2787" s="18">
        <f>IF($A2787="","",IF(I2787&lt;&gt;"",I2787,Paramètres!B33))</f>
        <v/>
      </c>
      <c r="I2787" s="18" t="n"/>
    </row>
    <row r="2788">
      <c r="A2788" s="18">
        <f>IF(ISNUMBER(Dossiers!$D$55),Dossiers!$A$55&amp;" · "&amp;Dossiers!$B$55,"")</f>
        <v/>
      </c>
      <c r="B2788" s="18">
        <f>IF($A2788="","",Paramètres!G34)</f>
        <v/>
      </c>
      <c r="C2788" s="18">
        <f>IF($A2788="","",IF(Paramètres!H34="","",Paramètres!H34))</f>
        <v/>
      </c>
      <c r="D2788" s="18">
        <f>IF($A2788="","",IF(Paramètres!I34="","",Paramètres!I34))</f>
        <v/>
      </c>
      <c r="E2788" s="19">
        <f>IF($A2788="","",IF(Paramètres!J34&amp;Paramètres!L34&amp;Paramètres!N34="",Dossiers!$D$55,MAX(IF(Paramètres!J34="",0,IF(Paramètres!K34="",NA(),IF(LEFT(TRIM(Paramètres!K34),1)="F",INDEX($F$2759:$F$2811,MATCH(Paramètres!J34,Paramètres!$G$5:$G$57,0)),INDEX($E$2759:$E$2811,MATCH(Paramètres!J34,Paramètres!$G$5:$G$57,0)))+IF(RIGHT(TRIM(Paramètres!K34),3)="Fin",1-$H2788,IF(LEFT(TRIM(Paramètres!K34),1)="F",1,0)))),IF(Paramètres!L34="",0,IF(Paramètres!M34="",NA(),IF(LEFT(TRIM(Paramètres!M34),1)="F",INDEX($F$2759:$F$2811,MATCH(Paramètres!L34,Paramètres!$G$5:$G$57,0)),INDEX($E$2759:$E$2811,MATCH(Paramètres!L34,Paramètres!$G$5:$G$57,0)))+IF(RIGHT(TRIM(Paramètres!M34),3)="Fin",1-$H2788,IF(LEFT(TRIM(Paramètres!M34),1)="F",1,0)))),IF(Paramètres!N34="",0,IF(Paramètres!O34="",NA(),IF(LEFT(TRIM(Paramètres!O34),1)="F",INDEX($F$2759:$F$2811,MATCH(Paramètres!N34,Paramètres!$G$5:$G$57,0)),INDEX($E$2759:$E$2811,MATCH(Paramètres!N34,Paramètres!$G$5:$G$57,0)))+IF(RIGHT(TRIM(Paramètres!O34),3)="Fin",1-$H2788,IF(LEFT(TRIM(Paramètres!O34),1)="F",1,0)))))))</f>
        <v/>
      </c>
      <c r="F2788" s="19">
        <f>IF($A2788="","",E2788+$H2788-1)</f>
        <v/>
      </c>
      <c r="G2788" s="18" t="n"/>
      <c r="H2788" s="18">
        <f>IF($A2788="","",IF(I2788&lt;&gt;"",I2788,Paramètres!B34))</f>
        <v/>
      </c>
      <c r="I2788" s="18" t="n"/>
    </row>
    <row r="2789">
      <c r="A2789" s="18">
        <f>IF(ISNUMBER(Dossiers!$D$55),Dossiers!$A$55&amp;" · "&amp;Dossiers!$B$55,"")</f>
        <v/>
      </c>
      <c r="B2789" s="18">
        <f>IF($A2789="","",Paramètres!G35)</f>
        <v/>
      </c>
      <c r="C2789" s="18">
        <f>IF($A2789="","",IF(Paramètres!H35="","",Paramètres!H35))</f>
        <v/>
      </c>
      <c r="D2789" s="18">
        <f>IF($A2789="","",IF(Paramètres!I35="","",Paramètres!I35))</f>
        <v/>
      </c>
      <c r="E2789" s="19">
        <f>IF($A2789="","",IF(Paramètres!J35&amp;Paramètres!L35&amp;Paramètres!N35="",Dossiers!$D$55,MAX(IF(Paramètres!J35="",0,IF(Paramètres!K35="",NA(),IF(LEFT(TRIM(Paramètres!K35),1)="F",INDEX($F$2759:$F$2811,MATCH(Paramètres!J35,Paramètres!$G$5:$G$57,0)),INDEX($E$2759:$E$2811,MATCH(Paramètres!J35,Paramètres!$G$5:$G$57,0)))+IF(RIGHT(TRIM(Paramètres!K35),3)="Fin",1-$H2789,IF(LEFT(TRIM(Paramètres!K35),1)="F",1,0)))),IF(Paramètres!L35="",0,IF(Paramètres!M35="",NA(),IF(LEFT(TRIM(Paramètres!M35),1)="F",INDEX($F$2759:$F$2811,MATCH(Paramètres!L35,Paramètres!$G$5:$G$57,0)),INDEX($E$2759:$E$2811,MATCH(Paramètres!L35,Paramètres!$G$5:$G$57,0)))+IF(RIGHT(TRIM(Paramètres!M35),3)="Fin",1-$H2789,IF(LEFT(TRIM(Paramètres!M35),1)="F",1,0)))),IF(Paramètres!N35="",0,IF(Paramètres!O35="",NA(),IF(LEFT(TRIM(Paramètres!O35),1)="F",INDEX($F$2759:$F$2811,MATCH(Paramètres!N35,Paramètres!$G$5:$G$57,0)),INDEX($E$2759:$E$2811,MATCH(Paramètres!N35,Paramètres!$G$5:$G$57,0)))+IF(RIGHT(TRIM(Paramètres!O35),3)="Fin",1-$H2789,IF(LEFT(TRIM(Paramètres!O35),1)="F",1,0)))))))</f>
        <v/>
      </c>
      <c r="F2789" s="19">
        <f>IF($A2789="","",E2789+$H2789-1)</f>
        <v/>
      </c>
      <c r="G2789" s="18" t="n"/>
      <c r="H2789" s="18">
        <f>IF($A2789="","",IF(I2789&lt;&gt;"",I2789,Paramètres!B35))</f>
        <v/>
      </c>
      <c r="I2789" s="18" t="n"/>
    </row>
    <row r="2790">
      <c r="A2790" s="18">
        <f>IF(ISNUMBER(Dossiers!$D$55),Dossiers!$A$55&amp;" · "&amp;Dossiers!$B$55,"")</f>
        <v/>
      </c>
      <c r="B2790" s="18">
        <f>IF($A2790="","",Paramètres!G36)</f>
        <v/>
      </c>
      <c r="C2790" s="18">
        <f>IF($A2790="","",IF(Paramètres!H36="","",Paramètres!H36))</f>
        <v/>
      </c>
      <c r="D2790" s="18">
        <f>IF($A2790="","",IF(Paramètres!I36="","",Paramètres!I36))</f>
        <v/>
      </c>
      <c r="E2790" s="19">
        <f>IF($A2790="","",IF(Paramètres!J36&amp;Paramètres!L36&amp;Paramètres!N36="",Dossiers!$D$55,MAX(IF(Paramètres!J36="",0,IF(Paramètres!K36="",NA(),IF(LEFT(TRIM(Paramètres!K36),1)="F",INDEX($F$2759:$F$2811,MATCH(Paramètres!J36,Paramètres!$G$5:$G$57,0)),INDEX($E$2759:$E$2811,MATCH(Paramètres!J36,Paramètres!$G$5:$G$57,0)))+IF(RIGHT(TRIM(Paramètres!K36),3)="Fin",1-$H2790,IF(LEFT(TRIM(Paramètres!K36),1)="F",1,0)))),IF(Paramètres!L36="",0,IF(Paramètres!M36="",NA(),IF(LEFT(TRIM(Paramètres!M36),1)="F",INDEX($F$2759:$F$2811,MATCH(Paramètres!L36,Paramètres!$G$5:$G$57,0)),INDEX($E$2759:$E$2811,MATCH(Paramètres!L36,Paramètres!$G$5:$G$57,0)))+IF(RIGHT(TRIM(Paramètres!M36),3)="Fin",1-$H2790,IF(LEFT(TRIM(Paramètres!M36),1)="F",1,0)))),IF(Paramètres!N36="",0,IF(Paramètres!O36="",NA(),IF(LEFT(TRIM(Paramètres!O36),1)="F",INDEX($F$2759:$F$2811,MATCH(Paramètres!N36,Paramètres!$G$5:$G$57,0)),INDEX($E$2759:$E$2811,MATCH(Paramètres!N36,Paramètres!$G$5:$G$57,0)))+IF(RIGHT(TRIM(Paramètres!O36),3)="Fin",1-$H2790,IF(LEFT(TRIM(Paramètres!O36),1)="F",1,0)))))))</f>
        <v/>
      </c>
      <c r="F2790" s="19">
        <f>IF($A2790="","",E2790+$H2790-1)</f>
        <v/>
      </c>
      <c r="G2790" s="18" t="n"/>
      <c r="H2790" s="18">
        <f>IF($A2790="","",IF(I2790&lt;&gt;"",I2790,Paramètres!B36))</f>
        <v/>
      </c>
      <c r="I2790" s="18" t="n"/>
    </row>
    <row r="2791">
      <c r="A2791" s="18">
        <f>IF(ISNUMBER(Dossiers!$D$55),Dossiers!$A$55&amp;" · "&amp;Dossiers!$B$55,"")</f>
        <v/>
      </c>
      <c r="B2791" s="18">
        <f>IF($A2791="","",Paramètres!G37)</f>
        <v/>
      </c>
      <c r="C2791" s="18">
        <f>IF($A2791="","",IF(Paramètres!H37="","",Paramètres!H37))</f>
        <v/>
      </c>
      <c r="D2791" s="18">
        <f>IF($A2791="","",IF(Paramètres!I37="","",Paramètres!I37))</f>
        <v/>
      </c>
      <c r="E2791" s="19">
        <f>IF($A2791="","",MIN(E2792:E2809))</f>
        <v/>
      </c>
      <c r="F2791" s="19">
        <f>IF($A2791="","",MAX(F2792:F2809))</f>
        <v/>
      </c>
      <c r="G2791" s="18" t="n"/>
      <c r="H2791" s="18">
        <f>IF($A2791="","",F2791-E2791+1)</f>
        <v/>
      </c>
      <c r="I2791" s="18" t="n"/>
    </row>
    <row r="2792">
      <c r="A2792" s="18">
        <f>IF(ISNUMBER(Dossiers!$D$55),Dossiers!$A$55&amp;" · "&amp;Dossiers!$B$55,"")</f>
        <v/>
      </c>
      <c r="B2792" s="18">
        <f>IF($A2792="","",Paramètres!G38)</f>
        <v/>
      </c>
      <c r="C2792" s="18">
        <f>IF($A2792="","",IF(Paramètres!H38="","",Paramètres!H38))</f>
        <v/>
      </c>
      <c r="D2792" s="18">
        <f>IF($A2792="","",IF(Paramètres!I38="","",Paramètres!I38))</f>
        <v/>
      </c>
      <c r="E2792" s="19">
        <f>IF($A2792="","",IF(Paramètres!J38&amp;Paramètres!L38&amp;Paramètres!N38="",Dossiers!$D$55,MAX(IF(Paramètres!J38="",0,IF(Paramètres!K38="",NA(),IF(LEFT(TRIM(Paramètres!K38),1)="F",INDEX($F$2759:$F$2811,MATCH(Paramètres!J38,Paramètres!$G$5:$G$57,0)),INDEX($E$2759:$E$2811,MATCH(Paramètres!J38,Paramètres!$G$5:$G$57,0)))+IF(RIGHT(TRIM(Paramètres!K38),3)="Fin",1-$H2792,IF(LEFT(TRIM(Paramètres!K38),1)="F",1,0)))),IF(Paramètres!L38="",0,IF(Paramètres!M38="",NA(),IF(LEFT(TRIM(Paramètres!M38),1)="F",INDEX($F$2759:$F$2811,MATCH(Paramètres!L38,Paramètres!$G$5:$G$57,0)),INDEX($E$2759:$E$2811,MATCH(Paramètres!L38,Paramètres!$G$5:$G$57,0)))+IF(RIGHT(TRIM(Paramètres!M38),3)="Fin",1-$H2792,IF(LEFT(TRIM(Paramètres!M38),1)="F",1,0)))),IF(Paramètres!N38="",0,IF(Paramètres!O38="",NA(),IF(LEFT(TRIM(Paramètres!O38),1)="F",INDEX($F$2759:$F$2811,MATCH(Paramètres!N38,Paramètres!$G$5:$G$57,0)),INDEX($E$2759:$E$2811,MATCH(Paramètres!N38,Paramètres!$G$5:$G$57,0)))+IF(RIGHT(TRIM(Paramètres!O38),3)="Fin",1-$H2792,IF(LEFT(TRIM(Paramètres!O38),1)="F",1,0)))))))</f>
        <v/>
      </c>
      <c r="F2792" s="19">
        <f>IF($A2792="","",E2792+$H2792-1)</f>
        <v/>
      </c>
      <c r="G2792" s="18" t="n"/>
      <c r="H2792" s="18">
        <f>IF($A2792="","",IF(I2792&lt;&gt;"",I2792,Paramètres!B38))</f>
        <v/>
      </c>
      <c r="I2792" s="18" t="n"/>
    </row>
    <row r="2793">
      <c r="A2793" s="18">
        <f>IF(ISNUMBER(Dossiers!$D$55),Dossiers!$A$55&amp;" · "&amp;Dossiers!$B$55,"")</f>
        <v/>
      </c>
      <c r="B2793" s="18">
        <f>IF($A2793="","",Paramètres!G39)</f>
        <v/>
      </c>
      <c r="C2793" s="18">
        <f>IF($A2793="","",IF(Paramètres!H39="","",Paramètres!H39))</f>
        <v/>
      </c>
      <c r="D2793" s="18">
        <f>IF($A2793="","",IF(Paramètres!I39="","",Paramètres!I39))</f>
        <v/>
      </c>
      <c r="E2793" s="19">
        <f>IF($A2793="","",IF(Paramètres!J39&amp;Paramètres!L39&amp;Paramètres!N39="",Dossiers!$D$55,MAX(IF(Paramètres!J39="",0,IF(Paramètres!K39="",NA(),IF(LEFT(TRIM(Paramètres!K39),1)="F",INDEX($F$2759:$F$2811,MATCH(Paramètres!J39,Paramètres!$G$5:$G$57,0)),INDEX($E$2759:$E$2811,MATCH(Paramètres!J39,Paramètres!$G$5:$G$57,0)))+IF(RIGHT(TRIM(Paramètres!K39),3)="Fin",1-$H2793,IF(LEFT(TRIM(Paramètres!K39),1)="F",1,0)))),IF(Paramètres!L39="",0,IF(Paramètres!M39="",NA(),IF(LEFT(TRIM(Paramètres!M39),1)="F",INDEX($F$2759:$F$2811,MATCH(Paramètres!L39,Paramètres!$G$5:$G$57,0)),INDEX($E$2759:$E$2811,MATCH(Paramètres!L39,Paramètres!$G$5:$G$57,0)))+IF(RIGHT(TRIM(Paramètres!M39),3)="Fin",1-$H2793,IF(LEFT(TRIM(Paramètres!M39),1)="F",1,0)))),IF(Paramètres!N39="",0,IF(Paramètres!O39="",NA(),IF(LEFT(TRIM(Paramètres!O39),1)="F",INDEX($F$2759:$F$2811,MATCH(Paramètres!N39,Paramètres!$G$5:$G$57,0)),INDEX($E$2759:$E$2811,MATCH(Paramètres!N39,Paramètres!$G$5:$G$57,0)))+IF(RIGHT(TRIM(Paramètres!O39),3)="Fin",1-$H2793,IF(LEFT(TRIM(Paramètres!O39),1)="F",1,0)))))))</f>
        <v/>
      </c>
      <c r="F2793" s="19">
        <f>IF($A2793="","",E2793+$H2793-1)</f>
        <v/>
      </c>
      <c r="G2793" s="18" t="n"/>
      <c r="H2793" s="18">
        <f>IF($A2793="","",IF(I2793&lt;&gt;"",I2793,Paramètres!B39))</f>
        <v/>
      </c>
      <c r="I2793" s="18" t="n"/>
    </row>
    <row r="2794">
      <c r="A2794" s="18">
        <f>IF(ISNUMBER(Dossiers!$D$55),Dossiers!$A$55&amp;" · "&amp;Dossiers!$B$55,"")</f>
        <v/>
      </c>
      <c r="B2794" s="18">
        <f>IF($A2794="","",Paramètres!G40)</f>
        <v/>
      </c>
      <c r="C2794" s="18">
        <f>IF($A2794="","",IF(Paramètres!H40="","",Paramètres!H40))</f>
        <v/>
      </c>
      <c r="D2794" s="18">
        <f>IF($A2794="","",IF(Paramètres!I40="","",Paramètres!I40))</f>
        <v/>
      </c>
      <c r="E2794" s="19">
        <f>IF($A2794="","",IF(Paramètres!J40&amp;Paramètres!L40&amp;Paramètres!N40="",Dossiers!$D$55,MAX(IF(Paramètres!J40="",0,IF(Paramètres!K40="",NA(),IF(LEFT(TRIM(Paramètres!K40),1)="F",INDEX($F$2759:$F$2811,MATCH(Paramètres!J40,Paramètres!$G$5:$G$57,0)),INDEX($E$2759:$E$2811,MATCH(Paramètres!J40,Paramètres!$G$5:$G$57,0)))+IF(RIGHT(TRIM(Paramètres!K40),3)="Fin",1-$H2794,IF(LEFT(TRIM(Paramètres!K40),1)="F",1,0)))),IF(Paramètres!L40="",0,IF(Paramètres!M40="",NA(),IF(LEFT(TRIM(Paramètres!M40),1)="F",INDEX($F$2759:$F$2811,MATCH(Paramètres!L40,Paramètres!$G$5:$G$57,0)),INDEX($E$2759:$E$2811,MATCH(Paramètres!L40,Paramètres!$G$5:$G$57,0)))+IF(RIGHT(TRIM(Paramètres!M40),3)="Fin",1-$H2794,IF(LEFT(TRIM(Paramètres!M40),1)="F",1,0)))),IF(Paramètres!N40="",0,IF(Paramètres!O40="",NA(),IF(LEFT(TRIM(Paramètres!O40),1)="F",INDEX($F$2759:$F$2811,MATCH(Paramètres!N40,Paramètres!$G$5:$G$57,0)),INDEX($E$2759:$E$2811,MATCH(Paramètres!N40,Paramètres!$G$5:$G$57,0)))+IF(RIGHT(TRIM(Paramètres!O40),3)="Fin",1-$H2794,IF(LEFT(TRIM(Paramètres!O40),1)="F",1,0)))))))</f>
        <v/>
      </c>
      <c r="F2794" s="19">
        <f>IF($A2794="","",E2794+$H2794-1)</f>
        <v/>
      </c>
      <c r="G2794" s="18" t="n"/>
      <c r="H2794" s="18">
        <f>IF($A2794="","",IF(I2794&lt;&gt;"",I2794,Paramètres!B40))</f>
        <v/>
      </c>
      <c r="I2794" s="18" t="n"/>
    </row>
    <row r="2795">
      <c r="A2795" s="18">
        <f>IF(ISNUMBER(Dossiers!$D$55),Dossiers!$A$55&amp;" · "&amp;Dossiers!$B$55,"")</f>
        <v/>
      </c>
      <c r="B2795" s="18">
        <f>IF($A2795="","",Paramètres!G41)</f>
        <v/>
      </c>
      <c r="C2795" s="18">
        <f>IF($A2795="","",IF(Paramètres!H41="","",Paramètres!H41))</f>
        <v/>
      </c>
      <c r="D2795" s="18">
        <f>IF($A2795="","",IF(Paramètres!I41="","",Paramètres!I41))</f>
        <v/>
      </c>
      <c r="E2795" s="19">
        <f>IF($A2795="","",IF(Paramètres!J41&amp;Paramètres!L41&amp;Paramètres!N41="",Dossiers!$D$55,MAX(IF(Paramètres!J41="",0,IF(Paramètres!K41="",NA(),IF(LEFT(TRIM(Paramètres!K41),1)="F",INDEX($F$2759:$F$2811,MATCH(Paramètres!J41,Paramètres!$G$5:$G$57,0)),INDEX($E$2759:$E$2811,MATCH(Paramètres!J41,Paramètres!$G$5:$G$57,0)))+IF(RIGHT(TRIM(Paramètres!K41),3)="Fin",1-$H2795,IF(LEFT(TRIM(Paramètres!K41),1)="F",1,0)))),IF(Paramètres!L41="",0,IF(Paramètres!M41="",NA(),IF(LEFT(TRIM(Paramètres!M41),1)="F",INDEX($F$2759:$F$2811,MATCH(Paramètres!L41,Paramètres!$G$5:$G$57,0)),INDEX($E$2759:$E$2811,MATCH(Paramètres!L41,Paramètres!$G$5:$G$57,0)))+IF(RIGHT(TRIM(Paramètres!M41),3)="Fin",1-$H2795,IF(LEFT(TRIM(Paramètres!M41),1)="F",1,0)))),IF(Paramètres!N41="",0,IF(Paramètres!O41="",NA(),IF(LEFT(TRIM(Paramètres!O41),1)="F",INDEX($F$2759:$F$2811,MATCH(Paramètres!N41,Paramètres!$G$5:$G$57,0)),INDEX($E$2759:$E$2811,MATCH(Paramètres!N41,Paramètres!$G$5:$G$57,0)))+IF(RIGHT(TRIM(Paramètres!O41),3)="Fin",1-$H2795,IF(LEFT(TRIM(Paramètres!O41),1)="F",1,0)))))))</f>
        <v/>
      </c>
      <c r="F2795" s="19">
        <f>IF($A2795="","",E2795+$H2795-1)</f>
        <v/>
      </c>
      <c r="G2795" s="18" t="n"/>
      <c r="H2795" s="18">
        <f>IF($A2795="","",IF(I2795&lt;&gt;"",I2795,Paramètres!B41))</f>
        <v/>
      </c>
      <c r="I2795" s="18" t="n"/>
    </row>
    <row r="2796">
      <c r="A2796" s="18">
        <f>IF(ISNUMBER(Dossiers!$D$55),Dossiers!$A$55&amp;" · "&amp;Dossiers!$B$55,"")</f>
        <v/>
      </c>
      <c r="B2796" s="18">
        <f>IF($A2796="","",Paramètres!G42)</f>
        <v/>
      </c>
      <c r="C2796" s="18">
        <f>IF($A2796="","",IF(Paramètres!H42="","",Paramètres!H42))</f>
        <v/>
      </c>
      <c r="D2796" s="18">
        <f>IF($A2796="","",IF(Paramètres!I42="","",Paramètres!I42))</f>
        <v/>
      </c>
      <c r="E2796" s="19">
        <f>IF($A2796="","",IF(Paramètres!J42&amp;Paramètres!L42&amp;Paramètres!N42="",Dossiers!$D$55,MAX(IF(Paramètres!J42="",0,IF(Paramètres!K42="",NA(),IF(LEFT(TRIM(Paramètres!K42),1)="F",INDEX($F$2759:$F$2811,MATCH(Paramètres!J42,Paramètres!$G$5:$G$57,0)),INDEX($E$2759:$E$2811,MATCH(Paramètres!J42,Paramètres!$G$5:$G$57,0)))+IF(RIGHT(TRIM(Paramètres!K42),3)="Fin",1-$H2796,IF(LEFT(TRIM(Paramètres!K42),1)="F",1,0)))),IF(Paramètres!L42="",0,IF(Paramètres!M42="",NA(),IF(LEFT(TRIM(Paramètres!M42),1)="F",INDEX($F$2759:$F$2811,MATCH(Paramètres!L42,Paramètres!$G$5:$G$57,0)),INDEX($E$2759:$E$2811,MATCH(Paramètres!L42,Paramètres!$G$5:$G$57,0)))+IF(RIGHT(TRIM(Paramètres!M42),3)="Fin",1-$H2796,IF(LEFT(TRIM(Paramètres!M42),1)="F",1,0)))),IF(Paramètres!N42="",0,IF(Paramètres!O42="",NA(),IF(LEFT(TRIM(Paramètres!O42),1)="F",INDEX($F$2759:$F$2811,MATCH(Paramètres!N42,Paramètres!$G$5:$G$57,0)),INDEX($E$2759:$E$2811,MATCH(Paramètres!N42,Paramètres!$G$5:$G$57,0)))+IF(RIGHT(TRIM(Paramètres!O42),3)="Fin",1-$H2796,IF(LEFT(TRIM(Paramètres!O42),1)="F",1,0)))))))</f>
        <v/>
      </c>
      <c r="F2796" s="19">
        <f>IF($A2796="","",E2796+$H2796-1)</f>
        <v/>
      </c>
      <c r="G2796" s="18" t="n"/>
      <c r="H2796" s="18">
        <f>IF($A2796="","",IF(I2796&lt;&gt;"",I2796,Paramètres!B42))</f>
        <v/>
      </c>
      <c r="I2796" s="18" t="n"/>
    </row>
    <row r="2797">
      <c r="A2797" s="18">
        <f>IF(ISNUMBER(Dossiers!$D$55),Dossiers!$A$55&amp;" · "&amp;Dossiers!$B$55,"")</f>
        <v/>
      </c>
      <c r="B2797" s="18">
        <f>IF($A2797="","",Paramètres!G43)</f>
        <v/>
      </c>
      <c r="C2797" s="18">
        <f>IF($A2797="","",IF(Paramètres!H43="","",Paramètres!H43))</f>
        <v/>
      </c>
      <c r="D2797" s="18">
        <f>IF($A2797="","",IF(Paramètres!I43="","",Paramètres!I43))</f>
        <v/>
      </c>
      <c r="E2797" s="19">
        <f>IF($A2797="","",IF(Paramètres!J43&amp;Paramètres!L43&amp;Paramètres!N43="",Dossiers!$D$55,MAX(IF(Paramètres!J43="",0,IF(Paramètres!K43="",NA(),IF(LEFT(TRIM(Paramètres!K43),1)="F",INDEX($F$2759:$F$2811,MATCH(Paramètres!J43,Paramètres!$G$5:$G$57,0)),INDEX($E$2759:$E$2811,MATCH(Paramètres!J43,Paramètres!$G$5:$G$57,0)))+IF(RIGHT(TRIM(Paramètres!K43),3)="Fin",1-$H2797,IF(LEFT(TRIM(Paramètres!K43),1)="F",1,0)))),IF(Paramètres!L43="",0,IF(Paramètres!M43="",NA(),IF(LEFT(TRIM(Paramètres!M43),1)="F",INDEX($F$2759:$F$2811,MATCH(Paramètres!L43,Paramètres!$G$5:$G$57,0)),INDEX($E$2759:$E$2811,MATCH(Paramètres!L43,Paramètres!$G$5:$G$57,0)))+IF(RIGHT(TRIM(Paramètres!M43),3)="Fin",1-$H2797,IF(LEFT(TRIM(Paramètres!M43),1)="F",1,0)))),IF(Paramètres!N43="",0,IF(Paramètres!O43="",NA(),IF(LEFT(TRIM(Paramètres!O43),1)="F",INDEX($F$2759:$F$2811,MATCH(Paramètres!N43,Paramètres!$G$5:$G$57,0)),INDEX($E$2759:$E$2811,MATCH(Paramètres!N43,Paramètres!$G$5:$G$57,0)))+IF(RIGHT(TRIM(Paramètres!O43),3)="Fin",1-$H2797,IF(LEFT(TRIM(Paramètres!O43),1)="F",1,0)))))))</f>
        <v/>
      </c>
      <c r="F2797" s="19">
        <f>IF($A2797="","",E2797+$H2797-1)</f>
        <v/>
      </c>
      <c r="G2797" s="18" t="n"/>
      <c r="H2797" s="18">
        <f>IF($A2797="","",IF(I2797&lt;&gt;"",I2797,Paramètres!B43))</f>
        <v/>
      </c>
      <c r="I2797" s="18" t="n"/>
    </row>
    <row r="2798">
      <c r="A2798" s="18">
        <f>IF(ISNUMBER(Dossiers!$D$55),Dossiers!$A$55&amp;" · "&amp;Dossiers!$B$55,"")</f>
        <v/>
      </c>
      <c r="B2798" s="18">
        <f>IF($A2798="","",Paramètres!G44)</f>
        <v/>
      </c>
      <c r="C2798" s="18">
        <f>IF($A2798="","",IF(Paramètres!H44="","",Paramètres!H44))</f>
        <v/>
      </c>
      <c r="D2798" s="18">
        <f>IF($A2798="","",IF(Paramètres!I44="","",Paramètres!I44))</f>
        <v/>
      </c>
      <c r="E2798" s="19">
        <f>IF($A2798="","",IF(Paramètres!J44&amp;Paramètres!L44&amp;Paramètres!N44="",Dossiers!$D$55,MAX(IF(Paramètres!J44="",0,IF(Paramètres!K44="",NA(),IF(LEFT(TRIM(Paramètres!K44),1)="F",INDEX($F$2759:$F$2811,MATCH(Paramètres!J44,Paramètres!$G$5:$G$57,0)),INDEX($E$2759:$E$2811,MATCH(Paramètres!J44,Paramètres!$G$5:$G$57,0)))+IF(RIGHT(TRIM(Paramètres!K44),3)="Fin",1-$H2798,IF(LEFT(TRIM(Paramètres!K44),1)="F",1,0)))),IF(Paramètres!L44="",0,IF(Paramètres!M44="",NA(),IF(LEFT(TRIM(Paramètres!M44),1)="F",INDEX($F$2759:$F$2811,MATCH(Paramètres!L44,Paramètres!$G$5:$G$57,0)),INDEX($E$2759:$E$2811,MATCH(Paramètres!L44,Paramètres!$G$5:$G$57,0)))+IF(RIGHT(TRIM(Paramètres!M44),3)="Fin",1-$H2798,IF(LEFT(TRIM(Paramètres!M44),1)="F",1,0)))),IF(Paramètres!N44="",0,IF(Paramètres!O44="",NA(),IF(LEFT(TRIM(Paramètres!O44),1)="F",INDEX($F$2759:$F$2811,MATCH(Paramètres!N44,Paramètres!$G$5:$G$57,0)),INDEX($E$2759:$E$2811,MATCH(Paramètres!N44,Paramètres!$G$5:$G$57,0)))+IF(RIGHT(TRIM(Paramètres!O44),3)="Fin",1-$H2798,IF(LEFT(TRIM(Paramètres!O44),1)="F",1,0)))))))</f>
        <v/>
      </c>
      <c r="F2798" s="19">
        <f>IF($A2798="","",E2798+$H2798-1)</f>
        <v/>
      </c>
      <c r="G2798" s="18" t="n"/>
      <c r="H2798" s="18">
        <f>IF($A2798="","",IF(I2798&lt;&gt;"",I2798,Paramètres!B44))</f>
        <v/>
      </c>
      <c r="I2798" s="18" t="n"/>
    </row>
    <row r="2799">
      <c r="A2799" s="18">
        <f>IF(ISNUMBER(Dossiers!$D$55),Dossiers!$A$55&amp;" · "&amp;Dossiers!$B$55,"")</f>
        <v/>
      </c>
      <c r="B2799" s="18">
        <f>IF($A2799="","",Paramètres!G45)</f>
        <v/>
      </c>
      <c r="C2799" s="20">
        <f>IF($A2799="","",IF(Dossiers!$G$55="","",Dossiers!$G$55))</f>
        <v/>
      </c>
      <c r="D2799" s="18">
        <f>IF($A2799="","",IF(Paramètres!I45="","",Paramètres!I45))</f>
        <v/>
      </c>
      <c r="E2799" s="19">
        <f>IF($A2799="","",IF(Paramètres!J45&amp;Paramètres!L45&amp;Paramètres!N45="",Dossiers!$D$55,MAX(IF(Paramètres!J45="",0,IF(Paramètres!K45="",NA(),IF(LEFT(TRIM(Paramètres!K45),1)="F",INDEX($F$2759:$F$2811,MATCH(Paramètres!J45,Paramètres!$G$5:$G$57,0)),INDEX($E$2759:$E$2811,MATCH(Paramètres!J45,Paramètres!$G$5:$G$57,0)))+IF(RIGHT(TRIM(Paramètres!K45),3)="Fin",1-$H2799,IF(LEFT(TRIM(Paramètres!K45),1)="F",1,0)))),IF(Paramètres!L45="",0,IF(Paramètres!M45="",NA(),IF(LEFT(TRIM(Paramètres!M45),1)="F",INDEX($F$2759:$F$2811,MATCH(Paramètres!L45,Paramètres!$G$5:$G$57,0)),INDEX($E$2759:$E$2811,MATCH(Paramètres!L45,Paramètres!$G$5:$G$57,0)))+IF(RIGHT(TRIM(Paramètres!M45),3)="Fin",1-$H2799,IF(LEFT(TRIM(Paramètres!M45),1)="F",1,0)))),IF(Paramètres!N45="",0,IF(Paramètres!O45="",NA(),IF(LEFT(TRIM(Paramètres!O45),1)="F",INDEX($F$2759:$F$2811,MATCH(Paramètres!N45,Paramètres!$G$5:$G$57,0)),INDEX($E$2759:$E$2811,MATCH(Paramètres!N45,Paramètres!$G$5:$G$57,0)))+IF(RIGHT(TRIM(Paramètres!O45),3)="Fin",1-$H2799,IF(LEFT(TRIM(Paramètres!O45),1)="F",1,0)))))))</f>
        <v/>
      </c>
      <c r="F2799" s="19">
        <f>IF($A2799="","",E2799+$H2799-1)</f>
        <v/>
      </c>
      <c r="G2799" s="18" t="n"/>
      <c r="H2799" s="18">
        <f>IF($A2799="","",IF(I2799&lt;&gt;"",I2799,Paramètres!B45))</f>
        <v/>
      </c>
      <c r="I2799" s="18" t="n"/>
    </row>
    <row r="2800">
      <c r="A2800" s="18">
        <f>IF(ISNUMBER(Dossiers!$D$55),Dossiers!$A$55&amp;" · "&amp;Dossiers!$B$55,"")</f>
        <v/>
      </c>
      <c r="B2800" s="18">
        <f>IF($A2800="","",Paramètres!G46)</f>
        <v/>
      </c>
      <c r="C2800" s="18">
        <f>IF($A2800="","",IF(Paramètres!H46="","",Paramètres!H46))</f>
        <v/>
      </c>
      <c r="D2800" s="18">
        <f>IF($A2800="","",IF(Paramètres!I46="","",Paramètres!I46))</f>
        <v/>
      </c>
      <c r="E2800" s="19">
        <f>IF($A2800="","",IF(Paramètres!J46&amp;Paramètres!L46&amp;Paramètres!N46="",Dossiers!$D$55,MAX(IF(Paramètres!J46="",0,IF(Paramètres!K46="",NA(),IF(LEFT(TRIM(Paramètres!K46),1)="F",INDEX($F$2759:$F$2811,MATCH(Paramètres!J46,Paramètres!$G$5:$G$57,0)),INDEX($E$2759:$E$2811,MATCH(Paramètres!J46,Paramètres!$G$5:$G$57,0)))+IF(RIGHT(TRIM(Paramètres!K46),3)="Fin",1-$H2800,IF(LEFT(TRIM(Paramètres!K46),1)="F",1,0)))),IF(Paramètres!L46="",0,IF(Paramètres!M46="",NA(),IF(LEFT(TRIM(Paramètres!M46),1)="F",INDEX($F$2759:$F$2811,MATCH(Paramètres!L46,Paramètres!$G$5:$G$57,0)),INDEX($E$2759:$E$2811,MATCH(Paramètres!L46,Paramètres!$G$5:$G$57,0)))+IF(RIGHT(TRIM(Paramètres!M46),3)="Fin",1-$H2800,IF(LEFT(TRIM(Paramètres!M46),1)="F",1,0)))),IF(Paramètres!N46="",0,IF(Paramètres!O46="",NA(),IF(LEFT(TRIM(Paramètres!O46),1)="F",INDEX($F$2759:$F$2811,MATCH(Paramètres!N46,Paramètres!$G$5:$G$57,0)),INDEX($E$2759:$E$2811,MATCH(Paramètres!N46,Paramètres!$G$5:$G$57,0)))+IF(RIGHT(TRIM(Paramètres!O46),3)="Fin",1-$H2800,IF(LEFT(TRIM(Paramètres!O46),1)="F",1,0)))))))</f>
        <v/>
      </c>
      <c r="F2800" s="19">
        <f>IF($A2800="","",E2800+$H2800-1)</f>
        <v/>
      </c>
      <c r="G2800" s="18" t="n"/>
      <c r="H2800" s="18">
        <f>IF($A2800="","",IF(I2800&lt;&gt;"",I2800,Paramètres!B46))</f>
        <v/>
      </c>
      <c r="I2800" s="18" t="n"/>
    </row>
    <row r="2801">
      <c r="A2801" s="18">
        <f>IF(ISNUMBER(Dossiers!$D$55),Dossiers!$A$55&amp;" · "&amp;Dossiers!$B$55,"")</f>
        <v/>
      </c>
      <c r="B2801" s="18">
        <f>IF($A2801="","",Paramètres!G47)</f>
        <v/>
      </c>
      <c r="C2801" s="18">
        <f>IF($A2801="","",IF(Paramètres!H47="","",Paramètres!H47))</f>
        <v/>
      </c>
      <c r="D2801" s="18">
        <f>IF($A2801="","",IF(Paramètres!I47="","",Paramètres!I47))</f>
        <v/>
      </c>
      <c r="E2801" s="19">
        <f>IF($A2801="","",IF(Paramètres!J47&amp;Paramètres!L47&amp;Paramètres!N47="",Dossiers!$D$55,MAX(IF(Paramètres!J47="",0,IF(Paramètres!K47="",NA(),IF(LEFT(TRIM(Paramètres!K47),1)="F",INDEX($F$2759:$F$2811,MATCH(Paramètres!J47,Paramètres!$G$5:$G$57,0)),INDEX($E$2759:$E$2811,MATCH(Paramètres!J47,Paramètres!$G$5:$G$57,0)))+IF(RIGHT(TRIM(Paramètres!K47),3)="Fin",1-$H2801,IF(LEFT(TRIM(Paramètres!K47),1)="F",1,0)))),IF(Paramètres!L47="",0,IF(Paramètres!M47="",NA(),IF(LEFT(TRIM(Paramètres!M47),1)="F",INDEX($F$2759:$F$2811,MATCH(Paramètres!L47,Paramètres!$G$5:$G$57,0)),INDEX($E$2759:$E$2811,MATCH(Paramètres!L47,Paramètres!$G$5:$G$57,0)))+IF(RIGHT(TRIM(Paramètres!M47),3)="Fin",1-$H2801,IF(LEFT(TRIM(Paramètres!M47),1)="F",1,0)))),IF(Paramètres!N47="",0,IF(Paramètres!O47="",NA(),IF(LEFT(TRIM(Paramètres!O47),1)="F",INDEX($F$2759:$F$2811,MATCH(Paramètres!N47,Paramètres!$G$5:$G$57,0)),INDEX($E$2759:$E$2811,MATCH(Paramètres!N47,Paramètres!$G$5:$G$57,0)))+IF(RIGHT(TRIM(Paramètres!O47),3)="Fin",1-$H2801,IF(LEFT(TRIM(Paramètres!O47),1)="F",1,0)))))))</f>
        <v/>
      </c>
      <c r="F2801" s="19">
        <f>IF($A2801="","",E2801+$H2801-1)</f>
        <v/>
      </c>
      <c r="G2801" s="18" t="n"/>
      <c r="H2801" s="18">
        <f>IF($A2801="","",IF(I2801&lt;&gt;"",I2801,Paramètres!B47))</f>
        <v/>
      </c>
      <c r="I2801" s="18" t="n"/>
    </row>
    <row r="2802">
      <c r="A2802" s="18">
        <f>IF(ISNUMBER(Dossiers!$D$55),Dossiers!$A$55&amp;" · "&amp;Dossiers!$B$55,"")</f>
        <v/>
      </c>
      <c r="B2802" s="18">
        <f>IF($A2802="","",Paramètres!G48)</f>
        <v/>
      </c>
      <c r="C2802" s="18">
        <f>IF($A2802="","",IF(Paramètres!H48="","",Paramètres!H48))</f>
        <v/>
      </c>
      <c r="D2802" s="18">
        <f>IF($A2802="","",IF(Paramètres!I48="","",Paramètres!I48))</f>
        <v/>
      </c>
      <c r="E2802" s="19">
        <f>IF($A2802="","",IF(Paramètres!J48&amp;Paramètres!L48&amp;Paramètres!N48="",Dossiers!$D$55,MAX(IF(Paramètres!J48="",0,IF(Paramètres!K48="",NA(),IF(LEFT(TRIM(Paramètres!K48),1)="F",INDEX($F$2759:$F$2811,MATCH(Paramètres!J48,Paramètres!$G$5:$G$57,0)),INDEX($E$2759:$E$2811,MATCH(Paramètres!J48,Paramètres!$G$5:$G$57,0)))+IF(RIGHT(TRIM(Paramètres!K48),3)="Fin",1-$H2802,IF(LEFT(TRIM(Paramètres!K48),1)="F",1,0)))),IF(Paramètres!L48="",0,IF(Paramètres!M48="",NA(),IF(LEFT(TRIM(Paramètres!M48),1)="F",INDEX($F$2759:$F$2811,MATCH(Paramètres!L48,Paramètres!$G$5:$G$57,0)),INDEX($E$2759:$E$2811,MATCH(Paramètres!L48,Paramètres!$G$5:$G$57,0)))+IF(RIGHT(TRIM(Paramètres!M48),3)="Fin",1-$H2802,IF(LEFT(TRIM(Paramètres!M48),1)="F",1,0)))),IF(Paramètres!N48="",0,IF(Paramètres!O48="",NA(),IF(LEFT(TRIM(Paramètres!O48),1)="F",INDEX($F$2759:$F$2811,MATCH(Paramètres!N48,Paramètres!$G$5:$G$57,0)),INDEX($E$2759:$E$2811,MATCH(Paramètres!N48,Paramètres!$G$5:$G$57,0)))+IF(RIGHT(TRIM(Paramètres!O48),3)="Fin",1-$H2802,IF(LEFT(TRIM(Paramètres!O48),1)="F",1,0)))))))</f>
        <v/>
      </c>
      <c r="F2802" s="19">
        <f>IF($A2802="","",E2802+$H2802-1)</f>
        <v/>
      </c>
      <c r="G2802" s="18" t="n"/>
      <c r="H2802" s="18">
        <f>IF($A2802="","",IF(I2802&lt;&gt;"",I2802,Paramètres!B48))</f>
        <v/>
      </c>
      <c r="I2802" s="18" t="n"/>
    </row>
    <row r="2803">
      <c r="A2803" s="18">
        <f>IF(ISNUMBER(Dossiers!$D$55),Dossiers!$A$55&amp;" · "&amp;Dossiers!$B$55,"")</f>
        <v/>
      </c>
      <c r="B2803" s="18">
        <f>IF($A2803="","",Paramètres!G49)</f>
        <v/>
      </c>
      <c r="C2803" s="18">
        <f>IF($A2803="","",IF(Paramètres!H49="","",Paramètres!H49))</f>
        <v/>
      </c>
      <c r="D2803" s="18">
        <f>IF($A2803="","",IF(Paramètres!I49="","",Paramètres!I49))</f>
        <v/>
      </c>
      <c r="E2803" s="19">
        <f>IF($A2803="","",IF(Paramètres!J49&amp;Paramètres!L49&amp;Paramètres!N49="",Dossiers!$D$55,MAX(IF(Paramètres!J49="",0,IF(Paramètres!K49="",NA(),IF(LEFT(TRIM(Paramètres!K49),1)="F",INDEX($F$2759:$F$2811,MATCH(Paramètres!J49,Paramètres!$G$5:$G$57,0)),INDEX($E$2759:$E$2811,MATCH(Paramètres!J49,Paramètres!$G$5:$G$57,0)))+IF(RIGHT(TRIM(Paramètres!K49),3)="Fin",1-$H2803,IF(LEFT(TRIM(Paramètres!K49),1)="F",1,0)))),IF(Paramètres!L49="",0,IF(Paramètres!M49="",NA(),IF(LEFT(TRIM(Paramètres!M49),1)="F",INDEX($F$2759:$F$2811,MATCH(Paramètres!L49,Paramètres!$G$5:$G$57,0)),INDEX($E$2759:$E$2811,MATCH(Paramètres!L49,Paramètres!$G$5:$G$57,0)))+IF(RIGHT(TRIM(Paramètres!M49),3)="Fin",1-$H2803,IF(LEFT(TRIM(Paramètres!M49),1)="F",1,0)))),IF(Paramètres!N49="",0,IF(Paramètres!O49="",NA(),IF(LEFT(TRIM(Paramètres!O49),1)="F",INDEX($F$2759:$F$2811,MATCH(Paramètres!N49,Paramètres!$G$5:$G$57,0)),INDEX($E$2759:$E$2811,MATCH(Paramètres!N49,Paramètres!$G$5:$G$57,0)))+IF(RIGHT(TRIM(Paramètres!O49),3)="Fin",1-$H2803,IF(LEFT(TRIM(Paramètres!O49),1)="F",1,0)))))))</f>
        <v/>
      </c>
      <c r="F2803" s="19">
        <f>IF($A2803="","",E2803+$H2803-1)</f>
        <v/>
      </c>
      <c r="G2803" s="18" t="n"/>
      <c r="H2803" s="18">
        <f>IF($A2803="","",IF(I2803&lt;&gt;"",I2803,Paramètres!B49))</f>
        <v/>
      </c>
      <c r="I2803" s="18" t="n"/>
    </row>
    <row r="2804">
      <c r="A2804" s="18">
        <f>IF(ISNUMBER(Dossiers!$D$55),Dossiers!$A$55&amp;" · "&amp;Dossiers!$B$55,"")</f>
        <v/>
      </c>
      <c r="B2804" s="18">
        <f>IF($A2804="","",Paramètres!G50)</f>
        <v/>
      </c>
      <c r="C2804" s="18">
        <f>IF($A2804="","",IF(Paramètres!H50="","",Paramètres!H50))</f>
        <v/>
      </c>
      <c r="D2804" s="18">
        <f>IF($A2804="","",IF(Paramètres!I50="","",Paramètres!I50))</f>
        <v/>
      </c>
      <c r="E2804" s="19">
        <f>IF($A2804="","",IF(Paramètres!J50&amp;Paramètres!L50&amp;Paramètres!N50="",Dossiers!$D$55,MAX(IF(Paramètres!J50="",0,IF(Paramètres!K50="",NA(),IF(LEFT(TRIM(Paramètres!K50),1)="F",INDEX($F$2759:$F$2811,MATCH(Paramètres!J50,Paramètres!$G$5:$G$57,0)),INDEX($E$2759:$E$2811,MATCH(Paramètres!J50,Paramètres!$G$5:$G$57,0)))+IF(RIGHT(TRIM(Paramètres!K50),3)="Fin",1-$H2804,IF(LEFT(TRIM(Paramètres!K50),1)="F",1,0)))),IF(Paramètres!L50="",0,IF(Paramètres!M50="",NA(),IF(LEFT(TRIM(Paramètres!M50),1)="F",INDEX($F$2759:$F$2811,MATCH(Paramètres!L50,Paramètres!$G$5:$G$57,0)),INDEX($E$2759:$E$2811,MATCH(Paramètres!L50,Paramètres!$G$5:$G$57,0)))+IF(RIGHT(TRIM(Paramètres!M50),3)="Fin",1-$H2804,IF(LEFT(TRIM(Paramètres!M50),1)="F",1,0)))),IF(Paramètres!N50="",0,IF(Paramètres!O50="",NA(),IF(LEFT(TRIM(Paramètres!O50),1)="F",INDEX($F$2759:$F$2811,MATCH(Paramètres!N50,Paramètres!$G$5:$G$57,0)),INDEX($E$2759:$E$2811,MATCH(Paramètres!N50,Paramètres!$G$5:$G$57,0)))+IF(RIGHT(TRIM(Paramètres!O50),3)="Fin",1-$H2804,IF(LEFT(TRIM(Paramètres!O50),1)="F",1,0)))))))</f>
        <v/>
      </c>
      <c r="F2804" s="19">
        <f>IF($A2804="","",E2804+$H2804-1)</f>
        <v/>
      </c>
      <c r="G2804" s="18" t="n"/>
      <c r="H2804" s="18">
        <f>IF($A2804="","",IF(I2804&lt;&gt;"",I2804,Paramètres!B50))</f>
        <v/>
      </c>
      <c r="I2804" s="18" t="n"/>
    </row>
    <row r="2805">
      <c r="A2805" s="18">
        <f>IF(ISNUMBER(Dossiers!$D$55),Dossiers!$A$55&amp;" · "&amp;Dossiers!$B$55,"")</f>
        <v/>
      </c>
      <c r="B2805" s="18">
        <f>IF($A2805="","",Paramètres!G51)</f>
        <v/>
      </c>
      <c r="C2805" s="18">
        <f>IF($A2805="","",IF(Paramètres!H51="","",Paramètres!H51))</f>
        <v/>
      </c>
      <c r="D2805" s="18">
        <f>IF($A2805="","",IF(Paramètres!I51="","",Paramètres!I51))</f>
        <v/>
      </c>
      <c r="E2805" s="19">
        <f>IF($A2805="","",IF(Paramètres!J51&amp;Paramètres!L51&amp;Paramètres!N51="",Dossiers!$D$55,MAX(IF(Paramètres!J51="",0,IF(Paramètres!K51="",NA(),IF(LEFT(TRIM(Paramètres!K51),1)="F",INDEX($F$2759:$F$2811,MATCH(Paramètres!J51,Paramètres!$G$5:$G$57,0)),INDEX($E$2759:$E$2811,MATCH(Paramètres!J51,Paramètres!$G$5:$G$57,0)))+IF(RIGHT(TRIM(Paramètres!K51),3)="Fin",1-$H2805,IF(LEFT(TRIM(Paramètres!K51),1)="F",1,0)))),IF(Paramètres!L51="",0,IF(Paramètres!M51="",NA(),IF(LEFT(TRIM(Paramètres!M51),1)="F",INDEX($F$2759:$F$2811,MATCH(Paramètres!L51,Paramètres!$G$5:$G$57,0)),INDEX($E$2759:$E$2811,MATCH(Paramètres!L51,Paramètres!$G$5:$G$57,0)))+IF(RIGHT(TRIM(Paramètres!M51),3)="Fin",1-$H2805,IF(LEFT(TRIM(Paramètres!M51),1)="F",1,0)))),IF(Paramètres!N51="",0,IF(Paramètres!O51="",NA(),IF(LEFT(TRIM(Paramètres!O51),1)="F",INDEX($F$2759:$F$2811,MATCH(Paramètres!N51,Paramètres!$G$5:$G$57,0)),INDEX($E$2759:$E$2811,MATCH(Paramètres!N51,Paramètres!$G$5:$G$57,0)))+IF(RIGHT(TRIM(Paramètres!O51),3)="Fin",1-$H2805,IF(LEFT(TRIM(Paramètres!O51),1)="F",1,0)))))))</f>
        <v/>
      </c>
      <c r="F2805" s="19">
        <f>IF($A2805="","",E2805+$H2805-1)</f>
        <v/>
      </c>
      <c r="G2805" s="18" t="n"/>
      <c r="H2805" s="18">
        <f>IF($A2805="","",IF(I2805&lt;&gt;"",I2805,Paramètres!B51))</f>
        <v/>
      </c>
      <c r="I2805" s="18" t="n"/>
    </row>
    <row r="2806">
      <c r="A2806" s="18">
        <f>IF(ISNUMBER(Dossiers!$D$55),Dossiers!$A$55&amp;" · "&amp;Dossiers!$B$55,"")</f>
        <v/>
      </c>
      <c r="B2806" s="18">
        <f>IF($A2806="","",Paramètres!G52)</f>
        <v/>
      </c>
      <c r="C2806" s="18">
        <f>IF($A2806="","",IF(Paramètres!H52="","",Paramètres!H52))</f>
        <v/>
      </c>
      <c r="D2806" s="18">
        <f>IF($A2806="","",IF(Paramètres!I52="","",Paramètres!I52))</f>
        <v/>
      </c>
      <c r="E2806" s="19">
        <f>IF($A2806="","",IF(Paramètres!J52&amp;Paramètres!L52&amp;Paramètres!N52="",Dossiers!$D$55,MAX(IF(Paramètres!J52="",0,IF(Paramètres!K52="",NA(),IF(LEFT(TRIM(Paramètres!K52),1)="F",INDEX($F$2759:$F$2811,MATCH(Paramètres!J52,Paramètres!$G$5:$G$57,0)),INDEX($E$2759:$E$2811,MATCH(Paramètres!J52,Paramètres!$G$5:$G$57,0)))+IF(RIGHT(TRIM(Paramètres!K52),3)="Fin",1-$H2806,IF(LEFT(TRIM(Paramètres!K52),1)="F",1,0)))),IF(Paramètres!L52="",0,IF(Paramètres!M52="",NA(),IF(LEFT(TRIM(Paramètres!M52),1)="F",INDEX($F$2759:$F$2811,MATCH(Paramètres!L52,Paramètres!$G$5:$G$57,0)),INDEX($E$2759:$E$2811,MATCH(Paramètres!L52,Paramètres!$G$5:$G$57,0)))+IF(RIGHT(TRIM(Paramètres!M52),3)="Fin",1-$H2806,IF(LEFT(TRIM(Paramètres!M52),1)="F",1,0)))),IF(Paramètres!N52="",0,IF(Paramètres!O52="",NA(),IF(LEFT(TRIM(Paramètres!O52),1)="F",INDEX($F$2759:$F$2811,MATCH(Paramètres!N52,Paramètres!$G$5:$G$57,0)),INDEX($E$2759:$E$2811,MATCH(Paramètres!N52,Paramètres!$G$5:$G$57,0)))+IF(RIGHT(TRIM(Paramètres!O52),3)="Fin",1-$H2806,IF(LEFT(TRIM(Paramètres!O52),1)="F",1,0)))))))</f>
        <v/>
      </c>
      <c r="F2806" s="19">
        <f>IF($A2806="","",E2806+$H2806-1)</f>
        <v/>
      </c>
      <c r="G2806" s="18" t="n"/>
      <c r="H2806" s="18">
        <f>IF($A2806="","",IF(I2806&lt;&gt;"",I2806,Paramètres!B52))</f>
        <v/>
      </c>
      <c r="I2806" s="18" t="n"/>
    </row>
    <row r="2807">
      <c r="A2807" s="18">
        <f>IF(ISNUMBER(Dossiers!$D$55),Dossiers!$A$55&amp;" · "&amp;Dossiers!$B$55,"")</f>
        <v/>
      </c>
      <c r="B2807" s="18">
        <f>IF($A2807="","",Paramètres!G53)</f>
        <v/>
      </c>
      <c r="C2807" s="18">
        <f>IF($A2807="","",IF(Paramètres!H53="","",Paramètres!H53))</f>
        <v/>
      </c>
      <c r="D2807" s="18">
        <f>IF($A2807="","",IF(Paramètres!I53="","",Paramètres!I53))</f>
        <v/>
      </c>
      <c r="E2807" s="19">
        <f>IF($A2807="","",IF(Paramètres!J53&amp;Paramètres!L53&amp;Paramètres!N53="",Dossiers!$D$55,MAX(IF(Paramètres!J53="",0,IF(Paramètres!K53="",NA(),IF(LEFT(TRIM(Paramètres!K53),1)="F",INDEX($F$2759:$F$2811,MATCH(Paramètres!J53,Paramètres!$G$5:$G$57,0)),INDEX($E$2759:$E$2811,MATCH(Paramètres!J53,Paramètres!$G$5:$G$57,0)))+IF(RIGHT(TRIM(Paramètres!K53),3)="Fin",1-$H2807,IF(LEFT(TRIM(Paramètres!K53),1)="F",1,0)))),IF(Paramètres!L53="",0,IF(Paramètres!M53="",NA(),IF(LEFT(TRIM(Paramètres!M53),1)="F",INDEX($F$2759:$F$2811,MATCH(Paramètres!L53,Paramètres!$G$5:$G$57,0)),INDEX($E$2759:$E$2811,MATCH(Paramètres!L53,Paramètres!$G$5:$G$57,0)))+IF(RIGHT(TRIM(Paramètres!M53),3)="Fin",1-$H2807,IF(LEFT(TRIM(Paramètres!M53),1)="F",1,0)))),IF(Paramètres!N53="",0,IF(Paramètres!O53="",NA(),IF(LEFT(TRIM(Paramètres!O53),1)="F",INDEX($F$2759:$F$2811,MATCH(Paramètres!N53,Paramètres!$G$5:$G$57,0)),INDEX($E$2759:$E$2811,MATCH(Paramètres!N53,Paramètres!$G$5:$G$57,0)))+IF(RIGHT(TRIM(Paramètres!O53),3)="Fin",1-$H2807,IF(LEFT(TRIM(Paramètres!O53),1)="F",1,0)))))))</f>
        <v/>
      </c>
      <c r="F2807" s="19">
        <f>IF($A2807="","",E2807+$H2807-1)</f>
        <v/>
      </c>
      <c r="G2807" s="18" t="n"/>
      <c r="H2807" s="18">
        <f>IF($A2807="","",IF(I2807&lt;&gt;"",I2807,Paramètres!B53))</f>
        <v/>
      </c>
      <c r="I2807" s="18" t="n"/>
    </row>
    <row r="2808">
      <c r="A2808" s="18">
        <f>IF(ISNUMBER(Dossiers!$D$55),Dossiers!$A$55&amp;" · "&amp;Dossiers!$B$55,"")</f>
        <v/>
      </c>
      <c r="B2808" s="18">
        <f>IF($A2808="","",Paramètres!G54)</f>
        <v/>
      </c>
      <c r="C2808" s="18">
        <f>IF($A2808="","",IF(Paramètres!H54="","",Paramètres!H54))</f>
        <v/>
      </c>
      <c r="D2808" s="18">
        <f>IF($A2808="","",IF(Paramètres!I54="","",Paramètres!I54))</f>
        <v/>
      </c>
      <c r="E2808" s="19">
        <f>IF($A2808="","",IF(Paramètres!J54&amp;Paramètres!L54&amp;Paramètres!N54="",Dossiers!$D$55,MAX(IF(Paramètres!J54="",0,IF(Paramètres!K54="",NA(),IF(LEFT(TRIM(Paramètres!K54),1)="F",INDEX($F$2759:$F$2811,MATCH(Paramètres!J54,Paramètres!$G$5:$G$57,0)),INDEX($E$2759:$E$2811,MATCH(Paramètres!J54,Paramètres!$G$5:$G$57,0)))+IF(RIGHT(TRIM(Paramètres!K54),3)="Fin",1-$H2808,IF(LEFT(TRIM(Paramètres!K54),1)="F",1,0)))),IF(Paramètres!L54="",0,IF(Paramètres!M54="",NA(),IF(LEFT(TRIM(Paramètres!M54),1)="F",INDEX($F$2759:$F$2811,MATCH(Paramètres!L54,Paramètres!$G$5:$G$57,0)),INDEX($E$2759:$E$2811,MATCH(Paramètres!L54,Paramètres!$G$5:$G$57,0)))+IF(RIGHT(TRIM(Paramètres!M54),3)="Fin",1-$H2808,IF(LEFT(TRIM(Paramètres!M54),1)="F",1,0)))),IF(Paramètres!N54="",0,IF(Paramètres!O54="",NA(),IF(LEFT(TRIM(Paramètres!O54),1)="F",INDEX($F$2759:$F$2811,MATCH(Paramètres!N54,Paramètres!$G$5:$G$57,0)),INDEX($E$2759:$E$2811,MATCH(Paramètres!N54,Paramètres!$G$5:$G$57,0)))+IF(RIGHT(TRIM(Paramètres!O54),3)="Fin",1-$H2808,IF(LEFT(TRIM(Paramètres!O54),1)="F",1,0)))))))</f>
        <v/>
      </c>
      <c r="F2808" s="19">
        <f>IF($A2808="","",E2808+$H2808-1)</f>
        <v/>
      </c>
      <c r="G2808" s="18" t="n"/>
      <c r="H2808" s="18">
        <f>IF($A2808="","",IF(I2808&lt;&gt;"",I2808,Paramètres!B54))</f>
        <v/>
      </c>
      <c r="I2808" s="18" t="n"/>
    </row>
    <row r="2809">
      <c r="A2809" s="18">
        <f>IF(ISNUMBER(Dossiers!$D$55),Dossiers!$A$55&amp;" · "&amp;Dossiers!$B$55,"")</f>
        <v/>
      </c>
      <c r="B2809" s="18">
        <f>IF($A2809="","",Paramètres!G55)</f>
        <v/>
      </c>
      <c r="C2809" s="18">
        <f>IF($A2809="","",IF(Paramètres!H55="","",Paramètres!H55))</f>
        <v/>
      </c>
      <c r="D2809" s="18">
        <f>IF($A2809="","",IF(Paramètres!I55="","",Paramètres!I55))</f>
        <v/>
      </c>
      <c r="E2809" s="19">
        <f>IF($A2809="","",IF(Paramètres!J55&amp;Paramètres!L55&amp;Paramètres!N55="",Dossiers!$D$55,MAX(IF(Paramètres!J55="",0,IF(Paramètres!K55="",NA(),IF(LEFT(TRIM(Paramètres!K55),1)="F",INDEX($F$2759:$F$2811,MATCH(Paramètres!J55,Paramètres!$G$5:$G$57,0)),INDEX($E$2759:$E$2811,MATCH(Paramètres!J55,Paramètres!$G$5:$G$57,0)))+IF(RIGHT(TRIM(Paramètres!K55),3)="Fin",1-$H2809,IF(LEFT(TRIM(Paramètres!K55),1)="F",1,0)))),IF(Paramètres!L55="",0,IF(Paramètres!M55="",NA(),IF(LEFT(TRIM(Paramètres!M55),1)="F",INDEX($F$2759:$F$2811,MATCH(Paramètres!L55,Paramètres!$G$5:$G$57,0)),INDEX($E$2759:$E$2811,MATCH(Paramètres!L55,Paramètres!$G$5:$G$57,0)))+IF(RIGHT(TRIM(Paramètres!M55),3)="Fin",1-$H2809,IF(LEFT(TRIM(Paramètres!M55),1)="F",1,0)))),IF(Paramètres!N55="",0,IF(Paramètres!O55="",NA(),IF(LEFT(TRIM(Paramètres!O55),1)="F",INDEX($F$2759:$F$2811,MATCH(Paramètres!N55,Paramètres!$G$5:$G$57,0)),INDEX($E$2759:$E$2811,MATCH(Paramètres!N55,Paramètres!$G$5:$G$57,0)))+IF(RIGHT(TRIM(Paramètres!O55),3)="Fin",1-$H2809,IF(LEFT(TRIM(Paramètres!O55),1)="F",1,0)))))))</f>
        <v/>
      </c>
      <c r="F2809" s="19">
        <f>IF($A2809="","",E2809+$H2809-1)</f>
        <v/>
      </c>
      <c r="G2809" s="18" t="n"/>
      <c r="H2809" s="18">
        <f>IF($A2809="","",IF(I2809&lt;&gt;"",I2809,Paramètres!B55))</f>
        <v/>
      </c>
      <c r="I2809" s="18" t="n"/>
    </row>
    <row r="2810">
      <c r="A2810" s="18">
        <f>IF(ISNUMBER(Dossiers!$D$55),Dossiers!$A$55&amp;" · "&amp;Dossiers!$B$55,"")</f>
        <v/>
      </c>
      <c r="B2810" s="18">
        <f>IF($A2810="","",Paramètres!G56)</f>
        <v/>
      </c>
      <c r="C2810" s="18">
        <f>IF($A2810="","",IF(Paramètres!H56="","",Paramètres!H56))</f>
        <v/>
      </c>
      <c r="D2810" s="18">
        <f>IF($A2810="","",IF(Paramètres!I56="","",Paramètres!I56))</f>
        <v/>
      </c>
      <c r="E2810" s="19">
        <f>IF($A2810="","",MIN(E2811:E2811))</f>
        <v/>
      </c>
      <c r="F2810" s="19">
        <f>IF($A2810="","",MAX(F2811:F2811))</f>
        <v/>
      </c>
      <c r="G2810" s="18" t="n"/>
      <c r="H2810" s="18">
        <f>IF($A2810="","",F2810-E2810+1)</f>
        <v/>
      </c>
      <c r="I2810" s="18" t="n"/>
    </row>
    <row r="2811">
      <c r="A2811" s="18">
        <f>IF(ISNUMBER(Dossiers!$D$55),Dossiers!$A$55&amp;" · "&amp;Dossiers!$B$55,"")</f>
        <v/>
      </c>
      <c r="B2811" s="18">
        <f>IF($A2811="","",Paramètres!G57)</f>
        <v/>
      </c>
      <c r="C2811" s="18">
        <f>IF($A2811="","",IF(Paramètres!H57="","",Paramètres!H57))</f>
        <v/>
      </c>
      <c r="D2811" s="18">
        <f>IF($A2811="","",IF(Paramètres!I57="","",Paramètres!I57))</f>
        <v/>
      </c>
      <c r="E2811" s="19">
        <f>IF($A2811="","",IF(Paramètres!J57&amp;Paramètres!L57&amp;Paramètres!N57="",Dossiers!$D$55,MAX(IF(Paramètres!J57="",0,IF(Paramètres!K57="",NA(),IF(LEFT(TRIM(Paramètres!K57),1)="F",INDEX($F$2759:$F$2811,MATCH(Paramètres!J57,Paramètres!$G$5:$G$57,0)),INDEX($E$2759:$E$2811,MATCH(Paramètres!J57,Paramètres!$G$5:$G$57,0)))+IF(RIGHT(TRIM(Paramètres!K57),3)="Fin",1-$H2811,IF(LEFT(TRIM(Paramètres!K57),1)="F",1,0)))),IF(Paramètres!L57="",0,IF(Paramètres!M57="",NA(),IF(LEFT(TRIM(Paramètres!M57),1)="F",INDEX($F$2759:$F$2811,MATCH(Paramètres!L57,Paramètres!$G$5:$G$57,0)),INDEX($E$2759:$E$2811,MATCH(Paramètres!L57,Paramètres!$G$5:$G$57,0)))+IF(RIGHT(TRIM(Paramètres!M57),3)="Fin",1-$H2811,IF(LEFT(TRIM(Paramètres!M57),1)="F",1,0)))),IF(Paramètres!N57="",0,IF(Paramètres!O57="",NA(),IF(LEFT(TRIM(Paramètres!O57),1)="F",INDEX($F$2759:$F$2811,MATCH(Paramètres!N57,Paramètres!$G$5:$G$57,0)),INDEX($E$2759:$E$2811,MATCH(Paramètres!N57,Paramètres!$G$5:$G$57,0)))+IF(RIGHT(TRIM(Paramètres!O57),3)="Fin",1-$H2811,IF(LEFT(TRIM(Paramètres!O57),1)="F",1,0)))))))</f>
        <v/>
      </c>
      <c r="F2811" s="19">
        <f>IF($A2811="","",E2811+$H2811-1)</f>
        <v/>
      </c>
      <c r="G2811" s="18" t="n"/>
      <c r="H2811" s="18">
        <f>IF($A2811="","",IF(I2811&lt;&gt;"",I2811,Paramètres!B57))</f>
        <v/>
      </c>
      <c r="I2811" s="18" t="n"/>
    </row>
    <row r="2812">
      <c r="A2812" s="16">
        <f>IF(ISNUMBER(Dossiers!$D$56),Dossiers!$E$56,"")</f>
        <v/>
      </c>
      <c r="B2812" s="16">
        <f>IF($A2812="","","Identifiant")</f>
        <v/>
      </c>
      <c r="C2812" s="16">
        <f>IF($A2812="","","Macro Etape")</f>
        <v/>
      </c>
      <c r="D2812" s="16">
        <f>IF($A2812="","","Etape")</f>
        <v/>
      </c>
      <c r="E2812" s="17">
        <f>IF($A2812="","","Début le")</f>
        <v/>
      </c>
      <c r="F2812" s="17">
        <f>IF($A2812="","","Fin prévue le")</f>
        <v/>
      </c>
      <c r="G2812" s="16">
        <f>IF($A2812="","","Statut")</f>
        <v/>
      </c>
      <c r="H2812" s="16">
        <f>IF($A2812="","","Durée (jours)")</f>
        <v/>
      </c>
      <c r="I2812" s="16">
        <f>IF($A2812="","","Durée particulière")</f>
        <v/>
      </c>
      <c r="J2812" s="10">
        <f>IF($A2812="","",HYPERLINK("#'Tableau de bord'!A1","↑ Tableau de bord"))</f>
        <v/>
      </c>
    </row>
    <row r="2813">
      <c r="A2813" s="18">
        <f>IF(ISNUMBER(Dossiers!$D$56),Dossiers!$A$56&amp;" · "&amp;Dossiers!$B$56,"")</f>
        <v/>
      </c>
      <c r="B2813" s="18">
        <f>IF($A2813="","",Paramètres!G5)</f>
        <v/>
      </c>
      <c r="C2813" s="18">
        <f>IF($A2813="","",IF(Paramètres!H5="","",Paramètres!H5))</f>
        <v/>
      </c>
      <c r="D2813" s="18">
        <f>IF($A2813="","",IF(Paramètres!I5="","",Paramètres!I5))</f>
        <v/>
      </c>
      <c r="E2813" s="19">
        <f>IF($A2813="","",MIN(E2814:E2817))</f>
        <v/>
      </c>
      <c r="F2813" s="19">
        <f>IF($A2813="","",MAX(F2814:F2817))</f>
        <v/>
      </c>
      <c r="G2813" s="18" t="n"/>
      <c r="H2813" s="18">
        <f>IF($A2813="","",F2813-E2813+1)</f>
        <v/>
      </c>
      <c r="I2813" s="18" t="n"/>
    </row>
    <row r="2814">
      <c r="A2814" s="18">
        <f>IF(ISNUMBER(Dossiers!$D$56),Dossiers!$A$56&amp;" · "&amp;Dossiers!$B$56,"")</f>
        <v/>
      </c>
      <c r="B2814" s="18">
        <f>IF($A2814="","",Paramètres!G6)</f>
        <v/>
      </c>
      <c r="C2814" s="18">
        <f>IF($A2814="","",IF(Paramètres!H6="","",Paramètres!H6))</f>
        <v/>
      </c>
      <c r="D2814" s="18">
        <f>IF($A2814="","",IF(Paramètres!I6="","",Paramètres!I6))</f>
        <v/>
      </c>
      <c r="E2814" s="19">
        <f>IF($A2814="","",IF(Paramètres!J6&amp;Paramètres!L6&amp;Paramètres!N6="",Dossiers!$D$56,MAX(IF(Paramètres!J6="",0,IF(Paramètres!K6="",NA(),IF(LEFT(TRIM(Paramètres!K6),1)="F",INDEX($F$2813:$F$2865,MATCH(Paramètres!J6,Paramètres!$G$5:$G$57,0)),INDEX($E$2813:$E$2865,MATCH(Paramètres!J6,Paramètres!$G$5:$G$57,0)))+IF(RIGHT(TRIM(Paramètres!K6),3)="Fin",1-$H2814,IF(LEFT(TRIM(Paramètres!K6),1)="F",1,0)))),IF(Paramètres!L6="",0,IF(Paramètres!M6="",NA(),IF(LEFT(TRIM(Paramètres!M6),1)="F",INDEX($F$2813:$F$2865,MATCH(Paramètres!L6,Paramètres!$G$5:$G$57,0)),INDEX($E$2813:$E$2865,MATCH(Paramètres!L6,Paramètres!$G$5:$G$57,0)))+IF(RIGHT(TRIM(Paramètres!M6),3)="Fin",1-$H2814,IF(LEFT(TRIM(Paramètres!M6),1)="F",1,0)))),IF(Paramètres!N6="",0,IF(Paramètres!O6="",NA(),IF(LEFT(TRIM(Paramètres!O6),1)="F",INDEX($F$2813:$F$2865,MATCH(Paramètres!N6,Paramètres!$G$5:$G$57,0)),INDEX($E$2813:$E$2865,MATCH(Paramètres!N6,Paramètres!$G$5:$G$57,0)))+IF(RIGHT(TRIM(Paramètres!O6),3)="Fin",1-$H2814,IF(LEFT(TRIM(Paramètres!O6),1)="F",1,0)))))))</f>
        <v/>
      </c>
      <c r="F2814" s="19">
        <f>IF($A2814="","",E2814+$H2814-1)</f>
        <v/>
      </c>
      <c r="G2814" s="18" t="n"/>
      <c r="H2814" s="18">
        <f>IF($A2814="","",IF(I2814&lt;&gt;"",I2814,Paramètres!B6))</f>
        <v/>
      </c>
      <c r="I2814" s="18" t="n"/>
    </row>
    <row r="2815">
      <c r="A2815" s="18">
        <f>IF(ISNUMBER(Dossiers!$D$56),Dossiers!$A$56&amp;" · "&amp;Dossiers!$B$56,"")</f>
        <v/>
      </c>
      <c r="B2815" s="18">
        <f>IF($A2815="","",Paramètres!G7)</f>
        <v/>
      </c>
      <c r="C2815" s="18">
        <f>IF($A2815="","",IF(Paramètres!H7="","",Paramètres!H7))</f>
        <v/>
      </c>
      <c r="D2815" s="18">
        <f>IF($A2815="","",IF(Paramètres!I7="","",Paramètres!I7))</f>
        <v/>
      </c>
      <c r="E2815" s="19">
        <f>IF($A2815="","",IF(Paramètres!J7&amp;Paramètres!L7&amp;Paramètres!N7="",Dossiers!$D$56,MAX(IF(Paramètres!J7="",0,IF(Paramètres!K7="",NA(),IF(LEFT(TRIM(Paramètres!K7),1)="F",INDEX($F$2813:$F$2865,MATCH(Paramètres!J7,Paramètres!$G$5:$G$57,0)),INDEX($E$2813:$E$2865,MATCH(Paramètres!J7,Paramètres!$G$5:$G$57,0)))+IF(RIGHT(TRIM(Paramètres!K7),3)="Fin",1-$H2815,IF(LEFT(TRIM(Paramètres!K7),1)="F",1,0)))),IF(Paramètres!L7="",0,IF(Paramètres!M7="",NA(),IF(LEFT(TRIM(Paramètres!M7),1)="F",INDEX($F$2813:$F$2865,MATCH(Paramètres!L7,Paramètres!$G$5:$G$57,0)),INDEX($E$2813:$E$2865,MATCH(Paramètres!L7,Paramètres!$G$5:$G$57,0)))+IF(RIGHT(TRIM(Paramètres!M7),3)="Fin",1-$H2815,IF(LEFT(TRIM(Paramètres!M7),1)="F",1,0)))),IF(Paramètres!N7="",0,IF(Paramètres!O7="",NA(),IF(LEFT(TRIM(Paramètres!O7),1)="F",INDEX($F$2813:$F$2865,MATCH(Paramètres!N7,Paramètres!$G$5:$G$57,0)),INDEX($E$2813:$E$2865,MATCH(Paramètres!N7,Paramètres!$G$5:$G$57,0)))+IF(RIGHT(TRIM(Paramètres!O7),3)="Fin",1-$H2815,IF(LEFT(TRIM(Paramètres!O7),1)="F",1,0)))))))</f>
        <v/>
      </c>
      <c r="F2815" s="19">
        <f>IF($A2815="","",E2815+$H2815-1)</f>
        <v/>
      </c>
      <c r="G2815" s="18" t="n"/>
      <c r="H2815" s="18">
        <f>IF($A2815="","",IF(I2815&lt;&gt;"",I2815,Paramètres!B7))</f>
        <v/>
      </c>
      <c r="I2815" s="18" t="n"/>
    </row>
    <row r="2816">
      <c r="A2816" s="18">
        <f>IF(ISNUMBER(Dossiers!$D$56),Dossiers!$A$56&amp;" · "&amp;Dossiers!$B$56,"")</f>
        <v/>
      </c>
      <c r="B2816" s="18">
        <f>IF($A2816="","",Paramètres!G8)</f>
        <v/>
      </c>
      <c r="C2816" s="18">
        <f>IF($A2816="","",IF(Paramètres!H8="","",Paramètres!H8))</f>
        <v/>
      </c>
      <c r="D2816" s="18">
        <f>IF($A2816="","",IF(Paramètres!I8="","",Paramètres!I8))</f>
        <v/>
      </c>
      <c r="E2816" s="19">
        <f>IF($A2816="","",IF(Paramètres!J8&amp;Paramètres!L8&amp;Paramètres!N8="",Dossiers!$D$56,MAX(IF(Paramètres!J8="",0,IF(Paramètres!K8="",NA(),IF(LEFT(TRIM(Paramètres!K8),1)="F",INDEX($F$2813:$F$2865,MATCH(Paramètres!J8,Paramètres!$G$5:$G$57,0)),INDEX($E$2813:$E$2865,MATCH(Paramètres!J8,Paramètres!$G$5:$G$57,0)))+IF(RIGHT(TRIM(Paramètres!K8),3)="Fin",1-$H2816,IF(LEFT(TRIM(Paramètres!K8),1)="F",1,0)))),IF(Paramètres!L8="",0,IF(Paramètres!M8="",NA(),IF(LEFT(TRIM(Paramètres!M8),1)="F",INDEX($F$2813:$F$2865,MATCH(Paramètres!L8,Paramètres!$G$5:$G$57,0)),INDEX($E$2813:$E$2865,MATCH(Paramètres!L8,Paramètres!$G$5:$G$57,0)))+IF(RIGHT(TRIM(Paramètres!M8),3)="Fin",1-$H2816,IF(LEFT(TRIM(Paramètres!M8),1)="F",1,0)))),IF(Paramètres!N8="",0,IF(Paramètres!O8="",NA(),IF(LEFT(TRIM(Paramètres!O8),1)="F",INDEX($F$2813:$F$2865,MATCH(Paramètres!N8,Paramètres!$G$5:$G$57,0)),INDEX($E$2813:$E$2865,MATCH(Paramètres!N8,Paramètres!$G$5:$G$57,0)))+IF(RIGHT(TRIM(Paramètres!O8),3)="Fin",1-$H2816,IF(LEFT(TRIM(Paramètres!O8),1)="F",1,0)))))))</f>
        <v/>
      </c>
      <c r="F2816" s="19">
        <f>IF($A2816="","",E2816+$H2816-1)</f>
        <v/>
      </c>
      <c r="G2816" s="18" t="n"/>
      <c r="H2816" s="18">
        <f>IF($A2816="","",IF(I2816&lt;&gt;"",I2816,Paramètres!B8))</f>
        <v/>
      </c>
      <c r="I2816" s="18" t="n"/>
    </row>
    <row r="2817">
      <c r="A2817" s="18">
        <f>IF(ISNUMBER(Dossiers!$D$56),Dossiers!$A$56&amp;" · "&amp;Dossiers!$B$56,"")</f>
        <v/>
      </c>
      <c r="B2817" s="18">
        <f>IF($A2817="","",Paramètres!G9)</f>
        <v/>
      </c>
      <c r="C2817" s="18">
        <f>IF($A2817="","",IF(Paramètres!H9="","",Paramètres!H9))</f>
        <v/>
      </c>
      <c r="D2817" s="18">
        <f>IF($A2817="","",IF(Paramètres!I9="","",Paramètres!I9))</f>
        <v/>
      </c>
      <c r="E2817" s="19">
        <f>IF($A2817="","",IF(Paramètres!J9&amp;Paramètres!L9&amp;Paramètres!N9="",Dossiers!$D$56,MAX(IF(Paramètres!J9="",0,IF(Paramètres!K9="",NA(),IF(LEFT(TRIM(Paramètres!K9),1)="F",INDEX($F$2813:$F$2865,MATCH(Paramètres!J9,Paramètres!$G$5:$G$57,0)),INDEX($E$2813:$E$2865,MATCH(Paramètres!J9,Paramètres!$G$5:$G$57,0)))+IF(RIGHT(TRIM(Paramètres!K9),3)="Fin",1-$H2817,IF(LEFT(TRIM(Paramètres!K9),1)="F",1,0)))),IF(Paramètres!L9="",0,IF(Paramètres!M9="",NA(),IF(LEFT(TRIM(Paramètres!M9),1)="F",INDEX($F$2813:$F$2865,MATCH(Paramètres!L9,Paramètres!$G$5:$G$57,0)),INDEX($E$2813:$E$2865,MATCH(Paramètres!L9,Paramètres!$G$5:$G$57,0)))+IF(RIGHT(TRIM(Paramètres!M9),3)="Fin",1-$H2817,IF(LEFT(TRIM(Paramètres!M9),1)="F",1,0)))),IF(Paramètres!N9="",0,IF(Paramètres!O9="",NA(),IF(LEFT(TRIM(Paramètres!O9),1)="F",INDEX($F$2813:$F$2865,MATCH(Paramètres!N9,Paramètres!$G$5:$G$57,0)),INDEX($E$2813:$E$2865,MATCH(Paramètres!N9,Paramètres!$G$5:$G$57,0)))+IF(RIGHT(TRIM(Paramètres!O9),3)="Fin",1-$H2817,IF(LEFT(TRIM(Paramètres!O9),1)="F",1,0)))))))</f>
        <v/>
      </c>
      <c r="F2817" s="19">
        <f>IF($A2817="","",E2817+$H2817-1)</f>
        <v/>
      </c>
      <c r="G2817" s="18" t="n"/>
      <c r="H2817" s="18">
        <f>IF($A2817="","",IF(I2817&lt;&gt;"",I2817,Paramètres!B9))</f>
        <v/>
      </c>
      <c r="I2817" s="18" t="n"/>
    </row>
    <row r="2818">
      <c r="A2818" s="18">
        <f>IF(ISNUMBER(Dossiers!$D$56),Dossiers!$A$56&amp;" · "&amp;Dossiers!$B$56,"")</f>
        <v/>
      </c>
      <c r="B2818" s="18">
        <f>IF($A2818="","",Paramètres!G10)</f>
        <v/>
      </c>
      <c r="C2818" s="18">
        <f>IF($A2818="","",IF(Paramètres!H10="","",Paramètres!H10))</f>
        <v/>
      </c>
      <c r="D2818" s="18">
        <f>IF($A2818="","",IF(Paramètres!I10="","",Paramètres!I10))</f>
        <v/>
      </c>
      <c r="E2818" s="19">
        <f>IF($A2818="","",MIN(E2819:E2822))</f>
        <v/>
      </c>
      <c r="F2818" s="19">
        <f>IF($A2818="","",MAX(F2819:F2822))</f>
        <v/>
      </c>
      <c r="G2818" s="18" t="n"/>
      <c r="H2818" s="18">
        <f>IF($A2818="","",F2818-E2818+1)</f>
        <v/>
      </c>
      <c r="I2818" s="18" t="n"/>
    </row>
    <row r="2819">
      <c r="A2819" s="18">
        <f>IF(ISNUMBER(Dossiers!$D$56),Dossiers!$A$56&amp;" · "&amp;Dossiers!$B$56,"")</f>
        <v/>
      </c>
      <c r="B2819" s="18">
        <f>IF($A2819="","",Paramètres!G11)</f>
        <v/>
      </c>
      <c r="C2819" s="18">
        <f>IF($A2819="","",IF(Paramètres!H11="","",Paramètres!H11))</f>
        <v/>
      </c>
      <c r="D2819" s="18">
        <f>IF($A2819="","",IF(Paramètres!I11="","",Paramètres!I11))</f>
        <v/>
      </c>
      <c r="E2819" s="19">
        <f>IF($A2819="","",IF(Paramètres!J11&amp;Paramètres!L11&amp;Paramètres!N11="",Dossiers!$D$56,MAX(IF(Paramètres!J11="",0,IF(Paramètres!K11="",NA(),IF(LEFT(TRIM(Paramètres!K11),1)="F",INDEX($F$2813:$F$2865,MATCH(Paramètres!J11,Paramètres!$G$5:$G$57,0)),INDEX($E$2813:$E$2865,MATCH(Paramètres!J11,Paramètres!$G$5:$G$57,0)))+IF(RIGHT(TRIM(Paramètres!K11),3)="Fin",1-$H2819,IF(LEFT(TRIM(Paramètres!K11),1)="F",1,0)))),IF(Paramètres!L11="",0,IF(Paramètres!M11="",NA(),IF(LEFT(TRIM(Paramètres!M11),1)="F",INDEX($F$2813:$F$2865,MATCH(Paramètres!L11,Paramètres!$G$5:$G$57,0)),INDEX($E$2813:$E$2865,MATCH(Paramètres!L11,Paramètres!$G$5:$G$57,0)))+IF(RIGHT(TRIM(Paramètres!M11),3)="Fin",1-$H2819,IF(LEFT(TRIM(Paramètres!M11),1)="F",1,0)))),IF(Paramètres!N11="",0,IF(Paramètres!O11="",NA(),IF(LEFT(TRIM(Paramètres!O11),1)="F",INDEX($F$2813:$F$2865,MATCH(Paramètres!N11,Paramètres!$G$5:$G$57,0)),INDEX($E$2813:$E$2865,MATCH(Paramètres!N11,Paramètres!$G$5:$G$57,0)))+IF(RIGHT(TRIM(Paramètres!O11),3)="Fin",1-$H2819,IF(LEFT(TRIM(Paramètres!O11),1)="F",1,0)))))))</f>
        <v/>
      </c>
      <c r="F2819" s="19">
        <f>IF($A2819="","",E2819+$H2819-1)</f>
        <v/>
      </c>
      <c r="G2819" s="18" t="n"/>
      <c r="H2819" s="18">
        <f>IF($A2819="","",IF(I2819&lt;&gt;"",I2819,Paramètres!B11))</f>
        <v/>
      </c>
      <c r="I2819" s="18" t="n"/>
    </row>
    <row r="2820">
      <c r="A2820" s="18">
        <f>IF(ISNUMBER(Dossiers!$D$56),Dossiers!$A$56&amp;" · "&amp;Dossiers!$B$56,"")</f>
        <v/>
      </c>
      <c r="B2820" s="18">
        <f>IF($A2820="","",Paramètres!G12)</f>
        <v/>
      </c>
      <c r="C2820" s="18">
        <f>IF($A2820="","",IF(Paramètres!H12="","",Paramètres!H12))</f>
        <v/>
      </c>
      <c r="D2820" s="18">
        <f>IF($A2820="","",IF(Paramètres!I12="","",Paramètres!I12))</f>
        <v/>
      </c>
      <c r="E2820" s="19">
        <f>IF($A2820="","",IF(Paramètres!J12&amp;Paramètres!L12&amp;Paramètres!N12="",Dossiers!$D$56,MAX(IF(Paramètres!J12="",0,IF(Paramètres!K12="",NA(),IF(LEFT(TRIM(Paramètres!K12),1)="F",INDEX($F$2813:$F$2865,MATCH(Paramètres!J12,Paramètres!$G$5:$G$57,0)),INDEX($E$2813:$E$2865,MATCH(Paramètres!J12,Paramètres!$G$5:$G$57,0)))+IF(RIGHT(TRIM(Paramètres!K12),3)="Fin",1-$H2820,IF(LEFT(TRIM(Paramètres!K12),1)="F",1,0)))),IF(Paramètres!L12="",0,IF(Paramètres!M12="",NA(),IF(LEFT(TRIM(Paramètres!M12),1)="F",INDEX($F$2813:$F$2865,MATCH(Paramètres!L12,Paramètres!$G$5:$G$57,0)),INDEX($E$2813:$E$2865,MATCH(Paramètres!L12,Paramètres!$G$5:$G$57,0)))+IF(RIGHT(TRIM(Paramètres!M12),3)="Fin",1-$H2820,IF(LEFT(TRIM(Paramètres!M12),1)="F",1,0)))),IF(Paramètres!N12="",0,IF(Paramètres!O12="",NA(),IF(LEFT(TRIM(Paramètres!O12),1)="F",INDEX($F$2813:$F$2865,MATCH(Paramètres!N12,Paramètres!$G$5:$G$57,0)),INDEX($E$2813:$E$2865,MATCH(Paramètres!N12,Paramètres!$G$5:$G$57,0)))+IF(RIGHT(TRIM(Paramètres!O12),3)="Fin",1-$H2820,IF(LEFT(TRIM(Paramètres!O12),1)="F",1,0)))))))</f>
        <v/>
      </c>
      <c r="F2820" s="19">
        <f>IF($A2820="","",E2820+$H2820-1)</f>
        <v/>
      </c>
      <c r="G2820" s="18" t="n"/>
      <c r="H2820" s="18">
        <f>IF($A2820="","",IF(I2820&lt;&gt;"",I2820,Paramètres!B12))</f>
        <v/>
      </c>
      <c r="I2820" s="18" t="n"/>
    </row>
    <row r="2821">
      <c r="A2821" s="18">
        <f>IF(ISNUMBER(Dossiers!$D$56),Dossiers!$A$56&amp;" · "&amp;Dossiers!$B$56,"")</f>
        <v/>
      </c>
      <c r="B2821" s="18">
        <f>IF($A2821="","",Paramètres!G13)</f>
        <v/>
      </c>
      <c r="C2821" s="18">
        <f>IF($A2821="","",IF(Paramètres!H13="","",Paramètres!H13))</f>
        <v/>
      </c>
      <c r="D2821" s="18">
        <f>IF($A2821="","",IF(Paramètres!I13="","",Paramètres!I13))</f>
        <v/>
      </c>
      <c r="E2821" s="19">
        <f>IF($A2821="","",IF(Paramètres!J13&amp;Paramètres!L13&amp;Paramètres!N13="",Dossiers!$D$56,MAX(IF(Paramètres!J13="",0,IF(Paramètres!K13="",NA(),IF(LEFT(TRIM(Paramètres!K13),1)="F",INDEX($F$2813:$F$2865,MATCH(Paramètres!J13,Paramètres!$G$5:$G$57,0)),INDEX($E$2813:$E$2865,MATCH(Paramètres!J13,Paramètres!$G$5:$G$57,0)))+IF(RIGHT(TRIM(Paramètres!K13),3)="Fin",1-$H2821,IF(LEFT(TRIM(Paramètres!K13),1)="F",1,0)))),IF(Paramètres!L13="",0,IF(Paramètres!M13="",NA(),IF(LEFT(TRIM(Paramètres!M13),1)="F",INDEX($F$2813:$F$2865,MATCH(Paramètres!L13,Paramètres!$G$5:$G$57,0)),INDEX($E$2813:$E$2865,MATCH(Paramètres!L13,Paramètres!$G$5:$G$57,0)))+IF(RIGHT(TRIM(Paramètres!M13),3)="Fin",1-$H2821,IF(LEFT(TRIM(Paramètres!M13),1)="F",1,0)))),IF(Paramètres!N13="",0,IF(Paramètres!O13="",NA(),IF(LEFT(TRIM(Paramètres!O13),1)="F",INDEX($F$2813:$F$2865,MATCH(Paramètres!N13,Paramètres!$G$5:$G$57,0)),INDEX($E$2813:$E$2865,MATCH(Paramètres!N13,Paramètres!$G$5:$G$57,0)))+IF(RIGHT(TRIM(Paramètres!O13),3)="Fin",1-$H2821,IF(LEFT(TRIM(Paramètres!O13),1)="F",1,0)))))))</f>
        <v/>
      </c>
      <c r="F2821" s="19">
        <f>IF($A2821="","",E2821+$H2821-1)</f>
        <v/>
      </c>
      <c r="G2821" s="18" t="n"/>
      <c r="H2821" s="18">
        <f>IF($A2821="","",IF(I2821&lt;&gt;"",I2821,Paramètres!B13))</f>
        <v/>
      </c>
      <c r="I2821" s="18" t="n"/>
    </row>
    <row r="2822">
      <c r="A2822" s="18">
        <f>IF(ISNUMBER(Dossiers!$D$56),Dossiers!$A$56&amp;" · "&amp;Dossiers!$B$56,"")</f>
        <v/>
      </c>
      <c r="B2822" s="18">
        <f>IF($A2822="","",Paramètres!G14)</f>
        <v/>
      </c>
      <c r="C2822" s="18">
        <f>IF($A2822="","",IF(Paramètres!H14="","",Paramètres!H14))</f>
        <v/>
      </c>
      <c r="D2822" s="18">
        <f>IF($A2822="","",IF(Paramètres!I14="","",Paramètres!I14))</f>
        <v/>
      </c>
      <c r="E2822" s="19">
        <f>IF($A2822="","",IF(Paramètres!J14&amp;Paramètres!L14&amp;Paramètres!N14="",Dossiers!$D$56,MAX(IF(Paramètres!J14="",0,IF(Paramètres!K14="",NA(),IF(LEFT(TRIM(Paramètres!K14),1)="F",INDEX($F$2813:$F$2865,MATCH(Paramètres!J14,Paramètres!$G$5:$G$57,0)),INDEX($E$2813:$E$2865,MATCH(Paramètres!J14,Paramètres!$G$5:$G$57,0)))+IF(RIGHT(TRIM(Paramètres!K14),3)="Fin",1-$H2822,IF(LEFT(TRIM(Paramètres!K14),1)="F",1,0)))),IF(Paramètres!L14="",0,IF(Paramètres!M14="",NA(),IF(LEFT(TRIM(Paramètres!M14),1)="F",INDEX($F$2813:$F$2865,MATCH(Paramètres!L14,Paramètres!$G$5:$G$57,0)),INDEX($E$2813:$E$2865,MATCH(Paramètres!L14,Paramètres!$G$5:$G$57,0)))+IF(RIGHT(TRIM(Paramètres!M14),3)="Fin",1-$H2822,IF(LEFT(TRIM(Paramètres!M14),1)="F",1,0)))),IF(Paramètres!N14="",0,IF(Paramètres!O14="",NA(),IF(LEFT(TRIM(Paramètres!O14),1)="F",INDEX($F$2813:$F$2865,MATCH(Paramètres!N14,Paramètres!$G$5:$G$57,0)),INDEX($E$2813:$E$2865,MATCH(Paramètres!N14,Paramètres!$G$5:$G$57,0)))+IF(RIGHT(TRIM(Paramètres!O14),3)="Fin",1-$H2822,IF(LEFT(TRIM(Paramètres!O14),1)="F",1,0)))))))</f>
        <v/>
      </c>
      <c r="F2822" s="19">
        <f>IF($A2822="","",E2822+$H2822-1)</f>
        <v/>
      </c>
      <c r="G2822" s="18" t="n"/>
      <c r="H2822" s="18">
        <f>IF($A2822="","",IF(I2822&lt;&gt;"",I2822,Paramètres!B14))</f>
        <v/>
      </c>
      <c r="I2822" s="18" t="n"/>
    </row>
    <row r="2823">
      <c r="A2823" s="18">
        <f>IF(ISNUMBER(Dossiers!$D$56),Dossiers!$A$56&amp;" · "&amp;Dossiers!$B$56,"")</f>
        <v/>
      </c>
      <c r="B2823" s="18">
        <f>IF($A2823="","",Paramètres!G15)</f>
        <v/>
      </c>
      <c r="C2823" s="18">
        <f>IF($A2823="","",IF(Paramètres!H15="","",Paramètres!H15))</f>
        <v/>
      </c>
      <c r="D2823" s="18">
        <f>IF($A2823="","",IF(Paramètres!I15="","",Paramètres!I15))</f>
        <v/>
      </c>
      <c r="E2823" s="19">
        <f>IF($A2823="","",MIN(E2824:E2839))</f>
        <v/>
      </c>
      <c r="F2823" s="19">
        <f>IF($A2823="","",MAX(F2824:F2839))</f>
        <v/>
      </c>
      <c r="G2823" s="18" t="n"/>
      <c r="H2823" s="18">
        <f>IF($A2823="","",F2823-E2823+1)</f>
        <v/>
      </c>
      <c r="I2823" s="18" t="n"/>
    </row>
    <row r="2824">
      <c r="A2824" s="18">
        <f>IF(ISNUMBER(Dossiers!$D$56),Dossiers!$A$56&amp;" · "&amp;Dossiers!$B$56,"")</f>
        <v/>
      </c>
      <c r="B2824" s="18">
        <f>IF($A2824="","",Paramètres!G16)</f>
        <v/>
      </c>
      <c r="C2824" s="18">
        <f>IF($A2824="","",IF(Paramètres!H16="","",Paramètres!H16))</f>
        <v/>
      </c>
      <c r="D2824" s="18">
        <f>IF($A2824="","",IF(Paramètres!I16="","",Paramètres!I16))</f>
        <v/>
      </c>
      <c r="E2824" s="19">
        <f>IF($A2824="","",IF(Paramètres!J16&amp;Paramètres!L16&amp;Paramètres!N16="",Dossiers!$D$56,MAX(IF(Paramètres!J16="",0,IF(Paramètres!K16="",NA(),IF(LEFT(TRIM(Paramètres!K16),1)="F",INDEX($F$2813:$F$2865,MATCH(Paramètres!J16,Paramètres!$G$5:$G$57,0)),INDEX($E$2813:$E$2865,MATCH(Paramètres!J16,Paramètres!$G$5:$G$57,0)))+IF(RIGHT(TRIM(Paramètres!K16),3)="Fin",1-$H2824,IF(LEFT(TRIM(Paramètres!K16),1)="F",1,0)))),IF(Paramètres!L16="",0,IF(Paramètres!M16="",NA(),IF(LEFT(TRIM(Paramètres!M16),1)="F",INDEX($F$2813:$F$2865,MATCH(Paramètres!L16,Paramètres!$G$5:$G$57,0)),INDEX($E$2813:$E$2865,MATCH(Paramètres!L16,Paramètres!$G$5:$G$57,0)))+IF(RIGHT(TRIM(Paramètres!M16),3)="Fin",1-$H2824,IF(LEFT(TRIM(Paramètres!M16),1)="F",1,0)))),IF(Paramètres!N16="",0,IF(Paramètres!O16="",NA(),IF(LEFT(TRIM(Paramètres!O16),1)="F",INDEX($F$2813:$F$2865,MATCH(Paramètres!N16,Paramètres!$G$5:$G$57,0)),INDEX($E$2813:$E$2865,MATCH(Paramètres!N16,Paramètres!$G$5:$G$57,0)))+IF(RIGHT(TRIM(Paramètres!O16),3)="Fin",1-$H2824,IF(LEFT(TRIM(Paramètres!O16),1)="F",1,0)))))))</f>
        <v/>
      </c>
      <c r="F2824" s="19">
        <f>IF($A2824="","",E2824+$H2824-1)</f>
        <v/>
      </c>
      <c r="G2824" s="18" t="n"/>
      <c r="H2824" s="18">
        <f>IF($A2824="","",IF(I2824&lt;&gt;"",I2824,Paramètres!B16))</f>
        <v/>
      </c>
      <c r="I2824" s="18" t="n"/>
    </row>
    <row r="2825">
      <c r="A2825" s="18">
        <f>IF(ISNUMBER(Dossiers!$D$56),Dossiers!$A$56&amp;" · "&amp;Dossiers!$B$56,"")</f>
        <v/>
      </c>
      <c r="B2825" s="18">
        <f>IF($A2825="","",Paramètres!G17)</f>
        <v/>
      </c>
      <c r="C2825" s="18">
        <f>IF($A2825="","",IF(Paramètres!H17="","",Paramètres!H17))</f>
        <v/>
      </c>
      <c r="D2825" s="18">
        <f>IF($A2825="","",IF(Paramètres!I17="","",Paramètres!I17))</f>
        <v/>
      </c>
      <c r="E2825" s="19">
        <f>IF($A2825="","",IF(Paramètres!J17&amp;Paramètres!L17&amp;Paramètres!N17="",Dossiers!$D$56,MAX(IF(Paramètres!J17="",0,IF(Paramètres!K17="",NA(),IF(LEFT(TRIM(Paramètres!K17),1)="F",INDEX($F$2813:$F$2865,MATCH(Paramètres!J17,Paramètres!$G$5:$G$57,0)),INDEX($E$2813:$E$2865,MATCH(Paramètres!J17,Paramètres!$G$5:$G$57,0)))+IF(RIGHT(TRIM(Paramètres!K17),3)="Fin",1-$H2825,IF(LEFT(TRIM(Paramètres!K17),1)="F",1,0)))),IF(Paramètres!L17="",0,IF(Paramètres!M17="",NA(),IF(LEFT(TRIM(Paramètres!M17),1)="F",INDEX($F$2813:$F$2865,MATCH(Paramètres!L17,Paramètres!$G$5:$G$57,0)),INDEX($E$2813:$E$2865,MATCH(Paramètres!L17,Paramètres!$G$5:$G$57,0)))+IF(RIGHT(TRIM(Paramètres!M17),3)="Fin",1-$H2825,IF(LEFT(TRIM(Paramètres!M17),1)="F",1,0)))),IF(Paramètres!N17="",0,IF(Paramètres!O17="",NA(),IF(LEFT(TRIM(Paramètres!O17),1)="F",INDEX($F$2813:$F$2865,MATCH(Paramètres!N17,Paramètres!$G$5:$G$57,0)),INDEX($E$2813:$E$2865,MATCH(Paramètres!N17,Paramètres!$G$5:$G$57,0)))+IF(RIGHT(TRIM(Paramètres!O17),3)="Fin",1-$H2825,IF(LEFT(TRIM(Paramètres!O17),1)="F",1,0)))))))</f>
        <v/>
      </c>
      <c r="F2825" s="19">
        <f>IF($A2825="","",E2825+$H2825-1)</f>
        <v/>
      </c>
      <c r="G2825" s="18" t="n"/>
      <c r="H2825" s="18">
        <f>IF($A2825="","",IF(I2825&lt;&gt;"",I2825,Paramètres!B17))</f>
        <v/>
      </c>
      <c r="I2825" s="18" t="n"/>
    </row>
    <row r="2826">
      <c r="A2826" s="18">
        <f>IF(ISNUMBER(Dossiers!$D$56),Dossiers!$A$56&amp;" · "&amp;Dossiers!$B$56,"")</f>
        <v/>
      </c>
      <c r="B2826" s="18">
        <f>IF($A2826="","",Paramètres!G18)</f>
        <v/>
      </c>
      <c r="C2826" s="18">
        <f>IF($A2826="","",IF(Paramètres!H18="","",Paramètres!H18))</f>
        <v/>
      </c>
      <c r="D2826" s="18">
        <f>IF($A2826="","",IF(Paramètres!I18="","",Paramètres!I18))</f>
        <v/>
      </c>
      <c r="E2826" s="19">
        <f>IF($A2826="","",IF(Paramètres!J18&amp;Paramètres!L18&amp;Paramètres!N18="",Dossiers!$D$56,MAX(IF(Paramètres!J18="",0,IF(Paramètres!K18="",NA(),IF(LEFT(TRIM(Paramètres!K18),1)="F",INDEX($F$2813:$F$2865,MATCH(Paramètres!J18,Paramètres!$G$5:$G$57,0)),INDEX($E$2813:$E$2865,MATCH(Paramètres!J18,Paramètres!$G$5:$G$57,0)))+IF(RIGHT(TRIM(Paramètres!K18),3)="Fin",1-$H2826,IF(LEFT(TRIM(Paramètres!K18),1)="F",1,0)))),IF(Paramètres!L18="",0,IF(Paramètres!M18="",NA(),IF(LEFT(TRIM(Paramètres!M18),1)="F",INDEX($F$2813:$F$2865,MATCH(Paramètres!L18,Paramètres!$G$5:$G$57,0)),INDEX($E$2813:$E$2865,MATCH(Paramètres!L18,Paramètres!$G$5:$G$57,0)))+IF(RIGHT(TRIM(Paramètres!M18),3)="Fin",1-$H2826,IF(LEFT(TRIM(Paramètres!M18),1)="F",1,0)))),IF(Paramètres!N18="",0,IF(Paramètres!O18="",NA(),IF(LEFT(TRIM(Paramètres!O18),1)="F",INDEX($F$2813:$F$2865,MATCH(Paramètres!N18,Paramètres!$G$5:$G$57,0)),INDEX($E$2813:$E$2865,MATCH(Paramètres!N18,Paramètres!$G$5:$G$57,0)))+IF(RIGHT(TRIM(Paramètres!O18),3)="Fin",1-$H2826,IF(LEFT(TRIM(Paramètres!O18),1)="F",1,0)))))))</f>
        <v/>
      </c>
      <c r="F2826" s="19">
        <f>IF($A2826="","",E2826+$H2826-1)</f>
        <v/>
      </c>
      <c r="G2826" s="18" t="n"/>
      <c r="H2826" s="18">
        <f>IF($A2826="","",IF(I2826&lt;&gt;"",I2826,Paramètres!B18))</f>
        <v/>
      </c>
      <c r="I2826" s="18" t="n"/>
    </row>
    <row r="2827">
      <c r="A2827" s="18">
        <f>IF(ISNUMBER(Dossiers!$D$56),Dossiers!$A$56&amp;" · "&amp;Dossiers!$B$56,"")</f>
        <v/>
      </c>
      <c r="B2827" s="18">
        <f>IF($A2827="","",Paramètres!G19)</f>
        <v/>
      </c>
      <c r="C2827" s="18">
        <f>IF($A2827="","",IF(Paramètres!H19="","",Paramètres!H19))</f>
        <v/>
      </c>
      <c r="D2827" s="18">
        <f>IF($A2827="","",IF(Paramètres!I19="","",Paramètres!I19))</f>
        <v/>
      </c>
      <c r="E2827" s="19">
        <f>IF($A2827="","",IF(Paramètres!J19&amp;Paramètres!L19&amp;Paramètres!N19="",Dossiers!$D$56,MAX(IF(Paramètres!J19="",0,IF(Paramètres!K19="",NA(),IF(LEFT(TRIM(Paramètres!K19),1)="F",INDEX($F$2813:$F$2865,MATCH(Paramètres!J19,Paramètres!$G$5:$G$57,0)),INDEX($E$2813:$E$2865,MATCH(Paramètres!J19,Paramètres!$G$5:$G$57,0)))+IF(RIGHT(TRIM(Paramètres!K19),3)="Fin",1-$H2827,IF(LEFT(TRIM(Paramètres!K19),1)="F",1,0)))),IF(Paramètres!L19="",0,IF(Paramètres!M19="",NA(),IF(LEFT(TRIM(Paramètres!M19),1)="F",INDEX($F$2813:$F$2865,MATCH(Paramètres!L19,Paramètres!$G$5:$G$57,0)),INDEX($E$2813:$E$2865,MATCH(Paramètres!L19,Paramètres!$G$5:$G$57,0)))+IF(RIGHT(TRIM(Paramètres!M19),3)="Fin",1-$H2827,IF(LEFT(TRIM(Paramètres!M19),1)="F",1,0)))),IF(Paramètres!N19="",0,IF(Paramètres!O19="",NA(),IF(LEFT(TRIM(Paramètres!O19),1)="F",INDEX($F$2813:$F$2865,MATCH(Paramètres!N19,Paramètres!$G$5:$G$57,0)),INDEX($E$2813:$E$2865,MATCH(Paramètres!N19,Paramètres!$G$5:$G$57,0)))+IF(RIGHT(TRIM(Paramètres!O19),3)="Fin",1-$H2827,IF(LEFT(TRIM(Paramètres!O19),1)="F",1,0)))))))</f>
        <v/>
      </c>
      <c r="F2827" s="19">
        <f>IF($A2827="","",E2827+$H2827-1)</f>
        <v/>
      </c>
      <c r="G2827" s="18" t="n"/>
      <c r="H2827" s="18">
        <f>IF($A2827="","",IF(I2827&lt;&gt;"",I2827,Paramètres!B19))</f>
        <v/>
      </c>
      <c r="I2827" s="18" t="n"/>
    </row>
    <row r="2828">
      <c r="A2828" s="18">
        <f>IF(ISNUMBER(Dossiers!$D$56),Dossiers!$A$56&amp;" · "&amp;Dossiers!$B$56,"")</f>
        <v/>
      </c>
      <c r="B2828" s="18">
        <f>IF($A2828="","",Paramètres!G20)</f>
        <v/>
      </c>
      <c r="C2828" s="18">
        <f>IF($A2828="","",IF(Paramètres!H20="","",Paramètres!H20))</f>
        <v/>
      </c>
      <c r="D2828" s="18">
        <f>IF($A2828="","",IF(Paramètres!I20="","",Paramètres!I20))</f>
        <v/>
      </c>
      <c r="E2828" s="19">
        <f>IF($A2828="","",IF(Paramètres!J20&amp;Paramètres!L20&amp;Paramètres!N20="",Dossiers!$D$56,MAX(IF(Paramètres!J20="",0,IF(Paramètres!K20="",NA(),IF(LEFT(TRIM(Paramètres!K20),1)="F",INDEX($F$2813:$F$2865,MATCH(Paramètres!J20,Paramètres!$G$5:$G$57,0)),INDEX($E$2813:$E$2865,MATCH(Paramètres!J20,Paramètres!$G$5:$G$57,0)))+IF(RIGHT(TRIM(Paramètres!K20),3)="Fin",1-$H2828,IF(LEFT(TRIM(Paramètres!K20),1)="F",1,0)))),IF(Paramètres!L20="",0,IF(Paramètres!M20="",NA(),IF(LEFT(TRIM(Paramètres!M20),1)="F",INDEX($F$2813:$F$2865,MATCH(Paramètres!L20,Paramètres!$G$5:$G$57,0)),INDEX($E$2813:$E$2865,MATCH(Paramètres!L20,Paramètres!$G$5:$G$57,0)))+IF(RIGHT(TRIM(Paramètres!M20),3)="Fin",1-$H2828,IF(LEFT(TRIM(Paramètres!M20),1)="F",1,0)))),IF(Paramètres!N20="",0,IF(Paramètres!O20="",NA(),IF(LEFT(TRIM(Paramètres!O20),1)="F",INDEX($F$2813:$F$2865,MATCH(Paramètres!N20,Paramètres!$G$5:$G$57,0)),INDEX($E$2813:$E$2865,MATCH(Paramètres!N20,Paramètres!$G$5:$G$57,0)))+IF(RIGHT(TRIM(Paramètres!O20),3)="Fin",1-$H2828,IF(LEFT(TRIM(Paramètres!O20),1)="F",1,0)))))))</f>
        <v/>
      </c>
      <c r="F2828" s="19">
        <f>IF($A2828="","",E2828+$H2828-1)</f>
        <v/>
      </c>
      <c r="G2828" s="18" t="n"/>
      <c r="H2828" s="18">
        <f>IF($A2828="","",IF(I2828&lt;&gt;"",I2828,Paramètres!B20))</f>
        <v/>
      </c>
      <c r="I2828" s="18" t="n"/>
    </row>
    <row r="2829">
      <c r="A2829" s="18">
        <f>IF(ISNUMBER(Dossiers!$D$56),Dossiers!$A$56&amp;" · "&amp;Dossiers!$B$56,"")</f>
        <v/>
      </c>
      <c r="B2829" s="18">
        <f>IF($A2829="","",Paramètres!G21)</f>
        <v/>
      </c>
      <c r="C2829" s="18">
        <f>IF($A2829="","",IF(Paramètres!H21="","",Paramètres!H21))</f>
        <v/>
      </c>
      <c r="D2829" s="18">
        <f>IF($A2829="","",IF(Paramètres!I21="","",Paramètres!I21))</f>
        <v/>
      </c>
      <c r="E2829" s="19">
        <f>IF($A2829="","",IF(Paramètres!J21&amp;Paramètres!L21&amp;Paramètres!N21="",Dossiers!$D$56,MAX(IF(Paramètres!J21="",0,IF(Paramètres!K21="",NA(),IF(LEFT(TRIM(Paramètres!K21),1)="F",INDEX($F$2813:$F$2865,MATCH(Paramètres!J21,Paramètres!$G$5:$G$57,0)),INDEX($E$2813:$E$2865,MATCH(Paramètres!J21,Paramètres!$G$5:$G$57,0)))+IF(RIGHT(TRIM(Paramètres!K21),3)="Fin",1-$H2829,IF(LEFT(TRIM(Paramètres!K21),1)="F",1,0)))),IF(Paramètres!L21="",0,IF(Paramètres!M21="",NA(),IF(LEFT(TRIM(Paramètres!M21),1)="F",INDEX($F$2813:$F$2865,MATCH(Paramètres!L21,Paramètres!$G$5:$G$57,0)),INDEX($E$2813:$E$2865,MATCH(Paramètres!L21,Paramètres!$G$5:$G$57,0)))+IF(RIGHT(TRIM(Paramètres!M21),3)="Fin",1-$H2829,IF(LEFT(TRIM(Paramètres!M21),1)="F",1,0)))),IF(Paramètres!N21="",0,IF(Paramètres!O21="",NA(),IF(LEFT(TRIM(Paramètres!O21),1)="F",INDEX($F$2813:$F$2865,MATCH(Paramètres!N21,Paramètres!$G$5:$G$57,0)),INDEX($E$2813:$E$2865,MATCH(Paramètres!N21,Paramètres!$G$5:$G$57,0)))+IF(RIGHT(TRIM(Paramètres!O21),3)="Fin",1-$H2829,IF(LEFT(TRIM(Paramètres!O21),1)="F",1,0)))))))</f>
        <v/>
      </c>
      <c r="F2829" s="19">
        <f>IF($A2829="","",E2829+$H2829-1)</f>
        <v/>
      </c>
      <c r="G2829" s="18" t="n"/>
      <c r="H2829" s="18">
        <f>IF($A2829="","",IF(I2829&lt;&gt;"",I2829,Paramètres!B21))</f>
        <v/>
      </c>
      <c r="I2829" s="18" t="n"/>
    </row>
    <row r="2830">
      <c r="A2830" s="18">
        <f>IF(ISNUMBER(Dossiers!$D$56),Dossiers!$A$56&amp;" · "&amp;Dossiers!$B$56,"")</f>
        <v/>
      </c>
      <c r="B2830" s="18">
        <f>IF($A2830="","",Paramètres!G22)</f>
        <v/>
      </c>
      <c r="C2830" s="18">
        <f>IF($A2830="","",IF(Paramètres!H22="","",Paramètres!H22))</f>
        <v/>
      </c>
      <c r="D2830" s="18">
        <f>IF($A2830="","",IF(Paramètres!I22="","",Paramètres!I22))</f>
        <v/>
      </c>
      <c r="E2830" s="19">
        <f>IF($A2830="","",IF(Paramètres!J22&amp;Paramètres!L22&amp;Paramètres!N22="",Dossiers!$D$56,MAX(IF(Paramètres!J22="",0,IF(Paramètres!K22="",NA(),IF(LEFT(TRIM(Paramètres!K22),1)="F",INDEX($F$2813:$F$2865,MATCH(Paramètres!J22,Paramètres!$G$5:$G$57,0)),INDEX($E$2813:$E$2865,MATCH(Paramètres!J22,Paramètres!$G$5:$G$57,0)))+IF(RIGHT(TRIM(Paramètres!K22),3)="Fin",1-$H2830,IF(LEFT(TRIM(Paramètres!K22),1)="F",1,0)))),IF(Paramètres!L22="",0,IF(Paramètres!M22="",NA(),IF(LEFT(TRIM(Paramètres!M22),1)="F",INDEX($F$2813:$F$2865,MATCH(Paramètres!L22,Paramètres!$G$5:$G$57,0)),INDEX($E$2813:$E$2865,MATCH(Paramètres!L22,Paramètres!$G$5:$G$57,0)))+IF(RIGHT(TRIM(Paramètres!M22),3)="Fin",1-$H2830,IF(LEFT(TRIM(Paramètres!M22),1)="F",1,0)))),IF(Paramètres!N22="",0,IF(Paramètres!O22="",NA(),IF(LEFT(TRIM(Paramètres!O22),1)="F",INDEX($F$2813:$F$2865,MATCH(Paramètres!N22,Paramètres!$G$5:$G$57,0)),INDEX($E$2813:$E$2865,MATCH(Paramètres!N22,Paramètres!$G$5:$G$57,0)))+IF(RIGHT(TRIM(Paramètres!O22),3)="Fin",1-$H2830,IF(LEFT(TRIM(Paramètres!O22),1)="F",1,0)))))))</f>
        <v/>
      </c>
      <c r="F2830" s="19">
        <f>IF($A2830="","",E2830+$H2830-1)</f>
        <v/>
      </c>
      <c r="G2830" s="18" t="n"/>
      <c r="H2830" s="18">
        <f>IF($A2830="","",IF(I2830&lt;&gt;"",I2830,Paramètres!B22))</f>
        <v/>
      </c>
      <c r="I2830" s="18" t="n"/>
    </row>
    <row r="2831">
      <c r="A2831" s="18">
        <f>IF(ISNUMBER(Dossiers!$D$56),Dossiers!$A$56&amp;" · "&amp;Dossiers!$B$56,"")</f>
        <v/>
      </c>
      <c r="B2831" s="18">
        <f>IF($A2831="","",Paramètres!G23)</f>
        <v/>
      </c>
      <c r="C2831" s="18">
        <f>IF($A2831="","",IF(Paramètres!H23="","",Paramètres!H23))</f>
        <v/>
      </c>
      <c r="D2831" s="18">
        <f>IF($A2831="","",IF(Paramètres!I23="","",Paramètres!I23))</f>
        <v/>
      </c>
      <c r="E2831" s="19">
        <f>IF($A2831="","",IF(Paramètres!J23&amp;Paramètres!L23&amp;Paramètres!N23="",Dossiers!$D$56,MAX(IF(Paramètres!J23="",0,IF(Paramètres!K23="",NA(),IF(LEFT(TRIM(Paramètres!K23),1)="F",INDEX($F$2813:$F$2865,MATCH(Paramètres!J23,Paramètres!$G$5:$G$57,0)),INDEX($E$2813:$E$2865,MATCH(Paramètres!J23,Paramètres!$G$5:$G$57,0)))+IF(RIGHT(TRIM(Paramètres!K23),3)="Fin",1-$H2831,IF(LEFT(TRIM(Paramètres!K23),1)="F",1,0)))),IF(Paramètres!L23="",0,IF(Paramètres!M23="",NA(),IF(LEFT(TRIM(Paramètres!M23),1)="F",INDEX($F$2813:$F$2865,MATCH(Paramètres!L23,Paramètres!$G$5:$G$57,0)),INDEX($E$2813:$E$2865,MATCH(Paramètres!L23,Paramètres!$G$5:$G$57,0)))+IF(RIGHT(TRIM(Paramètres!M23),3)="Fin",1-$H2831,IF(LEFT(TRIM(Paramètres!M23),1)="F",1,0)))),IF(Paramètres!N23="",0,IF(Paramètres!O23="",NA(),IF(LEFT(TRIM(Paramètres!O23),1)="F",INDEX($F$2813:$F$2865,MATCH(Paramètres!N23,Paramètres!$G$5:$G$57,0)),INDEX($E$2813:$E$2865,MATCH(Paramètres!N23,Paramètres!$G$5:$G$57,0)))+IF(RIGHT(TRIM(Paramètres!O23),3)="Fin",1-$H2831,IF(LEFT(TRIM(Paramètres!O23),1)="F",1,0)))))))</f>
        <v/>
      </c>
      <c r="F2831" s="19">
        <f>IF($A2831="","",E2831+$H2831-1)</f>
        <v/>
      </c>
      <c r="G2831" s="18" t="n"/>
      <c r="H2831" s="18">
        <f>IF($A2831="","",IF(I2831&lt;&gt;"",I2831,Paramètres!B23))</f>
        <v/>
      </c>
      <c r="I2831" s="18" t="n"/>
    </row>
    <row r="2832">
      <c r="A2832" s="18">
        <f>IF(ISNUMBER(Dossiers!$D$56),Dossiers!$A$56&amp;" · "&amp;Dossiers!$B$56,"")</f>
        <v/>
      </c>
      <c r="B2832" s="18">
        <f>IF($A2832="","",Paramètres!G24)</f>
        <v/>
      </c>
      <c r="C2832" s="18">
        <f>IF($A2832="","",IF(Paramètres!H24="","",Paramètres!H24))</f>
        <v/>
      </c>
      <c r="D2832" s="18">
        <f>IF($A2832="","",IF(Paramètres!I24="","",Paramètres!I24))</f>
        <v/>
      </c>
      <c r="E2832" s="19">
        <f>IF($A2832="","",IF(Paramètres!J24&amp;Paramètres!L24&amp;Paramètres!N24="",Dossiers!$D$56,MAX(IF(Paramètres!J24="",0,IF(Paramètres!K24="",NA(),IF(LEFT(TRIM(Paramètres!K24),1)="F",INDEX($F$2813:$F$2865,MATCH(Paramètres!J24,Paramètres!$G$5:$G$57,0)),INDEX($E$2813:$E$2865,MATCH(Paramètres!J24,Paramètres!$G$5:$G$57,0)))+IF(RIGHT(TRIM(Paramètres!K24),3)="Fin",1-$H2832,IF(LEFT(TRIM(Paramètres!K24),1)="F",1,0)))),IF(Paramètres!L24="",0,IF(Paramètres!M24="",NA(),IF(LEFT(TRIM(Paramètres!M24),1)="F",INDEX($F$2813:$F$2865,MATCH(Paramètres!L24,Paramètres!$G$5:$G$57,0)),INDEX($E$2813:$E$2865,MATCH(Paramètres!L24,Paramètres!$G$5:$G$57,0)))+IF(RIGHT(TRIM(Paramètres!M24),3)="Fin",1-$H2832,IF(LEFT(TRIM(Paramètres!M24),1)="F",1,0)))),IF(Paramètres!N24="",0,IF(Paramètres!O24="",NA(),IF(LEFT(TRIM(Paramètres!O24),1)="F",INDEX($F$2813:$F$2865,MATCH(Paramètres!N24,Paramètres!$G$5:$G$57,0)),INDEX($E$2813:$E$2865,MATCH(Paramètres!N24,Paramètres!$G$5:$G$57,0)))+IF(RIGHT(TRIM(Paramètres!O24),3)="Fin",1-$H2832,IF(LEFT(TRIM(Paramètres!O24),1)="F",1,0)))))))</f>
        <v/>
      </c>
      <c r="F2832" s="19">
        <f>IF($A2832="","",E2832+$H2832-1)</f>
        <v/>
      </c>
      <c r="G2832" s="18" t="n"/>
      <c r="H2832" s="18">
        <f>IF($A2832="","",IF(I2832&lt;&gt;"",I2832,Paramètres!B24))</f>
        <v/>
      </c>
      <c r="I2832" s="18" t="n"/>
    </row>
    <row r="2833">
      <c r="A2833" s="18">
        <f>IF(ISNUMBER(Dossiers!$D$56),Dossiers!$A$56&amp;" · "&amp;Dossiers!$B$56,"")</f>
        <v/>
      </c>
      <c r="B2833" s="18">
        <f>IF($A2833="","",Paramètres!G25)</f>
        <v/>
      </c>
      <c r="C2833" s="18">
        <f>IF($A2833="","",IF(Paramètres!H25="","",Paramètres!H25))</f>
        <v/>
      </c>
      <c r="D2833" s="18">
        <f>IF($A2833="","",IF(Paramètres!I25="","",Paramètres!I25))</f>
        <v/>
      </c>
      <c r="E2833" s="19">
        <f>IF($A2833="","",IF(Paramètres!J25&amp;Paramètres!L25&amp;Paramètres!N25="",Dossiers!$D$56,MAX(IF(Paramètres!J25="",0,IF(Paramètres!K25="",NA(),IF(LEFT(TRIM(Paramètres!K25),1)="F",INDEX($F$2813:$F$2865,MATCH(Paramètres!J25,Paramètres!$G$5:$G$57,0)),INDEX($E$2813:$E$2865,MATCH(Paramètres!J25,Paramètres!$G$5:$G$57,0)))+IF(RIGHT(TRIM(Paramètres!K25),3)="Fin",1-$H2833,IF(LEFT(TRIM(Paramètres!K25),1)="F",1,0)))),IF(Paramètres!L25="",0,IF(Paramètres!M25="",NA(),IF(LEFT(TRIM(Paramètres!M25),1)="F",INDEX($F$2813:$F$2865,MATCH(Paramètres!L25,Paramètres!$G$5:$G$57,0)),INDEX($E$2813:$E$2865,MATCH(Paramètres!L25,Paramètres!$G$5:$G$57,0)))+IF(RIGHT(TRIM(Paramètres!M25),3)="Fin",1-$H2833,IF(LEFT(TRIM(Paramètres!M25),1)="F",1,0)))),IF(Paramètres!N25="",0,IF(Paramètres!O25="",NA(),IF(LEFT(TRIM(Paramètres!O25),1)="F",INDEX($F$2813:$F$2865,MATCH(Paramètres!N25,Paramètres!$G$5:$G$57,0)),INDEX($E$2813:$E$2865,MATCH(Paramètres!N25,Paramètres!$G$5:$G$57,0)))+IF(RIGHT(TRIM(Paramètres!O25),3)="Fin",1-$H2833,IF(LEFT(TRIM(Paramètres!O25),1)="F",1,0)))))))</f>
        <v/>
      </c>
      <c r="F2833" s="19">
        <f>IF($A2833="","",E2833+$H2833-1)</f>
        <v/>
      </c>
      <c r="G2833" s="18" t="n"/>
      <c r="H2833" s="18">
        <f>IF($A2833="","",IF(I2833&lt;&gt;"",I2833,Paramètres!B25))</f>
        <v/>
      </c>
      <c r="I2833" s="18" t="n"/>
    </row>
    <row r="2834">
      <c r="A2834" s="18">
        <f>IF(ISNUMBER(Dossiers!$D$56),Dossiers!$A$56&amp;" · "&amp;Dossiers!$B$56,"")</f>
        <v/>
      </c>
      <c r="B2834" s="18">
        <f>IF($A2834="","",Paramètres!G26)</f>
        <v/>
      </c>
      <c r="C2834" s="18">
        <f>IF($A2834="","",IF(Paramètres!H26="","",Paramètres!H26))</f>
        <v/>
      </c>
      <c r="D2834" s="18">
        <f>IF($A2834="","",IF(Paramètres!I26="","",Paramètres!I26))</f>
        <v/>
      </c>
      <c r="E2834" s="19">
        <f>IF($A2834="","",IF(Paramètres!J26&amp;Paramètres!L26&amp;Paramètres!N26="",Dossiers!$D$56,MAX(IF(Paramètres!J26="",0,IF(Paramètres!K26="",NA(),IF(LEFT(TRIM(Paramètres!K26),1)="F",INDEX($F$2813:$F$2865,MATCH(Paramètres!J26,Paramètres!$G$5:$G$57,0)),INDEX($E$2813:$E$2865,MATCH(Paramètres!J26,Paramètres!$G$5:$G$57,0)))+IF(RIGHT(TRIM(Paramètres!K26),3)="Fin",1-$H2834,IF(LEFT(TRIM(Paramètres!K26),1)="F",1,0)))),IF(Paramètres!L26="",0,IF(Paramètres!M26="",NA(),IF(LEFT(TRIM(Paramètres!M26),1)="F",INDEX($F$2813:$F$2865,MATCH(Paramètres!L26,Paramètres!$G$5:$G$57,0)),INDEX($E$2813:$E$2865,MATCH(Paramètres!L26,Paramètres!$G$5:$G$57,0)))+IF(RIGHT(TRIM(Paramètres!M26),3)="Fin",1-$H2834,IF(LEFT(TRIM(Paramètres!M26),1)="F",1,0)))),IF(Paramètres!N26="",0,IF(Paramètres!O26="",NA(),IF(LEFT(TRIM(Paramètres!O26),1)="F",INDEX($F$2813:$F$2865,MATCH(Paramètres!N26,Paramètres!$G$5:$G$57,0)),INDEX($E$2813:$E$2865,MATCH(Paramètres!N26,Paramètres!$G$5:$G$57,0)))+IF(RIGHT(TRIM(Paramètres!O26),3)="Fin",1-$H2834,IF(LEFT(TRIM(Paramètres!O26),1)="F",1,0)))))))</f>
        <v/>
      </c>
      <c r="F2834" s="19">
        <f>IF($A2834="","",E2834+$H2834-1)</f>
        <v/>
      </c>
      <c r="G2834" s="18" t="n"/>
      <c r="H2834" s="18">
        <f>IF($A2834="","",IF(I2834&lt;&gt;"",I2834,Paramètres!B26))</f>
        <v/>
      </c>
      <c r="I2834" s="18" t="n"/>
    </row>
    <row r="2835">
      <c r="A2835" s="18">
        <f>IF(ISNUMBER(Dossiers!$D$56),Dossiers!$A$56&amp;" · "&amp;Dossiers!$B$56,"")</f>
        <v/>
      </c>
      <c r="B2835" s="18">
        <f>IF($A2835="","",Paramètres!G27)</f>
        <v/>
      </c>
      <c r="C2835" s="18">
        <f>IF($A2835="","",IF(Paramètres!H27="","",Paramètres!H27))</f>
        <v/>
      </c>
      <c r="D2835" s="18">
        <f>IF($A2835="","",IF(Paramètres!I27="","",Paramètres!I27))</f>
        <v/>
      </c>
      <c r="E2835" s="19">
        <f>IF($A2835="","",IF(Paramètres!J27&amp;Paramètres!L27&amp;Paramètres!N27="",Dossiers!$D$56,MAX(IF(Paramètres!J27="",0,IF(Paramètres!K27="",NA(),IF(LEFT(TRIM(Paramètres!K27),1)="F",INDEX($F$2813:$F$2865,MATCH(Paramètres!J27,Paramètres!$G$5:$G$57,0)),INDEX($E$2813:$E$2865,MATCH(Paramètres!J27,Paramètres!$G$5:$G$57,0)))+IF(RIGHT(TRIM(Paramètres!K27),3)="Fin",1-$H2835,IF(LEFT(TRIM(Paramètres!K27),1)="F",1,0)))),IF(Paramètres!L27="",0,IF(Paramètres!M27="",NA(),IF(LEFT(TRIM(Paramètres!M27),1)="F",INDEX($F$2813:$F$2865,MATCH(Paramètres!L27,Paramètres!$G$5:$G$57,0)),INDEX($E$2813:$E$2865,MATCH(Paramètres!L27,Paramètres!$G$5:$G$57,0)))+IF(RIGHT(TRIM(Paramètres!M27),3)="Fin",1-$H2835,IF(LEFT(TRIM(Paramètres!M27),1)="F",1,0)))),IF(Paramètres!N27="",0,IF(Paramètres!O27="",NA(),IF(LEFT(TRIM(Paramètres!O27),1)="F",INDEX($F$2813:$F$2865,MATCH(Paramètres!N27,Paramètres!$G$5:$G$57,0)),INDEX($E$2813:$E$2865,MATCH(Paramètres!N27,Paramètres!$G$5:$G$57,0)))+IF(RIGHT(TRIM(Paramètres!O27),3)="Fin",1-$H2835,IF(LEFT(TRIM(Paramètres!O27),1)="F",1,0)))))))</f>
        <v/>
      </c>
      <c r="F2835" s="19">
        <f>IF($A2835="","",E2835+$H2835-1)</f>
        <v/>
      </c>
      <c r="G2835" s="18" t="n"/>
      <c r="H2835" s="18">
        <f>IF($A2835="","",IF(I2835&lt;&gt;"",I2835,Paramètres!B27))</f>
        <v/>
      </c>
      <c r="I2835" s="18" t="n"/>
    </row>
    <row r="2836">
      <c r="A2836" s="18">
        <f>IF(ISNUMBER(Dossiers!$D$56),Dossiers!$A$56&amp;" · "&amp;Dossiers!$B$56,"")</f>
        <v/>
      </c>
      <c r="B2836" s="18">
        <f>IF($A2836="","",Paramètres!G28)</f>
        <v/>
      </c>
      <c r="C2836" s="18">
        <f>IF($A2836="","",IF(Paramètres!H28="","",Paramètres!H28))</f>
        <v/>
      </c>
      <c r="D2836" s="18">
        <f>IF($A2836="","",IF(Paramètres!I28="","",Paramètres!I28))</f>
        <v/>
      </c>
      <c r="E2836" s="19">
        <f>IF($A2836="","",IF(Paramètres!J28&amp;Paramètres!L28&amp;Paramètres!N28="",Dossiers!$D$56,MAX(IF(Paramètres!J28="",0,IF(Paramètres!K28="",NA(),IF(LEFT(TRIM(Paramètres!K28),1)="F",INDEX($F$2813:$F$2865,MATCH(Paramètres!J28,Paramètres!$G$5:$G$57,0)),INDEX($E$2813:$E$2865,MATCH(Paramètres!J28,Paramètres!$G$5:$G$57,0)))+IF(RIGHT(TRIM(Paramètres!K28),3)="Fin",1-$H2836,IF(LEFT(TRIM(Paramètres!K28),1)="F",1,0)))),IF(Paramètres!L28="",0,IF(Paramètres!M28="",NA(),IF(LEFT(TRIM(Paramètres!M28),1)="F",INDEX($F$2813:$F$2865,MATCH(Paramètres!L28,Paramètres!$G$5:$G$57,0)),INDEX($E$2813:$E$2865,MATCH(Paramètres!L28,Paramètres!$G$5:$G$57,0)))+IF(RIGHT(TRIM(Paramètres!M28),3)="Fin",1-$H2836,IF(LEFT(TRIM(Paramètres!M28),1)="F",1,0)))),IF(Paramètres!N28="",0,IF(Paramètres!O28="",NA(),IF(LEFT(TRIM(Paramètres!O28),1)="F",INDEX($F$2813:$F$2865,MATCH(Paramètres!N28,Paramètres!$G$5:$G$57,0)),INDEX($E$2813:$E$2865,MATCH(Paramètres!N28,Paramètres!$G$5:$G$57,0)))+IF(RIGHT(TRIM(Paramètres!O28),3)="Fin",1-$H2836,IF(LEFT(TRIM(Paramètres!O28),1)="F",1,0)))))))</f>
        <v/>
      </c>
      <c r="F2836" s="19">
        <f>IF($A2836="","",E2836+$H2836-1)</f>
        <v/>
      </c>
      <c r="G2836" s="18" t="n"/>
      <c r="H2836" s="18">
        <f>IF($A2836="","",IF(I2836&lt;&gt;"",I2836,Paramètres!B28))</f>
        <v/>
      </c>
      <c r="I2836" s="18" t="n"/>
    </row>
    <row r="2837">
      <c r="A2837" s="18">
        <f>IF(ISNUMBER(Dossiers!$D$56),Dossiers!$A$56&amp;" · "&amp;Dossiers!$B$56,"")</f>
        <v/>
      </c>
      <c r="B2837" s="18">
        <f>IF($A2837="","",Paramètres!G29)</f>
        <v/>
      </c>
      <c r="C2837" s="18">
        <f>IF($A2837="","",IF(Paramètres!H29="","",Paramètres!H29))</f>
        <v/>
      </c>
      <c r="D2837" s="18">
        <f>IF($A2837="","",IF(Paramètres!I29="","",Paramètres!I29))</f>
        <v/>
      </c>
      <c r="E2837" s="19">
        <f>IF($A2837="","",IF(Paramètres!J29&amp;Paramètres!L29&amp;Paramètres!N29="",Dossiers!$D$56,MAX(IF(Paramètres!J29="",0,IF(Paramètres!K29="",NA(),IF(LEFT(TRIM(Paramètres!K29),1)="F",INDEX($F$2813:$F$2865,MATCH(Paramètres!J29,Paramètres!$G$5:$G$57,0)),INDEX($E$2813:$E$2865,MATCH(Paramètres!J29,Paramètres!$G$5:$G$57,0)))+IF(RIGHT(TRIM(Paramètres!K29),3)="Fin",1-$H2837,IF(LEFT(TRIM(Paramètres!K29),1)="F",1,0)))),IF(Paramètres!L29="",0,IF(Paramètres!M29="",NA(),IF(LEFT(TRIM(Paramètres!M29),1)="F",INDEX($F$2813:$F$2865,MATCH(Paramètres!L29,Paramètres!$G$5:$G$57,0)),INDEX($E$2813:$E$2865,MATCH(Paramètres!L29,Paramètres!$G$5:$G$57,0)))+IF(RIGHT(TRIM(Paramètres!M29),3)="Fin",1-$H2837,IF(LEFT(TRIM(Paramètres!M29),1)="F",1,0)))),IF(Paramètres!N29="",0,IF(Paramètres!O29="",NA(),IF(LEFT(TRIM(Paramètres!O29),1)="F",INDEX($F$2813:$F$2865,MATCH(Paramètres!N29,Paramètres!$G$5:$G$57,0)),INDEX($E$2813:$E$2865,MATCH(Paramètres!N29,Paramètres!$G$5:$G$57,0)))+IF(RIGHT(TRIM(Paramètres!O29),3)="Fin",1-$H2837,IF(LEFT(TRIM(Paramètres!O29),1)="F",1,0)))))))</f>
        <v/>
      </c>
      <c r="F2837" s="19">
        <f>IF($A2837="","",E2837+$H2837-1)</f>
        <v/>
      </c>
      <c r="G2837" s="18" t="n"/>
      <c r="H2837" s="18">
        <f>IF($A2837="","",IF(I2837&lt;&gt;"",I2837,Paramètres!B29))</f>
        <v/>
      </c>
      <c r="I2837" s="18" t="n"/>
    </row>
    <row r="2838">
      <c r="A2838" s="18">
        <f>IF(ISNUMBER(Dossiers!$D$56),Dossiers!$A$56&amp;" · "&amp;Dossiers!$B$56,"")</f>
        <v/>
      </c>
      <c r="B2838" s="18">
        <f>IF($A2838="","",Paramètres!G30)</f>
        <v/>
      </c>
      <c r="C2838" s="18">
        <f>IF($A2838="","",IF(Paramètres!H30="","",Paramètres!H30))</f>
        <v/>
      </c>
      <c r="D2838" s="18">
        <f>IF($A2838="","",IF(Paramètres!I30="","",Paramètres!I30))</f>
        <v/>
      </c>
      <c r="E2838" s="19">
        <f>IF($A2838="","",IF(Paramètres!J30&amp;Paramètres!L30&amp;Paramètres!N30="",Dossiers!$D$56,MAX(IF(Paramètres!J30="",0,IF(Paramètres!K30="",NA(),IF(LEFT(TRIM(Paramètres!K30),1)="F",INDEX($F$2813:$F$2865,MATCH(Paramètres!J30,Paramètres!$G$5:$G$57,0)),INDEX($E$2813:$E$2865,MATCH(Paramètres!J30,Paramètres!$G$5:$G$57,0)))+IF(RIGHT(TRIM(Paramètres!K30),3)="Fin",1-$H2838,IF(LEFT(TRIM(Paramètres!K30),1)="F",1,0)))),IF(Paramètres!L30="",0,IF(Paramètres!M30="",NA(),IF(LEFT(TRIM(Paramètres!M30),1)="F",INDEX($F$2813:$F$2865,MATCH(Paramètres!L30,Paramètres!$G$5:$G$57,0)),INDEX($E$2813:$E$2865,MATCH(Paramètres!L30,Paramètres!$G$5:$G$57,0)))+IF(RIGHT(TRIM(Paramètres!M30),3)="Fin",1-$H2838,IF(LEFT(TRIM(Paramètres!M30),1)="F",1,0)))),IF(Paramètres!N30="",0,IF(Paramètres!O30="",NA(),IF(LEFT(TRIM(Paramètres!O30),1)="F",INDEX($F$2813:$F$2865,MATCH(Paramètres!N30,Paramètres!$G$5:$G$57,0)),INDEX($E$2813:$E$2865,MATCH(Paramètres!N30,Paramètres!$G$5:$G$57,0)))+IF(RIGHT(TRIM(Paramètres!O30),3)="Fin",1-$H2838,IF(LEFT(TRIM(Paramètres!O30),1)="F",1,0)))))))</f>
        <v/>
      </c>
      <c r="F2838" s="19">
        <f>IF($A2838="","",E2838+$H2838-1)</f>
        <v/>
      </c>
      <c r="G2838" s="18" t="n"/>
      <c r="H2838" s="18">
        <f>IF($A2838="","",IF(I2838&lt;&gt;"",I2838,Paramètres!B30))</f>
        <v/>
      </c>
      <c r="I2838" s="18" t="n"/>
    </row>
    <row r="2839">
      <c r="A2839" s="18">
        <f>IF(ISNUMBER(Dossiers!$D$56),Dossiers!$A$56&amp;" · "&amp;Dossiers!$B$56,"")</f>
        <v/>
      </c>
      <c r="B2839" s="18">
        <f>IF($A2839="","",Paramètres!G31)</f>
        <v/>
      </c>
      <c r="C2839" s="20">
        <f>IF($A2839="","",IF(Dossiers!$F$56="","",Dossiers!$F$56))</f>
        <v/>
      </c>
      <c r="D2839" s="18">
        <f>IF($A2839="","",IF(Paramètres!I31="","",Paramètres!I31))</f>
        <v/>
      </c>
      <c r="E2839" s="19">
        <f>IF($A2839="","",IF(Paramètres!J31&amp;Paramètres!L31&amp;Paramètres!N31="",Dossiers!$D$56,MAX(IF(Paramètres!J31="",0,IF(Paramètres!K31="",NA(),IF(LEFT(TRIM(Paramètres!K31),1)="F",INDEX($F$2813:$F$2865,MATCH(Paramètres!J31,Paramètres!$G$5:$G$57,0)),INDEX($E$2813:$E$2865,MATCH(Paramètres!J31,Paramètres!$G$5:$G$57,0)))+IF(RIGHT(TRIM(Paramètres!K31),3)="Fin",1-$H2839,IF(LEFT(TRIM(Paramètres!K31),1)="F",1,0)))),IF(Paramètres!L31="",0,IF(Paramètres!M31="",NA(),IF(LEFT(TRIM(Paramètres!M31),1)="F",INDEX($F$2813:$F$2865,MATCH(Paramètres!L31,Paramètres!$G$5:$G$57,0)),INDEX($E$2813:$E$2865,MATCH(Paramètres!L31,Paramètres!$G$5:$G$57,0)))+IF(RIGHT(TRIM(Paramètres!M31),3)="Fin",1-$H2839,IF(LEFT(TRIM(Paramètres!M31),1)="F",1,0)))),IF(Paramètres!N31="",0,IF(Paramètres!O31="",NA(),IF(LEFT(TRIM(Paramètres!O31),1)="F",INDEX($F$2813:$F$2865,MATCH(Paramètres!N31,Paramètres!$G$5:$G$57,0)),INDEX($E$2813:$E$2865,MATCH(Paramètres!N31,Paramètres!$G$5:$G$57,0)))+IF(RIGHT(TRIM(Paramètres!O31),3)="Fin",1-$H2839,IF(LEFT(TRIM(Paramètres!O31),1)="F",1,0)))))))</f>
        <v/>
      </c>
      <c r="F2839" s="19">
        <f>IF($A2839="","",E2839+$H2839-1)</f>
        <v/>
      </c>
      <c r="G2839" s="18" t="n"/>
      <c r="H2839" s="18">
        <f>IF($A2839="","",IF(I2839&lt;&gt;"",I2839,Paramètres!B31))</f>
        <v/>
      </c>
      <c r="I2839" s="18" t="n"/>
    </row>
    <row r="2840">
      <c r="A2840" s="18">
        <f>IF(ISNUMBER(Dossiers!$D$56),Dossiers!$A$56&amp;" · "&amp;Dossiers!$B$56,"")</f>
        <v/>
      </c>
      <c r="B2840" s="18">
        <f>IF($A2840="","",Paramètres!G32)</f>
        <v/>
      </c>
      <c r="C2840" s="18">
        <f>IF($A2840="","",IF(Paramètres!H32="","",Paramètres!H32))</f>
        <v/>
      </c>
      <c r="D2840" s="18">
        <f>IF($A2840="","",IF(Paramètres!I32="","",Paramètres!I32))</f>
        <v/>
      </c>
      <c r="E2840" s="19">
        <f>IF($A2840="","",MIN(E2841:E2844))</f>
        <v/>
      </c>
      <c r="F2840" s="19">
        <f>IF($A2840="","",MAX(F2841:F2844))</f>
        <v/>
      </c>
      <c r="G2840" s="18" t="n"/>
      <c r="H2840" s="18">
        <f>IF($A2840="","",F2840-E2840+1)</f>
        <v/>
      </c>
      <c r="I2840" s="18" t="n"/>
    </row>
    <row r="2841">
      <c r="A2841" s="18">
        <f>IF(ISNUMBER(Dossiers!$D$56),Dossiers!$A$56&amp;" · "&amp;Dossiers!$B$56,"")</f>
        <v/>
      </c>
      <c r="B2841" s="18">
        <f>IF($A2841="","",Paramètres!G33)</f>
        <v/>
      </c>
      <c r="C2841" s="18">
        <f>IF($A2841="","",IF(Paramètres!H33="","",Paramètres!H33))</f>
        <v/>
      </c>
      <c r="D2841" s="18">
        <f>IF($A2841="","",IF(Paramètres!I33="","",Paramètres!I33))</f>
        <v/>
      </c>
      <c r="E2841" s="19">
        <f>IF($A2841="","",IF(Paramètres!J33&amp;Paramètres!L33&amp;Paramètres!N33="",Dossiers!$D$56,MAX(IF(Paramètres!J33="",0,IF(Paramètres!K33="",NA(),IF(LEFT(TRIM(Paramètres!K33),1)="F",INDEX($F$2813:$F$2865,MATCH(Paramètres!J33,Paramètres!$G$5:$G$57,0)),INDEX($E$2813:$E$2865,MATCH(Paramètres!J33,Paramètres!$G$5:$G$57,0)))+IF(RIGHT(TRIM(Paramètres!K33),3)="Fin",1-$H2841,IF(LEFT(TRIM(Paramètres!K33),1)="F",1,0)))),IF(Paramètres!L33="",0,IF(Paramètres!M33="",NA(),IF(LEFT(TRIM(Paramètres!M33),1)="F",INDEX($F$2813:$F$2865,MATCH(Paramètres!L33,Paramètres!$G$5:$G$57,0)),INDEX($E$2813:$E$2865,MATCH(Paramètres!L33,Paramètres!$G$5:$G$57,0)))+IF(RIGHT(TRIM(Paramètres!M33),3)="Fin",1-$H2841,IF(LEFT(TRIM(Paramètres!M33),1)="F",1,0)))),IF(Paramètres!N33="",0,IF(Paramètres!O33="",NA(),IF(LEFT(TRIM(Paramètres!O33),1)="F",INDEX($F$2813:$F$2865,MATCH(Paramètres!N33,Paramètres!$G$5:$G$57,0)),INDEX($E$2813:$E$2865,MATCH(Paramètres!N33,Paramètres!$G$5:$G$57,0)))+IF(RIGHT(TRIM(Paramètres!O33),3)="Fin",1-$H2841,IF(LEFT(TRIM(Paramètres!O33),1)="F",1,0)))))))</f>
        <v/>
      </c>
      <c r="F2841" s="19">
        <f>IF($A2841="","",E2841+$H2841-1)</f>
        <v/>
      </c>
      <c r="G2841" s="18" t="n"/>
      <c r="H2841" s="18">
        <f>IF($A2841="","",IF(I2841&lt;&gt;"",I2841,Paramètres!B33))</f>
        <v/>
      </c>
      <c r="I2841" s="18" t="n"/>
    </row>
    <row r="2842">
      <c r="A2842" s="18">
        <f>IF(ISNUMBER(Dossiers!$D$56),Dossiers!$A$56&amp;" · "&amp;Dossiers!$B$56,"")</f>
        <v/>
      </c>
      <c r="B2842" s="18">
        <f>IF($A2842="","",Paramètres!G34)</f>
        <v/>
      </c>
      <c r="C2842" s="18">
        <f>IF($A2842="","",IF(Paramètres!H34="","",Paramètres!H34))</f>
        <v/>
      </c>
      <c r="D2842" s="18">
        <f>IF($A2842="","",IF(Paramètres!I34="","",Paramètres!I34))</f>
        <v/>
      </c>
      <c r="E2842" s="19">
        <f>IF($A2842="","",IF(Paramètres!J34&amp;Paramètres!L34&amp;Paramètres!N34="",Dossiers!$D$56,MAX(IF(Paramètres!J34="",0,IF(Paramètres!K34="",NA(),IF(LEFT(TRIM(Paramètres!K34),1)="F",INDEX($F$2813:$F$2865,MATCH(Paramètres!J34,Paramètres!$G$5:$G$57,0)),INDEX($E$2813:$E$2865,MATCH(Paramètres!J34,Paramètres!$G$5:$G$57,0)))+IF(RIGHT(TRIM(Paramètres!K34),3)="Fin",1-$H2842,IF(LEFT(TRIM(Paramètres!K34),1)="F",1,0)))),IF(Paramètres!L34="",0,IF(Paramètres!M34="",NA(),IF(LEFT(TRIM(Paramètres!M34),1)="F",INDEX($F$2813:$F$2865,MATCH(Paramètres!L34,Paramètres!$G$5:$G$57,0)),INDEX($E$2813:$E$2865,MATCH(Paramètres!L34,Paramètres!$G$5:$G$57,0)))+IF(RIGHT(TRIM(Paramètres!M34),3)="Fin",1-$H2842,IF(LEFT(TRIM(Paramètres!M34),1)="F",1,0)))),IF(Paramètres!N34="",0,IF(Paramètres!O34="",NA(),IF(LEFT(TRIM(Paramètres!O34),1)="F",INDEX($F$2813:$F$2865,MATCH(Paramètres!N34,Paramètres!$G$5:$G$57,0)),INDEX($E$2813:$E$2865,MATCH(Paramètres!N34,Paramètres!$G$5:$G$57,0)))+IF(RIGHT(TRIM(Paramètres!O34),3)="Fin",1-$H2842,IF(LEFT(TRIM(Paramètres!O34),1)="F",1,0)))))))</f>
        <v/>
      </c>
      <c r="F2842" s="19">
        <f>IF($A2842="","",E2842+$H2842-1)</f>
        <v/>
      </c>
      <c r="G2842" s="18" t="n"/>
      <c r="H2842" s="18">
        <f>IF($A2842="","",IF(I2842&lt;&gt;"",I2842,Paramètres!B34))</f>
        <v/>
      </c>
      <c r="I2842" s="18" t="n"/>
    </row>
    <row r="2843">
      <c r="A2843" s="18">
        <f>IF(ISNUMBER(Dossiers!$D$56),Dossiers!$A$56&amp;" · "&amp;Dossiers!$B$56,"")</f>
        <v/>
      </c>
      <c r="B2843" s="18">
        <f>IF($A2843="","",Paramètres!G35)</f>
        <v/>
      </c>
      <c r="C2843" s="18">
        <f>IF($A2843="","",IF(Paramètres!H35="","",Paramètres!H35))</f>
        <v/>
      </c>
      <c r="D2843" s="18">
        <f>IF($A2843="","",IF(Paramètres!I35="","",Paramètres!I35))</f>
        <v/>
      </c>
      <c r="E2843" s="19">
        <f>IF($A2843="","",IF(Paramètres!J35&amp;Paramètres!L35&amp;Paramètres!N35="",Dossiers!$D$56,MAX(IF(Paramètres!J35="",0,IF(Paramètres!K35="",NA(),IF(LEFT(TRIM(Paramètres!K35),1)="F",INDEX($F$2813:$F$2865,MATCH(Paramètres!J35,Paramètres!$G$5:$G$57,0)),INDEX($E$2813:$E$2865,MATCH(Paramètres!J35,Paramètres!$G$5:$G$57,0)))+IF(RIGHT(TRIM(Paramètres!K35),3)="Fin",1-$H2843,IF(LEFT(TRIM(Paramètres!K35),1)="F",1,0)))),IF(Paramètres!L35="",0,IF(Paramètres!M35="",NA(),IF(LEFT(TRIM(Paramètres!M35),1)="F",INDEX($F$2813:$F$2865,MATCH(Paramètres!L35,Paramètres!$G$5:$G$57,0)),INDEX($E$2813:$E$2865,MATCH(Paramètres!L35,Paramètres!$G$5:$G$57,0)))+IF(RIGHT(TRIM(Paramètres!M35),3)="Fin",1-$H2843,IF(LEFT(TRIM(Paramètres!M35),1)="F",1,0)))),IF(Paramètres!N35="",0,IF(Paramètres!O35="",NA(),IF(LEFT(TRIM(Paramètres!O35),1)="F",INDEX($F$2813:$F$2865,MATCH(Paramètres!N35,Paramètres!$G$5:$G$57,0)),INDEX($E$2813:$E$2865,MATCH(Paramètres!N35,Paramètres!$G$5:$G$57,0)))+IF(RIGHT(TRIM(Paramètres!O35),3)="Fin",1-$H2843,IF(LEFT(TRIM(Paramètres!O35),1)="F",1,0)))))))</f>
        <v/>
      </c>
      <c r="F2843" s="19">
        <f>IF($A2843="","",E2843+$H2843-1)</f>
        <v/>
      </c>
      <c r="G2843" s="18" t="n"/>
      <c r="H2843" s="18">
        <f>IF($A2843="","",IF(I2843&lt;&gt;"",I2843,Paramètres!B35))</f>
        <v/>
      </c>
      <c r="I2843" s="18" t="n"/>
    </row>
    <row r="2844">
      <c r="A2844" s="18">
        <f>IF(ISNUMBER(Dossiers!$D$56),Dossiers!$A$56&amp;" · "&amp;Dossiers!$B$56,"")</f>
        <v/>
      </c>
      <c r="B2844" s="18">
        <f>IF($A2844="","",Paramètres!G36)</f>
        <v/>
      </c>
      <c r="C2844" s="18">
        <f>IF($A2844="","",IF(Paramètres!H36="","",Paramètres!H36))</f>
        <v/>
      </c>
      <c r="D2844" s="18">
        <f>IF($A2844="","",IF(Paramètres!I36="","",Paramètres!I36))</f>
        <v/>
      </c>
      <c r="E2844" s="19">
        <f>IF($A2844="","",IF(Paramètres!J36&amp;Paramètres!L36&amp;Paramètres!N36="",Dossiers!$D$56,MAX(IF(Paramètres!J36="",0,IF(Paramètres!K36="",NA(),IF(LEFT(TRIM(Paramètres!K36),1)="F",INDEX($F$2813:$F$2865,MATCH(Paramètres!J36,Paramètres!$G$5:$G$57,0)),INDEX($E$2813:$E$2865,MATCH(Paramètres!J36,Paramètres!$G$5:$G$57,0)))+IF(RIGHT(TRIM(Paramètres!K36),3)="Fin",1-$H2844,IF(LEFT(TRIM(Paramètres!K36),1)="F",1,0)))),IF(Paramètres!L36="",0,IF(Paramètres!M36="",NA(),IF(LEFT(TRIM(Paramètres!M36),1)="F",INDEX($F$2813:$F$2865,MATCH(Paramètres!L36,Paramètres!$G$5:$G$57,0)),INDEX($E$2813:$E$2865,MATCH(Paramètres!L36,Paramètres!$G$5:$G$57,0)))+IF(RIGHT(TRIM(Paramètres!M36),3)="Fin",1-$H2844,IF(LEFT(TRIM(Paramètres!M36),1)="F",1,0)))),IF(Paramètres!N36="",0,IF(Paramètres!O36="",NA(),IF(LEFT(TRIM(Paramètres!O36),1)="F",INDEX($F$2813:$F$2865,MATCH(Paramètres!N36,Paramètres!$G$5:$G$57,0)),INDEX($E$2813:$E$2865,MATCH(Paramètres!N36,Paramètres!$G$5:$G$57,0)))+IF(RIGHT(TRIM(Paramètres!O36),3)="Fin",1-$H2844,IF(LEFT(TRIM(Paramètres!O36),1)="F",1,0)))))))</f>
        <v/>
      </c>
      <c r="F2844" s="19">
        <f>IF($A2844="","",E2844+$H2844-1)</f>
        <v/>
      </c>
      <c r="G2844" s="18" t="n"/>
      <c r="H2844" s="18">
        <f>IF($A2844="","",IF(I2844&lt;&gt;"",I2844,Paramètres!B36))</f>
        <v/>
      </c>
      <c r="I2844" s="18" t="n"/>
    </row>
    <row r="2845">
      <c r="A2845" s="18">
        <f>IF(ISNUMBER(Dossiers!$D$56),Dossiers!$A$56&amp;" · "&amp;Dossiers!$B$56,"")</f>
        <v/>
      </c>
      <c r="B2845" s="18">
        <f>IF($A2845="","",Paramètres!G37)</f>
        <v/>
      </c>
      <c r="C2845" s="18">
        <f>IF($A2845="","",IF(Paramètres!H37="","",Paramètres!H37))</f>
        <v/>
      </c>
      <c r="D2845" s="18">
        <f>IF($A2845="","",IF(Paramètres!I37="","",Paramètres!I37))</f>
        <v/>
      </c>
      <c r="E2845" s="19">
        <f>IF($A2845="","",MIN(E2846:E2863))</f>
        <v/>
      </c>
      <c r="F2845" s="19">
        <f>IF($A2845="","",MAX(F2846:F2863))</f>
        <v/>
      </c>
      <c r="G2845" s="18" t="n"/>
      <c r="H2845" s="18">
        <f>IF($A2845="","",F2845-E2845+1)</f>
        <v/>
      </c>
      <c r="I2845" s="18" t="n"/>
    </row>
    <row r="2846">
      <c r="A2846" s="18">
        <f>IF(ISNUMBER(Dossiers!$D$56),Dossiers!$A$56&amp;" · "&amp;Dossiers!$B$56,"")</f>
        <v/>
      </c>
      <c r="B2846" s="18">
        <f>IF($A2846="","",Paramètres!G38)</f>
        <v/>
      </c>
      <c r="C2846" s="18">
        <f>IF($A2846="","",IF(Paramètres!H38="","",Paramètres!H38))</f>
        <v/>
      </c>
      <c r="D2846" s="18">
        <f>IF($A2846="","",IF(Paramètres!I38="","",Paramètres!I38))</f>
        <v/>
      </c>
      <c r="E2846" s="19">
        <f>IF($A2846="","",IF(Paramètres!J38&amp;Paramètres!L38&amp;Paramètres!N38="",Dossiers!$D$56,MAX(IF(Paramètres!J38="",0,IF(Paramètres!K38="",NA(),IF(LEFT(TRIM(Paramètres!K38),1)="F",INDEX($F$2813:$F$2865,MATCH(Paramètres!J38,Paramètres!$G$5:$G$57,0)),INDEX($E$2813:$E$2865,MATCH(Paramètres!J38,Paramètres!$G$5:$G$57,0)))+IF(RIGHT(TRIM(Paramètres!K38),3)="Fin",1-$H2846,IF(LEFT(TRIM(Paramètres!K38),1)="F",1,0)))),IF(Paramètres!L38="",0,IF(Paramètres!M38="",NA(),IF(LEFT(TRIM(Paramètres!M38),1)="F",INDEX($F$2813:$F$2865,MATCH(Paramètres!L38,Paramètres!$G$5:$G$57,0)),INDEX($E$2813:$E$2865,MATCH(Paramètres!L38,Paramètres!$G$5:$G$57,0)))+IF(RIGHT(TRIM(Paramètres!M38),3)="Fin",1-$H2846,IF(LEFT(TRIM(Paramètres!M38),1)="F",1,0)))),IF(Paramètres!N38="",0,IF(Paramètres!O38="",NA(),IF(LEFT(TRIM(Paramètres!O38),1)="F",INDEX($F$2813:$F$2865,MATCH(Paramètres!N38,Paramètres!$G$5:$G$57,0)),INDEX($E$2813:$E$2865,MATCH(Paramètres!N38,Paramètres!$G$5:$G$57,0)))+IF(RIGHT(TRIM(Paramètres!O38),3)="Fin",1-$H2846,IF(LEFT(TRIM(Paramètres!O38),1)="F",1,0)))))))</f>
        <v/>
      </c>
      <c r="F2846" s="19">
        <f>IF($A2846="","",E2846+$H2846-1)</f>
        <v/>
      </c>
      <c r="G2846" s="18" t="n"/>
      <c r="H2846" s="18">
        <f>IF($A2846="","",IF(I2846&lt;&gt;"",I2846,Paramètres!B38))</f>
        <v/>
      </c>
      <c r="I2846" s="18" t="n"/>
    </row>
    <row r="2847">
      <c r="A2847" s="18">
        <f>IF(ISNUMBER(Dossiers!$D$56),Dossiers!$A$56&amp;" · "&amp;Dossiers!$B$56,"")</f>
        <v/>
      </c>
      <c r="B2847" s="18">
        <f>IF($A2847="","",Paramètres!G39)</f>
        <v/>
      </c>
      <c r="C2847" s="18">
        <f>IF($A2847="","",IF(Paramètres!H39="","",Paramètres!H39))</f>
        <v/>
      </c>
      <c r="D2847" s="18">
        <f>IF($A2847="","",IF(Paramètres!I39="","",Paramètres!I39))</f>
        <v/>
      </c>
      <c r="E2847" s="19">
        <f>IF($A2847="","",IF(Paramètres!J39&amp;Paramètres!L39&amp;Paramètres!N39="",Dossiers!$D$56,MAX(IF(Paramètres!J39="",0,IF(Paramètres!K39="",NA(),IF(LEFT(TRIM(Paramètres!K39),1)="F",INDEX($F$2813:$F$2865,MATCH(Paramètres!J39,Paramètres!$G$5:$G$57,0)),INDEX($E$2813:$E$2865,MATCH(Paramètres!J39,Paramètres!$G$5:$G$57,0)))+IF(RIGHT(TRIM(Paramètres!K39),3)="Fin",1-$H2847,IF(LEFT(TRIM(Paramètres!K39),1)="F",1,0)))),IF(Paramètres!L39="",0,IF(Paramètres!M39="",NA(),IF(LEFT(TRIM(Paramètres!M39),1)="F",INDEX($F$2813:$F$2865,MATCH(Paramètres!L39,Paramètres!$G$5:$G$57,0)),INDEX($E$2813:$E$2865,MATCH(Paramètres!L39,Paramètres!$G$5:$G$57,0)))+IF(RIGHT(TRIM(Paramètres!M39),3)="Fin",1-$H2847,IF(LEFT(TRIM(Paramètres!M39),1)="F",1,0)))),IF(Paramètres!N39="",0,IF(Paramètres!O39="",NA(),IF(LEFT(TRIM(Paramètres!O39),1)="F",INDEX($F$2813:$F$2865,MATCH(Paramètres!N39,Paramètres!$G$5:$G$57,0)),INDEX($E$2813:$E$2865,MATCH(Paramètres!N39,Paramètres!$G$5:$G$57,0)))+IF(RIGHT(TRIM(Paramètres!O39),3)="Fin",1-$H2847,IF(LEFT(TRIM(Paramètres!O39),1)="F",1,0)))))))</f>
        <v/>
      </c>
      <c r="F2847" s="19">
        <f>IF($A2847="","",E2847+$H2847-1)</f>
        <v/>
      </c>
      <c r="G2847" s="18" t="n"/>
      <c r="H2847" s="18">
        <f>IF($A2847="","",IF(I2847&lt;&gt;"",I2847,Paramètres!B39))</f>
        <v/>
      </c>
      <c r="I2847" s="18" t="n"/>
    </row>
    <row r="2848">
      <c r="A2848" s="18">
        <f>IF(ISNUMBER(Dossiers!$D$56),Dossiers!$A$56&amp;" · "&amp;Dossiers!$B$56,"")</f>
        <v/>
      </c>
      <c r="B2848" s="18">
        <f>IF($A2848="","",Paramètres!G40)</f>
        <v/>
      </c>
      <c r="C2848" s="18">
        <f>IF($A2848="","",IF(Paramètres!H40="","",Paramètres!H40))</f>
        <v/>
      </c>
      <c r="D2848" s="18">
        <f>IF($A2848="","",IF(Paramètres!I40="","",Paramètres!I40))</f>
        <v/>
      </c>
      <c r="E2848" s="19">
        <f>IF($A2848="","",IF(Paramètres!J40&amp;Paramètres!L40&amp;Paramètres!N40="",Dossiers!$D$56,MAX(IF(Paramètres!J40="",0,IF(Paramètres!K40="",NA(),IF(LEFT(TRIM(Paramètres!K40),1)="F",INDEX($F$2813:$F$2865,MATCH(Paramètres!J40,Paramètres!$G$5:$G$57,0)),INDEX($E$2813:$E$2865,MATCH(Paramètres!J40,Paramètres!$G$5:$G$57,0)))+IF(RIGHT(TRIM(Paramètres!K40),3)="Fin",1-$H2848,IF(LEFT(TRIM(Paramètres!K40),1)="F",1,0)))),IF(Paramètres!L40="",0,IF(Paramètres!M40="",NA(),IF(LEFT(TRIM(Paramètres!M40),1)="F",INDEX($F$2813:$F$2865,MATCH(Paramètres!L40,Paramètres!$G$5:$G$57,0)),INDEX($E$2813:$E$2865,MATCH(Paramètres!L40,Paramètres!$G$5:$G$57,0)))+IF(RIGHT(TRIM(Paramètres!M40),3)="Fin",1-$H2848,IF(LEFT(TRIM(Paramètres!M40),1)="F",1,0)))),IF(Paramètres!N40="",0,IF(Paramètres!O40="",NA(),IF(LEFT(TRIM(Paramètres!O40),1)="F",INDEX($F$2813:$F$2865,MATCH(Paramètres!N40,Paramètres!$G$5:$G$57,0)),INDEX($E$2813:$E$2865,MATCH(Paramètres!N40,Paramètres!$G$5:$G$57,0)))+IF(RIGHT(TRIM(Paramètres!O40),3)="Fin",1-$H2848,IF(LEFT(TRIM(Paramètres!O40),1)="F",1,0)))))))</f>
        <v/>
      </c>
      <c r="F2848" s="19">
        <f>IF($A2848="","",E2848+$H2848-1)</f>
        <v/>
      </c>
      <c r="G2848" s="18" t="n"/>
      <c r="H2848" s="18">
        <f>IF($A2848="","",IF(I2848&lt;&gt;"",I2848,Paramètres!B40))</f>
        <v/>
      </c>
      <c r="I2848" s="18" t="n"/>
    </row>
    <row r="2849">
      <c r="A2849" s="18">
        <f>IF(ISNUMBER(Dossiers!$D$56),Dossiers!$A$56&amp;" · "&amp;Dossiers!$B$56,"")</f>
        <v/>
      </c>
      <c r="B2849" s="18">
        <f>IF($A2849="","",Paramètres!G41)</f>
        <v/>
      </c>
      <c r="C2849" s="18">
        <f>IF($A2849="","",IF(Paramètres!H41="","",Paramètres!H41))</f>
        <v/>
      </c>
      <c r="D2849" s="18">
        <f>IF($A2849="","",IF(Paramètres!I41="","",Paramètres!I41))</f>
        <v/>
      </c>
      <c r="E2849" s="19">
        <f>IF($A2849="","",IF(Paramètres!J41&amp;Paramètres!L41&amp;Paramètres!N41="",Dossiers!$D$56,MAX(IF(Paramètres!J41="",0,IF(Paramètres!K41="",NA(),IF(LEFT(TRIM(Paramètres!K41),1)="F",INDEX($F$2813:$F$2865,MATCH(Paramètres!J41,Paramètres!$G$5:$G$57,0)),INDEX($E$2813:$E$2865,MATCH(Paramètres!J41,Paramètres!$G$5:$G$57,0)))+IF(RIGHT(TRIM(Paramètres!K41),3)="Fin",1-$H2849,IF(LEFT(TRIM(Paramètres!K41),1)="F",1,0)))),IF(Paramètres!L41="",0,IF(Paramètres!M41="",NA(),IF(LEFT(TRIM(Paramètres!M41),1)="F",INDEX($F$2813:$F$2865,MATCH(Paramètres!L41,Paramètres!$G$5:$G$57,0)),INDEX($E$2813:$E$2865,MATCH(Paramètres!L41,Paramètres!$G$5:$G$57,0)))+IF(RIGHT(TRIM(Paramètres!M41),3)="Fin",1-$H2849,IF(LEFT(TRIM(Paramètres!M41),1)="F",1,0)))),IF(Paramètres!N41="",0,IF(Paramètres!O41="",NA(),IF(LEFT(TRIM(Paramètres!O41),1)="F",INDEX($F$2813:$F$2865,MATCH(Paramètres!N41,Paramètres!$G$5:$G$57,0)),INDEX($E$2813:$E$2865,MATCH(Paramètres!N41,Paramètres!$G$5:$G$57,0)))+IF(RIGHT(TRIM(Paramètres!O41),3)="Fin",1-$H2849,IF(LEFT(TRIM(Paramètres!O41),1)="F",1,0)))))))</f>
        <v/>
      </c>
      <c r="F2849" s="19">
        <f>IF($A2849="","",E2849+$H2849-1)</f>
        <v/>
      </c>
      <c r="G2849" s="18" t="n"/>
      <c r="H2849" s="18">
        <f>IF($A2849="","",IF(I2849&lt;&gt;"",I2849,Paramètres!B41))</f>
        <v/>
      </c>
      <c r="I2849" s="18" t="n"/>
    </row>
    <row r="2850">
      <c r="A2850" s="18">
        <f>IF(ISNUMBER(Dossiers!$D$56),Dossiers!$A$56&amp;" · "&amp;Dossiers!$B$56,"")</f>
        <v/>
      </c>
      <c r="B2850" s="18">
        <f>IF($A2850="","",Paramètres!G42)</f>
        <v/>
      </c>
      <c r="C2850" s="18">
        <f>IF($A2850="","",IF(Paramètres!H42="","",Paramètres!H42))</f>
        <v/>
      </c>
      <c r="D2850" s="18">
        <f>IF($A2850="","",IF(Paramètres!I42="","",Paramètres!I42))</f>
        <v/>
      </c>
      <c r="E2850" s="19">
        <f>IF($A2850="","",IF(Paramètres!J42&amp;Paramètres!L42&amp;Paramètres!N42="",Dossiers!$D$56,MAX(IF(Paramètres!J42="",0,IF(Paramètres!K42="",NA(),IF(LEFT(TRIM(Paramètres!K42),1)="F",INDEX($F$2813:$F$2865,MATCH(Paramètres!J42,Paramètres!$G$5:$G$57,0)),INDEX($E$2813:$E$2865,MATCH(Paramètres!J42,Paramètres!$G$5:$G$57,0)))+IF(RIGHT(TRIM(Paramètres!K42),3)="Fin",1-$H2850,IF(LEFT(TRIM(Paramètres!K42),1)="F",1,0)))),IF(Paramètres!L42="",0,IF(Paramètres!M42="",NA(),IF(LEFT(TRIM(Paramètres!M42),1)="F",INDEX($F$2813:$F$2865,MATCH(Paramètres!L42,Paramètres!$G$5:$G$57,0)),INDEX($E$2813:$E$2865,MATCH(Paramètres!L42,Paramètres!$G$5:$G$57,0)))+IF(RIGHT(TRIM(Paramètres!M42),3)="Fin",1-$H2850,IF(LEFT(TRIM(Paramètres!M42),1)="F",1,0)))),IF(Paramètres!N42="",0,IF(Paramètres!O42="",NA(),IF(LEFT(TRIM(Paramètres!O42),1)="F",INDEX($F$2813:$F$2865,MATCH(Paramètres!N42,Paramètres!$G$5:$G$57,0)),INDEX($E$2813:$E$2865,MATCH(Paramètres!N42,Paramètres!$G$5:$G$57,0)))+IF(RIGHT(TRIM(Paramètres!O42),3)="Fin",1-$H2850,IF(LEFT(TRIM(Paramètres!O42),1)="F",1,0)))))))</f>
        <v/>
      </c>
      <c r="F2850" s="19">
        <f>IF($A2850="","",E2850+$H2850-1)</f>
        <v/>
      </c>
      <c r="G2850" s="18" t="n"/>
      <c r="H2850" s="18">
        <f>IF($A2850="","",IF(I2850&lt;&gt;"",I2850,Paramètres!B42))</f>
        <v/>
      </c>
      <c r="I2850" s="18" t="n"/>
    </row>
    <row r="2851">
      <c r="A2851" s="18">
        <f>IF(ISNUMBER(Dossiers!$D$56),Dossiers!$A$56&amp;" · "&amp;Dossiers!$B$56,"")</f>
        <v/>
      </c>
      <c r="B2851" s="18">
        <f>IF($A2851="","",Paramètres!G43)</f>
        <v/>
      </c>
      <c r="C2851" s="18">
        <f>IF($A2851="","",IF(Paramètres!H43="","",Paramètres!H43))</f>
        <v/>
      </c>
      <c r="D2851" s="18">
        <f>IF($A2851="","",IF(Paramètres!I43="","",Paramètres!I43))</f>
        <v/>
      </c>
      <c r="E2851" s="19">
        <f>IF($A2851="","",IF(Paramètres!J43&amp;Paramètres!L43&amp;Paramètres!N43="",Dossiers!$D$56,MAX(IF(Paramètres!J43="",0,IF(Paramètres!K43="",NA(),IF(LEFT(TRIM(Paramètres!K43),1)="F",INDEX($F$2813:$F$2865,MATCH(Paramètres!J43,Paramètres!$G$5:$G$57,0)),INDEX($E$2813:$E$2865,MATCH(Paramètres!J43,Paramètres!$G$5:$G$57,0)))+IF(RIGHT(TRIM(Paramètres!K43),3)="Fin",1-$H2851,IF(LEFT(TRIM(Paramètres!K43),1)="F",1,0)))),IF(Paramètres!L43="",0,IF(Paramètres!M43="",NA(),IF(LEFT(TRIM(Paramètres!M43),1)="F",INDEX($F$2813:$F$2865,MATCH(Paramètres!L43,Paramètres!$G$5:$G$57,0)),INDEX($E$2813:$E$2865,MATCH(Paramètres!L43,Paramètres!$G$5:$G$57,0)))+IF(RIGHT(TRIM(Paramètres!M43),3)="Fin",1-$H2851,IF(LEFT(TRIM(Paramètres!M43),1)="F",1,0)))),IF(Paramètres!N43="",0,IF(Paramètres!O43="",NA(),IF(LEFT(TRIM(Paramètres!O43),1)="F",INDEX($F$2813:$F$2865,MATCH(Paramètres!N43,Paramètres!$G$5:$G$57,0)),INDEX($E$2813:$E$2865,MATCH(Paramètres!N43,Paramètres!$G$5:$G$57,0)))+IF(RIGHT(TRIM(Paramètres!O43),3)="Fin",1-$H2851,IF(LEFT(TRIM(Paramètres!O43),1)="F",1,0)))))))</f>
        <v/>
      </c>
      <c r="F2851" s="19">
        <f>IF($A2851="","",E2851+$H2851-1)</f>
        <v/>
      </c>
      <c r="G2851" s="18" t="n"/>
      <c r="H2851" s="18">
        <f>IF($A2851="","",IF(I2851&lt;&gt;"",I2851,Paramètres!B43))</f>
        <v/>
      </c>
      <c r="I2851" s="18" t="n"/>
    </row>
    <row r="2852">
      <c r="A2852" s="18">
        <f>IF(ISNUMBER(Dossiers!$D$56),Dossiers!$A$56&amp;" · "&amp;Dossiers!$B$56,"")</f>
        <v/>
      </c>
      <c r="B2852" s="18">
        <f>IF($A2852="","",Paramètres!G44)</f>
        <v/>
      </c>
      <c r="C2852" s="18">
        <f>IF($A2852="","",IF(Paramètres!H44="","",Paramètres!H44))</f>
        <v/>
      </c>
      <c r="D2852" s="18">
        <f>IF($A2852="","",IF(Paramètres!I44="","",Paramètres!I44))</f>
        <v/>
      </c>
      <c r="E2852" s="19">
        <f>IF($A2852="","",IF(Paramètres!J44&amp;Paramètres!L44&amp;Paramètres!N44="",Dossiers!$D$56,MAX(IF(Paramètres!J44="",0,IF(Paramètres!K44="",NA(),IF(LEFT(TRIM(Paramètres!K44),1)="F",INDEX($F$2813:$F$2865,MATCH(Paramètres!J44,Paramètres!$G$5:$G$57,0)),INDEX($E$2813:$E$2865,MATCH(Paramètres!J44,Paramètres!$G$5:$G$57,0)))+IF(RIGHT(TRIM(Paramètres!K44),3)="Fin",1-$H2852,IF(LEFT(TRIM(Paramètres!K44),1)="F",1,0)))),IF(Paramètres!L44="",0,IF(Paramètres!M44="",NA(),IF(LEFT(TRIM(Paramètres!M44),1)="F",INDEX($F$2813:$F$2865,MATCH(Paramètres!L44,Paramètres!$G$5:$G$57,0)),INDEX($E$2813:$E$2865,MATCH(Paramètres!L44,Paramètres!$G$5:$G$57,0)))+IF(RIGHT(TRIM(Paramètres!M44),3)="Fin",1-$H2852,IF(LEFT(TRIM(Paramètres!M44),1)="F",1,0)))),IF(Paramètres!N44="",0,IF(Paramètres!O44="",NA(),IF(LEFT(TRIM(Paramètres!O44),1)="F",INDEX($F$2813:$F$2865,MATCH(Paramètres!N44,Paramètres!$G$5:$G$57,0)),INDEX($E$2813:$E$2865,MATCH(Paramètres!N44,Paramètres!$G$5:$G$57,0)))+IF(RIGHT(TRIM(Paramètres!O44),3)="Fin",1-$H2852,IF(LEFT(TRIM(Paramètres!O44),1)="F",1,0)))))))</f>
        <v/>
      </c>
      <c r="F2852" s="19">
        <f>IF($A2852="","",E2852+$H2852-1)</f>
        <v/>
      </c>
      <c r="G2852" s="18" t="n"/>
      <c r="H2852" s="18">
        <f>IF($A2852="","",IF(I2852&lt;&gt;"",I2852,Paramètres!B44))</f>
        <v/>
      </c>
      <c r="I2852" s="18" t="n"/>
    </row>
    <row r="2853">
      <c r="A2853" s="18">
        <f>IF(ISNUMBER(Dossiers!$D$56),Dossiers!$A$56&amp;" · "&amp;Dossiers!$B$56,"")</f>
        <v/>
      </c>
      <c r="B2853" s="18">
        <f>IF($A2853="","",Paramètres!G45)</f>
        <v/>
      </c>
      <c r="C2853" s="20">
        <f>IF($A2853="","",IF(Dossiers!$G$56="","",Dossiers!$G$56))</f>
        <v/>
      </c>
      <c r="D2853" s="18">
        <f>IF($A2853="","",IF(Paramètres!I45="","",Paramètres!I45))</f>
        <v/>
      </c>
      <c r="E2853" s="19">
        <f>IF($A2853="","",IF(Paramètres!J45&amp;Paramètres!L45&amp;Paramètres!N45="",Dossiers!$D$56,MAX(IF(Paramètres!J45="",0,IF(Paramètres!K45="",NA(),IF(LEFT(TRIM(Paramètres!K45),1)="F",INDEX($F$2813:$F$2865,MATCH(Paramètres!J45,Paramètres!$G$5:$G$57,0)),INDEX($E$2813:$E$2865,MATCH(Paramètres!J45,Paramètres!$G$5:$G$57,0)))+IF(RIGHT(TRIM(Paramètres!K45),3)="Fin",1-$H2853,IF(LEFT(TRIM(Paramètres!K45),1)="F",1,0)))),IF(Paramètres!L45="",0,IF(Paramètres!M45="",NA(),IF(LEFT(TRIM(Paramètres!M45),1)="F",INDEX($F$2813:$F$2865,MATCH(Paramètres!L45,Paramètres!$G$5:$G$57,0)),INDEX($E$2813:$E$2865,MATCH(Paramètres!L45,Paramètres!$G$5:$G$57,0)))+IF(RIGHT(TRIM(Paramètres!M45),3)="Fin",1-$H2853,IF(LEFT(TRIM(Paramètres!M45),1)="F",1,0)))),IF(Paramètres!N45="",0,IF(Paramètres!O45="",NA(),IF(LEFT(TRIM(Paramètres!O45),1)="F",INDEX($F$2813:$F$2865,MATCH(Paramètres!N45,Paramètres!$G$5:$G$57,0)),INDEX($E$2813:$E$2865,MATCH(Paramètres!N45,Paramètres!$G$5:$G$57,0)))+IF(RIGHT(TRIM(Paramètres!O45),3)="Fin",1-$H2853,IF(LEFT(TRIM(Paramètres!O45),1)="F",1,0)))))))</f>
        <v/>
      </c>
      <c r="F2853" s="19">
        <f>IF($A2853="","",E2853+$H2853-1)</f>
        <v/>
      </c>
      <c r="G2853" s="18" t="n"/>
      <c r="H2853" s="18">
        <f>IF($A2853="","",IF(I2853&lt;&gt;"",I2853,Paramètres!B45))</f>
        <v/>
      </c>
      <c r="I2853" s="18" t="n"/>
    </row>
    <row r="2854">
      <c r="A2854" s="18">
        <f>IF(ISNUMBER(Dossiers!$D$56),Dossiers!$A$56&amp;" · "&amp;Dossiers!$B$56,"")</f>
        <v/>
      </c>
      <c r="B2854" s="18">
        <f>IF($A2854="","",Paramètres!G46)</f>
        <v/>
      </c>
      <c r="C2854" s="18">
        <f>IF($A2854="","",IF(Paramètres!H46="","",Paramètres!H46))</f>
        <v/>
      </c>
      <c r="D2854" s="18">
        <f>IF($A2854="","",IF(Paramètres!I46="","",Paramètres!I46))</f>
        <v/>
      </c>
      <c r="E2854" s="19">
        <f>IF($A2854="","",IF(Paramètres!J46&amp;Paramètres!L46&amp;Paramètres!N46="",Dossiers!$D$56,MAX(IF(Paramètres!J46="",0,IF(Paramètres!K46="",NA(),IF(LEFT(TRIM(Paramètres!K46),1)="F",INDEX($F$2813:$F$2865,MATCH(Paramètres!J46,Paramètres!$G$5:$G$57,0)),INDEX($E$2813:$E$2865,MATCH(Paramètres!J46,Paramètres!$G$5:$G$57,0)))+IF(RIGHT(TRIM(Paramètres!K46),3)="Fin",1-$H2854,IF(LEFT(TRIM(Paramètres!K46),1)="F",1,0)))),IF(Paramètres!L46="",0,IF(Paramètres!M46="",NA(),IF(LEFT(TRIM(Paramètres!M46),1)="F",INDEX($F$2813:$F$2865,MATCH(Paramètres!L46,Paramètres!$G$5:$G$57,0)),INDEX($E$2813:$E$2865,MATCH(Paramètres!L46,Paramètres!$G$5:$G$57,0)))+IF(RIGHT(TRIM(Paramètres!M46),3)="Fin",1-$H2854,IF(LEFT(TRIM(Paramètres!M46),1)="F",1,0)))),IF(Paramètres!N46="",0,IF(Paramètres!O46="",NA(),IF(LEFT(TRIM(Paramètres!O46),1)="F",INDEX($F$2813:$F$2865,MATCH(Paramètres!N46,Paramètres!$G$5:$G$57,0)),INDEX($E$2813:$E$2865,MATCH(Paramètres!N46,Paramètres!$G$5:$G$57,0)))+IF(RIGHT(TRIM(Paramètres!O46),3)="Fin",1-$H2854,IF(LEFT(TRIM(Paramètres!O46),1)="F",1,0)))))))</f>
        <v/>
      </c>
      <c r="F2854" s="19">
        <f>IF($A2854="","",E2854+$H2854-1)</f>
        <v/>
      </c>
      <c r="G2854" s="18" t="n"/>
      <c r="H2854" s="18">
        <f>IF($A2854="","",IF(I2854&lt;&gt;"",I2854,Paramètres!B46))</f>
        <v/>
      </c>
      <c r="I2854" s="18" t="n"/>
    </row>
    <row r="2855">
      <c r="A2855" s="18">
        <f>IF(ISNUMBER(Dossiers!$D$56),Dossiers!$A$56&amp;" · "&amp;Dossiers!$B$56,"")</f>
        <v/>
      </c>
      <c r="B2855" s="18">
        <f>IF($A2855="","",Paramètres!G47)</f>
        <v/>
      </c>
      <c r="C2855" s="18">
        <f>IF($A2855="","",IF(Paramètres!H47="","",Paramètres!H47))</f>
        <v/>
      </c>
      <c r="D2855" s="18">
        <f>IF($A2855="","",IF(Paramètres!I47="","",Paramètres!I47))</f>
        <v/>
      </c>
      <c r="E2855" s="19">
        <f>IF($A2855="","",IF(Paramètres!J47&amp;Paramètres!L47&amp;Paramètres!N47="",Dossiers!$D$56,MAX(IF(Paramètres!J47="",0,IF(Paramètres!K47="",NA(),IF(LEFT(TRIM(Paramètres!K47),1)="F",INDEX($F$2813:$F$2865,MATCH(Paramètres!J47,Paramètres!$G$5:$G$57,0)),INDEX($E$2813:$E$2865,MATCH(Paramètres!J47,Paramètres!$G$5:$G$57,0)))+IF(RIGHT(TRIM(Paramètres!K47),3)="Fin",1-$H2855,IF(LEFT(TRIM(Paramètres!K47),1)="F",1,0)))),IF(Paramètres!L47="",0,IF(Paramètres!M47="",NA(),IF(LEFT(TRIM(Paramètres!M47),1)="F",INDEX($F$2813:$F$2865,MATCH(Paramètres!L47,Paramètres!$G$5:$G$57,0)),INDEX($E$2813:$E$2865,MATCH(Paramètres!L47,Paramètres!$G$5:$G$57,0)))+IF(RIGHT(TRIM(Paramètres!M47),3)="Fin",1-$H2855,IF(LEFT(TRIM(Paramètres!M47),1)="F",1,0)))),IF(Paramètres!N47="",0,IF(Paramètres!O47="",NA(),IF(LEFT(TRIM(Paramètres!O47),1)="F",INDEX($F$2813:$F$2865,MATCH(Paramètres!N47,Paramètres!$G$5:$G$57,0)),INDEX($E$2813:$E$2865,MATCH(Paramètres!N47,Paramètres!$G$5:$G$57,0)))+IF(RIGHT(TRIM(Paramètres!O47),3)="Fin",1-$H2855,IF(LEFT(TRIM(Paramètres!O47),1)="F",1,0)))))))</f>
        <v/>
      </c>
      <c r="F2855" s="19">
        <f>IF($A2855="","",E2855+$H2855-1)</f>
        <v/>
      </c>
      <c r="G2855" s="18" t="n"/>
      <c r="H2855" s="18">
        <f>IF($A2855="","",IF(I2855&lt;&gt;"",I2855,Paramètres!B47))</f>
        <v/>
      </c>
      <c r="I2855" s="18" t="n"/>
    </row>
    <row r="2856">
      <c r="A2856" s="18">
        <f>IF(ISNUMBER(Dossiers!$D$56),Dossiers!$A$56&amp;" · "&amp;Dossiers!$B$56,"")</f>
        <v/>
      </c>
      <c r="B2856" s="18">
        <f>IF($A2856="","",Paramètres!G48)</f>
        <v/>
      </c>
      <c r="C2856" s="18">
        <f>IF($A2856="","",IF(Paramètres!H48="","",Paramètres!H48))</f>
        <v/>
      </c>
      <c r="D2856" s="18">
        <f>IF($A2856="","",IF(Paramètres!I48="","",Paramètres!I48))</f>
        <v/>
      </c>
      <c r="E2856" s="19">
        <f>IF($A2856="","",IF(Paramètres!J48&amp;Paramètres!L48&amp;Paramètres!N48="",Dossiers!$D$56,MAX(IF(Paramètres!J48="",0,IF(Paramètres!K48="",NA(),IF(LEFT(TRIM(Paramètres!K48),1)="F",INDEX($F$2813:$F$2865,MATCH(Paramètres!J48,Paramètres!$G$5:$G$57,0)),INDEX($E$2813:$E$2865,MATCH(Paramètres!J48,Paramètres!$G$5:$G$57,0)))+IF(RIGHT(TRIM(Paramètres!K48),3)="Fin",1-$H2856,IF(LEFT(TRIM(Paramètres!K48),1)="F",1,0)))),IF(Paramètres!L48="",0,IF(Paramètres!M48="",NA(),IF(LEFT(TRIM(Paramètres!M48),1)="F",INDEX($F$2813:$F$2865,MATCH(Paramètres!L48,Paramètres!$G$5:$G$57,0)),INDEX($E$2813:$E$2865,MATCH(Paramètres!L48,Paramètres!$G$5:$G$57,0)))+IF(RIGHT(TRIM(Paramètres!M48),3)="Fin",1-$H2856,IF(LEFT(TRIM(Paramètres!M48),1)="F",1,0)))),IF(Paramètres!N48="",0,IF(Paramètres!O48="",NA(),IF(LEFT(TRIM(Paramètres!O48),1)="F",INDEX($F$2813:$F$2865,MATCH(Paramètres!N48,Paramètres!$G$5:$G$57,0)),INDEX($E$2813:$E$2865,MATCH(Paramètres!N48,Paramètres!$G$5:$G$57,0)))+IF(RIGHT(TRIM(Paramètres!O48),3)="Fin",1-$H2856,IF(LEFT(TRIM(Paramètres!O48),1)="F",1,0)))))))</f>
        <v/>
      </c>
      <c r="F2856" s="19">
        <f>IF($A2856="","",E2856+$H2856-1)</f>
        <v/>
      </c>
      <c r="G2856" s="18" t="n"/>
      <c r="H2856" s="18">
        <f>IF($A2856="","",IF(I2856&lt;&gt;"",I2856,Paramètres!B48))</f>
        <v/>
      </c>
      <c r="I2856" s="18" t="n"/>
    </row>
    <row r="2857">
      <c r="A2857" s="18">
        <f>IF(ISNUMBER(Dossiers!$D$56),Dossiers!$A$56&amp;" · "&amp;Dossiers!$B$56,"")</f>
        <v/>
      </c>
      <c r="B2857" s="18">
        <f>IF($A2857="","",Paramètres!G49)</f>
        <v/>
      </c>
      <c r="C2857" s="18">
        <f>IF($A2857="","",IF(Paramètres!H49="","",Paramètres!H49))</f>
        <v/>
      </c>
      <c r="D2857" s="18">
        <f>IF($A2857="","",IF(Paramètres!I49="","",Paramètres!I49))</f>
        <v/>
      </c>
      <c r="E2857" s="19">
        <f>IF($A2857="","",IF(Paramètres!J49&amp;Paramètres!L49&amp;Paramètres!N49="",Dossiers!$D$56,MAX(IF(Paramètres!J49="",0,IF(Paramètres!K49="",NA(),IF(LEFT(TRIM(Paramètres!K49),1)="F",INDEX($F$2813:$F$2865,MATCH(Paramètres!J49,Paramètres!$G$5:$G$57,0)),INDEX($E$2813:$E$2865,MATCH(Paramètres!J49,Paramètres!$G$5:$G$57,0)))+IF(RIGHT(TRIM(Paramètres!K49),3)="Fin",1-$H2857,IF(LEFT(TRIM(Paramètres!K49),1)="F",1,0)))),IF(Paramètres!L49="",0,IF(Paramètres!M49="",NA(),IF(LEFT(TRIM(Paramètres!M49),1)="F",INDEX($F$2813:$F$2865,MATCH(Paramètres!L49,Paramètres!$G$5:$G$57,0)),INDEX($E$2813:$E$2865,MATCH(Paramètres!L49,Paramètres!$G$5:$G$57,0)))+IF(RIGHT(TRIM(Paramètres!M49),3)="Fin",1-$H2857,IF(LEFT(TRIM(Paramètres!M49),1)="F",1,0)))),IF(Paramètres!N49="",0,IF(Paramètres!O49="",NA(),IF(LEFT(TRIM(Paramètres!O49),1)="F",INDEX($F$2813:$F$2865,MATCH(Paramètres!N49,Paramètres!$G$5:$G$57,0)),INDEX($E$2813:$E$2865,MATCH(Paramètres!N49,Paramètres!$G$5:$G$57,0)))+IF(RIGHT(TRIM(Paramètres!O49),3)="Fin",1-$H2857,IF(LEFT(TRIM(Paramètres!O49),1)="F",1,0)))))))</f>
        <v/>
      </c>
      <c r="F2857" s="19">
        <f>IF($A2857="","",E2857+$H2857-1)</f>
        <v/>
      </c>
      <c r="G2857" s="18" t="n"/>
      <c r="H2857" s="18">
        <f>IF($A2857="","",IF(I2857&lt;&gt;"",I2857,Paramètres!B49))</f>
        <v/>
      </c>
      <c r="I2857" s="18" t="n"/>
    </row>
    <row r="2858">
      <c r="A2858" s="18">
        <f>IF(ISNUMBER(Dossiers!$D$56),Dossiers!$A$56&amp;" · "&amp;Dossiers!$B$56,"")</f>
        <v/>
      </c>
      <c r="B2858" s="18">
        <f>IF($A2858="","",Paramètres!G50)</f>
        <v/>
      </c>
      <c r="C2858" s="18">
        <f>IF($A2858="","",IF(Paramètres!H50="","",Paramètres!H50))</f>
        <v/>
      </c>
      <c r="D2858" s="18">
        <f>IF($A2858="","",IF(Paramètres!I50="","",Paramètres!I50))</f>
        <v/>
      </c>
      <c r="E2858" s="19">
        <f>IF($A2858="","",IF(Paramètres!J50&amp;Paramètres!L50&amp;Paramètres!N50="",Dossiers!$D$56,MAX(IF(Paramètres!J50="",0,IF(Paramètres!K50="",NA(),IF(LEFT(TRIM(Paramètres!K50),1)="F",INDEX($F$2813:$F$2865,MATCH(Paramètres!J50,Paramètres!$G$5:$G$57,0)),INDEX($E$2813:$E$2865,MATCH(Paramètres!J50,Paramètres!$G$5:$G$57,0)))+IF(RIGHT(TRIM(Paramètres!K50),3)="Fin",1-$H2858,IF(LEFT(TRIM(Paramètres!K50),1)="F",1,0)))),IF(Paramètres!L50="",0,IF(Paramètres!M50="",NA(),IF(LEFT(TRIM(Paramètres!M50),1)="F",INDEX($F$2813:$F$2865,MATCH(Paramètres!L50,Paramètres!$G$5:$G$57,0)),INDEX($E$2813:$E$2865,MATCH(Paramètres!L50,Paramètres!$G$5:$G$57,0)))+IF(RIGHT(TRIM(Paramètres!M50),3)="Fin",1-$H2858,IF(LEFT(TRIM(Paramètres!M50),1)="F",1,0)))),IF(Paramètres!N50="",0,IF(Paramètres!O50="",NA(),IF(LEFT(TRIM(Paramètres!O50),1)="F",INDEX($F$2813:$F$2865,MATCH(Paramètres!N50,Paramètres!$G$5:$G$57,0)),INDEX($E$2813:$E$2865,MATCH(Paramètres!N50,Paramètres!$G$5:$G$57,0)))+IF(RIGHT(TRIM(Paramètres!O50),3)="Fin",1-$H2858,IF(LEFT(TRIM(Paramètres!O50),1)="F",1,0)))))))</f>
        <v/>
      </c>
      <c r="F2858" s="19">
        <f>IF($A2858="","",E2858+$H2858-1)</f>
        <v/>
      </c>
      <c r="G2858" s="18" t="n"/>
      <c r="H2858" s="18">
        <f>IF($A2858="","",IF(I2858&lt;&gt;"",I2858,Paramètres!B50))</f>
        <v/>
      </c>
      <c r="I2858" s="18" t="n"/>
    </row>
    <row r="2859">
      <c r="A2859" s="18">
        <f>IF(ISNUMBER(Dossiers!$D$56),Dossiers!$A$56&amp;" · "&amp;Dossiers!$B$56,"")</f>
        <v/>
      </c>
      <c r="B2859" s="18">
        <f>IF($A2859="","",Paramètres!G51)</f>
        <v/>
      </c>
      <c r="C2859" s="18">
        <f>IF($A2859="","",IF(Paramètres!H51="","",Paramètres!H51))</f>
        <v/>
      </c>
      <c r="D2859" s="18">
        <f>IF($A2859="","",IF(Paramètres!I51="","",Paramètres!I51))</f>
        <v/>
      </c>
      <c r="E2859" s="19">
        <f>IF($A2859="","",IF(Paramètres!J51&amp;Paramètres!L51&amp;Paramètres!N51="",Dossiers!$D$56,MAX(IF(Paramètres!J51="",0,IF(Paramètres!K51="",NA(),IF(LEFT(TRIM(Paramètres!K51),1)="F",INDEX($F$2813:$F$2865,MATCH(Paramètres!J51,Paramètres!$G$5:$G$57,0)),INDEX($E$2813:$E$2865,MATCH(Paramètres!J51,Paramètres!$G$5:$G$57,0)))+IF(RIGHT(TRIM(Paramètres!K51),3)="Fin",1-$H2859,IF(LEFT(TRIM(Paramètres!K51),1)="F",1,0)))),IF(Paramètres!L51="",0,IF(Paramètres!M51="",NA(),IF(LEFT(TRIM(Paramètres!M51),1)="F",INDEX($F$2813:$F$2865,MATCH(Paramètres!L51,Paramètres!$G$5:$G$57,0)),INDEX($E$2813:$E$2865,MATCH(Paramètres!L51,Paramètres!$G$5:$G$57,0)))+IF(RIGHT(TRIM(Paramètres!M51),3)="Fin",1-$H2859,IF(LEFT(TRIM(Paramètres!M51),1)="F",1,0)))),IF(Paramètres!N51="",0,IF(Paramètres!O51="",NA(),IF(LEFT(TRIM(Paramètres!O51),1)="F",INDEX($F$2813:$F$2865,MATCH(Paramètres!N51,Paramètres!$G$5:$G$57,0)),INDEX($E$2813:$E$2865,MATCH(Paramètres!N51,Paramètres!$G$5:$G$57,0)))+IF(RIGHT(TRIM(Paramètres!O51),3)="Fin",1-$H2859,IF(LEFT(TRIM(Paramètres!O51),1)="F",1,0)))))))</f>
        <v/>
      </c>
      <c r="F2859" s="19">
        <f>IF($A2859="","",E2859+$H2859-1)</f>
        <v/>
      </c>
      <c r="G2859" s="18" t="n"/>
      <c r="H2859" s="18">
        <f>IF($A2859="","",IF(I2859&lt;&gt;"",I2859,Paramètres!B51))</f>
        <v/>
      </c>
      <c r="I2859" s="18" t="n"/>
    </row>
    <row r="2860">
      <c r="A2860" s="18">
        <f>IF(ISNUMBER(Dossiers!$D$56),Dossiers!$A$56&amp;" · "&amp;Dossiers!$B$56,"")</f>
        <v/>
      </c>
      <c r="B2860" s="18">
        <f>IF($A2860="","",Paramètres!G52)</f>
        <v/>
      </c>
      <c r="C2860" s="18">
        <f>IF($A2860="","",IF(Paramètres!H52="","",Paramètres!H52))</f>
        <v/>
      </c>
      <c r="D2860" s="18">
        <f>IF($A2860="","",IF(Paramètres!I52="","",Paramètres!I52))</f>
        <v/>
      </c>
      <c r="E2860" s="19">
        <f>IF($A2860="","",IF(Paramètres!J52&amp;Paramètres!L52&amp;Paramètres!N52="",Dossiers!$D$56,MAX(IF(Paramètres!J52="",0,IF(Paramètres!K52="",NA(),IF(LEFT(TRIM(Paramètres!K52),1)="F",INDEX($F$2813:$F$2865,MATCH(Paramètres!J52,Paramètres!$G$5:$G$57,0)),INDEX($E$2813:$E$2865,MATCH(Paramètres!J52,Paramètres!$G$5:$G$57,0)))+IF(RIGHT(TRIM(Paramètres!K52),3)="Fin",1-$H2860,IF(LEFT(TRIM(Paramètres!K52),1)="F",1,0)))),IF(Paramètres!L52="",0,IF(Paramètres!M52="",NA(),IF(LEFT(TRIM(Paramètres!M52),1)="F",INDEX($F$2813:$F$2865,MATCH(Paramètres!L52,Paramètres!$G$5:$G$57,0)),INDEX($E$2813:$E$2865,MATCH(Paramètres!L52,Paramètres!$G$5:$G$57,0)))+IF(RIGHT(TRIM(Paramètres!M52),3)="Fin",1-$H2860,IF(LEFT(TRIM(Paramètres!M52),1)="F",1,0)))),IF(Paramètres!N52="",0,IF(Paramètres!O52="",NA(),IF(LEFT(TRIM(Paramètres!O52),1)="F",INDEX($F$2813:$F$2865,MATCH(Paramètres!N52,Paramètres!$G$5:$G$57,0)),INDEX($E$2813:$E$2865,MATCH(Paramètres!N52,Paramètres!$G$5:$G$57,0)))+IF(RIGHT(TRIM(Paramètres!O52),3)="Fin",1-$H2860,IF(LEFT(TRIM(Paramètres!O52),1)="F",1,0)))))))</f>
        <v/>
      </c>
      <c r="F2860" s="19">
        <f>IF($A2860="","",E2860+$H2860-1)</f>
        <v/>
      </c>
      <c r="G2860" s="18" t="n"/>
      <c r="H2860" s="18">
        <f>IF($A2860="","",IF(I2860&lt;&gt;"",I2860,Paramètres!B52))</f>
        <v/>
      </c>
      <c r="I2860" s="18" t="n"/>
    </row>
    <row r="2861">
      <c r="A2861" s="18">
        <f>IF(ISNUMBER(Dossiers!$D$56),Dossiers!$A$56&amp;" · "&amp;Dossiers!$B$56,"")</f>
        <v/>
      </c>
      <c r="B2861" s="18">
        <f>IF($A2861="","",Paramètres!G53)</f>
        <v/>
      </c>
      <c r="C2861" s="18">
        <f>IF($A2861="","",IF(Paramètres!H53="","",Paramètres!H53))</f>
        <v/>
      </c>
      <c r="D2861" s="18">
        <f>IF($A2861="","",IF(Paramètres!I53="","",Paramètres!I53))</f>
        <v/>
      </c>
      <c r="E2861" s="19">
        <f>IF($A2861="","",IF(Paramètres!J53&amp;Paramètres!L53&amp;Paramètres!N53="",Dossiers!$D$56,MAX(IF(Paramètres!J53="",0,IF(Paramètres!K53="",NA(),IF(LEFT(TRIM(Paramètres!K53),1)="F",INDEX($F$2813:$F$2865,MATCH(Paramètres!J53,Paramètres!$G$5:$G$57,0)),INDEX($E$2813:$E$2865,MATCH(Paramètres!J53,Paramètres!$G$5:$G$57,0)))+IF(RIGHT(TRIM(Paramètres!K53),3)="Fin",1-$H2861,IF(LEFT(TRIM(Paramètres!K53),1)="F",1,0)))),IF(Paramètres!L53="",0,IF(Paramètres!M53="",NA(),IF(LEFT(TRIM(Paramètres!M53),1)="F",INDEX($F$2813:$F$2865,MATCH(Paramètres!L53,Paramètres!$G$5:$G$57,0)),INDEX($E$2813:$E$2865,MATCH(Paramètres!L53,Paramètres!$G$5:$G$57,0)))+IF(RIGHT(TRIM(Paramètres!M53),3)="Fin",1-$H2861,IF(LEFT(TRIM(Paramètres!M53),1)="F",1,0)))),IF(Paramètres!N53="",0,IF(Paramètres!O53="",NA(),IF(LEFT(TRIM(Paramètres!O53),1)="F",INDEX($F$2813:$F$2865,MATCH(Paramètres!N53,Paramètres!$G$5:$G$57,0)),INDEX($E$2813:$E$2865,MATCH(Paramètres!N53,Paramètres!$G$5:$G$57,0)))+IF(RIGHT(TRIM(Paramètres!O53),3)="Fin",1-$H2861,IF(LEFT(TRIM(Paramètres!O53),1)="F",1,0)))))))</f>
        <v/>
      </c>
      <c r="F2861" s="19">
        <f>IF($A2861="","",E2861+$H2861-1)</f>
        <v/>
      </c>
      <c r="G2861" s="18" t="n"/>
      <c r="H2861" s="18">
        <f>IF($A2861="","",IF(I2861&lt;&gt;"",I2861,Paramètres!B53))</f>
        <v/>
      </c>
      <c r="I2861" s="18" t="n"/>
    </row>
    <row r="2862">
      <c r="A2862" s="18">
        <f>IF(ISNUMBER(Dossiers!$D$56),Dossiers!$A$56&amp;" · "&amp;Dossiers!$B$56,"")</f>
        <v/>
      </c>
      <c r="B2862" s="18">
        <f>IF($A2862="","",Paramètres!G54)</f>
        <v/>
      </c>
      <c r="C2862" s="18">
        <f>IF($A2862="","",IF(Paramètres!H54="","",Paramètres!H54))</f>
        <v/>
      </c>
      <c r="D2862" s="18">
        <f>IF($A2862="","",IF(Paramètres!I54="","",Paramètres!I54))</f>
        <v/>
      </c>
      <c r="E2862" s="19">
        <f>IF($A2862="","",IF(Paramètres!J54&amp;Paramètres!L54&amp;Paramètres!N54="",Dossiers!$D$56,MAX(IF(Paramètres!J54="",0,IF(Paramètres!K54="",NA(),IF(LEFT(TRIM(Paramètres!K54),1)="F",INDEX($F$2813:$F$2865,MATCH(Paramètres!J54,Paramètres!$G$5:$G$57,0)),INDEX($E$2813:$E$2865,MATCH(Paramètres!J54,Paramètres!$G$5:$G$57,0)))+IF(RIGHT(TRIM(Paramètres!K54),3)="Fin",1-$H2862,IF(LEFT(TRIM(Paramètres!K54),1)="F",1,0)))),IF(Paramètres!L54="",0,IF(Paramètres!M54="",NA(),IF(LEFT(TRIM(Paramètres!M54),1)="F",INDEX($F$2813:$F$2865,MATCH(Paramètres!L54,Paramètres!$G$5:$G$57,0)),INDEX($E$2813:$E$2865,MATCH(Paramètres!L54,Paramètres!$G$5:$G$57,0)))+IF(RIGHT(TRIM(Paramètres!M54),3)="Fin",1-$H2862,IF(LEFT(TRIM(Paramètres!M54),1)="F",1,0)))),IF(Paramètres!N54="",0,IF(Paramètres!O54="",NA(),IF(LEFT(TRIM(Paramètres!O54),1)="F",INDEX($F$2813:$F$2865,MATCH(Paramètres!N54,Paramètres!$G$5:$G$57,0)),INDEX($E$2813:$E$2865,MATCH(Paramètres!N54,Paramètres!$G$5:$G$57,0)))+IF(RIGHT(TRIM(Paramètres!O54),3)="Fin",1-$H2862,IF(LEFT(TRIM(Paramètres!O54),1)="F",1,0)))))))</f>
        <v/>
      </c>
      <c r="F2862" s="19">
        <f>IF($A2862="","",E2862+$H2862-1)</f>
        <v/>
      </c>
      <c r="G2862" s="18" t="n"/>
      <c r="H2862" s="18">
        <f>IF($A2862="","",IF(I2862&lt;&gt;"",I2862,Paramètres!B54))</f>
        <v/>
      </c>
      <c r="I2862" s="18" t="n"/>
    </row>
    <row r="2863">
      <c r="A2863" s="18">
        <f>IF(ISNUMBER(Dossiers!$D$56),Dossiers!$A$56&amp;" · "&amp;Dossiers!$B$56,"")</f>
        <v/>
      </c>
      <c r="B2863" s="18">
        <f>IF($A2863="","",Paramètres!G55)</f>
        <v/>
      </c>
      <c r="C2863" s="18">
        <f>IF($A2863="","",IF(Paramètres!H55="","",Paramètres!H55))</f>
        <v/>
      </c>
      <c r="D2863" s="18">
        <f>IF($A2863="","",IF(Paramètres!I55="","",Paramètres!I55))</f>
        <v/>
      </c>
      <c r="E2863" s="19">
        <f>IF($A2863="","",IF(Paramètres!J55&amp;Paramètres!L55&amp;Paramètres!N55="",Dossiers!$D$56,MAX(IF(Paramètres!J55="",0,IF(Paramètres!K55="",NA(),IF(LEFT(TRIM(Paramètres!K55),1)="F",INDEX($F$2813:$F$2865,MATCH(Paramètres!J55,Paramètres!$G$5:$G$57,0)),INDEX($E$2813:$E$2865,MATCH(Paramètres!J55,Paramètres!$G$5:$G$57,0)))+IF(RIGHT(TRIM(Paramètres!K55),3)="Fin",1-$H2863,IF(LEFT(TRIM(Paramètres!K55),1)="F",1,0)))),IF(Paramètres!L55="",0,IF(Paramètres!M55="",NA(),IF(LEFT(TRIM(Paramètres!M55),1)="F",INDEX($F$2813:$F$2865,MATCH(Paramètres!L55,Paramètres!$G$5:$G$57,0)),INDEX($E$2813:$E$2865,MATCH(Paramètres!L55,Paramètres!$G$5:$G$57,0)))+IF(RIGHT(TRIM(Paramètres!M55),3)="Fin",1-$H2863,IF(LEFT(TRIM(Paramètres!M55),1)="F",1,0)))),IF(Paramètres!N55="",0,IF(Paramètres!O55="",NA(),IF(LEFT(TRIM(Paramètres!O55),1)="F",INDEX($F$2813:$F$2865,MATCH(Paramètres!N55,Paramètres!$G$5:$G$57,0)),INDEX($E$2813:$E$2865,MATCH(Paramètres!N55,Paramètres!$G$5:$G$57,0)))+IF(RIGHT(TRIM(Paramètres!O55),3)="Fin",1-$H2863,IF(LEFT(TRIM(Paramètres!O55),1)="F",1,0)))))))</f>
        <v/>
      </c>
      <c r="F2863" s="19">
        <f>IF($A2863="","",E2863+$H2863-1)</f>
        <v/>
      </c>
      <c r="G2863" s="18" t="n"/>
      <c r="H2863" s="18">
        <f>IF($A2863="","",IF(I2863&lt;&gt;"",I2863,Paramètres!B55))</f>
        <v/>
      </c>
      <c r="I2863" s="18" t="n"/>
    </row>
    <row r="2864">
      <c r="A2864" s="18">
        <f>IF(ISNUMBER(Dossiers!$D$56),Dossiers!$A$56&amp;" · "&amp;Dossiers!$B$56,"")</f>
        <v/>
      </c>
      <c r="B2864" s="18">
        <f>IF($A2864="","",Paramètres!G56)</f>
        <v/>
      </c>
      <c r="C2864" s="18">
        <f>IF($A2864="","",IF(Paramètres!H56="","",Paramètres!H56))</f>
        <v/>
      </c>
      <c r="D2864" s="18">
        <f>IF($A2864="","",IF(Paramètres!I56="","",Paramètres!I56))</f>
        <v/>
      </c>
      <c r="E2864" s="19">
        <f>IF($A2864="","",MIN(E2865:E2865))</f>
        <v/>
      </c>
      <c r="F2864" s="19">
        <f>IF($A2864="","",MAX(F2865:F2865))</f>
        <v/>
      </c>
      <c r="G2864" s="18" t="n"/>
      <c r="H2864" s="18">
        <f>IF($A2864="","",F2864-E2864+1)</f>
        <v/>
      </c>
      <c r="I2864" s="18" t="n"/>
    </row>
    <row r="2865">
      <c r="A2865" s="18">
        <f>IF(ISNUMBER(Dossiers!$D$56),Dossiers!$A$56&amp;" · "&amp;Dossiers!$B$56,"")</f>
        <v/>
      </c>
      <c r="B2865" s="18">
        <f>IF($A2865="","",Paramètres!G57)</f>
        <v/>
      </c>
      <c r="C2865" s="18">
        <f>IF($A2865="","",IF(Paramètres!H57="","",Paramètres!H57))</f>
        <v/>
      </c>
      <c r="D2865" s="18">
        <f>IF($A2865="","",IF(Paramètres!I57="","",Paramètres!I57))</f>
        <v/>
      </c>
      <c r="E2865" s="19">
        <f>IF($A2865="","",IF(Paramètres!J57&amp;Paramètres!L57&amp;Paramètres!N57="",Dossiers!$D$56,MAX(IF(Paramètres!J57="",0,IF(Paramètres!K57="",NA(),IF(LEFT(TRIM(Paramètres!K57),1)="F",INDEX($F$2813:$F$2865,MATCH(Paramètres!J57,Paramètres!$G$5:$G$57,0)),INDEX($E$2813:$E$2865,MATCH(Paramètres!J57,Paramètres!$G$5:$G$57,0)))+IF(RIGHT(TRIM(Paramètres!K57),3)="Fin",1-$H2865,IF(LEFT(TRIM(Paramètres!K57),1)="F",1,0)))),IF(Paramètres!L57="",0,IF(Paramètres!M57="",NA(),IF(LEFT(TRIM(Paramètres!M57),1)="F",INDEX($F$2813:$F$2865,MATCH(Paramètres!L57,Paramètres!$G$5:$G$57,0)),INDEX($E$2813:$E$2865,MATCH(Paramètres!L57,Paramètres!$G$5:$G$57,0)))+IF(RIGHT(TRIM(Paramètres!M57),3)="Fin",1-$H2865,IF(LEFT(TRIM(Paramètres!M57),1)="F",1,0)))),IF(Paramètres!N57="",0,IF(Paramètres!O57="",NA(),IF(LEFT(TRIM(Paramètres!O57),1)="F",INDEX($F$2813:$F$2865,MATCH(Paramètres!N57,Paramètres!$G$5:$G$57,0)),INDEX($E$2813:$E$2865,MATCH(Paramètres!N57,Paramètres!$G$5:$G$57,0)))+IF(RIGHT(TRIM(Paramètres!O57),3)="Fin",1-$H2865,IF(LEFT(TRIM(Paramètres!O57),1)="F",1,0)))))))</f>
        <v/>
      </c>
      <c r="F2865" s="19">
        <f>IF($A2865="","",E2865+$H2865-1)</f>
        <v/>
      </c>
      <c r="G2865" s="18" t="n"/>
      <c r="H2865" s="18">
        <f>IF($A2865="","",IF(I2865&lt;&gt;"",I2865,Paramètres!B57))</f>
        <v/>
      </c>
      <c r="I2865" s="18" t="n"/>
    </row>
    <row r="2866">
      <c r="A2866" s="16">
        <f>IF(ISNUMBER(Dossiers!$D$57),Dossiers!$E$57,"")</f>
        <v/>
      </c>
      <c r="B2866" s="16">
        <f>IF($A2866="","","Identifiant")</f>
        <v/>
      </c>
      <c r="C2866" s="16">
        <f>IF($A2866="","","Macro Etape")</f>
        <v/>
      </c>
      <c r="D2866" s="16">
        <f>IF($A2866="","","Etape")</f>
        <v/>
      </c>
      <c r="E2866" s="17">
        <f>IF($A2866="","","Début le")</f>
        <v/>
      </c>
      <c r="F2866" s="17">
        <f>IF($A2866="","","Fin prévue le")</f>
        <v/>
      </c>
      <c r="G2866" s="16">
        <f>IF($A2866="","","Statut")</f>
        <v/>
      </c>
      <c r="H2866" s="16">
        <f>IF($A2866="","","Durée (jours)")</f>
        <v/>
      </c>
      <c r="I2866" s="16">
        <f>IF($A2866="","","Durée particulière")</f>
        <v/>
      </c>
      <c r="J2866" s="10">
        <f>IF($A2866="","",HYPERLINK("#'Tableau de bord'!A1","↑ Tableau de bord"))</f>
        <v/>
      </c>
    </row>
    <row r="2867">
      <c r="A2867" s="18">
        <f>IF(ISNUMBER(Dossiers!$D$57),Dossiers!$A$57&amp;" · "&amp;Dossiers!$B$57,"")</f>
        <v/>
      </c>
      <c r="B2867" s="18">
        <f>IF($A2867="","",Paramètres!G5)</f>
        <v/>
      </c>
      <c r="C2867" s="18">
        <f>IF($A2867="","",IF(Paramètres!H5="","",Paramètres!H5))</f>
        <v/>
      </c>
      <c r="D2867" s="18">
        <f>IF($A2867="","",IF(Paramètres!I5="","",Paramètres!I5))</f>
        <v/>
      </c>
      <c r="E2867" s="19">
        <f>IF($A2867="","",MIN(E2868:E2871))</f>
        <v/>
      </c>
      <c r="F2867" s="19">
        <f>IF($A2867="","",MAX(F2868:F2871))</f>
        <v/>
      </c>
      <c r="G2867" s="18" t="n"/>
      <c r="H2867" s="18">
        <f>IF($A2867="","",F2867-E2867+1)</f>
        <v/>
      </c>
      <c r="I2867" s="18" t="n"/>
    </row>
    <row r="2868">
      <c r="A2868" s="18">
        <f>IF(ISNUMBER(Dossiers!$D$57),Dossiers!$A$57&amp;" · "&amp;Dossiers!$B$57,"")</f>
        <v/>
      </c>
      <c r="B2868" s="18">
        <f>IF($A2868="","",Paramètres!G6)</f>
        <v/>
      </c>
      <c r="C2868" s="18">
        <f>IF($A2868="","",IF(Paramètres!H6="","",Paramètres!H6))</f>
        <v/>
      </c>
      <c r="D2868" s="18">
        <f>IF($A2868="","",IF(Paramètres!I6="","",Paramètres!I6))</f>
        <v/>
      </c>
      <c r="E2868" s="19">
        <f>IF($A2868="","",IF(Paramètres!J6&amp;Paramètres!L6&amp;Paramètres!N6="",Dossiers!$D$57,MAX(IF(Paramètres!J6="",0,IF(Paramètres!K6="",NA(),IF(LEFT(TRIM(Paramètres!K6),1)="F",INDEX($F$2867:$F$2919,MATCH(Paramètres!J6,Paramètres!$G$5:$G$57,0)),INDEX($E$2867:$E$2919,MATCH(Paramètres!J6,Paramètres!$G$5:$G$57,0)))+IF(RIGHT(TRIM(Paramètres!K6),3)="Fin",1-$H2868,IF(LEFT(TRIM(Paramètres!K6),1)="F",1,0)))),IF(Paramètres!L6="",0,IF(Paramètres!M6="",NA(),IF(LEFT(TRIM(Paramètres!M6),1)="F",INDEX($F$2867:$F$2919,MATCH(Paramètres!L6,Paramètres!$G$5:$G$57,0)),INDEX($E$2867:$E$2919,MATCH(Paramètres!L6,Paramètres!$G$5:$G$57,0)))+IF(RIGHT(TRIM(Paramètres!M6),3)="Fin",1-$H2868,IF(LEFT(TRIM(Paramètres!M6),1)="F",1,0)))),IF(Paramètres!N6="",0,IF(Paramètres!O6="",NA(),IF(LEFT(TRIM(Paramètres!O6),1)="F",INDEX($F$2867:$F$2919,MATCH(Paramètres!N6,Paramètres!$G$5:$G$57,0)),INDEX($E$2867:$E$2919,MATCH(Paramètres!N6,Paramètres!$G$5:$G$57,0)))+IF(RIGHT(TRIM(Paramètres!O6),3)="Fin",1-$H2868,IF(LEFT(TRIM(Paramètres!O6),1)="F",1,0)))))))</f>
        <v/>
      </c>
      <c r="F2868" s="19">
        <f>IF($A2868="","",E2868+$H2868-1)</f>
        <v/>
      </c>
      <c r="G2868" s="18" t="n"/>
      <c r="H2868" s="18">
        <f>IF($A2868="","",IF(I2868&lt;&gt;"",I2868,Paramètres!B6))</f>
        <v/>
      </c>
      <c r="I2868" s="18" t="n"/>
    </row>
    <row r="2869">
      <c r="A2869" s="18">
        <f>IF(ISNUMBER(Dossiers!$D$57),Dossiers!$A$57&amp;" · "&amp;Dossiers!$B$57,"")</f>
        <v/>
      </c>
      <c r="B2869" s="18">
        <f>IF($A2869="","",Paramètres!G7)</f>
        <v/>
      </c>
      <c r="C2869" s="18">
        <f>IF($A2869="","",IF(Paramètres!H7="","",Paramètres!H7))</f>
        <v/>
      </c>
      <c r="D2869" s="18">
        <f>IF($A2869="","",IF(Paramètres!I7="","",Paramètres!I7))</f>
        <v/>
      </c>
      <c r="E2869" s="19">
        <f>IF($A2869="","",IF(Paramètres!J7&amp;Paramètres!L7&amp;Paramètres!N7="",Dossiers!$D$57,MAX(IF(Paramètres!J7="",0,IF(Paramètres!K7="",NA(),IF(LEFT(TRIM(Paramètres!K7),1)="F",INDEX($F$2867:$F$2919,MATCH(Paramètres!J7,Paramètres!$G$5:$G$57,0)),INDEX($E$2867:$E$2919,MATCH(Paramètres!J7,Paramètres!$G$5:$G$57,0)))+IF(RIGHT(TRIM(Paramètres!K7),3)="Fin",1-$H2869,IF(LEFT(TRIM(Paramètres!K7),1)="F",1,0)))),IF(Paramètres!L7="",0,IF(Paramètres!M7="",NA(),IF(LEFT(TRIM(Paramètres!M7),1)="F",INDEX($F$2867:$F$2919,MATCH(Paramètres!L7,Paramètres!$G$5:$G$57,0)),INDEX($E$2867:$E$2919,MATCH(Paramètres!L7,Paramètres!$G$5:$G$57,0)))+IF(RIGHT(TRIM(Paramètres!M7),3)="Fin",1-$H2869,IF(LEFT(TRIM(Paramètres!M7),1)="F",1,0)))),IF(Paramètres!N7="",0,IF(Paramètres!O7="",NA(),IF(LEFT(TRIM(Paramètres!O7),1)="F",INDEX($F$2867:$F$2919,MATCH(Paramètres!N7,Paramètres!$G$5:$G$57,0)),INDEX($E$2867:$E$2919,MATCH(Paramètres!N7,Paramètres!$G$5:$G$57,0)))+IF(RIGHT(TRIM(Paramètres!O7),3)="Fin",1-$H2869,IF(LEFT(TRIM(Paramètres!O7),1)="F",1,0)))))))</f>
        <v/>
      </c>
      <c r="F2869" s="19">
        <f>IF($A2869="","",E2869+$H2869-1)</f>
        <v/>
      </c>
      <c r="G2869" s="18" t="n"/>
      <c r="H2869" s="18">
        <f>IF($A2869="","",IF(I2869&lt;&gt;"",I2869,Paramètres!B7))</f>
        <v/>
      </c>
      <c r="I2869" s="18" t="n"/>
    </row>
    <row r="2870">
      <c r="A2870" s="18">
        <f>IF(ISNUMBER(Dossiers!$D$57),Dossiers!$A$57&amp;" · "&amp;Dossiers!$B$57,"")</f>
        <v/>
      </c>
      <c r="B2870" s="18">
        <f>IF($A2870="","",Paramètres!G8)</f>
        <v/>
      </c>
      <c r="C2870" s="18">
        <f>IF($A2870="","",IF(Paramètres!H8="","",Paramètres!H8))</f>
        <v/>
      </c>
      <c r="D2870" s="18">
        <f>IF($A2870="","",IF(Paramètres!I8="","",Paramètres!I8))</f>
        <v/>
      </c>
      <c r="E2870" s="19">
        <f>IF($A2870="","",IF(Paramètres!J8&amp;Paramètres!L8&amp;Paramètres!N8="",Dossiers!$D$57,MAX(IF(Paramètres!J8="",0,IF(Paramètres!K8="",NA(),IF(LEFT(TRIM(Paramètres!K8),1)="F",INDEX($F$2867:$F$2919,MATCH(Paramètres!J8,Paramètres!$G$5:$G$57,0)),INDEX($E$2867:$E$2919,MATCH(Paramètres!J8,Paramètres!$G$5:$G$57,0)))+IF(RIGHT(TRIM(Paramètres!K8),3)="Fin",1-$H2870,IF(LEFT(TRIM(Paramètres!K8),1)="F",1,0)))),IF(Paramètres!L8="",0,IF(Paramètres!M8="",NA(),IF(LEFT(TRIM(Paramètres!M8),1)="F",INDEX($F$2867:$F$2919,MATCH(Paramètres!L8,Paramètres!$G$5:$G$57,0)),INDEX($E$2867:$E$2919,MATCH(Paramètres!L8,Paramètres!$G$5:$G$57,0)))+IF(RIGHT(TRIM(Paramètres!M8),3)="Fin",1-$H2870,IF(LEFT(TRIM(Paramètres!M8),1)="F",1,0)))),IF(Paramètres!N8="",0,IF(Paramètres!O8="",NA(),IF(LEFT(TRIM(Paramètres!O8),1)="F",INDEX($F$2867:$F$2919,MATCH(Paramètres!N8,Paramètres!$G$5:$G$57,0)),INDEX($E$2867:$E$2919,MATCH(Paramètres!N8,Paramètres!$G$5:$G$57,0)))+IF(RIGHT(TRIM(Paramètres!O8),3)="Fin",1-$H2870,IF(LEFT(TRIM(Paramètres!O8),1)="F",1,0)))))))</f>
        <v/>
      </c>
      <c r="F2870" s="19">
        <f>IF($A2870="","",E2870+$H2870-1)</f>
        <v/>
      </c>
      <c r="G2870" s="18" t="n"/>
      <c r="H2870" s="18">
        <f>IF($A2870="","",IF(I2870&lt;&gt;"",I2870,Paramètres!B8))</f>
        <v/>
      </c>
      <c r="I2870" s="18" t="n"/>
    </row>
    <row r="2871">
      <c r="A2871" s="18">
        <f>IF(ISNUMBER(Dossiers!$D$57),Dossiers!$A$57&amp;" · "&amp;Dossiers!$B$57,"")</f>
        <v/>
      </c>
      <c r="B2871" s="18">
        <f>IF($A2871="","",Paramètres!G9)</f>
        <v/>
      </c>
      <c r="C2871" s="18">
        <f>IF($A2871="","",IF(Paramètres!H9="","",Paramètres!H9))</f>
        <v/>
      </c>
      <c r="D2871" s="18">
        <f>IF($A2871="","",IF(Paramètres!I9="","",Paramètres!I9))</f>
        <v/>
      </c>
      <c r="E2871" s="19">
        <f>IF($A2871="","",IF(Paramètres!J9&amp;Paramètres!L9&amp;Paramètres!N9="",Dossiers!$D$57,MAX(IF(Paramètres!J9="",0,IF(Paramètres!K9="",NA(),IF(LEFT(TRIM(Paramètres!K9),1)="F",INDEX($F$2867:$F$2919,MATCH(Paramètres!J9,Paramètres!$G$5:$G$57,0)),INDEX($E$2867:$E$2919,MATCH(Paramètres!J9,Paramètres!$G$5:$G$57,0)))+IF(RIGHT(TRIM(Paramètres!K9),3)="Fin",1-$H2871,IF(LEFT(TRIM(Paramètres!K9),1)="F",1,0)))),IF(Paramètres!L9="",0,IF(Paramètres!M9="",NA(),IF(LEFT(TRIM(Paramètres!M9),1)="F",INDEX($F$2867:$F$2919,MATCH(Paramètres!L9,Paramètres!$G$5:$G$57,0)),INDEX($E$2867:$E$2919,MATCH(Paramètres!L9,Paramètres!$G$5:$G$57,0)))+IF(RIGHT(TRIM(Paramètres!M9),3)="Fin",1-$H2871,IF(LEFT(TRIM(Paramètres!M9),1)="F",1,0)))),IF(Paramètres!N9="",0,IF(Paramètres!O9="",NA(),IF(LEFT(TRIM(Paramètres!O9),1)="F",INDEX($F$2867:$F$2919,MATCH(Paramètres!N9,Paramètres!$G$5:$G$57,0)),INDEX($E$2867:$E$2919,MATCH(Paramètres!N9,Paramètres!$G$5:$G$57,0)))+IF(RIGHT(TRIM(Paramètres!O9),3)="Fin",1-$H2871,IF(LEFT(TRIM(Paramètres!O9),1)="F",1,0)))))))</f>
        <v/>
      </c>
      <c r="F2871" s="19">
        <f>IF($A2871="","",E2871+$H2871-1)</f>
        <v/>
      </c>
      <c r="G2871" s="18" t="n"/>
      <c r="H2871" s="18">
        <f>IF($A2871="","",IF(I2871&lt;&gt;"",I2871,Paramètres!B9))</f>
        <v/>
      </c>
      <c r="I2871" s="18" t="n"/>
    </row>
    <row r="2872">
      <c r="A2872" s="18">
        <f>IF(ISNUMBER(Dossiers!$D$57),Dossiers!$A$57&amp;" · "&amp;Dossiers!$B$57,"")</f>
        <v/>
      </c>
      <c r="B2872" s="18">
        <f>IF($A2872="","",Paramètres!G10)</f>
        <v/>
      </c>
      <c r="C2872" s="18">
        <f>IF($A2872="","",IF(Paramètres!H10="","",Paramètres!H10))</f>
        <v/>
      </c>
      <c r="D2872" s="18">
        <f>IF($A2872="","",IF(Paramètres!I10="","",Paramètres!I10))</f>
        <v/>
      </c>
      <c r="E2872" s="19">
        <f>IF($A2872="","",MIN(E2873:E2876))</f>
        <v/>
      </c>
      <c r="F2872" s="19">
        <f>IF($A2872="","",MAX(F2873:F2876))</f>
        <v/>
      </c>
      <c r="G2872" s="18" t="n"/>
      <c r="H2872" s="18">
        <f>IF($A2872="","",F2872-E2872+1)</f>
        <v/>
      </c>
      <c r="I2872" s="18" t="n"/>
    </row>
    <row r="2873">
      <c r="A2873" s="18">
        <f>IF(ISNUMBER(Dossiers!$D$57),Dossiers!$A$57&amp;" · "&amp;Dossiers!$B$57,"")</f>
        <v/>
      </c>
      <c r="B2873" s="18">
        <f>IF($A2873="","",Paramètres!G11)</f>
        <v/>
      </c>
      <c r="C2873" s="18">
        <f>IF($A2873="","",IF(Paramètres!H11="","",Paramètres!H11))</f>
        <v/>
      </c>
      <c r="D2873" s="18">
        <f>IF($A2873="","",IF(Paramètres!I11="","",Paramètres!I11))</f>
        <v/>
      </c>
      <c r="E2873" s="19">
        <f>IF($A2873="","",IF(Paramètres!J11&amp;Paramètres!L11&amp;Paramètres!N11="",Dossiers!$D$57,MAX(IF(Paramètres!J11="",0,IF(Paramètres!K11="",NA(),IF(LEFT(TRIM(Paramètres!K11),1)="F",INDEX($F$2867:$F$2919,MATCH(Paramètres!J11,Paramètres!$G$5:$G$57,0)),INDEX($E$2867:$E$2919,MATCH(Paramètres!J11,Paramètres!$G$5:$G$57,0)))+IF(RIGHT(TRIM(Paramètres!K11),3)="Fin",1-$H2873,IF(LEFT(TRIM(Paramètres!K11),1)="F",1,0)))),IF(Paramètres!L11="",0,IF(Paramètres!M11="",NA(),IF(LEFT(TRIM(Paramètres!M11),1)="F",INDEX($F$2867:$F$2919,MATCH(Paramètres!L11,Paramètres!$G$5:$G$57,0)),INDEX($E$2867:$E$2919,MATCH(Paramètres!L11,Paramètres!$G$5:$G$57,0)))+IF(RIGHT(TRIM(Paramètres!M11),3)="Fin",1-$H2873,IF(LEFT(TRIM(Paramètres!M11),1)="F",1,0)))),IF(Paramètres!N11="",0,IF(Paramètres!O11="",NA(),IF(LEFT(TRIM(Paramètres!O11),1)="F",INDEX($F$2867:$F$2919,MATCH(Paramètres!N11,Paramètres!$G$5:$G$57,0)),INDEX($E$2867:$E$2919,MATCH(Paramètres!N11,Paramètres!$G$5:$G$57,0)))+IF(RIGHT(TRIM(Paramètres!O11),3)="Fin",1-$H2873,IF(LEFT(TRIM(Paramètres!O11),1)="F",1,0)))))))</f>
        <v/>
      </c>
      <c r="F2873" s="19">
        <f>IF($A2873="","",E2873+$H2873-1)</f>
        <v/>
      </c>
      <c r="G2873" s="18" t="n"/>
      <c r="H2873" s="18">
        <f>IF($A2873="","",IF(I2873&lt;&gt;"",I2873,Paramètres!B11))</f>
        <v/>
      </c>
      <c r="I2873" s="18" t="n"/>
    </row>
    <row r="2874">
      <c r="A2874" s="18">
        <f>IF(ISNUMBER(Dossiers!$D$57),Dossiers!$A$57&amp;" · "&amp;Dossiers!$B$57,"")</f>
        <v/>
      </c>
      <c r="B2874" s="18">
        <f>IF($A2874="","",Paramètres!G12)</f>
        <v/>
      </c>
      <c r="C2874" s="18">
        <f>IF($A2874="","",IF(Paramètres!H12="","",Paramètres!H12))</f>
        <v/>
      </c>
      <c r="D2874" s="18">
        <f>IF($A2874="","",IF(Paramètres!I12="","",Paramètres!I12))</f>
        <v/>
      </c>
      <c r="E2874" s="19">
        <f>IF($A2874="","",IF(Paramètres!J12&amp;Paramètres!L12&amp;Paramètres!N12="",Dossiers!$D$57,MAX(IF(Paramètres!J12="",0,IF(Paramètres!K12="",NA(),IF(LEFT(TRIM(Paramètres!K12),1)="F",INDEX($F$2867:$F$2919,MATCH(Paramètres!J12,Paramètres!$G$5:$G$57,0)),INDEX($E$2867:$E$2919,MATCH(Paramètres!J12,Paramètres!$G$5:$G$57,0)))+IF(RIGHT(TRIM(Paramètres!K12),3)="Fin",1-$H2874,IF(LEFT(TRIM(Paramètres!K12),1)="F",1,0)))),IF(Paramètres!L12="",0,IF(Paramètres!M12="",NA(),IF(LEFT(TRIM(Paramètres!M12),1)="F",INDEX($F$2867:$F$2919,MATCH(Paramètres!L12,Paramètres!$G$5:$G$57,0)),INDEX($E$2867:$E$2919,MATCH(Paramètres!L12,Paramètres!$G$5:$G$57,0)))+IF(RIGHT(TRIM(Paramètres!M12),3)="Fin",1-$H2874,IF(LEFT(TRIM(Paramètres!M12),1)="F",1,0)))),IF(Paramètres!N12="",0,IF(Paramètres!O12="",NA(),IF(LEFT(TRIM(Paramètres!O12),1)="F",INDEX($F$2867:$F$2919,MATCH(Paramètres!N12,Paramètres!$G$5:$G$57,0)),INDEX($E$2867:$E$2919,MATCH(Paramètres!N12,Paramètres!$G$5:$G$57,0)))+IF(RIGHT(TRIM(Paramètres!O12),3)="Fin",1-$H2874,IF(LEFT(TRIM(Paramètres!O12),1)="F",1,0)))))))</f>
        <v/>
      </c>
      <c r="F2874" s="19">
        <f>IF($A2874="","",E2874+$H2874-1)</f>
        <v/>
      </c>
      <c r="G2874" s="18" t="n"/>
      <c r="H2874" s="18">
        <f>IF($A2874="","",IF(I2874&lt;&gt;"",I2874,Paramètres!B12))</f>
        <v/>
      </c>
      <c r="I2874" s="18" t="n"/>
    </row>
    <row r="2875">
      <c r="A2875" s="18">
        <f>IF(ISNUMBER(Dossiers!$D$57),Dossiers!$A$57&amp;" · "&amp;Dossiers!$B$57,"")</f>
        <v/>
      </c>
      <c r="B2875" s="18">
        <f>IF($A2875="","",Paramètres!G13)</f>
        <v/>
      </c>
      <c r="C2875" s="18">
        <f>IF($A2875="","",IF(Paramètres!H13="","",Paramètres!H13))</f>
        <v/>
      </c>
      <c r="D2875" s="18">
        <f>IF($A2875="","",IF(Paramètres!I13="","",Paramètres!I13))</f>
        <v/>
      </c>
      <c r="E2875" s="19">
        <f>IF($A2875="","",IF(Paramètres!J13&amp;Paramètres!L13&amp;Paramètres!N13="",Dossiers!$D$57,MAX(IF(Paramètres!J13="",0,IF(Paramètres!K13="",NA(),IF(LEFT(TRIM(Paramètres!K13),1)="F",INDEX($F$2867:$F$2919,MATCH(Paramètres!J13,Paramètres!$G$5:$G$57,0)),INDEX($E$2867:$E$2919,MATCH(Paramètres!J13,Paramètres!$G$5:$G$57,0)))+IF(RIGHT(TRIM(Paramètres!K13),3)="Fin",1-$H2875,IF(LEFT(TRIM(Paramètres!K13),1)="F",1,0)))),IF(Paramètres!L13="",0,IF(Paramètres!M13="",NA(),IF(LEFT(TRIM(Paramètres!M13),1)="F",INDEX($F$2867:$F$2919,MATCH(Paramètres!L13,Paramètres!$G$5:$G$57,0)),INDEX($E$2867:$E$2919,MATCH(Paramètres!L13,Paramètres!$G$5:$G$57,0)))+IF(RIGHT(TRIM(Paramètres!M13),3)="Fin",1-$H2875,IF(LEFT(TRIM(Paramètres!M13),1)="F",1,0)))),IF(Paramètres!N13="",0,IF(Paramètres!O13="",NA(),IF(LEFT(TRIM(Paramètres!O13),1)="F",INDEX($F$2867:$F$2919,MATCH(Paramètres!N13,Paramètres!$G$5:$G$57,0)),INDEX($E$2867:$E$2919,MATCH(Paramètres!N13,Paramètres!$G$5:$G$57,0)))+IF(RIGHT(TRIM(Paramètres!O13),3)="Fin",1-$H2875,IF(LEFT(TRIM(Paramètres!O13),1)="F",1,0)))))))</f>
        <v/>
      </c>
      <c r="F2875" s="19">
        <f>IF($A2875="","",E2875+$H2875-1)</f>
        <v/>
      </c>
      <c r="G2875" s="18" t="n"/>
      <c r="H2875" s="18">
        <f>IF($A2875="","",IF(I2875&lt;&gt;"",I2875,Paramètres!B13))</f>
        <v/>
      </c>
      <c r="I2875" s="18" t="n"/>
    </row>
    <row r="2876">
      <c r="A2876" s="18">
        <f>IF(ISNUMBER(Dossiers!$D$57),Dossiers!$A$57&amp;" · "&amp;Dossiers!$B$57,"")</f>
        <v/>
      </c>
      <c r="B2876" s="18">
        <f>IF($A2876="","",Paramètres!G14)</f>
        <v/>
      </c>
      <c r="C2876" s="18">
        <f>IF($A2876="","",IF(Paramètres!H14="","",Paramètres!H14))</f>
        <v/>
      </c>
      <c r="D2876" s="18">
        <f>IF($A2876="","",IF(Paramètres!I14="","",Paramètres!I14))</f>
        <v/>
      </c>
      <c r="E2876" s="19">
        <f>IF($A2876="","",IF(Paramètres!J14&amp;Paramètres!L14&amp;Paramètres!N14="",Dossiers!$D$57,MAX(IF(Paramètres!J14="",0,IF(Paramètres!K14="",NA(),IF(LEFT(TRIM(Paramètres!K14),1)="F",INDEX($F$2867:$F$2919,MATCH(Paramètres!J14,Paramètres!$G$5:$G$57,0)),INDEX($E$2867:$E$2919,MATCH(Paramètres!J14,Paramètres!$G$5:$G$57,0)))+IF(RIGHT(TRIM(Paramètres!K14),3)="Fin",1-$H2876,IF(LEFT(TRIM(Paramètres!K14),1)="F",1,0)))),IF(Paramètres!L14="",0,IF(Paramètres!M14="",NA(),IF(LEFT(TRIM(Paramètres!M14),1)="F",INDEX($F$2867:$F$2919,MATCH(Paramètres!L14,Paramètres!$G$5:$G$57,0)),INDEX($E$2867:$E$2919,MATCH(Paramètres!L14,Paramètres!$G$5:$G$57,0)))+IF(RIGHT(TRIM(Paramètres!M14),3)="Fin",1-$H2876,IF(LEFT(TRIM(Paramètres!M14),1)="F",1,0)))),IF(Paramètres!N14="",0,IF(Paramètres!O14="",NA(),IF(LEFT(TRIM(Paramètres!O14),1)="F",INDEX($F$2867:$F$2919,MATCH(Paramètres!N14,Paramètres!$G$5:$G$57,0)),INDEX($E$2867:$E$2919,MATCH(Paramètres!N14,Paramètres!$G$5:$G$57,0)))+IF(RIGHT(TRIM(Paramètres!O14),3)="Fin",1-$H2876,IF(LEFT(TRIM(Paramètres!O14),1)="F",1,0)))))))</f>
        <v/>
      </c>
      <c r="F2876" s="19">
        <f>IF($A2876="","",E2876+$H2876-1)</f>
        <v/>
      </c>
      <c r="G2876" s="18" t="n"/>
      <c r="H2876" s="18">
        <f>IF($A2876="","",IF(I2876&lt;&gt;"",I2876,Paramètres!B14))</f>
        <v/>
      </c>
      <c r="I2876" s="18" t="n"/>
    </row>
    <row r="2877">
      <c r="A2877" s="18">
        <f>IF(ISNUMBER(Dossiers!$D$57),Dossiers!$A$57&amp;" · "&amp;Dossiers!$B$57,"")</f>
        <v/>
      </c>
      <c r="B2877" s="18">
        <f>IF($A2877="","",Paramètres!G15)</f>
        <v/>
      </c>
      <c r="C2877" s="18">
        <f>IF($A2877="","",IF(Paramètres!H15="","",Paramètres!H15))</f>
        <v/>
      </c>
      <c r="D2877" s="18">
        <f>IF($A2877="","",IF(Paramètres!I15="","",Paramètres!I15))</f>
        <v/>
      </c>
      <c r="E2877" s="19">
        <f>IF($A2877="","",MIN(E2878:E2893))</f>
        <v/>
      </c>
      <c r="F2877" s="19">
        <f>IF($A2877="","",MAX(F2878:F2893))</f>
        <v/>
      </c>
      <c r="G2877" s="18" t="n"/>
      <c r="H2877" s="18">
        <f>IF($A2877="","",F2877-E2877+1)</f>
        <v/>
      </c>
      <c r="I2877" s="18" t="n"/>
    </row>
    <row r="2878">
      <c r="A2878" s="18">
        <f>IF(ISNUMBER(Dossiers!$D$57),Dossiers!$A$57&amp;" · "&amp;Dossiers!$B$57,"")</f>
        <v/>
      </c>
      <c r="B2878" s="18">
        <f>IF($A2878="","",Paramètres!G16)</f>
        <v/>
      </c>
      <c r="C2878" s="18">
        <f>IF($A2878="","",IF(Paramètres!H16="","",Paramètres!H16))</f>
        <v/>
      </c>
      <c r="D2878" s="18">
        <f>IF($A2878="","",IF(Paramètres!I16="","",Paramètres!I16))</f>
        <v/>
      </c>
      <c r="E2878" s="19">
        <f>IF($A2878="","",IF(Paramètres!J16&amp;Paramètres!L16&amp;Paramètres!N16="",Dossiers!$D$57,MAX(IF(Paramètres!J16="",0,IF(Paramètres!K16="",NA(),IF(LEFT(TRIM(Paramètres!K16),1)="F",INDEX($F$2867:$F$2919,MATCH(Paramètres!J16,Paramètres!$G$5:$G$57,0)),INDEX($E$2867:$E$2919,MATCH(Paramètres!J16,Paramètres!$G$5:$G$57,0)))+IF(RIGHT(TRIM(Paramètres!K16),3)="Fin",1-$H2878,IF(LEFT(TRIM(Paramètres!K16),1)="F",1,0)))),IF(Paramètres!L16="",0,IF(Paramètres!M16="",NA(),IF(LEFT(TRIM(Paramètres!M16),1)="F",INDEX($F$2867:$F$2919,MATCH(Paramètres!L16,Paramètres!$G$5:$G$57,0)),INDEX($E$2867:$E$2919,MATCH(Paramètres!L16,Paramètres!$G$5:$G$57,0)))+IF(RIGHT(TRIM(Paramètres!M16),3)="Fin",1-$H2878,IF(LEFT(TRIM(Paramètres!M16),1)="F",1,0)))),IF(Paramètres!N16="",0,IF(Paramètres!O16="",NA(),IF(LEFT(TRIM(Paramètres!O16),1)="F",INDEX($F$2867:$F$2919,MATCH(Paramètres!N16,Paramètres!$G$5:$G$57,0)),INDEX($E$2867:$E$2919,MATCH(Paramètres!N16,Paramètres!$G$5:$G$57,0)))+IF(RIGHT(TRIM(Paramètres!O16),3)="Fin",1-$H2878,IF(LEFT(TRIM(Paramètres!O16),1)="F",1,0)))))))</f>
        <v/>
      </c>
      <c r="F2878" s="19">
        <f>IF($A2878="","",E2878+$H2878-1)</f>
        <v/>
      </c>
      <c r="G2878" s="18" t="n"/>
      <c r="H2878" s="18">
        <f>IF($A2878="","",IF(I2878&lt;&gt;"",I2878,Paramètres!B16))</f>
        <v/>
      </c>
      <c r="I2878" s="18" t="n"/>
    </row>
    <row r="2879">
      <c r="A2879" s="18">
        <f>IF(ISNUMBER(Dossiers!$D$57),Dossiers!$A$57&amp;" · "&amp;Dossiers!$B$57,"")</f>
        <v/>
      </c>
      <c r="B2879" s="18">
        <f>IF($A2879="","",Paramètres!G17)</f>
        <v/>
      </c>
      <c r="C2879" s="18">
        <f>IF($A2879="","",IF(Paramètres!H17="","",Paramètres!H17))</f>
        <v/>
      </c>
      <c r="D2879" s="18">
        <f>IF($A2879="","",IF(Paramètres!I17="","",Paramètres!I17))</f>
        <v/>
      </c>
      <c r="E2879" s="19">
        <f>IF($A2879="","",IF(Paramètres!J17&amp;Paramètres!L17&amp;Paramètres!N17="",Dossiers!$D$57,MAX(IF(Paramètres!J17="",0,IF(Paramètres!K17="",NA(),IF(LEFT(TRIM(Paramètres!K17),1)="F",INDEX($F$2867:$F$2919,MATCH(Paramètres!J17,Paramètres!$G$5:$G$57,0)),INDEX($E$2867:$E$2919,MATCH(Paramètres!J17,Paramètres!$G$5:$G$57,0)))+IF(RIGHT(TRIM(Paramètres!K17),3)="Fin",1-$H2879,IF(LEFT(TRIM(Paramètres!K17),1)="F",1,0)))),IF(Paramètres!L17="",0,IF(Paramètres!M17="",NA(),IF(LEFT(TRIM(Paramètres!M17),1)="F",INDEX($F$2867:$F$2919,MATCH(Paramètres!L17,Paramètres!$G$5:$G$57,0)),INDEX($E$2867:$E$2919,MATCH(Paramètres!L17,Paramètres!$G$5:$G$57,0)))+IF(RIGHT(TRIM(Paramètres!M17),3)="Fin",1-$H2879,IF(LEFT(TRIM(Paramètres!M17),1)="F",1,0)))),IF(Paramètres!N17="",0,IF(Paramètres!O17="",NA(),IF(LEFT(TRIM(Paramètres!O17),1)="F",INDEX($F$2867:$F$2919,MATCH(Paramètres!N17,Paramètres!$G$5:$G$57,0)),INDEX($E$2867:$E$2919,MATCH(Paramètres!N17,Paramètres!$G$5:$G$57,0)))+IF(RIGHT(TRIM(Paramètres!O17),3)="Fin",1-$H2879,IF(LEFT(TRIM(Paramètres!O17),1)="F",1,0)))))))</f>
        <v/>
      </c>
      <c r="F2879" s="19">
        <f>IF($A2879="","",E2879+$H2879-1)</f>
        <v/>
      </c>
      <c r="G2879" s="18" t="n"/>
      <c r="H2879" s="18">
        <f>IF($A2879="","",IF(I2879&lt;&gt;"",I2879,Paramètres!B17))</f>
        <v/>
      </c>
      <c r="I2879" s="18" t="n"/>
    </row>
    <row r="2880">
      <c r="A2880" s="18">
        <f>IF(ISNUMBER(Dossiers!$D$57),Dossiers!$A$57&amp;" · "&amp;Dossiers!$B$57,"")</f>
        <v/>
      </c>
      <c r="B2880" s="18">
        <f>IF($A2880="","",Paramètres!G18)</f>
        <v/>
      </c>
      <c r="C2880" s="18">
        <f>IF($A2880="","",IF(Paramètres!H18="","",Paramètres!H18))</f>
        <v/>
      </c>
      <c r="D2880" s="18">
        <f>IF($A2880="","",IF(Paramètres!I18="","",Paramètres!I18))</f>
        <v/>
      </c>
      <c r="E2880" s="19">
        <f>IF($A2880="","",IF(Paramètres!J18&amp;Paramètres!L18&amp;Paramètres!N18="",Dossiers!$D$57,MAX(IF(Paramètres!J18="",0,IF(Paramètres!K18="",NA(),IF(LEFT(TRIM(Paramètres!K18),1)="F",INDEX($F$2867:$F$2919,MATCH(Paramètres!J18,Paramètres!$G$5:$G$57,0)),INDEX($E$2867:$E$2919,MATCH(Paramètres!J18,Paramètres!$G$5:$G$57,0)))+IF(RIGHT(TRIM(Paramètres!K18),3)="Fin",1-$H2880,IF(LEFT(TRIM(Paramètres!K18),1)="F",1,0)))),IF(Paramètres!L18="",0,IF(Paramètres!M18="",NA(),IF(LEFT(TRIM(Paramètres!M18),1)="F",INDEX($F$2867:$F$2919,MATCH(Paramètres!L18,Paramètres!$G$5:$G$57,0)),INDEX($E$2867:$E$2919,MATCH(Paramètres!L18,Paramètres!$G$5:$G$57,0)))+IF(RIGHT(TRIM(Paramètres!M18),3)="Fin",1-$H2880,IF(LEFT(TRIM(Paramètres!M18),1)="F",1,0)))),IF(Paramètres!N18="",0,IF(Paramètres!O18="",NA(),IF(LEFT(TRIM(Paramètres!O18),1)="F",INDEX($F$2867:$F$2919,MATCH(Paramètres!N18,Paramètres!$G$5:$G$57,0)),INDEX($E$2867:$E$2919,MATCH(Paramètres!N18,Paramètres!$G$5:$G$57,0)))+IF(RIGHT(TRIM(Paramètres!O18),3)="Fin",1-$H2880,IF(LEFT(TRIM(Paramètres!O18),1)="F",1,0)))))))</f>
        <v/>
      </c>
      <c r="F2880" s="19">
        <f>IF($A2880="","",E2880+$H2880-1)</f>
        <v/>
      </c>
      <c r="G2880" s="18" t="n"/>
      <c r="H2880" s="18">
        <f>IF($A2880="","",IF(I2880&lt;&gt;"",I2880,Paramètres!B18))</f>
        <v/>
      </c>
      <c r="I2880" s="18" t="n"/>
    </row>
    <row r="2881">
      <c r="A2881" s="18">
        <f>IF(ISNUMBER(Dossiers!$D$57),Dossiers!$A$57&amp;" · "&amp;Dossiers!$B$57,"")</f>
        <v/>
      </c>
      <c r="B2881" s="18">
        <f>IF($A2881="","",Paramètres!G19)</f>
        <v/>
      </c>
      <c r="C2881" s="18">
        <f>IF($A2881="","",IF(Paramètres!H19="","",Paramètres!H19))</f>
        <v/>
      </c>
      <c r="D2881" s="18">
        <f>IF($A2881="","",IF(Paramètres!I19="","",Paramètres!I19))</f>
        <v/>
      </c>
      <c r="E2881" s="19">
        <f>IF($A2881="","",IF(Paramètres!J19&amp;Paramètres!L19&amp;Paramètres!N19="",Dossiers!$D$57,MAX(IF(Paramètres!J19="",0,IF(Paramètres!K19="",NA(),IF(LEFT(TRIM(Paramètres!K19),1)="F",INDEX($F$2867:$F$2919,MATCH(Paramètres!J19,Paramètres!$G$5:$G$57,0)),INDEX($E$2867:$E$2919,MATCH(Paramètres!J19,Paramètres!$G$5:$G$57,0)))+IF(RIGHT(TRIM(Paramètres!K19),3)="Fin",1-$H2881,IF(LEFT(TRIM(Paramètres!K19),1)="F",1,0)))),IF(Paramètres!L19="",0,IF(Paramètres!M19="",NA(),IF(LEFT(TRIM(Paramètres!M19),1)="F",INDEX($F$2867:$F$2919,MATCH(Paramètres!L19,Paramètres!$G$5:$G$57,0)),INDEX($E$2867:$E$2919,MATCH(Paramètres!L19,Paramètres!$G$5:$G$57,0)))+IF(RIGHT(TRIM(Paramètres!M19),3)="Fin",1-$H2881,IF(LEFT(TRIM(Paramètres!M19),1)="F",1,0)))),IF(Paramètres!N19="",0,IF(Paramètres!O19="",NA(),IF(LEFT(TRIM(Paramètres!O19),1)="F",INDEX($F$2867:$F$2919,MATCH(Paramètres!N19,Paramètres!$G$5:$G$57,0)),INDEX($E$2867:$E$2919,MATCH(Paramètres!N19,Paramètres!$G$5:$G$57,0)))+IF(RIGHT(TRIM(Paramètres!O19),3)="Fin",1-$H2881,IF(LEFT(TRIM(Paramètres!O19),1)="F",1,0)))))))</f>
        <v/>
      </c>
      <c r="F2881" s="19">
        <f>IF($A2881="","",E2881+$H2881-1)</f>
        <v/>
      </c>
      <c r="G2881" s="18" t="n"/>
      <c r="H2881" s="18">
        <f>IF($A2881="","",IF(I2881&lt;&gt;"",I2881,Paramètres!B19))</f>
        <v/>
      </c>
      <c r="I2881" s="18" t="n"/>
    </row>
    <row r="2882">
      <c r="A2882" s="18">
        <f>IF(ISNUMBER(Dossiers!$D$57),Dossiers!$A$57&amp;" · "&amp;Dossiers!$B$57,"")</f>
        <v/>
      </c>
      <c r="B2882" s="18">
        <f>IF($A2882="","",Paramètres!G20)</f>
        <v/>
      </c>
      <c r="C2882" s="18">
        <f>IF($A2882="","",IF(Paramètres!H20="","",Paramètres!H20))</f>
        <v/>
      </c>
      <c r="D2882" s="18">
        <f>IF($A2882="","",IF(Paramètres!I20="","",Paramètres!I20))</f>
        <v/>
      </c>
      <c r="E2882" s="19">
        <f>IF($A2882="","",IF(Paramètres!J20&amp;Paramètres!L20&amp;Paramètres!N20="",Dossiers!$D$57,MAX(IF(Paramètres!J20="",0,IF(Paramètres!K20="",NA(),IF(LEFT(TRIM(Paramètres!K20),1)="F",INDEX($F$2867:$F$2919,MATCH(Paramètres!J20,Paramètres!$G$5:$G$57,0)),INDEX($E$2867:$E$2919,MATCH(Paramètres!J20,Paramètres!$G$5:$G$57,0)))+IF(RIGHT(TRIM(Paramètres!K20),3)="Fin",1-$H2882,IF(LEFT(TRIM(Paramètres!K20),1)="F",1,0)))),IF(Paramètres!L20="",0,IF(Paramètres!M20="",NA(),IF(LEFT(TRIM(Paramètres!M20),1)="F",INDEX($F$2867:$F$2919,MATCH(Paramètres!L20,Paramètres!$G$5:$G$57,0)),INDEX($E$2867:$E$2919,MATCH(Paramètres!L20,Paramètres!$G$5:$G$57,0)))+IF(RIGHT(TRIM(Paramètres!M20),3)="Fin",1-$H2882,IF(LEFT(TRIM(Paramètres!M20),1)="F",1,0)))),IF(Paramètres!N20="",0,IF(Paramètres!O20="",NA(),IF(LEFT(TRIM(Paramètres!O20),1)="F",INDEX($F$2867:$F$2919,MATCH(Paramètres!N20,Paramètres!$G$5:$G$57,0)),INDEX($E$2867:$E$2919,MATCH(Paramètres!N20,Paramètres!$G$5:$G$57,0)))+IF(RIGHT(TRIM(Paramètres!O20),3)="Fin",1-$H2882,IF(LEFT(TRIM(Paramètres!O20),1)="F",1,0)))))))</f>
        <v/>
      </c>
      <c r="F2882" s="19">
        <f>IF($A2882="","",E2882+$H2882-1)</f>
        <v/>
      </c>
      <c r="G2882" s="18" t="n"/>
      <c r="H2882" s="18">
        <f>IF($A2882="","",IF(I2882&lt;&gt;"",I2882,Paramètres!B20))</f>
        <v/>
      </c>
      <c r="I2882" s="18" t="n"/>
    </row>
    <row r="2883">
      <c r="A2883" s="18">
        <f>IF(ISNUMBER(Dossiers!$D$57),Dossiers!$A$57&amp;" · "&amp;Dossiers!$B$57,"")</f>
        <v/>
      </c>
      <c r="B2883" s="18">
        <f>IF($A2883="","",Paramètres!G21)</f>
        <v/>
      </c>
      <c r="C2883" s="18">
        <f>IF($A2883="","",IF(Paramètres!H21="","",Paramètres!H21))</f>
        <v/>
      </c>
      <c r="D2883" s="18">
        <f>IF($A2883="","",IF(Paramètres!I21="","",Paramètres!I21))</f>
        <v/>
      </c>
      <c r="E2883" s="19">
        <f>IF($A2883="","",IF(Paramètres!J21&amp;Paramètres!L21&amp;Paramètres!N21="",Dossiers!$D$57,MAX(IF(Paramètres!J21="",0,IF(Paramètres!K21="",NA(),IF(LEFT(TRIM(Paramètres!K21),1)="F",INDEX($F$2867:$F$2919,MATCH(Paramètres!J21,Paramètres!$G$5:$G$57,0)),INDEX($E$2867:$E$2919,MATCH(Paramètres!J21,Paramètres!$G$5:$G$57,0)))+IF(RIGHT(TRIM(Paramètres!K21),3)="Fin",1-$H2883,IF(LEFT(TRIM(Paramètres!K21),1)="F",1,0)))),IF(Paramètres!L21="",0,IF(Paramètres!M21="",NA(),IF(LEFT(TRIM(Paramètres!M21),1)="F",INDEX($F$2867:$F$2919,MATCH(Paramètres!L21,Paramètres!$G$5:$G$57,0)),INDEX($E$2867:$E$2919,MATCH(Paramètres!L21,Paramètres!$G$5:$G$57,0)))+IF(RIGHT(TRIM(Paramètres!M21),3)="Fin",1-$H2883,IF(LEFT(TRIM(Paramètres!M21),1)="F",1,0)))),IF(Paramètres!N21="",0,IF(Paramètres!O21="",NA(),IF(LEFT(TRIM(Paramètres!O21),1)="F",INDEX($F$2867:$F$2919,MATCH(Paramètres!N21,Paramètres!$G$5:$G$57,0)),INDEX($E$2867:$E$2919,MATCH(Paramètres!N21,Paramètres!$G$5:$G$57,0)))+IF(RIGHT(TRIM(Paramètres!O21),3)="Fin",1-$H2883,IF(LEFT(TRIM(Paramètres!O21),1)="F",1,0)))))))</f>
        <v/>
      </c>
      <c r="F2883" s="19">
        <f>IF($A2883="","",E2883+$H2883-1)</f>
        <v/>
      </c>
      <c r="G2883" s="18" t="n"/>
      <c r="H2883" s="18">
        <f>IF($A2883="","",IF(I2883&lt;&gt;"",I2883,Paramètres!B21))</f>
        <v/>
      </c>
      <c r="I2883" s="18" t="n"/>
    </row>
    <row r="2884">
      <c r="A2884" s="18">
        <f>IF(ISNUMBER(Dossiers!$D$57),Dossiers!$A$57&amp;" · "&amp;Dossiers!$B$57,"")</f>
        <v/>
      </c>
      <c r="B2884" s="18">
        <f>IF($A2884="","",Paramètres!G22)</f>
        <v/>
      </c>
      <c r="C2884" s="18">
        <f>IF($A2884="","",IF(Paramètres!H22="","",Paramètres!H22))</f>
        <v/>
      </c>
      <c r="D2884" s="18">
        <f>IF($A2884="","",IF(Paramètres!I22="","",Paramètres!I22))</f>
        <v/>
      </c>
      <c r="E2884" s="19">
        <f>IF($A2884="","",IF(Paramètres!J22&amp;Paramètres!L22&amp;Paramètres!N22="",Dossiers!$D$57,MAX(IF(Paramètres!J22="",0,IF(Paramètres!K22="",NA(),IF(LEFT(TRIM(Paramètres!K22),1)="F",INDEX($F$2867:$F$2919,MATCH(Paramètres!J22,Paramètres!$G$5:$G$57,0)),INDEX($E$2867:$E$2919,MATCH(Paramètres!J22,Paramètres!$G$5:$G$57,0)))+IF(RIGHT(TRIM(Paramètres!K22),3)="Fin",1-$H2884,IF(LEFT(TRIM(Paramètres!K22),1)="F",1,0)))),IF(Paramètres!L22="",0,IF(Paramètres!M22="",NA(),IF(LEFT(TRIM(Paramètres!M22),1)="F",INDEX($F$2867:$F$2919,MATCH(Paramètres!L22,Paramètres!$G$5:$G$57,0)),INDEX($E$2867:$E$2919,MATCH(Paramètres!L22,Paramètres!$G$5:$G$57,0)))+IF(RIGHT(TRIM(Paramètres!M22),3)="Fin",1-$H2884,IF(LEFT(TRIM(Paramètres!M22),1)="F",1,0)))),IF(Paramètres!N22="",0,IF(Paramètres!O22="",NA(),IF(LEFT(TRIM(Paramètres!O22),1)="F",INDEX($F$2867:$F$2919,MATCH(Paramètres!N22,Paramètres!$G$5:$G$57,0)),INDEX($E$2867:$E$2919,MATCH(Paramètres!N22,Paramètres!$G$5:$G$57,0)))+IF(RIGHT(TRIM(Paramètres!O22),3)="Fin",1-$H2884,IF(LEFT(TRIM(Paramètres!O22),1)="F",1,0)))))))</f>
        <v/>
      </c>
      <c r="F2884" s="19">
        <f>IF($A2884="","",E2884+$H2884-1)</f>
        <v/>
      </c>
      <c r="G2884" s="18" t="n"/>
      <c r="H2884" s="18">
        <f>IF($A2884="","",IF(I2884&lt;&gt;"",I2884,Paramètres!B22))</f>
        <v/>
      </c>
      <c r="I2884" s="18" t="n"/>
    </row>
    <row r="2885">
      <c r="A2885" s="18">
        <f>IF(ISNUMBER(Dossiers!$D$57),Dossiers!$A$57&amp;" · "&amp;Dossiers!$B$57,"")</f>
        <v/>
      </c>
      <c r="B2885" s="18">
        <f>IF($A2885="","",Paramètres!G23)</f>
        <v/>
      </c>
      <c r="C2885" s="18">
        <f>IF($A2885="","",IF(Paramètres!H23="","",Paramètres!H23))</f>
        <v/>
      </c>
      <c r="D2885" s="18">
        <f>IF($A2885="","",IF(Paramètres!I23="","",Paramètres!I23))</f>
        <v/>
      </c>
      <c r="E2885" s="19">
        <f>IF($A2885="","",IF(Paramètres!J23&amp;Paramètres!L23&amp;Paramètres!N23="",Dossiers!$D$57,MAX(IF(Paramètres!J23="",0,IF(Paramètres!K23="",NA(),IF(LEFT(TRIM(Paramètres!K23),1)="F",INDEX($F$2867:$F$2919,MATCH(Paramètres!J23,Paramètres!$G$5:$G$57,0)),INDEX($E$2867:$E$2919,MATCH(Paramètres!J23,Paramètres!$G$5:$G$57,0)))+IF(RIGHT(TRIM(Paramètres!K23),3)="Fin",1-$H2885,IF(LEFT(TRIM(Paramètres!K23),1)="F",1,0)))),IF(Paramètres!L23="",0,IF(Paramètres!M23="",NA(),IF(LEFT(TRIM(Paramètres!M23),1)="F",INDEX($F$2867:$F$2919,MATCH(Paramètres!L23,Paramètres!$G$5:$G$57,0)),INDEX($E$2867:$E$2919,MATCH(Paramètres!L23,Paramètres!$G$5:$G$57,0)))+IF(RIGHT(TRIM(Paramètres!M23),3)="Fin",1-$H2885,IF(LEFT(TRIM(Paramètres!M23),1)="F",1,0)))),IF(Paramètres!N23="",0,IF(Paramètres!O23="",NA(),IF(LEFT(TRIM(Paramètres!O23),1)="F",INDEX($F$2867:$F$2919,MATCH(Paramètres!N23,Paramètres!$G$5:$G$57,0)),INDEX($E$2867:$E$2919,MATCH(Paramètres!N23,Paramètres!$G$5:$G$57,0)))+IF(RIGHT(TRIM(Paramètres!O23),3)="Fin",1-$H2885,IF(LEFT(TRIM(Paramètres!O23),1)="F",1,0)))))))</f>
        <v/>
      </c>
      <c r="F2885" s="19">
        <f>IF($A2885="","",E2885+$H2885-1)</f>
        <v/>
      </c>
      <c r="G2885" s="18" t="n"/>
      <c r="H2885" s="18">
        <f>IF($A2885="","",IF(I2885&lt;&gt;"",I2885,Paramètres!B23))</f>
        <v/>
      </c>
      <c r="I2885" s="18" t="n"/>
    </row>
    <row r="2886">
      <c r="A2886" s="18">
        <f>IF(ISNUMBER(Dossiers!$D$57),Dossiers!$A$57&amp;" · "&amp;Dossiers!$B$57,"")</f>
        <v/>
      </c>
      <c r="B2886" s="18">
        <f>IF($A2886="","",Paramètres!G24)</f>
        <v/>
      </c>
      <c r="C2886" s="18">
        <f>IF($A2886="","",IF(Paramètres!H24="","",Paramètres!H24))</f>
        <v/>
      </c>
      <c r="D2886" s="18">
        <f>IF($A2886="","",IF(Paramètres!I24="","",Paramètres!I24))</f>
        <v/>
      </c>
      <c r="E2886" s="19">
        <f>IF($A2886="","",IF(Paramètres!J24&amp;Paramètres!L24&amp;Paramètres!N24="",Dossiers!$D$57,MAX(IF(Paramètres!J24="",0,IF(Paramètres!K24="",NA(),IF(LEFT(TRIM(Paramètres!K24),1)="F",INDEX($F$2867:$F$2919,MATCH(Paramètres!J24,Paramètres!$G$5:$G$57,0)),INDEX($E$2867:$E$2919,MATCH(Paramètres!J24,Paramètres!$G$5:$G$57,0)))+IF(RIGHT(TRIM(Paramètres!K24),3)="Fin",1-$H2886,IF(LEFT(TRIM(Paramètres!K24),1)="F",1,0)))),IF(Paramètres!L24="",0,IF(Paramètres!M24="",NA(),IF(LEFT(TRIM(Paramètres!M24),1)="F",INDEX($F$2867:$F$2919,MATCH(Paramètres!L24,Paramètres!$G$5:$G$57,0)),INDEX($E$2867:$E$2919,MATCH(Paramètres!L24,Paramètres!$G$5:$G$57,0)))+IF(RIGHT(TRIM(Paramètres!M24),3)="Fin",1-$H2886,IF(LEFT(TRIM(Paramètres!M24),1)="F",1,0)))),IF(Paramètres!N24="",0,IF(Paramètres!O24="",NA(),IF(LEFT(TRIM(Paramètres!O24),1)="F",INDEX($F$2867:$F$2919,MATCH(Paramètres!N24,Paramètres!$G$5:$G$57,0)),INDEX($E$2867:$E$2919,MATCH(Paramètres!N24,Paramètres!$G$5:$G$57,0)))+IF(RIGHT(TRIM(Paramètres!O24),3)="Fin",1-$H2886,IF(LEFT(TRIM(Paramètres!O24),1)="F",1,0)))))))</f>
        <v/>
      </c>
      <c r="F2886" s="19">
        <f>IF($A2886="","",E2886+$H2886-1)</f>
        <v/>
      </c>
      <c r="G2886" s="18" t="n"/>
      <c r="H2886" s="18">
        <f>IF($A2886="","",IF(I2886&lt;&gt;"",I2886,Paramètres!B24))</f>
        <v/>
      </c>
      <c r="I2886" s="18" t="n"/>
    </row>
    <row r="2887">
      <c r="A2887" s="18">
        <f>IF(ISNUMBER(Dossiers!$D$57),Dossiers!$A$57&amp;" · "&amp;Dossiers!$B$57,"")</f>
        <v/>
      </c>
      <c r="B2887" s="18">
        <f>IF($A2887="","",Paramètres!G25)</f>
        <v/>
      </c>
      <c r="C2887" s="18">
        <f>IF($A2887="","",IF(Paramètres!H25="","",Paramètres!H25))</f>
        <v/>
      </c>
      <c r="D2887" s="18">
        <f>IF($A2887="","",IF(Paramètres!I25="","",Paramètres!I25))</f>
        <v/>
      </c>
      <c r="E2887" s="19">
        <f>IF($A2887="","",IF(Paramètres!J25&amp;Paramètres!L25&amp;Paramètres!N25="",Dossiers!$D$57,MAX(IF(Paramètres!J25="",0,IF(Paramètres!K25="",NA(),IF(LEFT(TRIM(Paramètres!K25),1)="F",INDEX($F$2867:$F$2919,MATCH(Paramètres!J25,Paramètres!$G$5:$G$57,0)),INDEX($E$2867:$E$2919,MATCH(Paramètres!J25,Paramètres!$G$5:$G$57,0)))+IF(RIGHT(TRIM(Paramètres!K25),3)="Fin",1-$H2887,IF(LEFT(TRIM(Paramètres!K25),1)="F",1,0)))),IF(Paramètres!L25="",0,IF(Paramètres!M25="",NA(),IF(LEFT(TRIM(Paramètres!M25),1)="F",INDEX($F$2867:$F$2919,MATCH(Paramètres!L25,Paramètres!$G$5:$G$57,0)),INDEX($E$2867:$E$2919,MATCH(Paramètres!L25,Paramètres!$G$5:$G$57,0)))+IF(RIGHT(TRIM(Paramètres!M25),3)="Fin",1-$H2887,IF(LEFT(TRIM(Paramètres!M25),1)="F",1,0)))),IF(Paramètres!N25="",0,IF(Paramètres!O25="",NA(),IF(LEFT(TRIM(Paramètres!O25),1)="F",INDEX($F$2867:$F$2919,MATCH(Paramètres!N25,Paramètres!$G$5:$G$57,0)),INDEX($E$2867:$E$2919,MATCH(Paramètres!N25,Paramètres!$G$5:$G$57,0)))+IF(RIGHT(TRIM(Paramètres!O25),3)="Fin",1-$H2887,IF(LEFT(TRIM(Paramètres!O25),1)="F",1,0)))))))</f>
        <v/>
      </c>
      <c r="F2887" s="19">
        <f>IF($A2887="","",E2887+$H2887-1)</f>
        <v/>
      </c>
      <c r="G2887" s="18" t="n"/>
      <c r="H2887" s="18">
        <f>IF($A2887="","",IF(I2887&lt;&gt;"",I2887,Paramètres!B25))</f>
        <v/>
      </c>
      <c r="I2887" s="18" t="n"/>
    </row>
    <row r="2888">
      <c r="A2888" s="18">
        <f>IF(ISNUMBER(Dossiers!$D$57),Dossiers!$A$57&amp;" · "&amp;Dossiers!$B$57,"")</f>
        <v/>
      </c>
      <c r="B2888" s="18">
        <f>IF($A2888="","",Paramètres!G26)</f>
        <v/>
      </c>
      <c r="C2888" s="18">
        <f>IF($A2888="","",IF(Paramètres!H26="","",Paramètres!H26))</f>
        <v/>
      </c>
      <c r="D2888" s="18">
        <f>IF($A2888="","",IF(Paramètres!I26="","",Paramètres!I26))</f>
        <v/>
      </c>
      <c r="E2888" s="19">
        <f>IF($A2888="","",IF(Paramètres!J26&amp;Paramètres!L26&amp;Paramètres!N26="",Dossiers!$D$57,MAX(IF(Paramètres!J26="",0,IF(Paramètres!K26="",NA(),IF(LEFT(TRIM(Paramètres!K26),1)="F",INDEX($F$2867:$F$2919,MATCH(Paramètres!J26,Paramètres!$G$5:$G$57,0)),INDEX($E$2867:$E$2919,MATCH(Paramètres!J26,Paramètres!$G$5:$G$57,0)))+IF(RIGHT(TRIM(Paramètres!K26),3)="Fin",1-$H2888,IF(LEFT(TRIM(Paramètres!K26),1)="F",1,0)))),IF(Paramètres!L26="",0,IF(Paramètres!M26="",NA(),IF(LEFT(TRIM(Paramètres!M26),1)="F",INDEX($F$2867:$F$2919,MATCH(Paramètres!L26,Paramètres!$G$5:$G$57,0)),INDEX($E$2867:$E$2919,MATCH(Paramètres!L26,Paramètres!$G$5:$G$57,0)))+IF(RIGHT(TRIM(Paramètres!M26),3)="Fin",1-$H2888,IF(LEFT(TRIM(Paramètres!M26),1)="F",1,0)))),IF(Paramètres!N26="",0,IF(Paramètres!O26="",NA(),IF(LEFT(TRIM(Paramètres!O26),1)="F",INDEX($F$2867:$F$2919,MATCH(Paramètres!N26,Paramètres!$G$5:$G$57,0)),INDEX($E$2867:$E$2919,MATCH(Paramètres!N26,Paramètres!$G$5:$G$57,0)))+IF(RIGHT(TRIM(Paramètres!O26),3)="Fin",1-$H2888,IF(LEFT(TRIM(Paramètres!O26),1)="F",1,0)))))))</f>
        <v/>
      </c>
      <c r="F2888" s="19">
        <f>IF($A2888="","",E2888+$H2888-1)</f>
        <v/>
      </c>
      <c r="G2888" s="18" t="n"/>
      <c r="H2888" s="18">
        <f>IF($A2888="","",IF(I2888&lt;&gt;"",I2888,Paramètres!B26))</f>
        <v/>
      </c>
      <c r="I2888" s="18" t="n"/>
    </row>
    <row r="2889">
      <c r="A2889" s="18">
        <f>IF(ISNUMBER(Dossiers!$D$57),Dossiers!$A$57&amp;" · "&amp;Dossiers!$B$57,"")</f>
        <v/>
      </c>
      <c r="B2889" s="18">
        <f>IF($A2889="","",Paramètres!G27)</f>
        <v/>
      </c>
      <c r="C2889" s="18">
        <f>IF($A2889="","",IF(Paramètres!H27="","",Paramètres!H27))</f>
        <v/>
      </c>
      <c r="D2889" s="18">
        <f>IF($A2889="","",IF(Paramètres!I27="","",Paramètres!I27))</f>
        <v/>
      </c>
      <c r="E2889" s="19">
        <f>IF($A2889="","",IF(Paramètres!J27&amp;Paramètres!L27&amp;Paramètres!N27="",Dossiers!$D$57,MAX(IF(Paramètres!J27="",0,IF(Paramètres!K27="",NA(),IF(LEFT(TRIM(Paramètres!K27),1)="F",INDEX($F$2867:$F$2919,MATCH(Paramètres!J27,Paramètres!$G$5:$G$57,0)),INDEX($E$2867:$E$2919,MATCH(Paramètres!J27,Paramètres!$G$5:$G$57,0)))+IF(RIGHT(TRIM(Paramètres!K27),3)="Fin",1-$H2889,IF(LEFT(TRIM(Paramètres!K27),1)="F",1,0)))),IF(Paramètres!L27="",0,IF(Paramètres!M27="",NA(),IF(LEFT(TRIM(Paramètres!M27),1)="F",INDEX($F$2867:$F$2919,MATCH(Paramètres!L27,Paramètres!$G$5:$G$57,0)),INDEX($E$2867:$E$2919,MATCH(Paramètres!L27,Paramètres!$G$5:$G$57,0)))+IF(RIGHT(TRIM(Paramètres!M27),3)="Fin",1-$H2889,IF(LEFT(TRIM(Paramètres!M27),1)="F",1,0)))),IF(Paramètres!N27="",0,IF(Paramètres!O27="",NA(),IF(LEFT(TRIM(Paramètres!O27),1)="F",INDEX($F$2867:$F$2919,MATCH(Paramètres!N27,Paramètres!$G$5:$G$57,0)),INDEX($E$2867:$E$2919,MATCH(Paramètres!N27,Paramètres!$G$5:$G$57,0)))+IF(RIGHT(TRIM(Paramètres!O27),3)="Fin",1-$H2889,IF(LEFT(TRIM(Paramètres!O27),1)="F",1,0)))))))</f>
        <v/>
      </c>
      <c r="F2889" s="19">
        <f>IF($A2889="","",E2889+$H2889-1)</f>
        <v/>
      </c>
      <c r="G2889" s="18" t="n"/>
      <c r="H2889" s="18">
        <f>IF($A2889="","",IF(I2889&lt;&gt;"",I2889,Paramètres!B27))</f>
        <v/>
      </c>
      <c r="I2889" s="18" t="n"/>
    </row>
    <row r="2890">
      <c r="A2890" s="18">
        <f>IF(ISNUMBER(Dossiers!$D$57),Dossiers!$A$57&amp;" · "&amp;Dossiers!$B$57,"")</f>
        <v/>
      </c>
      <c r="B2890" s="18">
        <f>IF($A2890="","",Paramètres!G28)</f>
        <v/>
      </c>
      <c r="C2890" s="18">
        <f>IF($A2890="","",IF(Paramètres!H28="","",Paramètres!H28))</f>
        <v/>
      </c>
      <c r="D2890" s="18">
        <f>IF($A2890="","",IF(Paramètres!I28="","",Paramètres!I28))</f>
        <v/>
      </c>
      <c r="E2890" s="19">
        <f>IF($A2890="","",IF(Paramètres!J28&amp;Paramètres!L28&amp;Paramètres!N28="",Dossiers!$D$57,MAX(IF(Paramètres!J28="",0,IF(Paramètres!K28="",NA(),IF(LEFT(TRIM(Paramètres!K28),1)="F",INDEX($F$2867:$F$2919,MATCH(Paramètres!J28,Paramètres!$G$5:$G$57,0)),INDEX($E$2867:$E$2919,MATCH(Paramètres!J28,Paramètres!$G$5:$G$57,0)))+IF(RIGHT(TRIM(Paramètres!K28),3)="Fin",1-$H2890,IF(LEFT(TRIM(Paramètres!K28),1)="F",1,0)))),IF(Paramètres!L28="",0,IF(Paramètres!M28="",NA(),IF(LEFT(TRIM(Paramètres!M28),1)="F",INDEX($F$2867:$F$2919,MATCH(Paramètres!L28,Paramètres!$G$5:$G$57,0)),INDEX($E$2867:$E$2919,MATCH(Paramètres!L28,Paramètres!$G$5:$G$57,0)))+IF(RIGHT(TRIM(Paramètres!M28),3)="Fin",1-$H2890,IF(LEFT(TRIM(Paramètres!M28),1)="F",1,0)))),IF(Paramètres!N28="",0,IF(Paramètres!O28="",NA(),IF(LEFT(TRIM(Paramètres!O28),1)="F",INDEX($F$2867:$F$2919,MATCH(Paramètres!N28,Paramètres!$G$5:$G$57,0)),INDEX($E$2867:$E$2919,MATCH(Paramètres!N28,Paramètres!$G$5:$G$57,0)))+IF(RIGHT(TRIM(Paramètres!O28),3)="Fin",1-$H2890,IF(LEFT(TRIM(Paramètres!O28),1)="F",1,0)))))))</f>
        <v/>
      </c>
      <c r="F2890" s="19">
        <f>IF($A2890="","",E2890+$H2890-1)</f>
        <v/>
      </c>
      <c r="G2890" s="18" t="n"/>
      <c r="H2890" s="18">
        <f>IF($A2890="","",IF(I2890&lt;&gt;"",I2890,Paramètres!B28))</f>
        <v/>
      </c>
      <c r="I2890" s="18" t="n"/>
    </row>
    <row r="2891">
      <c r="A2891" s="18">
        <f>IF(ISNUMBER(Dossiers!$D$57),Dossiers!$A$57&amp;" · "&amp;Dossiers!$B$57,"")</f>
        <v/>
      </c>
      <c r="B2891" s="18">
        <f>IF($A2891="","",Paramètres!G29)</f>
        <v/>
      </c>
      <c r="C2891" s="18">
        <f>IF($A2891="","",IF(Paramètres!H29="","",Paramètres!H29))</f>
        <v/>
      </c>
      <c r="D2891" s="18">
        <f>IF($A2891="","",IF(Paramètres!I29="","",Paramètres!I29))</f>
        <v/>
      </c>
      <c r="E2891" s="19">
        <f>IF($A2891="","",IF(Paramètres!J29&amp;Paramètres!L29&amp;Paramètres!N29="",Dossiers!$D$57,MAX(IF(Paramètres!J29="",0,IF(Paramètres!K29="",NA(),IF(LEFT(TRIM(Paramètres!K29),1)="F",INDEX($F$2867:$F$2919,MATCH(Paramètres!J29,Paramètres!$G$5:$G$57,0)),INDEX($E$2867:$E$2919,MATCH(Paramètres!J29,Paramètres!$G$5:$G$57,0)))+IF(RIGHT(TRIM(Paramètres!K29),3)="Fin",1-$H2891,IF(LEFT(TRIM(Paramètres!K29),1)="F",1,0)))),IF(Paramètres!L29="",0,IF(Paramètres!M29="",NA(),IF(LEFT(TRIM(Paramètres!M29),1)="F",INDEX($F$2867:$F$2919,MATCH(Paramètres!L29,Paramètres!$G$5:$G$57,0)),INDEX($E$2867:$E$2919,MATCH(Paramètres!L29,Paramètres!$G$5:$G$57,0)))+IF(RIGHT(TRIM(Paramètres!M29),3)="Fin",1-$H2891,IF(LEFT(TRIM(Paramètres!M29),1)="F",1,0)))),IF(Paramètres!N29="",0,IF(Paramètres!O29="",NA(),IF(LEFT(TRIM(Paramètres!O29),1)="F",INDEX($F$2867:$F$2919,MATCH(Paramètres!N29,Paramètres!$G$5:$G$57,0)),INDEX($E$2867:$E$2919,MATCH(Paramètres!N29,Paramètres!$G$5:$G$57,0)))+IF(RIGHT(TRIM(Paramètres!O29),3)="Fin",1-$H2891,IF(LEFT(TRIM(Paramètres!O29),1)="F",1,0)))))))</f>
        <v/>
      </c>
      <c r="F2891" s="19">
        <f>IF($A2891="","",E2891+$H2891-1)</f>
        <v/>
      </c>
      <c r="G2891" s="18" t="n"/>
      <c r="H2891" s="18">
        <f>IF($A2891="","",IF(I2891&lt;&gt;"",I2891,Paramètres!B29))</f>
        <v/>
      </c>
      <c r="I2891" s="18" t="n"/>
    </row>
    <row r="2892">
      <c r="A2892" s="18">
        <f>IF(ISNUMBER(Dossiers!$D$57),Dossiers!$A$57&amp;" · "&amp;Dossiers!$B$57,"")</f>
        <v/>
      </c>
      <c r="B2892" s="18">
        <f>IF($A2892="","",Paramètres!G30)</f>
        <v/>
      </c>
      <c r="C2892" s="18">
        <f>IF($A2892="","",IF(Paramètres!H30="","",Paramètres!H30))</f>
        <v/>
      </c>
      <c r="D2892" s="18">
        <f>IF($A2892="","",IF(Paramètres!I30="","",Paramètres!I30))</f>
        <v/>
      </c>
      <c r="E2892" s="19">
        <f>IF($A2892="","",IF(Paramètres!J30&amp;Paramètres!L30&amp;Paramètres!N30="",Dossiers!$D$57,MAX(IF(Paramètres!J30="",0,IF(Paramètres!K30="",NA(),IF(LEFT(TRIM(Paramètres!K30),1)="F",INDEX($F$2867:$F$2919,MATCH(Paramètres!J30,Paramètres!$G$5:$G$57,0)),INDEX($E$2867:$E$2919,MATCH(Paramètres!J30,Paramètres!$G$5:$G$57,0)))+IF(RIGHT(TRIM(Paramètres!K30),3)="Fin",1-$H2892,IF(LEFT(TRIM(Paramètres!K30),1)="F",1,0)))),IF(Paramètres!L30="",0,IF(Paramètres!M30="",NA(),IF(LEFT(TRIM(Paramètres!M30),1)="F",INDEX($F$2867:$F$2919,MATCH(Paramètres!L30,Paramètres!$G$5:$G$57,0)),INDEX($E$2867:$E$2919,MATCH(Paramètres!L30,Paramètres!$G$5:$G$57,0)))+IF(RIGHT(TRIM(Paramètres!M30),3)="Fin",1-$H2892,IF(LEFT(TRIM(Paramètres!M30),1)="F",1,0)))),IF(Paramètres!N30="",0,IF(Paramètres!O30="",NA(),IF(LEFT(TRIM(Paramètres!O30),1)="F",INDEX($F$2867:$F$2919,MATCH(Paramètres!N30,Paramètres!$G$5:$G$57,0)),INDEX($E$2867:$E$2919,MATCH(Paramètres!N30,Paramètres!$G$5:$G$57,0)))+IF(RIGHT(TRIM(Paramètres!O30),3)="Fin",1-$H2892,IF(LEFT(TRIM(Paramètres!O30),1)="F",1,0)))))))</f>
        <v/>
      </c>
      <c r="F2892" s="19">
        <f>IF($A2892="","",E2892+$H2892-1)</f>
        <v/>
      </c>
      <c r="G2892" s="18" t="n"/>
      <c r="H2892" s="18">
        <f>IF($A2892="","",IF(I2892&lt;&gt;"",I2892,Paramètres!B30))</f>
        <v/>
      </c>
      <c r="I2892" s="18" t="n"/>
    </row>
    <row r="2893">
      <c r="A2893" s="18">
        <f>IF(ISNUMBER(Dossiers!$D$57),Dossiers!$A$57&amp;" · "&amp;Dossiers!$B$57,"")</f>
        <v/>
      </c>
      <c r="B2893" s="18">
        <f>IF($A2893="","",Paramètres!G31)</f>
        <v/>
      </c>
      <c r="C2893" s="20">
        <f>IF($A2893="","",IF(Dossiers!$F$57="","",Dossiers!$F$57))</f>
        <v/>
      </c>
      <c r="D2893" s="18">
        <f>IF($A2893="","",IF(Paramètres!I31="","",Paramètres!I31))</f>
        <v/>
      </c>
      <c r="E2893" s="19">
        <f>IF($A2893="","",IF(Paramètres!J31&amp;Paramètres!L31&amp;Paramètres!N31="",Dossiers!$D$57,MAX(IF(Paramètres!J31="",0,IF(Paramètres!K31="",NA(),IF(LEFT(TRIM(Paramètres!K31),1)="F",INDEX($F$2867:$F$2919,MATCH(Paramètres!J31,Paramètres!$G$5:$G$57,0)),INDEX($E$2867:$E$2919,MATCH(Paramètres!J31,Paramètres!$G$5:$G$57,0)))+IF(RIGHT(TRIM(Paramètres!K31),3)="Fin",1-$H2893,IF(LEFT(TRIM(Paramètres!K31),1)="F",1,0)))),IF(Paramètres!L31="",0,IF(Paramètres!M31="",NA(),IF(LEFT(TRIM(Paramètres!M31),1)="F",INDEX($F$2867:$F$2919,MATCH(Paramètres!L31,Paramètres!$G$5:$G$57,0)),INDEX($E$2867:$E$2919,MATCH(Paramètres!L31,Paramètres!$G$5:$G$57,0)))+IF(RIGHT(TRIM(Paramètres!M31),3)="Fin",1-$H2893,IF(LEFT(TRIM(Paramètres!M31),1)="F",1,0)))),IF(Paramètres!N31="",0,IF(Paramètres!O31="",NA(),IF(LEFT(TRIM(Paramètres!O31),1)="F",INDEX($F$2867:$F$2919,MATCH(Paramètres!N31,Paramètres!$G$5:$G$57,0)),INDEX($E$2867:$E$2919,MATCH(Paramètres!N31,Paramètres!$G$5:$G$57,0)))+IF(RIGHT(TRIM(Paramètres!O31),3)="Fin",1-$H2893,IF(LEFT(TRIM(Paramètres!O31),1)="F",1,0)))))))</f>
        <v/>
      </c>
      <c r="F2893" s="19">
        <f>IF($A2893="","",E2893+$H2893-1)</f>
        <v/>
      </c>
      <c r="G2893" s="18" t="n"/>
      <c r="H2893" s="18">
        <f>IF($A2893="","",IF(I2893&lt;&gt;"",I2893,Paramètres!B31))</f>
        <v/>
      </c>
      <c r="I2893" s="18" t="n"/>
    </row>
    <row r="2894">
      <c r="A2894" s="18">
        <f>IF(ISNUMBER(Dossiers!$D$57),Dossiers!$A$57&amp;" · "&amp;Dossiers!$B$57,"")</f>
        <v/>
      </c>
      <c r="B2894" s="18">
        <f>IF($A2894="","",Paramètres!G32)</f>
        <v/>
      </c>
      <c r="C2894" s="18">
        <f>IF($A2894="","",IF(Paramètres!H32="","",Paramètres!H32))</f>
        <v/>
      </c>
      <c r="D2894" s="18">
        <f>IF($A2894="","",IF(Paramètres!I32="","",Paramètres!I32))</f>
        <v/>
      </c>
      <c r="E2894" s="19">
        <f>IF($A2894="","",MIN(E2895:E2898))</f>
        <v/>
      </c>
      <c r="F2894" s="19">
        <f>IF($A2894="","",MAX(F2895:F2898))</f>
        <v/>
      </c>
      <c r="G2894" s="18" t="n"/>
      <c r="H2894" s="18">
        <f>IF($A2894="","",F2894-E2894+1)</f>
        <v/>
      </c>
      <c r="I2894" s="18" t="n"/>
    </row>
    <row r="2895">
      <c r="A2895" s="18">
        <f>IF(ISNUMBER(Dossiers!$D$57),Dossiers!$A$57&amp;" · "&amp;Dossiers!$B$57,"")</f>
        <v/>
      </c>
      <c r="B2895" s="18">
        <f>IF($A2895="","",Paramètres!G33)</f>
        <v/>
      </c>
      <c r="C2895" s="18">
        <f>IF($A2895="","",IF(Paramètres!H33="","",Paramètres!H33))</f>
        <v/>
      </c>
      <c r="D2895" s="18">
        <f>IF($A2895="","",IF(Paramètres!I33="","",Paramètres!I33))</f>
        <v/>
      </c>
      <c r="E2895" s="19">
        <f>IF($A2895="","",IF(Paramètres!J33&amp;Paramètres!L33&amp;Paramètres!N33="",Dossiers!$D$57,MAX(IF(Paramètres!J33="",0,IF(Paramètres!K33="",NA(),IF(LEFT(TRIM(Paramètres!K33),1)="F",INDEX($F$2867:$F$2919,MATCH(Paramètres!J33,Paramètres!$G$5:$G$57,0)),INDEX($E$2867:$E$2919,MATCH(Paramètres!J33,Paramètres!$G$5:$G$57,0)))+IF(RIGHT(TRIM(Paramètres!K33),3)="Fin",1-$H2895,IF(LEFT(TRIM(Paramètres!K33),1)="F",1,0)))),IF(Paramètres!L33="",0,IF(Paramètres!M33="",NA(),IF(LEFT(TRIM(Paramètres!M33),1)="F",INDEX($F$2867:$F$2919,MATCH(Paramètres!L33,Paramètres!$G$5:$G$57,0)),INDEX($E$2867:$E$2919,MATCH(Paramètres!L33,Paramètres!$G$5:$G$57,0)))+IF(RIGHT(TRIM(Paramètres!M33),3)="Fin",1-$H2895,IF(LEFT(TRIM(Paramètres!M33),1)="F",1,0)))),IF(Paramètres!N33="",0,IF(Paramètres!O33="",NA(),IF(LEFT(TRIM(Paramètres!O33),1)="F",INDEX($F$2867:$F$2919,MATCH(Paramètres!N33,Paramètres!$G$5:$G$57,0)),INDEX($E$2867:$E$2919,MATCH(Paramètres!N33,Paramètres!$G$5:$G$57,0)))+IF(RIGHT(TRIM(Paramètres!O33),3)="Fin",1-$H2895,IF(LEFT(TRIM(Paramètres!O33),1)="F",1,0)))))))</f>
        <v/>
      </c>
      <c r="F2895" s="19">
        <f>IF($A2895="","",E2895+$H2895-1)</f>
        <v/>
      </c>
      <c r="G2895" s="18" t="n"/>
      <c r="H2895" s="18">
        <f>IF($A2895="","",IF(I2895&lt;&gt;"",I2895,Paramètres!B33))</f>
        <v/>
      </c>
      <c r="I2895" s="18" t="n"/>
    </row>
    <row r="2896">
      <c r="A2896" s="18">
        <f>IF(ISNUMBER(Dossiers!$D$57),Dossiers!$A$57&amp;" · "&amp;Dossiers!$B$57,"")</f>
        <v/>
      </c>
      <c r="B2896" s="18">
        <f>IF($A2896="","",Paramètres!G34)</f>
        <v/>
      </c>
      <c r="C2896" s="18">
        <f>IF($A2896="","",IF(Paramètres!H34="","",Paramètres!H34))</f>
        <v/>
      </c>
      <c r="D2896" s="18">
        <f>IF($A2896="","",IF(Paramètres!I34="","",Paramètres!I34))</f>
        <v/>
      </c>
      <c r="E2896" s="19">
        <f>IF($A2896="","",IF(Paramètres!J34&amp;Paramètres!L34&amp;Paramètres!N34="",Dossiers!$D$57,MAX(IF(Paramètres!J34="",0,IF(Paramètres!K34="",NA(),IF(LEFT(TRIM(Paramètres!K34),1)="F",INDEX($F$2867:$F$2919,MATCH(Paramètres!J34,Paramètres!$G$5:$G$57,0)),INDEX($E$2867:$E$2919,MATCH(Paramètres!J34,Paramètres!$G$5:$G$57,0)))+IF(RIGHT(TRIM(Paramètres!K34),3)="Fin",1-$H2896,IF(LEFT(TRIM(Paramètres!K34),1)="F",1,0)))),IF(Paramètres!L34="",0,IF(Paramètres!M34="",NA(),IF(LEFT(TRIM(Paramètres!M34),1)="F",INDEX($F$2867:$F$2919,MATCH(Paramètres!L34,Paramètres!$G$5:$G$57,0)),INDEX($E$2867:$E$2919,MATCH(Paramètres!L34,Paramètres!$G$5:$G$57,0)))+IF(RIGHT(TRIM(Paramètres!M34),3)="Fin",1-$H2896,IF(LEFT(TRIM(Paramètres!M34),1)="F",1,0)))),IF(Paramètres!N34="",0,IF(Paramètres!O34="",NA(),IF(LEFT(TRIM(Paramètres!O34),1)="F",INDEX($F$2867:$F$2919,MATCH(Paramètres!N34,Paramètres!$G$5:$G$57,0)),INDEX($E$2867:$E$2919,MATCH(Paramètres!N34,Paramètres!$G$5:$G$57,0)))+IF(RIGHT(TRIM(Paramètres!O34),3)="Fin",1-$H2896,IF(LEFT(TRIM(Paramètres!O34),1)="F",1,0)))))))</f>
        <v/>
      </c>
      <c r="F2896" s="19">
        <f>IF($A2896="","",E2896+$H2896-1)</f>
        <v/>
      </c>
      <c r="G2896" s="18" t="n"/>
      <c r="H2896" s="18">
        <f>IF($A2896="","",IF(I2896&lt;&gt;"",I2896,Paramètres!B34))</f>
        <v/>
      </c>
      <c r="I2896" s="18" t="n"/>
    </row>
    <row r="2897">
      <c r="A2897" s="18">
        <f>IF(ISNUMBER(Dossiers!$D$57),Dossiers!$A$57&amp;" · "&amp;Dossiers!$B$57,"")</f>
        <v/>
      </c>
      <c r="B2897" s="18">
        <f>IF($A2897="","",Paramètres!G35)</f>
        <v/>
      </c>
      <c r="C2897" s="18">
        <f>IF($A2897="","",IF(Paramètres!H35="","",Paramètres!H35))</f>
        <v/>
      </c>
      <c r="D2897" s="18">
        <f>IF($A2897="","",IF(Paramètres!I35="","",Paramètres!I35))</f>
        <v/>
      </c>
      <c r="E2897" s="19">
        <f>IF($A2897="","",IF(Paramètres!J35&amp;Paramètres!L35&amp;Paramètres!N35="",Dossiers!$D$57,MAX(IF(Paramètres!J35="",0,IF(Paramètres!K35="",NA(),IF(LEFT(TRIM(Paramètres!K35),1)="F",INDEX($F$2867:$F$2919,MATCH(Paramètres!J35,Paramètres!$G$5:$G$57,0)),INDEX($E$2867:$E$2919,MATCH(Paramètres!J35,Paramètres!$G$5:$G$57,0)))+IF(RIGHT(TRIM(Paramètres!K35),3)="Fin",1-$H2897,IF(LEFT(TRIM(Paramètres!K35),1)="F",1,0)))),IF(Paramètres!L35="",0,IF(Paramètres!M35="",NA(),IF(LEFT(TRIM(Paramètres!M35),1)="F",INDEX($F$2867:$F$2919,MATCH(Paramètres!L35,Paramètres!$G$5:$G$57,0)),INDEX($E$2867:$E$2919,MATCH(Paramètres!L35,Paramètres!$G$5:$G$57,0)))+IF(RIGHT(TRIM(Paramètres!M35),3)="Fin",1-$H2897,IF(LEFT(TRIM(Paramètres!M35),1)="F",1,0)))),IF(Paramètres!N35="",0,IF(Paramètres!O35="",NA(),IF(LEFT(TRIM(Paramètres!O35),1)="F",INDEX($F$2867:$F$2919,MATCH(Paramètres!N35,Paramètres!$G$5:$G$57,0)),INDEX($E$2867:$E$2919,MATCH(Paramètres!N35,Paramètres!$G$5:$G$57,0)))+IF(RIGHT(TRIM(Paramètres!O35),3)="Fin",1-$H2897,IF(LEFT(TRIM(Paramètres!O35),1)="F",1,0)))))))</f>
        <v/>
      </c>
      <c r="F2897" s="19">
        <f>IF($A2897="","",E2897+$H2897-1)</f>
        <v/>
      </c>
      <c r="G2897" s="18" t="n"/>
      <c r="H2897" s="18">
        <f>IF($A2897="","",IF(I2897&lt;&gt;"",I2897,Paramètres!B35))</f>
        <v/>
      </c>
      <c r="I2897" s="18" t="n"/>
    </row>
    <row r="2898">
      <c r="A2898" s="18">
        <f>IF(ISNUMBER(Dossiers!$D$57),Dossiers!$A$57&amp;" · "&amp;Dossiers!$B$57,"")</f>
        <v/>
      </c>
      <c r="B2898" s="18">
        <f>IF($A2898="","",Paramètres!G36)</f>
        <v/>
      </c>
      <c r="C2898" s="18">
        <f>IF($A2898="","",IF(Paramètres!H36="","",Paramètres!H36))</f>
        <v/>
      </c>
      <c r="D2898" s="18">
        <f>IF($A2898="","",IF(Paramètres!I36="","",Paramètres!I36))</f>
        <v/>
      </c>
      <c r="E2898" s="19">
        <f>IF($A2898="","",IF(Paramètres!J36&amp;Paramètres!L36&amp;Paramètres!N36="",Dossiers!$D$57,MAX(IF(Paramètres!J36="",0,IF(Paramètres!K36="",NA(),IF(LEFT(TRIM(Paramètres!K36),1)="F",INDEX($F$2867:$F$2919,MATCH(Paramètres!J36,Paramètres!$G$5:$G$57,0)),INDEX($E$2867:$E$2919,MATCH(Paramètres!J36,Paramètres!$G$5:$G$57,0)))+IF(RIGHT(TRIM(Paramètres!K36),3)="Fin",1-$H2898,IF(LEFT(TRIM(Paramètres!K36),1)="F",1,0)))),IF(Paramètres!L36="",0,IF(Paramètres!M36="",NA(),IF(LEFT(TRIM(Paramètres!M36),1)="F",INDEX($F$2867:$F$2919,MATCH(Paramètres!L36,Paramètres!$G$5:$G$57,0)),INDEX($E$2867:$E$2919,MATCH(Paramètres!L36,Paramètres!$G$5:$G$57,0)))+IF(RIGHT(TRIM(Paramètres!M36),3)="Fin",1-$H2898,IF(LEFT(TRIM(Paramètres!M36),1)="F",1,0)))),IF(Paramètres!N36="",0,IF(Paramètres!O36="",NA(),IF(LEFT(TRIM(Paramètres!O36),1)="F",INDEX($F$2867:$F$2919,MATCH(Paramètres!N36,Paramètres!$G$5:$G$57,0)),INDEX($E$2867:$E$2919,MATCH(Paramètres!N36,Paramètres!$G$5:$G$57,0)))+IF(RIGHT(TRIM(Paramètres!O36),3)="Fin",1-$H2898,IF(LEFT(TRIM(Paramètres!O36),1)="F",1,0)))))))</f>
        <v/>
      </c>
      <c r="F2898" s="19">
        <f>IF($A2898="","",E2898+$H2898-1)</f>
        <v/>
      </c>
      <c r="G2898" s="18" t="n"/>
      <c r="H2898" s="18">
        <f>IF($A2898="","",IF(I2898&lt;&gt;"",I2898,Paramètres!B36))</f>
        <v/>
      </c>
      <c r="I2898" s="18" t="n"/>
    </row>
    <row r="2899">
      <c r="A2899" s="18">
        <f>IF(ISNUMBER(Dossiers!$D$57),Dossiers!$A$57&amp;" · "&amp;Dossiers!$B$57,"")</f>
        <v/>
      </c>
      <c r="B2899" s="18">
        <f>IF($A2899="","",Paramètres!G37)</f>
        <v/>
      </c>
      <c r="C2899" s="18">
        <f>IF($A2899="","",IF(Paramètres!H37="","",Paramètres!H37))</f>
        <v/>
      </c>
      <c r="D2899" s="18">
        <f>IF($A2899="","",IF(Paramètres!I37="","",Paramètres!I37))</f>
        <v/>
      </c>
      <c r="E2899" s="19">
        <f>IF($A2899="","",MIN(E2900:E2917))</f>
        <v/>
      </c>
      <c r="F2899" s="19">
        <f>IF($A2899="","",MAX(F2900:F2917))</f>
        <v/>
      </c>
      <c r="G2899" s="18" t="n"/>
      <c r="H2899" s="18">
        <f>IF($A2899="","",F2899-E2899+1)</f>
        <v/>
      </c>
      <c r="I2899" s="18" t="n"/>
    </row>
    <row r="2900">
      <c r="A2900" s="18">
        <f>IF(ISNUMBER(Dossiers!$D$57),Dossiers!$A$57&amp;" · "&amp;Dossiers!$B$57,"")</f>
        <v/>
      </c>
      <c r="B2900" s="18">
        <f>IF($A2900="","",Paramètres!G38)</f>
        <v/>
      </c>
      <c r="C2900" s="18">
        <f>IF($A2900="","",IF(Paramètres!H38="","",Paramètres!H38))</f>
        <v/>
      </c>
      <c r="D2900" s="18">
        <f>IF($A2900="","",IF(Paramètres!I38="","",Paramètres!I38))</f>
        <v/>
      </c>
      <c r="E2900" s="19">
        <f>IF($A2900="","",IF(Paramètres!J38&amp;Paramètres!L38&amp;Paramètres!N38="",Dossiers!$D$57,MAX(IF(Paramètres!J38="",0,IF(Paramètres!K38="",NA(),IF(LEFT(TRIM(Paramètres!K38),1)="F",INDEX($F$2867:$F$2919,MATCH(Paramètres!J38,Paramètres!$G$5:$G$57,0)),INDEX($E$2867:$E$2919,MATCH(Paramètres!J38,Paramètres!$G$5:$G$57,0)))+IF(RIGHT(TRIM(Paramètres!K38),3)="Fin",1-$H2900,IF(LEFT(TRIM(Paramètres!K38),1)="F",1,0)))),IF(Paramètres!L38="",0,IF(Paramètres!M38="",NA(),IF(LEFT(TRIM(Paramètres!M38),1)="F",INDEX($F$2867:$F$2919,MATCH(Paramètres!L38,Paramètres!$G$5:$G$57,0)),INDEX($E$2867:$E$2919,MATCH(Paramètres!L38,Paramètres!$G$5:$G$57,0)))+IF(RIGHT(TRIM(Paramètres!M38),3)="Fin",1-$H2900,IF(LEFT(TRIM(Paramètres!M38),1)="F",1,0)))),IF(Paramètres!N38="",0,IF(Paramètres!O38="",NA(),IF(LEFT(TRIM(Paramètres!O38),1)="F",INDEX($F$2867:$F$2919,MATCH(Paramètres!N38,Paramètres!$G$5:$G$57,0)),INDEX($E$2867:$E$2919,MATCH(Paramètres!N38,Paramètres!$G$5:$G$57,0)))+IF(RIGHT(TRIM(Paramètres!O38),3)="Fin",1-$H2900,IF(LEFT(TRIM(Paramètres!O38),1)="F",1,0)))))))</f>
        <v/>
      </c>
      <c r="F2900" s="19">
        <f>IF($A2900="","",E2900+$H2900-1)</f>
        <v/>
      </c>
      <c r="G2900" s="18" t="n"/>
      <c r="H2900" s="18">
        <f>IF($A2900="","",IF(I2900&lt;&gt;"",I2900,Paramètres!B38))</f>
        <v/>
      </c>
      <c r="I2900" s="18" t="n"/>
    </row>
    <row r="2901">
      <c r="A2901" s="18">
        <f>IF(ISNUMBER(Dossiers!$D$57),Dossiers!$A$57&amp;" · "&amp;Dossiers!$B$57,"")</f>
        <v/>
      </c>
      <c r="B2901" s="18">
        <f>IF($A2901="","",Paramètres!G39)</f>
        <v/>
      </c>
      <c r="C2901" s="18">
        <f>IF($A2901="","",IF(Paramètres!H39="","",Paramètres!H39))</f>
        <v/>
      </c>
      <c r="D2901" s="18">
        <f>IF($A2901="","",IF(Paramètres!I39="","",Paramètres!I39))</f>
        <v/>
      </c>
      <c r="E2901" s="19">
        <f>IF($A2901="","",IF(Paramètres!J39&amp;Paramètres!L39&amp;Paramètres!N39="",Dossiers!$D$57,MAX(IF(Paramètres!J39="",0,IF(Paramètres!K39="",NA(),IF(LEFT(TRIM(Paramètres!K39),1)="F",INDEX($F$2867:$F$2919,MATCH(Paramètres!J39,Paramètres!$G$5:$G$57,0)),INDEX($E$2867:$E$2919,MATCH(Paramètres!J39,Paramètres!$G$5:$G$57,0)))+IF(RIGHT(TRIM(Paramètres!K39),3)="Fin",1-$H2901,IF(LEFT(TRIM(Paramètres!K39),1)="F",1,0)))),IF(Paramètres!L39="",0,IF(Paramètres!M39="",NA(),IF(LEFT(TRIM(Paramètres!M39),1)="F",INDEX($F$2867:$F$2919,MATCH(Paramètres!L39,Paramètres!$G$5:$G$57,0)),INDEX($E$2867:$E$2919,MATCH(Paramètres!L39,Paramètres!$G$5:$G$57,0)))+IF(RIGHT(TRIM(Paramètres!M39),3)="Fin",1-$H2901,IF(LEFT(TRIM(Paramètres!M39),1)="F",1,0)))),IF(Paramètres!N39="",0,IF(Paramètres!O39="",NA(),IF(LEFT(TRIM(Paramètres!O39),1)="F",INDEX($F$2867:$F$2919,MATCH(Paramètres!N39,Paramètres!$G$5:$G$57,0)),INDEX($E$2867:$E$2919,MATCH(Paramètres!N39,Paramètres!$G$5:$G$57,0)))+IF(RIGHT(TRIM(Paramètres!O39),3)="Fin",1-$H2901,IF(LEFT(TRIM(Paramètres!O39),1)="F",1,0)))))))</f>
        <v/>
      </c>
      <c r="F2901" s="19">
        <f>IF($A2901="","",E2901+$H2901-1)</f>
        <v/>
      </c>
      <c r="G2901" s="18" t="n"/>
      <c r="H2901" s="18">
        <f>IF($A2901="","",IF(I2901&lt;&gt;"",I2901,Paramètres!B39))</f>
        <v/>
      </c>
      <c r="I2901" s="18" t="n"/>
    </row>
    <row r="2902">
      <c r="A2902" s="18">
        <f>IF(ISNUMBER(Dossiers!$D$57),Dossiers!$A$57&amp;" · "&amp;Dossiers!$B$57,"")</f>
        <v/>
      </c>
      <c r="B2902" s="18">
        <f>IF($A2902="","",Paramètres!G40)</f>
        <v/>
      </c>
      <c r="C2902" s="18">
        <f>IF($A2902="","",IF(Paramètres!H40="","",Paramètres!H40))</f>
        <v/>
      </c>
      <c r="D2902" s="18">
        <f>IF($A2902="","",IF(Paramètres!I40="","",Paramètres!I40))</f>
        <v/>
      </c>
      <c r="E2902" s="19">
        <f>IF($A2902="","",IF(Paramètres!J40&amp;Paramètres!L40&amp;Paramètres!N40="",Dossiers!$D$57,MAX(IF(Paramètres!J40="",0,IF(Paramètres!K40="",NA(),IF(LEFT(TRIM(Paramètres!K40),1)="F",INDEX($F$2867:$F$2919,MATCH(Paramètres!J40,Paramètres!$G$5:$G$57,0)),INDEX($E$2867:$E$2919,MATCH(Paramètres!J40,Paramètres!$G$5:$G$57,0)))+IF(RIGHT(TRIM(Paramètres!K40),3)="Fin",1-$H2902,IF(LEFT(TRIM(Paramètres!K40),1)="F",1,0)))),IF(Paramètres!L40="",0,IF(Paramètres!M40="",NA(),IF(LEFT(TRIM(Paramètres!M40),1)="F",INDEX($F$2867:$F$2919,MATCH(Paramètres!L40,Paramètres!$G$5:$G$57,0)),INDEX($E$2867:$E$2919,MATCH(Paramètres!L40,Paramètres!$G$5:$G$57,0)))+IF(RIGHT(TRIM(Paramètres!M40),3)="Fin",1-$H2902,IF(LEFT(TRIM(Paramètres!M40),1)="F",1,0)))),IF(Paramètres!N40="",0,IF(Paramètres!O40="",NA(),IF(LEFT(TRIM(Paramètres!O40),1)="F",INDEX($F$2867:$F$2919,MATCH(Paramètres!N40,Paramètres!$G$5:$G$57,0)),INDEX($E$2867:$E$2919,MATCH(Paramètres!N40,Paramètres!$G$5:$G$57,0)))+IF(RIGHT(TRIM(Paramètres!O40),3)="Fin",1-$H2902,IF(LEFT(TRIM(Paramètres!O40),1)="F",1,0)))))))</f>
        <v/>
      </c>
      <c r="F2902" s="19">
        <f>IF($A2902="","",E2902+$H2902-1)</f>
        <v/>
      </c>
      <c r="G2902" s="18" t="n"/>
      <c r="H2902" s="18">
        <f>IF($A2902="","",IF(I2902&lt;&gt;"",I2902,Paramètres!B40))</f>
        <v/>
      </c>
      <c r="I2902" s="18" t="n"/>
    </row>
    <row r="2903">
      <c r="A2903" s="18">
        <f>IF(ISNUMBER(Dossiers!$D$57),Dossiers!$A$57&amp;" · "&amp;Dossiers!$B$57,"")</f>
        <v/>
      </c>
      <c r="B2903" s="18">
        <f>IF($A2903="","",Paramètres!G41)</f>
        <v/>
      </c>
      <c r="C2903" s="18">
        <f>IF($A2903="","",IF(Paramètres!H41="","",Paramètres!H41))</f>
        <v/>
      </c>
      <c r="D2903" s="18">
        <f>IF($A2903="","",IF(Paramètres!I41="","",Paramètres!I41))</f>
        <v/>
      </c>
      <c r="E2903" s="19">
        <f>IF($A2903="","",IF(Paramètres!J41&amp;Paramètres!L41&amp;Paramètres!N41="",Dossiers!$D$57,MAX(IF(Paramètres!J41="",0,IF(Paramètres!K41="",NA(),IF(LEFT(TRIM(Paramètres!K41),1)="F",INDEX($F$2867:$F$2919,MATCH(Paramètres!J41,Paramètres!$G$5:$G$57,0)),INDEX($E$2867:$E$2919,MATCH(Paramètres!J41,Paramètres!$G$5:$G$57,0)))+IF(RIGHT(TRIM(Paramètres!K41),3)="Fin",1-$H2903,IF(LEFT(TRIM(Paramètres!K41),1)="F",1,0)))),IF(Paramètres!L41="",0,IF(Paramètres!M41="",NA(),IF(LEFT(TRIM(Paramètres!M41),1)="F",INDEX($F$2867:$F$2919,MATCH(Paramètres!L41,Paramètres!$G$5:$G$57,0)),INDEX($E$2867:$E$2919,MATCH(Paramètres!L41,Paramètres!$G$5:$G$57,0)))+IF(RIGHT(TRIM(Paramètres!M41),3)="Fin",1-$H2903,IF(LEFT(TRIM(Paramètres!M41),1)="F",1,0)))),IF(Paramètres!N41="",0,IF(Paramètres!O41="",NA(),IF(LEFT(TRIM(Paramètres!O41),1)="F",INDEX($F$2867:$F$2919,MATCH(Paramètres!N41,Paramètres!$G$5:$G$57,0)),INDEX($E$2867:$E$2919,MATCH(Paramètres!N41,Paramètres!$G$5:$G$57,0)))+IF(RIGHT(TRIM(Paramètres!O41),3)="Fin",1-$H2903,IF(LEFT(TRIM(Paramètres!O41),1)="F",1,0)))))))</f>
        <v/>
      </c>
      <c r="F2903" s="19">
        <f>IF($A2903="","",E2903+$H2903-1)</f>
        <v/>
      </c>
      <c r="G2903" s="18" t="n"/>
      <c r="H2903" s="18">
        <f>IF($A2903="","",IF(I2903&lt;&gt;"",I2903,Paramètres!B41))</f>
        <v/>
      </c>
      <c r="I2903" s="18" t="n"/>
    </row>
    <row r="2904">
      <c r="A2904" s="18">
        <f>IF(ISNUMBER(Dossiers!$D$57),Dossiers!$A$57&amp;" · "&amp;Dossiers!$B$57,"")</f>
        <v/>
      </c>
      <c r="B2904" s="18">
        <f>IF($A2904="","",Paramètres!G42)</f>
        <v/>
      </c>
      <c r="C2904" s="18">
        <f>IF($A2904="","",IF(Paramètres!H42="","",Paramètres!H42))</f>
        <v/>
      </c>
      <c r="D2904" s="18">
        <f>IF($A2904="","",IF(Paramètres!I42="","",Paramètres!I42))</f>
        <v/>
      </c>
      <c r="E2904" s="19">
        <f>IF($A2904="","",IF(Paramètres!J42&amp;Paramètres!L42&amp;Paramètres!N42="",Dossiers!$D$57,MAX(IF(Paramètres!J42="",0,IF(Paramètres!K42="",NA(),IF(LEFT(TRIM(Paramètres!K42),1)="F",INDEX($F$2867:$F$2919,MATCH(Paramètres!J42,Paramètres!$G$5:$G$57,0)),INDEX($E$2867:$E$2919,MATCH(Paramètres!J42,Paramètres!$G$5:$G$57,0)))+IF(RIGHT(TRIM(Paramètres!K42),3)="Fin",1-$H2904,IF(LEFT(TRIM(Paramètres!K42),1)="F",1,0)))),IF(Paramètres!L42="",0,IF(Paramètres!M42="",NA(),IF(LEFT(TRIM(Paramètres!M42),1)="F",INDEX($F$2867:$F$2919,MATCH(Paramètres!L42,Paramètres!$G$5:$G$57,0)),INDEX($E$2867:$E$2919,MATCH(Paramètres!L42,Paramètres!$G$5:$G$57,0)))+IF(RIGHT(TRIM(Paramètres!M42),3)="Fin",1-$H2904,IF(LEFT(TRIM(Paramètres!M42),1)="F",1,0)))),IF(Paramètres!N42="",0,IF(Paramètres!O42="",NA(),IF(LEFT(TRIM(Paramètres!O42),1)="F",INDEX($F$2867:$F$2919,MATCH(Paramètres!N42,Paramètres!$G$5:$G$57,0)),INDEX($E$2867:$E$2919,MATCH(Paramètres!N42,Paramètres!$G$5:$G$57,0)))+IF(RIGHT(TRIM(Paramètres!O42),3)="Fin",1-$H2904,IF(LEFT(TRIM(Paramètres!O42),1)="F",1,0)))))))</f>
        <v/>
      </c>
      <c r="F2904" s="19">
        <f>IF($A2904="","",E2904+$H2904-1)</f>
        <v/>
      </c>
      <c r="G2904" s="18" t="n"/>
      <c r="H2904" s="18">
        <f>IF($A2904="","",IF(I2904&lt;&gt;"",I2904,Paramètres!B42))</f>
        <v/>
      </c>
      <c r="I2904" s="18" t="n"/>
    </row>
    <row r="2905">
      <c r="A2905" s="18">
        <f>IF(ISNUMBER(Dossiers!$D$57),Dossiers!$A$57&amp;" · "&amp;Dossiers!$B$57,"")</f>
        <v/>
      </c>
      <c r="B2905" s="18">
        <f>IF($A2905="","",Paramètres!G43)</f>
        <v/>
      </c>
      <c r="C2905" s="18">
        <f>IF($A2905="","",IF(Paramètres!H43="","",Paramètres!H43))</f>
        <v/>
      </c>
      <c r="D2905" s="18">
        <f>IF($A2905="","",IF(Paramètres!I43="","",Paramètres!I43))</f>
        <v/>
      </c>
      <c r="E2905" s="19">
        <f>IF($A2905="","",IF(Paramètres!J43&amp;Paramètres!L43&amp;Paramètres!N43="",Dossiers!$D$57,MAX(IF(Paramètres!J43="",0,IF(Paramètres!K43="",NA(),IF(LEFT(TRIM(Paramètres!K43),1)="F",INDEX($F$2867:$F$2919,MATCH(Paramètres!J43,Paramètres!$G$5:$G$57,0)),INDEX($E$2867:$E$2919,MATCH(Paramètres!J43,Paramètres!$G$5:$G$57,0)))+IF(RIGHT(TRIM(Paramètres!K43),3)="Fin",1-$H2905,IF(LEFT(TRIM(Paramètres!K43),1)="F",1,0)))),IF(Paramètres!L43="",0,IF(Paramètres!M43="",NA(),IF(LEFT(TRIM(Paramètres!M43),1)="F",INDEX($F$2867:$F$2919,MATCH(Paramètres!L43,Paramètres!$G$5:$G$57,0)),INDEX($E$2867:$E$2919,MATCH(Paramètres!L43,Paramètres!$G$5:$G$57,0)))+IF(RIGHT(TRIM(Paramètres!M43),3)="Fin",1-$H2905,IF(LEFT(TRIM(Paramètres!M43),1)="F",1,0)))),IF(Paramètres!N43="",0,IF(Paramètres!O43="",NA(),IF(LEFT(TRIM(Paramètres!O43),1)="F",INDEX($F$2867:$F$2919,MATCH(Paramètres!N43,Paramètres!$G$5:$G$57,0)),INDEX($E$2867:$E$2919,MATCH(Paramètres!N43,Paramètres!$G$5:$G$57,0)))+IF(RIGHT(TRIM(Paramètres!O43),3)="Fin",1-$H2905,IF(LEFT(TRIM(Paramètres!O43),1)="F",1,0)))))))</f>
        <v/>
      </c>
      <c r="F2905" s="19">
        <f>IF($A2905="","",E2905+$H2905-1)</f>
        <v/>
      </c>
      <c r="G2905" s="18" t="n"/>
      <c r="H2905" s="18">
        <f>IF($A2905="","",IF(I2905&lt;&gt;"",I2905,Paramètres!B43))</f>
        <v/>
      </c>
      <c r="I2905" s="18" t="n"/>
    </row>
    <row r="2906">
      <c r="A2906" s="18">
        <f>IF(ISNUMBER(Dossiers!$D$57),Dossiers!$A$57&amp;" · "&amp;Dossiers!$B$57,"")</f>
        <v/>
      </c>
      <c r="B2906" s="18">
        <f>IF($A2906="","",Paramètres!G44)</f>
        <v/>
      </c>
      <c r="C2906" s="18">
        <f>IF($A2906="","",IF(Paramètres!H44="","",Paramètres!H44))</f>
        <v/>
      </c>
      <c r="D2906" s="18">
        <f>IF($A2906="","",IF(Paramètres!I44="","",Paramètres!I44))</f>
        <v/>
      </c>
      <c r="E2906" s="19">
        <f>IF($A2906="","",IF(Paramètres!J44&amp;Paramètres!L44&amp;Paramètres!N44="",Dossiers!$D$57,MAX(IF(Paramètres!J44="",0,IF(Paramètres!K44="",NA(),IF(LEFT(TRIM(Paramètres!K44),1)="F",INDEX($F$2867:$F$2919,MATCH(Paramètres!J44,Paramètres!$G$5:$G$57,0)),INDEX($E$2867:$E$2919,MATCH(Paramètres!J44,Paramètres!$G$5:$G$57,0)))+IF(RIGHT(TRIM(Paramètres!K44),3)="Fin",1-$H2906,IF(LEFT(TRIM(Paramètres!K44),1)="F",1,0)))),IF(Paramètres!L44="",0,IF(Paramètres!M44="",NA(),IF(LEFT(TRIM(Paramètres!M44),1)="F",INDEX($F$2867:$F$2919,MATCH(Paramètres!L44,Paramètres!$G$5:$G$57,0)),INDEX($E$2867:$E$2919,MATCH(Paramètres!L44,Paramètres!$G$5:$G$57,0)))+IF(RIGHT(TRIM(Paramètres!M44),3)="Fin",1-$H2906,IF(LEFT(TRIM(Paramètres!M44),1)="F",1,0)))),IF(Paramètres!N44="",0,IF(Paramètres!O44="",NA(),IF(LEFT(TRIM(Paramètres!O44),1)="F",INDEX($F$2867:$F$2919,MATCH(Paramètres!N44,Paramètres!$G$5:$G$57,0)),INDEX($E$2867:$E$2919,MATCH(Paramètres!N44,Paramètres!$G$5:$G$57,0)))+IF(RIGHT(TRIM(Paramètres!O44),3)="Fin",1-$H2906,IF(LEFT(TRIM(Paramètres!O44),1)="F",1,0)))))))</f>
        <v/>
      </c>
      <c r="F2906" s="19">
        <f>IF($A2906="","",E2906+$H2906-1)</f>
        <v/>
      </c>
      <c r="G2906" s="18" t="n"/>
      <c r="H2906" s="18">
        <f>IF($A2906="","",IF(I2906&lt;&gt;"",I2906,Paramètres!B44))</f>
        <v/>
      </c>
      <c r="I2906" s="18" t="n"/>
    </row>
    <row r="2907">
      <c r="A2907" s="18">
        <f>IF(ISNUMBER(Dossiers!$D$57),Dossiers!$A$57&amp;" · "&amp;Dossiers!$B$57,"")</f>
        <v/>
      </c>
      <c r="B2907" s="18">
        <f>IF($A2907="","",Paramètres!G45)</f>
        <v/>
      </c>
      <c r="C2907" s="20">
        <f>IF($A2907="","",IF(Dossiers!$G$57="","",Dossiers!$G$57))</f>
        <v/>
      </c>
      <c r="D2907" s="18">
        <f>IF($A2907="","",IF(Paramètres!I45="","",Paramètres!I45))</f>
        <v/>
      </c>
      <c r="E2907" s="19">
        <f>IF($A2907="","",IF(Paramètres!J45&amp;Paramètres!L45&amp;Paramètres!N45="",Dossiers!$D$57,MAX(IF(Paramètres!J45="",0,IF(Paramètres!K45="",NA(),IF(LEFT(TRIM(Paramètres!K45),1)="F",INDEX($F$2867:$F$2919,MATCH(Paramètres!J45,Paramètres!$G$5:$G$57,0)),INDEX($E$2867:$E$2919,MATCH(Paramètres!J45,Paramètres!$G$5:$G$57,0)))+IF(RIGHT(TRIM(Paramètres!K45),3)="Fin",1-$H2907,IF(LEFT(TRIM(Paramètres!K45),1)="F",1,0)))),IF(Paramètres!L45="",0,IF(Paramètres!M45="",NA(),IF(LEFT(TRIM(Paramètres!M45),1)="F",INDEX($F$2867:$F$2919,MATCH(Paramètres!L45,Paramètres!$G$5:$G$57,0)),INDEX($E$2867:$E$2919,MATCH(Paramètres!L45,Paramètres!$G$5:$G$57,0)))+IF(RIGHT(TRIM(Paramètres!M45),3)="Fin",1-$H2907,IF(LEFT(TRIM(Paramètres!M45),1)="F",1,0)))),IF(Paramètres!N45="",0,IF(Paramètres!O45="",NA(),IF(LEFT(TRIM(Paramètres!O45),1)="F",INDEX($F$2867:$F$2919,MATCH(Paramètres!N45,Paramètres!$G$5:$G$57,0)),INDEX($E$2867:$E$2919,MATCH(Paramètres!N45,Paramètres!$G$5:$G$57,0)))+IF(RIGHT(TRIM(Paramètres!O45),3)="Fin",1-$H2907,IF(LEFT(TRIM(Paramètres!O45),1)="F",1,0)))))))</f>
        <v/>
      </c>
      <c r="F2907" s="19">
        <f>IF($A2907="","",E2907+$H2907-1)</f>
        <v/>
      </c>
      <c r="G2907" s="18" t="n"/>
      <c r="H2907" s="18">
        <f>IF($A2907="","",IF(I2907&lt;&gt;"",I2907,Paramètres!B45))</f>
        <v/>
      </c>
      <c r="I2907" s="18" t="n"/>
    </row>
    <row r="2908">
      <c r="A2908" s="18">
        <f>IF(ISNUMBER(Dossiers!$D$57),Dossiers!$A$57&amp;" · "&amp;Dossiers!$B$57,"")</f>
        <v/>
      </c>
      <c r="B2908" s="18">
        <f>IF($A2908="","",Paramètres!G46)</f>
        <v/>
      </c>
      <c r="C2908" s="18">
        <f>IF($A2908="","",IF(Paramètres!H46="","",Paramètres!H46))</f>
        <v/>
      </c>
      <c r="D2908" s="18">
        <f>IF($A2908="","",IF(Paramètres!I46="","",Paramètres!I46))</f>
        <v/>
      </c>
      <c r="E2908" s="19">
        <f>IF($A2908="","",IF(Paramètres!J46&amp;Paramètres!L46&amp;Paramètres!N46="",Dossiers!$D$57,MAX(IF(Paramètres!J46="",0,IF(Paramètres!K46="",NA(),IF(LEFT(TRIM(Paramètres!K46),1)="F",INDEX($F$2867:$F$2919,MATCH(Paramètres!J46,Paramètres!$G$5:$G$57,0)),INDEX($E$2867:$E$2919,MATCH(Paramètres!J46,Paramètres!$G$5:$G$57,0)))+IF(RIGHT(TRIM(Paramètres!K46),3)="Fin",1-$H2908,IF(LEFT(TRIM(Paramètres!K46),1)="F",1,0)))),IF(Paramètres!L46="",0,IF(Paramètres!M46="",NA(),IF(LEFT(TRIM(Paramètres!M46),1)="F",INDEX($F$2867:$F$2919,MATCH(Paramètres!L46,Paramètres!$G$5:$G$57,0)),INDEX($E$2867:$E$2919,MATCH(Paramètres!L46,Paramètres!$G$5:$G$57,0)))+IF(RIGHT(TRIM(Paramètres!M46),3)="Fin",1-$H2908,IF(LEFT(TRIM(Paramètres!M46),1)="F",1,0)))),IF(Paramètres!N46="",0,IF(Paramètres!O46="",NA(),IF(LEFT(TRIM(Paramètres!O46),1)="F",INDEX($F$2867:$F$2919,MATCH(Paramètres!N46,Paramètres!$G$5:$G$57,0)),INDEX($E$2867:$E$2919,MATCH(Paramètres!N46,Paramètres!$G$5:$G$57,0)))+IF(RIGHT(TRIM(Paramètres!O46),3)="Fin",1-$H2908,IF(LEFT(TRIM(Paramètres!O46),1)="F",1,0)))))))</f>
        <v/>
      </c>
      <c r="F2908" s="19">
        <f>IF($A2908="","",E2908+$H2908-1)</f>
        <v/>
      </c>
      <c r="G2908" s="18" t="n"/>
      <c r="H2908" s="18">
        <f>IF($A2908="","",IF(I2908&lt;&gt;"",I2908,Paramètres!B46))</f>
        <v/>
      </c>
      <c r="I2908" s="18" t="n"/>
    </row>
    <row r="2909">
      <c r="A2909" s="18">
        <f>IF(ISNUMBER(Dossiers!$D$57),Dossiers!$A$57&amp;" · "&amp;Dossiers!$B$57,"")</f>
        <v/>
      </c>
      <c r="B2909" s="18">
        <f>IF($A2909="","",Paramètres!G47)</f>
        <v/>
      </c>
      <c r="C2909" s="18">
        <f>IF($A2909="","",IF(Paramètres!H47="","",Paramètres!H47))</f>
        <v/>
      </c>
      <c r="D2909" s="18">
        <f>IF($A2909="","",IF(Paramètres!I47="","",Paramètres!I47))</f>
        <v/>
      </c>
      <c r="E2909" s="19">
        <f>IF($A2909="","",IF(Paramètres!J47&amp;Paramètres!L47&amp;Paramètres!N47="",Dossiers!$D$57,MAX(IF(Paramètres!J47="",0,IF(Paramètres!K47="",NA(),IF(LEFT(TRIM(Paramètres!K47),1)="F",INDEX($F$2867:$F$2919,MATCH(Paramètres!J47,Paramètres!$G$5:$G$57,0)),INDEX($E$2867:$E$2919,MATCH(Paramètres!J47,Paramètres!$G$5:$G$57,0)))+IF(RIGHT(TRIM(Paramètres!K47),3)="Fin",1-$H2909,IF(LEFT(TRIM(Paramètres!K47),1)="F",1,0)))),IF(Paramètres!L47="",0,IF(Paramètres!M47="",NA(),IF(LEFT(TRIM(Paramètres!M47),1)="F",INDEX($F$2867:$F$2919,MATCH(Paramètres!L47,Paramètres!$G$5:$G$57,0)),INDEX($E$2867:$E$2919,MATCH(Paramètres!L47,Paramètres!$G$5:$G$57,0)))+IF(RIGHT(TRIM(Paramètres!M47),3)="Fin",1-$H2909,IF(LEFT(TRIM(Paramètres!M47),1)="F",1,0)))),IF(Paramètres!N47="",0,IF(Paramètres!O47="",NA(),IF(LEFT(TRIM(Paramètres!O47),1)="F",INDEX($F$2867:$F$2919,MATCH(Paramètres!N47,Paramètres!$G$5:$G$57,0)),INDEX($E$2867:$E$2919,MATCH(Paramètres!N47,Paramètres!$G$5:$G$57,0)))+IF(RIGHT(TRIM(Paramètres!O47),3)="Fin",1-$H2909,IF(LEFT(TRIM(Paramètres!O47),1)="F",1,0)))))))</f>
        <v/>
      </c>
      <c r="F2909" s="19">
        <f>IF($A2909="","",E2909+$H2909-1)</f>
        <v/>
      </c>
      <c r="G2909" s="18" t="n"/>
      <c r="H2909" s="18">
        <f>IF($A2909="","",IF(I2909&lt;&gt;"",I2909,Paramètres!B47))</f>
        <v/>
      </c>
      <c r="I2909" s="18" t="n"/>
    </row>
    <row r="2910">
      <c r="A2910" s="18">
        <f>IF(ISNUMBER(Dossiers!$D$57),Dossiers!$A$57&amp;" · "&amp;Dossiers!$B$57,"")</f>
        <v/>
      </c>
      <c r="B2910" s="18">
        <f>IF($A2910="","",Paramètres!G48)</f>
        <v/>
      </c>
      <c r="C2910" s="18">
        <f>IF($A2910="","",IF(Paramètres!H48="","",Paramètres!H48))</f>
        <v/>
      </c>
      <c r="D2910" s="18">
        <f>IF($A2910="","",IF(Paramètres!I48="","",Paramètres!I48))</f>
        <v/>
      </c>
      <c r="E2910" s="19">
        <f>IF($A2910="","",IF(Paramètres!J48&amp;Paramètres!L48&amp;Paramètres!N48="",Dossiers!$D$57,MAX(IF(Paramètres!J48="",0,IF(Paramètres!K48="",NA(),IF(LEFT(TRIM(Paramètres!K48),1)="F",INDEX($F$2867:$F$2919,MATCH(Paramètres!J48,Paramètres!$G$5:$G$57,0)),INDEX($E$2867:$E$2919,MATCH(Paramètres!J48,Paramètres!$G$5:$G$57,0)))+IF(RIGHT(TRIM(Paramètres!K48),3)="Fin",1-$H2910,IF(LEFT(TRIM(Paramètres!K48),1)="F",1,0)))),IF(Paramètres!L48="",0,IF(Paramètres!M48="",NA(),IF(LEFT(TRIM(Paramètres!M48),1)="F",INDEX($F$2867:$F$2919,MATCH(Paramètres!L48,Paramètres!$G$5:$G$57,0)),INDEX($E$2867:$E$2919,MATCH(Paramètres!L48,Paramètres!$G$5:$G$57,0)))+IF(RIGHT(TRIM(Paramètres!M48),3)="Fin",1-$H2910,IF(LEFT(TRIM(Paramètres!M48),1)="F",1,0)))),IF(Paramètres!N48="",0,IF(Paramètres!O48="",NA(),IF(LEFT(TRIM(Paramètres!O48),1)="F",INDEX($F$2867:$F$2919,MATCH(Paramètres!N48,Paramètres!$G$5:$G$57,0)),INDEX($E$2867:$E$2919,MATCH(Paramètres!N48,Paramètres!$G$5:$G$57,0)))+IF(RIGHT(TRIM(Paramètres!O48),3)="Fin",1-$H2910,IF(LEFT(TRIM(Paramètres!O48),1)="F",1,0)))))))</f>
        <v/>
      </c>
      <c r="F2910" s="19">
        <f>IF($A2910="","",E2910+$H2910-1)</f>
        <v/>
      </c>
      <c r="G2910" s="18" t="n"/>
      <c r="H2910" s="18">
        <f>IF($A2910="","",IF(I2910&lt;&gt;"",I2910,Paramètres!B48))</f>
        <v/>
      </c>
      <c r="I2910" s="18" t="n"/>
    </row>
    <row r="2911">
      <c r="A2911" s="18">
        <f>IF(ISNUMBER(Dossiers!$D$57),Dossiers!$A$57&amp;" · "&amp;Dossiers!$B$57,"")</f>
        <v/>
      </c>
      <c r="B2911" s="18">
        <f>IF($A2911="","",Paramètres!G49)</f>
        <v/>
      </c>
      <c r="C2911" s="18">
        <f>IF($A2911="","",IF(Paramètres!H49="","",Paramètres!H49))</f>
        <v/>
      </c>
      <c r="D2911" s="18">
        <f>IF($A2911="","",IF(Paramètres!I49="","",Paramètres!I49))</f>
        <v/>
      </c>
      <c r="E2911" s="19">
        <f>IF($A2911="","",IF(Paramètres!J49&amp;Paramètres!L49&amp;Paramètres!N49="",Dossiers!$D$57,MAX(IF(Paramètres!J49="",0,IF(Paramètres!K49="",NA(),IF(LEFT(TRIM(Paramètres!K49),1)="F",INDEX($F$2867:$F$2919,MATCH(Paramètres!J49,Paramètres!$G$5:$G$57,0)),INDEX($E$2867:$E$2919,MATCH(Paramètres!J49,Paramètres!$G$5:$G$57,0)))+IF(RIGHT(TRIM(Paramètres!K49),3)="Fin",1-$H2911,IF(LEFT(TRIM(Paramètres!K49),1)="F",1,0)))),IF(Paramètres!L49="",0,IF(Paramètres!M49="",NA(),IF(LEFT(TRIM(Paramètres!M49),1)="F",INDEX($F$2867:$F$2919,MATCH(Paramètres!L49,Paramètres!$G$5:$G$57,0)),INDEX($E$2867:$E$2919,MATCH(Paramètres!L49,Paramètres!$G$5:$G$57,0)))+IF(RIGHT(TRIM(Paramètres!M49),3)="Fin",1-$H2911,IF(LEFT(TRIM(Paramètres!M49),1)="F",1,0)))),IF(Paramètres!N49="",0,IF(Paramètres!O49="",NA(),IF(LEFT(TRIM(Paramètres!O49),1)="F",INDEX($F$2867:$F$2919,MATCH(Paramètres!N49,Paramètres!$G$5:$G$57,0)),INDEX($E$2867:$E$2919,MATCH(Paramètres!N49,Paramètres!$G$5:$G$57,0)))+IF(RIGHT(TRIM(Paramètres!O49),3)="Fin",1-$H2911,IF(LEFT(TRIM(Paramètres!O49),1)="F",1,0)))))))</f>
        <v/>
      </c>
      <c r="F2911" s="19">
        <f>IF($A2911="","",E2911+$H2911-1)</f>
        <v/>
      </c>
      <c r="G2911" s="18" t="n"/>
      <c r="H2911" s="18">
        <f>IF($A2911="","",IF(I2911&lt;&gt;"",I2911,Paramètres!B49))</f>
        <v/>
      </c>
      <c r="I2911" s="18" t="n"/>
    </row>
    <row r="2912">
      <c r="A2912" s="18">
        <f>IF(ISNUMBER(Dossiers!$D$57),Dossiers!$A$57&amp;" · "&amp;Dossiers!$B$57,"")</f>
        <v/>
      </c>
      <c r="B2912" s="18">
        <f>IF($A2912="","",Paramètres!G50)</f>
        <v/>
      </c>
      <c r="C2912" s="18">
        <f>IF($A2912="","",IF(Paramètres!H50="","",Paramètres!H50))</f>
        <v/>
      </c>
      <c r="D2912" s="18">
        <f>IF($A2912="","",IF(Paramètres!I50="","",Paramètres!I50))</f>
        <v/>
      </c>
      <c r="E2912" s="19">
        <f>IF($A2912="","",IF(Paramètres!J50&amp;Paramètres!L50&amp;Paramètres!N50="",Dossiers!$D$57,MAX(IF(Paramètres!J50="",0,IF(Paramètres!K50="",NA(),IF(LEFT(TRIM(Paramètres!K50),1)="F",INDEX($F$2867:$F$2919,MATCH(Paramètres!J50,Paramètres!$G$5:$G$57,0)),INDEX($E$2867:$E$2919,MATCH(Paramètres!J50,Paramètres!$G$5:$G$57,0)))+IF(RIGHT(TRIM(Paramètres!K50),3)="Fin",1-$H2912,IF(LEFT(TRIM(Paramètres!K50),1)="F",1,0)))),IF(Paramètres!L50="",0,IF(Paramètres!M50="",NA(),IF(LEFT(TRIM(Paramètres!M50),1)="F",INDEX($F$2867:$F$2919,MATCH(Paramètres!L50,Paramètres!$G$5:$G$57,0)),INDEX($E$2867:$E$2919,MATCH(Paramètres!L50,Paramètres!$G$5:$G$57,0)))+IF(RIGHT(TRIM(Paramètres!M50),3)="Fin",1-$H2912,IF(LEFT(TRIM(Paramètres!M50),1)="F",1,0)))),IF(Paramètres!N50="",0,IF(Paramètres!O50="",NA(),IF(LEFT(TRIM(Paramètres!O50),1)="F",INDEX($F$2867:$F$2919,MATCH(Paramètres!N50,Paramètres!$G$5:$G$57,0)),INDEX($E$2867:$E$2919,MATCH(Paramètres!N50,Paramètres!$G$5:$G$57,0)))+IF(RIGHT(TRIM(Paramètres!O50),3)="Fin",1-$H2912,IF(LEFT(TRIM(Paramètres!O50),1)="F",1,0)))))))</f>
        <v/>
      </c>
      <c r="F2912" s="19">
        <f>IF($A2912="","",E2912+$H2912-1)</f>
        <v/>
      </c>
      <c r="G2912" s="18" t="n"/>
      <c r="H2912" s="18">
        <f>IF($A2912="","",IF(I2912&lt;&gt;"",I2912,Paramètres!B50))</f>
        <v/>
      </c>
      <c r="I2912" s="18" t="n"/>
    </row>
    <row r="2913">
      <c r="A2913" s="18">
        <f>IF(ISNUMBER(Dossiers!$D$57),Dossiers!$A$57&amp;" · "&amp;Dossiers!$B$57,"")</f>
        <v/>
      </c>
      <c r="B2913" s="18">
        <f>IF($A2913="","",Paramètres!G51)</f>
        <v/>
      </c>
      <c r="C2913" s="18">
        <f>IF($A2913="","",IF(Paramètres!H51="","",Paramètres!H51))</f>
        <v/>
      </c>
      <c r="D2913" s="18">
        <f>IF($A2913="","",IF(Paramètres!I51="","",Paramètres!I51))</f>
        <v/>
      </c>
      <c r="E2913" s="19">
        <f>IF($A2913="","",IF(Paramètres!J51&amp;Paramètres!L51&amp;Paramètres!N51="",Dossiers!$D$57,MAX(IF(Paramètres!J51="",0,IF(Paramètres!K51="",NA(),IF(LEFT(TRIM(Paramètres!K51),1)="F",INDEX($F$2867:$F$2919,MATCH(Paramètres!J51,Paramètres!$G$5:$G$57,0)),INDEX($E$2867:$E$2919,MATCH(Paramètres!J51,Paramètres!$G$5:$G$57,0)))+IF(RIGHT(TRIM(Paramètres!K51),3)="Fin",1-$H2913,IF(LEFT(TRIM(Paramètres!K51),1)="F",1,0)))),IF(Paramètres!L51="",0,IF(Paramètres!M51="",NA(),IF(LEFT(TRIM(Paramètres!M51),1)="F",INDEX($F$2867:$F$2919,MATCH(Paramètres!L51,Paramètres!$G$5:$G$57,0)),INDEX($E$2867:$E$2919,MATCH(Paramètres!L51,Paramètres!$G$5:$G$57,0)))+IF(RIGHT(TRIM(Paramètres!M51),3)="Fin",1-$H2913,IF(LEFT(TRIM(Paramètres!M51),1)="F",1,0)))),IF(Paramètres!N51="",0,IF(Paramètres!O51="",NA(),IF(LEFT(TRIM(Paramètres!O51),1)="F",INDEX($F$2867:$F$2919,MATCH(Paramètres!N51,Paramètres!$G$5:$G$57,0)),INDEX($E$2867:$E$2919,MATCH(Paramètres!N51,Paramètres!$G$5:$G$57,0)))+IF(RIGHT(TRIM(Paramètres!O51),3)="Fin",1-$H2913,IF(LEFT(TRIM(Paramètres!O51),1)="F",1,0)))))))</f>
        <v/>
      </c>
      <c r="F2913" s="19">
        <f>IF($A2913="","",E2913+$H2913-1)</f>
        <v/>
      </c>
      <c r="G2913" s="18" t="n"/>
      <c r="H2913" s="18">
        <f>IF($A2913="","",IF(I2913&lt;&gt;"",I2913,Paramètres!B51))</f>
        <v/>
      </c>
      <c r="I2913" s="18" t="n"/>
    </row>
    <row r="2914">
      <c r="A2914" s="18">
        <f>IF(ISNUMBER(Dossiers!$D$57),Dossiers!$A$57&amp;" · "&amp;Dossiers!$B$57,"")</f>
        <v/>
      </c>
      <c r="B2914" s="18">
        <f>IF($A2914="","",Paramètres!G52)</f>
        <v/>
      </c>
      <c r="C2914" s="18">
        <f>IF($A2914="","",IF(Paramètres!H52="","",Paramètres!H52))</f>
        <v/>
      </c>
      <c r="D2914" s="18">
        <f>IF($A2914="","",IF(Paramètres!I52="","",Paramètres!I52))</f>
        <v/>
      </c>
      <c r="E2914" s="19">
        <f>IF($A2914="","",IF(Paramètres!J52&amp;Paramètres!L52&amp;Paramètres!N52="",Dossiers!$D$57,MAX(IF(Paramètres!J52="",0,IF(Paramètres!K52="",NA(),IF(LEFT(TRIM(Paramètres!K52),1)="F",INDEX($F$2867:$F$2919,MATCH(Paramètres!J52,Paramètres!$G$5:$G$57,0)),INDEX($E$2867:$E$2919,MATCH(Paramètres!J52,Paramètres!$G$5:$G$57,0)))+IF(RIGHT(TRIM(Paramètres!K52),3)="Fin",1-$H2914,IF(LEFT(TRIM(Paramètres!K52),1)="F",1,0)))),IF(Paramètres!L52="",0,IF(Paramètres!M52="",NA(),IF(LEFT(TRIM(Paramètres!M52),1)="F",INDEX($F$2867:$F$2919,MATCH(Paramètres!L52,Paramètres!$G$5:$G$57,0)),INDEX($E$2867:$E$2919,MATCH(Paramètres!L52,Paramètres!$G$5:$G$57,0)))+IF(RIGHT(TRIM(Paramètres!M52),3)="Fin",1-$H2914,IF(LEFT(TRIM(Paramètres!M52),1)="F",1,0)))),IF(Paramètres!N52="",0,IF(Paramètres!O52="",NA(),IF(LEFT(TRIM(Paramètres!O52),1)="F",INDEX($F$2867:$F$2919,MATCH(Paramètres!N52,Paramètres!$G$5:$G$57,0)),INDEX($E$2867:$E$2919,MATCH(Paramètres!N52,Paramètres!$G$5:$G$57,0)))+IF(RIGHT(TRIM(Paramètres!O52),3)="Fin",1-$H2914,IF(LEFT(TRIM(Paramètres!O52),1)="F",1,0)))))))</f>
        <v/>
      </c>
      <c r="F2914" s="19">
        <f>IF($A2914="","",E2914+$H2914-1)</f>
        <v/>
      </c>
      <c r="G2914" s="18" t="n"/>
      <c r="H2914" s="18">
        <f>IF($A2914="","",IF(I2914&lt;&gt;"",I2914,Paramètres!B52))</f>
        <v/>
      </c>
      <c r="I2914" s="18" t="n"/>
    </row>
    <row r="2915">
      <c r="A2915" s="18">
        <f>IF(ISNUMBER(Dossiers!$D$57),Dossiers!$A$57&amp;" · "&amp;Dossiers!$B$57,"")</f>
        <v/>
      </c>
      <c r="B2915" s="18">
        <f>IF($A2915="","",Paramètres!G53)</f>
        <v/>
      </c>
      <c r="C2915" s="18">
        <f>IF($A2915="","",IF(Paramètres!H53="","",Paramètres!H53))</f>
        <v/>
      </c>
      <c r="D2915" s="18">
        <f>IF($A2915="","",IF(Paramètres!I53="","",Paramètres!I53))</f>
        <v/>
      </c>
      <c r="E2915" s="19">
        <f>IF($A2915="","",IF(Paramètres!J53&amp;Paramètres!L53&amp;Paramètres!N53="",Dossiers!$D$57,MAX(IF(Paramètres!J53="",0,IF(Paramètres!K53="",NA(),IF(LEFT(TRIM(Paramètres!K53),1)="F",INDEX($F$2867:$F$2919,MATCH(Paramètres!J53,Paramètres!$G$5:$G$57,0)),INDEX($E$2867:$E$2919,MATCH(Paramètres!J53,Paramètres!$G$5:$G$57,0)))+IF(RIGHT(TRIM(Paramètres!K53),3)="Fin",1-$H2915,IF(LEFT(TRIM(Paramètres!K53),1)="F",1,0)))),IF(Paramètres!L53="",0,IF(Paramètres!M53="",NA(),IF(LEFT(TRIM(Paramètres!M53),1)="F",INDEX($F$2867:$F$2919,MATCH(Paramètres!L53,Paramètres!$G$5:$G$57,0)),INDEX($E$2867:$E$2919,MATCH(Paramètres!L53,Paramètres!$G$5:$G$57,0)))+IF(RIGHT(TRIM(Paramètres!M53),3)="Fin",1-$H2915,IF(LEFT(TRIM(Paramètres!M53),1)="F",1,0)))),IF(Paramètres!N53="",0,IF(Paramètres!O53="",NA(),IF(LEFT(TRIM(Paramètres!O53),1)="F",INDEX($F$2867:$F$2919,MATCH(Paramètres!N53,Paramètres!$G$5:$G$57,0)),INDEX($E$2867:$E$2919,MATCH(Paramètres!N53,Paramètres!$G$5:$G$57,0)))+IF(RIGHT(TRIM(Paramètres!O53),3)="Fin",1-$H2915,IF(LEFT(TRIM(Paramètres!O53),1)="F",1,0)))))))</f>
        <v/>
      </c>
      <c r="F2915" s="19">
        <f>IF($A2915="","",E2915+$H2915-1)</f>
        <v/>
      </c>
      <c r="G2915" s="18" t="n"/>
      <c r="H2915" s="18">
        <f>IF($A2915="","",IF(I2915&lt;&gt;"",I2915,Paramètres!B53))</f>
        <v/>
      </c>
      <c r="I2915" s="18" t="n"/>
    </row>
    <row r="2916">
      <c r="A2916" s="18">
        <f>IF(ISNUMBER(Dossiers!$D$57),Dossiers!$A$57&amp;" · "&amp;Dossiers!$B$57,"")</f>
        <v/>
      </c>
      <c r="B2916" s="18">
        <f>IF($A2916="","",Paramètres!G54)</f>
        <v/>
      </c>
      <c r="C2916" s="18">
        <f>IF($A2916="","",IF(Paramètres!H54="","",Paramètres!H54))</f>
        <v/>
      </c>
      <c r="D2916" s="18">
        <f>IF($A2916="","",IF(Paramètres!I54="","",Paramètres!I54))</f>
        <v/>
      </c>
      <c r="E2916" s="19">
        <f>IF($A2916="","",IF(Paramètres!J54&amp;Paramètres!L54&amp;Paramètres!N54="",Dossiers!$D$57,MAX(IF(Paramètres!J54="",0,IF(Paramètres!K54="",NA(),IF(LEFT(TRIM(Paramètres!K54),1)="F",INDEX($F$2867:$F$2919,MATCH(Paramètres!J54,Paramètres!$G$5:$G$57,0)),INDEX($E$2867:$E$2919,MATCH(Paramètres!J54,Paramètres!$G$5:$G$57,0)))+IF(RIGHT(TRIM(Paramètres!K54),3)="Fin",1-$H2916,IF(LEFT(TRIM(Paramètres!K54),1)="F",1,0)))),IF(Paramètres!L54="",0,IF(Paramètres!M54="",NA(),IF(LEFT(TRIM(Paramètres!M54),1)="F",INDEX($F$2867:$F$2919,MATCH(Paramètres!L54,Paramètres!$G$5:$G$57,0)),INDEX($E$2867:$E$2919,MATCH(Paramètres!L54,Paramètres!$G$5:$G$57,0)))+IF(RIGHT(TRIM(Paramètres!M54),3)="Fin",1-$H2916,IF(LEFT(TRIM(Paramètres!M54),1)="F",1,0)))),IF(Paramètres!N54="",0,IF(Paramètres!O54="",NA(),IF(LEFT(TRIM(Paramètres!O54),1)="F",INDEX($F$2867:$F$2919,MATCH(Paramètres!N54,Paramètres!$G$5:$G$57,0)),INDEX($E$2867:$E$2919,MATCH(Paramètres!N54,Paramètres!$G$5:$G$57,0)))+IF(RIGHT(TRIM(Paramètres!O54),3)="Fin",1-$H2916,IF(LEFT(TRIM(Paramètres!O54),1)="F",1,0)))))))</f>
        <v/>
      </c>
      <c r="F2916" s="19">
        <f>IF($A2916="","",E2916+$H2916-1)</f>
        <v/>
      </c>
      <c r="G2916" s="18" t="n"/>
      <c r="H2916" s="18">
        <f>IF($A2916="","",IF(I2916&lt;&gt;"",I2916,Paramètres!B54))</f>
        <v/>
      </c>
      <c r="I2916" s="18" t="n"/>
    </row>
    <row r="2917">
      <c r="A2917" s="18">
        <f>IF(ISNUMBER(Dossiers!$D$57),Dossiers!$A$57&amp;" · "&amp;Dossiers!$B$57,"")</f>
        <v/>
      </c>
      <c r="B2917" s="18">
        <f>IF($A2917="","",Paramètres!G55)</f>
        <v/>
      </c>
      <c r="C2917" s="18">
        <f>IF($A2917="","",IF(Paramètres!H55="","",Paramètres!H55))</f>
        <v/>
      </c>
      <c r="D2917" s="18">
        <f>IF($A2917="","",IF(Paramètres!I55="","",Paramètres!I55))</f>
        <v/>
      </c>
      <c r="E2917" s="19">
        <f>IF($A2917="","",IF(Paramètres!J55&amp;Paramètres!L55&amp;Paramètres!N55="",Dossiers!$D$57,MAX(IF(Paramètres!J55="",0,IF(Paramètres!K55="",NA(),IF(LEFT(TRIM(Paramètres!K55),1)="F",INDEX($F$2867:$F$2919,MATCH(Paramètres!J55,Paramètres!$G$5:$G$57,0)),INDEX($E$2867:$E$2919,MATCH(Paramètres!J55,Paramètres!$G$5:$G$57,0)))+IF(RIGHT(TRIM(Paramètres!K55),3)="Fin",1-$H2917,IF(LEFT(TRIM(Paramètres!K55),1)="F",1,0)))),IF(Paramètres!L55="",0,IF(Paramètres!M55="",NA(),IF(LEFT(TRIM(Paramètres!M55),1)="F",INDEX($F$2867:$F$2919,MATCH(Paramètres!L55,Paramètres!$G$5:$G$57,0)),INDEX($E$2867:$E$2919,MATCH(Paramètres!L55,Paramètres!$G$5:$G$57,0)))+IF(RIGHT(TRIM(Paramètres!M55),3)="Fin",1-$H2917,IF(LEFT(TRIM(Paramètres!M55),1)="F",1,0)))),IF(Paramètres!N55="",0,IF(Paramètres!O55="",NA(),IF(LEFT(TRIM(Paramètres!O55),1)="F",INDEX($F$2867:$F$2919,MATCH(Paramètres!N55,Paramètres!$G$5:$G$57,0)),INDEX($E$2867:$E$2919,MATCH(Paramètres!N55,Paramètres!$G$5:$G$57,0)))+IF(RIGHT(TRIM(Paramètres!O55),3)="Fin",1-$H2917,IF(LEFT(TRIM(Paramètres!O55),1)="F",1,0)))))))</f>
        <v/>
      </c>
      <c r="F2917" s="19">
        <f>IF($A2917="","",E2917+$H2917-1)</f>
        <v/>
      </c>
      <c r="G2917" s="18" t="n"/>
      <c r="H2917" s="18">
        <f>IF($A2917="","",IF(I2917&lt;&gt;"",I2917,Paramètres!B55))</f>
        <v/>
      </c>
      <c r="I2917" s="18" t="n"/>
    </row>
    <row r="2918">
      <c r="A2918" s="18">
        <f>IF(ISNUMBER(Dossiers!$D$57),Dossiers!$A$57&amp;" · "&amp;Dossiers!$B$57,"")</f>
        <v/>
      </c>
      <c r="B2918" s="18">
        <f>IF($A2918="","",Paramètres!G56)</f>
        <v/>
      </c>
      <c r="C2918" s="18">
        <f>IF($A2918="","",IF(Paramètres!H56="","",Paramètres!H56))</f>
        <v/>
      </c>
      <c r="D2918" s="18">
        <f>IF($A2918="","",IF(Paramètres!I56="","",Paramètres!I56))</f>
        <v/>
      </c>
      <c r="E2918" s="19">
        <f>IF($A2918="","",MIN(E2919:E2919))</f>
        <v/>
      </c>
      <c r="F2918" s="19">
        <f>IF($A2918="","",MAX(F2919:F2919))</f>
        <v/>
      </c>
      <c r="G2918" s="18" t="n"/>
      <c r="H2918" s="18">
        <f>IF($A2918="","",F2918-E2918+1)</f>
        <v/>
      </c>
      <c r="I2918" s="18" t="n"/>
    </row>
    <row r="2919">
      <c r="A2919" s="18">
        <f>IF(ISNUMBER(Dossiers!$D$57),Dossiers!$A$57&amp;" · "&amp;Dossiers!$B$57,"")</f>
        <v/>
      </c>
      <c r="B2919" s="18">
        <f>IF($A2919="","",Paramètres!G57)</f>
        <v/>
      </c>
      <c r="C2919" s="18">
        <f>IF($A2919="","",IF(Paramètres!H57="","",Paramètres!H57))</f>
        <v/>
      </c>
      <c r="D2919" s="18">
        <f>IF($A2919="","",IF(Paramètres!I57="","",Paramètres!I57))</f>
        <v/>
      </c>
      <c r="E2919" s="19">
        <f>IF($A2919="","",IF(Paramètres!J57&amp;Paramètres!L57&amp;Paramètres!N57="",Dossiers!$D$57,MAX(IF(Paramètres!J57="",0,IF(Paramètres!K57="",NA(),IF(LEFT(TRIM(Paramètres!K57),1)="F",INDEX($F$2867:$F$2919,MATCH(Paramètres!J57,Paramètres!$G$5:$G$57,0)),INDEX($E$2867:$E$2919,MATCH(Paramètres!J57,Paramètres!$G$5:$G$57,0)))+IF(RIGHT(TRIM(Paramètres!K57),3)="Fin",1-$H2919,IF(LEFT(TRIM(Paramètres!K57),1)="F",1,0)))),IF(Paramètres!L57="",0,IF(Paramètres!M57="",NA(),IF(LEFT(TRIM(Paramètres!M57),1)="F",INDEX($F$2867:$F$2919,MATCH(Paramètres!L57,Paramètres!$G$5:$G$57,0)),INDEX($E$2867:$E$2919,MATCH(Paramètres!L57,Paramètres!$G$5:$G$57,0)))+IF(RIGHT(TRIM(Paramètres!M57),3)="Fin",1-$H2919,IF(LEFT(TRIM(Paramètres!M57),1)="F",1,0)))),IF(Paramètres!N57="",0,IF(Paramètres!O57="",NA(),IF(LEFT(TRIM(Paramètres!O57),1)="F",INDEX($F$2867:$F$2919,MATCH(Paramètres!N57,Paramètres!$G$5:$G$57,0)),INDEX($E$2867:$E$2919,MATCH(Paramètres!N57,Paramètres!$G$5:$G$57,0)))+IF(RIGHT(TRIM(Paramètres!O57),3)="Fin",1-$H2919,IF(LEFT(TRIM(Paramètres!O57),1)="F",1,0)))))))</f>
        <v/>
      </c>
      <c r="F2919" s="19">
        <f>IF($A2919="","",E2919+$H2919-1)</f>
        <v/>
      </c>
      <c r="G2919" s="18" t="n"/>
      <c r="H2919" s="18">
        <f>IF($A2919="","",IF(I2919&lt;&gt;"",I2919,Paramètres!B57))</f>
        <v/>
      </c>
      <c r="I2919" s="18" t="n"/>
    </row>
    <row r="2920">
      <c r="A2920" s="16">
        <f>IF(ISNUMBER(Dossiers!$D$58),Dossiers!$E$58,"")</f>
        <v/>
      </c>
      <c r="B2920" s="16">
        <f>IF($A2920="","","Identifiant")</f>
        <v/>
      </c>
      <c r="C2920" s="16">
        <f>IF($A2920="","","Macro Etape")</f>
        <v/>
      </c>
      <c r="D2920" s="16">
        <f>IF($A2920="","","Etape")</f>
        <v/>
      </c>
      <c r="E2920" s="17">
        <f>IF($A2920="","","Début le")</f>
        <v/>
      </c>
      <c r="F2920" s="17">
        <f>IF($A2920="","","Fin prévue le")</f>
        <v/>
      </c>
      <c r="G2920" s="16">
        <f>IF($A2920="","","Statut")</f>
        <v/>
      </c>
      <c r="H2920" s="16">
        <f>IF($A2920="","","Durée (jours)")</f>
        <v/>
      </c>
      <c r="I2920" s="16">
        <f>IF($A2920="","","Durée particulière")</f>
        <v/>
      </c>
      <c r="J2920" s="10">
        <f>IF($A2920="","",HYPERLINK("#'Tableau de bord'!A1","↑ Tableau de bord"))</f>
        <v/>
      </c>
    </row>
    <row r="2921">
      <c r="A2921" s="18">
        <f>IF(ISNUMBER(Dossiers!$D$58),Dossiers!$A$58&amp;" · "&amp;Dossiers!$B$58,"")</f>
        <v/>
      </c>
      <c r="B2921" s="18">
        <f>IF($A2921="","",Paramètres!G5)</f>
        <v/>
      </c>
      <c r="C2921" s="18">
        <f>IF($A2921="","",IF(Paramètres!H5="","",Paramètres!H5))</f>
        <v/>
      </c>
      <c r="D2921" s="18">
        <f>IF($A2921="","",IF(Paramètres!I5="","",Paramètres!I5))</f>
        <v/>
      </c>
      <c r="E2921" s="19">
        <f>IF($A2921="","",MIN(E2922:E2925))</f>
        <v/>
      </c>
      <c r="F2921" s="19">
        <f>IF($A2921="","",MAX(F2922:F2925))</f>
        <v/>
      </c>
      <c r="G2921" s="18" t="n"/>
      <c r="H2921" s="18">
        <f>IF($A2921="","",F2921-E2921+1)</f>
        <v/>
      </c>
      <c r="I2921" s="18" t="n"/>
    </row>
    <row r="2922">
      <c r="A2922" s="18">
        <f>IF(ISNUMBER(Dossiers!$D$58),Dossiers!$A$58&amp;" · "&amp;Dossiers!$B$58,"")</f>
        <v/>
      </c>
      <c r="B2922" s="18">
        <f>IF($A2922="","",Paramètres!G6)</f>
        <v/>
      </c>
      <c r="C2922" s="18">
        <f>IF($A2922="","",IF(Paramètres!H6="","",Paramètres!H6))</f>
        <v/>
      </c>
      <c r="D2922" s="18">
        <f>IF($A2922="","",IF(Paramètres!I6="","",Paramètres!I6))</f>
        <v/>
      </c>
      <c r="E2922" s="19">
        <f>IF($A2922="","",IF(Paramètres!J6&amp;Paramètres!L6&amp;Paramètres!N6="",Dossiers!$D$58,MAX(IF(Paramètres!J6="",0,IF(Paramètres!K6="",NA(),IF(LEFT(TRIM(Paramètres!K6),1)="F",INDEX($F$2921:$F$2973,MATCH(Paramètres!J6,Paramètres!$G$5:$G$57,0)),INDEX($E$2921:$E$2973,MATCH(Paramètres!J6,Paramètres!$G$5:$G$57,0)))+IF(RIGHT(TRIM(Paramètres!K6),3)="Fin",1-$H2922,IF(LEFT(TRIM(Paramètres!K6),1)="F",1,0)))),IF(Paramètres!L6="",0,IF(Paramètres!M6="",NA(),IF(LEFT(TRIM(Paramètres!M6),1)="F",INDEX($F$2921:$F$2973,MATCH(Paramètres!L6,Paramètres!$G$5:$G$57,0)),INDEX($E$2921:$E$2973,MATCH(Paramètres!L6,Paramètres!$G$5:$G$57,0)))+IF(RIGHT(TRIM(Paramètres!M6),3)="Fin",1-$H2922,IF(LEFT(TRIM(Paramètres!M6),1)="F",1,0)))),IF(Paramètres!N6="",0,IF(Paramètres!O6="",NA(),IF(LEFT(TRIM(Paramètres!O6),1)="F",INDEX($F$2921:$F$2973,MATCH(Paramètres!N6,Paramètres!$G$5:$G$57,0)),INDEX($E$2921:$E$2973,MATCH(Paramètres!N6,Paramètres!$G$5:$G$57,0)))+IF(RIGHT(TRIM(Paramètres!O6),3)="Fin",1-$H2922,IF(LEFT(TRIM(Paramètres!O6),1)="F",1,0)))))))</f>
        <v/>
      </c>
      <c r="F2922" s="19">
        <f>IF($A2922="","",E2922+$H2922-1)</f>
        <v/>
      </c>
      <c r="G2922" s="18" t="n"/>
      <c r="H2922" s="18">
        <f>IF($A2922="","",IF(I2922&lt;&gt;"",I2922,Paramètres!B6))</f>
        <v/>
      </c>
      <c r="I2922" s="18" t="n"/>
    </row>
    <row r="2923">
      <c r="A2923" s="18">
        <f>IF(ISNUMBER(Dossiers!$D$58),Dossiers!$A$58&amp;" · "&amp;Dossiers!$B$58,"")</f>
        <v/>
      </c>
      <c r="B2923" s="18">
        <f>IF($A2923="","",Paramètres!G7)</f>
        <v/>
      </c>
      <c r="C2923" s="18">
        <f>IF($A2923="","",IF(Paramètres!H7="","",Paramètres!H7))</f>
        <v/>
      </c>
      <c r="D2923" s="18">
        <f>IF($A2923="","",IF(Paramètres!I7="","",Paramètres!I7))</f>
        <v/>
      </c>
      <c r="E2923" s="19">
        <f>IF($A2923="","",IF(Paramètres!J7&amp;Paramètres!L7&amp;Paramètres!N7="",Dossiers!$D$58,MAX(IF(Paramètres!J7="",0,IF(Paramètres!K7="",NA(),IF(LEFT(TRIM(Paramètres!K7),1)="F",INDEX($F$2921:$F$2973,MATCH(Paramètres!J7,Paramètres!$G$5:$G$57,0)),INDEX($E$2921:$E$2973,MATCH(Paramètres!J7,Paramètres!$G$5:$G$57,0)))+IF(RIGHT(TRIM(Paramètres!K7),3)="Fin",1-$H2923,IF(LEFT(TRIM(Paramètres!K7),1)="F",1,0)))),IF(Paramètres!L7="",0,IF(Paramètres!M7="",NA(),IF(LEFT(TRIM(Paramètres!M7),1)="F",INDEX($F$2921:$F$2973,MATCH(Paramètres!L7,Paramètres!$G$5:$G$57,0)),INDEX($E$2921:$E$2973,MATCH(Paramètres!L7,Paramètres!$G$5:$G$57,0)))+IF(RIGHT(TRIM(Paramètres!M7),3)="Fin",1-$H2923,IF(LEFT(TRIM(Paramètres!M7),1)="F",1,0)))),IF(Paramètres!N7="",0,IF(Paramètres!O7="",NA(),IF(LEFT(TRIM(Paramètres!O7),1)="F",INDEX($F$2921:$F$2973,MATCH(Paramètres!N7,Paramètres!$G$5:$G$57,0)),INDEX($E$2921:$E$2973,MATCH(Paramètres!N7,Paramètres!$G$5:$G$57,0)))+IF(RIGHT(TRIM(Paramètres!O7),3)="Fin",1-$H2923,IF(LEFT(TRIM(Paramètres!O7),1)="F",1,0)))))))</f>
        <v/>
      </c>
      <c r="F2923" s="19">
        <f>IF($A2923="","",E2923+$H2923-1)</f>
        <v/>
      </c>
      <c r="G2923" s="18" t="n"/>
      <c r="H2923" s="18">
        <f>IF($A2923="","",IF(I2923&lt;&gt;"",I2923,Paramètres!B7))</f>
        <v/>
      </c>
      <c r="I2923" s="18" t="n"/>
    </row>
    <row r="2924">
      <c r="A2924" s="18">
        <f>IF(ISNUMBER(Dossiers!$D$58),Dossiers!$A$58&amp;" · "&amp;Dossiers!$B$58,"")</f>
        <v/>
      </c>
      <c r="B2924" s="18">
        <f>IF($A2924="","",Paramètres!G8)</f>
        <v/>
      </c>
      <c r="C2924" s="18">
        <f>IF($A2924="","",IF(Paramètres!H8="","",Paramètres!H8))</f>
        <v/>
      </c>
      <c r="D2924" s="18">
        <f>IF($A2924="","",IF(Paramètres!I8="","",Paramètres!I8))</f>
        <v/>
      </c>
      <c r="E2924" s="19">
        <f>IF($A2924="","",IF(Paramètres!J8&amp;Paramètres!L8&amp;Paramètres!N8="",Dossiers!$D$58,MAX(IF(Paramètres!J8="",0,IF(Paramètres!K8="",NA(),IF(LEFT(TRIM(Paramètres!K8),1)="F",INDEX($F$2921:$F$2973,MATCH(Paramètres!J8,Paramètres!$G$5:$G$57,0)),INDEX($E$2921:$E$2973,MATCH(Paramètres!J8,Paramètres!$G$5:$G$57,0)))+IF(RIGHT(TRIM(Paramètres!K8),3)="Fin",1-$H2924,IF(LEFT(TRIM(Paramètres!K8),1)="F",1,0)))),IF(Paramètres!L8="",0,IF(Paramètres!M8="",NA(),IF(LEFT(TRIM(Paramètres!M8),1)="F",INDEX($F$2921:$F$2973,MATCH(Paramètres!L8,Paramètres!$G$5:$G$57,0)),INDEX($E$2921:$E$2973,MATCH(Paramètres!L8,Paramètres!$G$5:$G$57,0)))+IF(RIGHT(TRIM(Paramètres!M8),3)="Fin",1-$H2924,IF(LEFT(TRIM(Paramètres!M8),1)="F",1,0)))),IF(Paramètres!N8="",0,IF(Paramètres!O8="",NA(),IF(LEFT(TRIM(Paramètres!O8),1)="F",INDEX($F$2921:$F$2973,MATCH(Paramètres!N8,Paramètres!$G$5:$G$57,0)),INDEX($E$2921:$E$2973,MATCH(Paramètres!N8,Paramètres!$G$5:$G$57,0)))+IF(RIGHT(TRIM(Paramètres!O8),3)="Fin",1-$H2924,IF(LEFT(TRIM(Paramètres!O8),1)="F",1,0)))))))</f>
        <v/>
      </c>
      <c r="F2924" s="19">
        <f>IF($A2924="","",E2924+$H2924-1)</f>
        <v/>
      </c>
      <c r="G2924" s="18" t="n"/>
      <c r="H2924" s="18">
        <f>IF($A2924="","",IF(I2924&lt;&gt;"",I2924,Paramètres!B8))</f>
        <v/>
      </c>
      <c r="I2924" s="18" t="n"/>
    </row>
    <row r="2925">
      <c r="A2925" s="18">
        <f>IF(ISNUMBER(Dossiers!$D$58),Dossiers!$A$58&amp;" · "&amp;Dossiers!$B$58,"")</f>
        <v/>
      </c>
      <c r="B2925" s="18">
        <f>IF($A2925="","",Paramètres!G9)</f>
        <v/>
      </c>
      <c r="C2925" s="18">
        <f>IF($A2925="","",IF(Paramètres!H9="","",Paramètres!H9))</f>
        <v/>
      </c>
      <c r="D2925" s="18">
        <f>IF($A2925="","",IF(Paramètres!I9="","",Paramètres!I9))</f>
        <v/>
      </c>
      <c r="E2925" s="19">
        <f>IF($A2925="","",IF(Paramètres!J9&amp;Paramètres!L9&amp;Paramètres!N9="",Dossiers!$D$58,MAX(IF(Paramètres!J9="",0,IF(Paramètres!K9="",NA(),IF(LEFT(TRIM(Paramètres!K9),1)="F",INDEX($F$2921:$F$2973,MATCH(Paramètres!J9,Paramètres!$G$5:$G$57,0)),INDEX($E$2921:$E$2973,MATCH(Paramètres!J9,Paramètres!$G$5:$G$57,0)))+IF(RIGHT(TRIM(Paramètres!K9),3)="Fin",1-$H2925,IF(LEFT(TRIM(Paramètres!K9),1)="F",1,0)))),IF(Paramètres!L9="",0,IF(Paramètres!M9="",NA(),IF(LEFT(TRIM(Paramètres!M9),1)="F",INDEX($F$2921:$F$2973,MATCH(Paramètres!L9,Paramètres!$G$5:$G$57,0)),INDEX($E$2921:$E$2973,MATCH(Paramètres!L9,Paramètres!$G$5:$G$57,0)))+IF(RIGHT(TRIM(Paramètres!M9),3)="Fin",1-$H2925,IF(LEFT(TRIM(Paramètres!M9),1)="F",1,0)))),IF(Paramètres!N9="",0,IF(Paramètres!O9="",NA(),IF(LEFT(TRIM(Paramètres!O9),1)="F",INDEX($F$2921:$F$2973,MATCH(Paramètres!N9,Paramètres!$G$5:$G$57,0)),INDEX($E$2921:$E$2973,MATCH(Paramètres!N9,Paramètres!$G$5:$G$57,0)))+IF(RIGHT(TRIM(Paramètres!O9),3)="Fin",1-$H2925,IF(LEFT(TRIM(Paramètres!O9),1)="F",1,0)))))))</f>
        <v/>
      </c>
      <c r="F2925" s="19">
        <f>IF($A2925="","",E2925+$H2925-1)</f>
        <v/>
      </c>
      <c r="G2925" s="18" t="n"/>
      <c r="H2925" s="18">
        <f>IF($A2925="","",IF(I2925&lt;&gt;"",I2925,Paramètres!B9))</f>
        <v/>
      </c>
      <c r="I2925" s="18" t="n"/>
    </row>
    <row r="2926">
      <c r="A2926" s="18">
        <f>IF(ISNUMBER(Dossiers!$D$58),Dossiers!$A$58&amp;" · "&amp;Dossiers!$B$58,"")</f>
        <v/>
      </c>
      <c r="B2926" s="18">
        <f>IF($A2926="","",Paramètres!G10)</f>
        <v/>
      </c>
      <c r="C2926" s="18">
        <f>IF($A2926="","",IF(Paramètres!H10="","",Paramètres!H10))</f>
        <v/>
      </c>
      <c r="D2926" s="18">
        <f>IF($A2926="","",IF(Paramètres!I10="","",Paramètres!I10))</f>
        <v/>
      </c>
      <c r="E2926" s="19">
        <f>IF($A2926="","",MIN(E2927:E2930))</f>
        <v/>
      </c>
      <c r="F2926" s="19">
        <f>IF($A2926="","",MAX(F2927:F2930))</f>
        <v/>
      </c>
      <c r="G2926" s="18" t="n"/>
      <c r="H2926" s="18">
        <f>IF($A2926="","",F2926-E2926+1)</f>
        <v/>
      </c>
      <c r="I2926" s="18" t="n"/>
    </row>
    <row r="2927">
      <c r="A2927" s="18">
        <f>IF(ISNUMBER(Dossiers!$D$58),Dossiers!$A$58&amp;" · "&amp;Dossiers!$B$58,"")</f>
        <v/>
      </c>
      <c r="B2927" s="18">
        <f>IF($A2927="","",Paramètres!G11)</f>
        <v/>
      </c>
      <c r="C2927" s="18">
        <f>IF($A2927="","",IF(Paramètres!H11="","",Paramètres!H11))</f>
        <v/>
      </c>
      <c r="D2927" s="18">
        <f>IF($A2927="","",IF(Paramètres!I11="","",Paramètres!I11))</f>
        <v/>
      </c>
      <c r="E2927" s="19">
        <f>IF($A2927="","",IF(Paramètres!J11&amp;Paramètres!L11&amp;Paramètres!N11="",Dossiers!$D$58,MAX(IF(Paramètres!J11="",0,IF(Paramètres!K11="",NA(),IF(LEFT(TRIM(Paramètres!K11),1)="F",INDEX($F$2921:$F$2973,MATCH(Paramètres!J11,Paramètres!$G$5:$G$57,0)),INDEX($E$2921:$E$2973,MATCH(Paramètres!J11,Paramètres!$G$5:$G$57,0)))+IF(RIGHT(TRIM(Paramètres!K11),3)="Fin",1-$H2927,IF(LEFT(TRIM(Paramètres!K11),1)="F",1,0)))),IF(Paramètres!L11="",0,IF(Paramètres!M11="",NA(),IF(LEFT(TRIM(Paramètres!M11),1)="F",INDEX($F$2921:$F$2973,MATCH(Paramètres!L11,Paramètres!$G$5:$G$57,0)),INDEX($E$2921:$E$2973,MATCH(Paramètres!L11,Paramètres!$G$5:$G$57,0)))+IF(RIGHT(TRIM(Paramètres!M11),3)="Fin",1-$H2927,IF(LEFT(TRIM(Paramètres!M11),1)="F",1,0)))),IF(Paramètres!N11="",0,IF(Paramètres!O11="",NA(),IF(LEFT(TRIM(Paramètres!O11),1)="F",INDEX($F$2921:$F$2973,MATCH(Paramètres!N11,Paramètres!$G$5:$G$57,0)),INDEX($E$2921:$E$2973,MATCH(Paramètres!N11,Paramètres!$G$5:$G$57,0)))+IF(RIGHT(TRIM(Paramètres!O11),3)="Fin",1-$H2927,IF(LEFT(TRIM(Paramètres!O11),1)="F",1,0)))))))</f>
        <v/>
      </c>
      <c r="F2927" s="19">
        <f>IF($A2927="","",E2927+$H2927-1)</f>
        <v/>
      </c>
      <c r="G2927" s="18" t="n"/>
      <c r="H2927" s="18">
        <f>IF($A2927="","",IF(I2927&lt;&gt;"",I2927,Paramètres!B11))</f>
        <v/>
      </c>
      <c r="I2927" s="18" t="n"/>
    </row>
    <row r="2928">
      <c r="A2928" s="18">
        <f>IF(ISNUMBER(Dossiers!$D$58),Dossiers!$A$58&amp;" · "&amp;Dossiers!$B$58,"")</f>
        <v/>
      </c>
      <c r="B2928" s="18">
        <f>IF($A2928="","",Paramètres!G12)</f>
        <v/>
      </c>
      <c r="C2928" s="18">
        <f>IF($A2928="","",IF(Paramètres!H12="","",Paramètres!H12))</f>
        <v/>
      </c>
      <c r="D2928" s="18">
        <f>IF($A2928="","",IF(Paramètres!I12="","",Paramètres!I12))</f>
        <v/>
      </c>
      <c r="E2928" s="19">
        <f>IF($A2928="","",IF(Paramètres!J12&amp;Paramètres!L12&amp;Paramètres!N12="",Dossiers!$D$58,MAX(IF(Paramètres!J12="",0,IF(Paramètres!K12="",NA(),IF(LEFT(TRIM(Paramètres!K12),1)="F",INDEX($F$2921:$F$2973,MATCH(Paramètres!J12,Paramètres!$G$5:$G$57,0)),INDEX($E$2921:$E$2973,MATCH(Paramètres!J12,Paramètres!$G$5:$G$57,0)))+IF(RIGHT(TRIM(Paramètres!K12),3)="Fin",1-$H2928,IF(LEFT(TRIM(Paramètres!K12),1)="F",1,0)))),IF(Paramètres!L12="",0,IF(Paramètres!M12="",NA(),IF(LEFT(TRIM(Paramètres!M12),1)="F",INDEX($F$2921:$F$2973,MATCH(Paramètres!L12,Paramètres!$G$5:$G$57,0)),INDEX($E$2921:$E$2973,MATCH(Paramètres!L12,Paramètres!$G$5:$G$57,0)))+IF(RIGHT(TRIM(Paramètres!M12),3)="Fin",1-$H2928,IF(LEFT(TRIM(Paramètres!M12),1)="F",1,0)))),IF(Paramètres!N12="",0,IF(Paramètres!O12="",NA(),IF(LEFT(TRIM(Paramètres!O12),1)="F",INDEX($F$2921:$F$2973,MATCH(Paramètres!N12,Paramètres!$G$5:$G$57,0)),INDEX($E$2921:$E$2973,MATCH(Paramètres!N12,Paramètres!$G$5:$G$57,0)))+IF(RIGHT(TRIM(Paramètres!O12),3)="Fin",1-$H2928,IF(LEFT(TRIM(Paramètres!O12),1)="F",1,0)))))))</f>
        <v/>
      </c>
      <c r="F2928" s="19">
        <f>IF($A2928="","",E2928+$H2928-1)</f>
        <v/>
      </c>
      <c r="G2928" s="18" t="n"/>
      <c r="H2928" s="18">
        <f>IF($A2928="","",IF(I2928&lt;&gt;"",I2928,Paramètres!B12))</f>
        <v/>
      </c>
      <c r="I2928" s="18" t="n"/>
    </row>
    <row r="2929">
      <c r="A2929" s="18">
        <f>IF(ISNUMBER(Dossiers!$D$58),Dossiers!$A$58&amp;" · "&amp;Dossiers!$B$58,"")</f>
        <v/>
      </c>
      <c r="B2929" s="18">
        <f>IF($A2929="","",Paramètres!G13)</f>
        <v/>
      </c>
      <c r="C2929" s="18">
        <f>IF($A2929="","",IF(Paramètres!H13="","",Paramètres!H13))</f>
        <v/>
      </c>
      <c r="D2929" s="18">
        <f>IF($A2929="","",IF(Paramètres!I13="","",Paramètres!I13))</f>
        <v/>
      </c>
      <c r="E2929" s="19">
        <f>IF($A2929="","",IF(Paramètres!J13&amp;Paramètres!L13&amp;Paramètres!N13="",Dossiers!$D$58,MAX(IF(Paramètres!J13="",0,IF(Paramètres!K13="",NA(),IF(LEFT(TRIM(Paramètres!K13),1)="F",INDEX($F$2921:$F$2973,MATCH(Paramètres!J13,Paramètres!$G$5:$G$57,0)),INDEX($E$2921:$E$2973,MATCH(Paramètres!J13,Paramètres!$G$5:$G$57,0)))+IF(RIGHT(TRIM(Paramètres!K13),3)="Fin",1-$H2929,IF(LEFT(TRIM(Paramètres!K13),1)="F",1,0)))),IF(Paramètres!L13="",0,IF(Paramètres!M13="",NA(),IF(LEFT(TRIM(Paramètres!M13),1)="F",INDEX($F$2921:$F$2973,MATCH(Paramètres!L13,Paramètres!$G$5:$G$57,0)),INDEX($E$2921:$E$2973,MATCH(Paramètres!L13,Paramètres!$G$5:$G$57,0)))+IF(RIGHT(TRIM(Paramètres!M13),3)="Fin",1-$H2929,IF(LEFT(TRIM(Paramètres!M13),1)="F",1,0)))),IF(Paramètres!N13="",0,IF(Paramètres!O13="",NA(),IF(LEFT(TRIM(Paramètres!O13),1)="F",INDEX($F$2921:$F$2973,MATCH(Paramètres!N13,Paramètres!$G$5:$G$57,0)),INDEX($E$2921:$E$2973,MATCH(Paramètres!N13,Paramètres!$G$5:$G$57,0)))+IF(RIGHT(TRIM(Paramètres!O13),3)="Fin",1-$H2929,IF(LEFT(TRIM(Paramètres!O13),1)="F",1,0)))))))</f>
        <v/>
      </c>
      <c r="F2929" s="19">
        <f>IF($A2929="","",E2929+$H2929-1)</f>
        <v/>
      </c>
      <c r="G2929" s="18" t="n"/>
      <c r="H2929" s="18">
        <f>IF($A2929="","",IF(I2929&lt;&gt;"",I2929,Paramètres!B13))</f>
        <v/>
      </c>
      <c r="I2929" s="18" t="n"/>
    </row>
    <row r="2930">
      <c r="A2930" s="18">
        <f>IF(ISNUMBER(Dossiers!$D$58),Dossiers!$A$58&amp;" · "&amp;Dossiers!$B$58,"")</f>
        <v/>
      </c>
      <c r="B2930" s="18">
        <f>IF($A2930="","",Paramètres!G14)</f>
        <v/>
      </c>
      <c r="C2930" s="18">
        <f>IF($A2930="","",IF(Paramètres!H14="","",Paramètres!H14))</f>
        <v/>
      </c>
      <c r="D2930" s="18">
        <f>IF($A2930="","",IF(Paramètres!I14="","",Paramètres!I14))</f>
        <v/>
      </c>
      <c r="E2930" s="19">
        <f>IF($A2930="","",IF(Paramètres!J14&amp;Paramètres!L14&amp;Paramètres!N14="",Dossiers!$D$58,MAX(IF(Paramètres!J14="",0,IF(Paramètres!K14="",NA(),IF(LEFT(TRIM(Paramètres!K14),1)="F",INDEX($F$2921:$F$2973,MATCH(Paramètres!J14,Paramètres!$G$5:$G$57,0)),INDEX($E$2921:$E$2973,MATCH(Paramètres!J14,Paramètres!$G$5:$G$57,0)))+IF(RIGHT(TRIM(Paramètres!K14),3)="Fin",1-$H2930,IF(LEFT(TRIM(Paramètres!K14),1)="F",1,0)))),IF(Paramètres!L14="",0,IF(Paramètres!M14="",NA(),IF(LEFT(TRIM(Paramètres!M14),1)="F",INDEX($F$2921:$F$2973,MATCH(Paramètres!L14,Paramètres!$G$5:$G$57,0)),INDEX($E$2921:$E$2973,MATCH(Paramètres!L14,Paramètres!$G$5:$G$57,0)))+IF(RIGHT(TRIM(Paramètres!M14),3)="Fin",1-$H2930,IF(LEFT(TRIM(Paramètres!M14),1)="F",1,0)))),IF(Paramètres!N14="",0,IF(Paramètres!O14="",NA(),IF(LEFT(TRIM(Paramètres!O14),1)="F",INDEX($F$2921:$F$2973,MATCH(Paramètres!N14,Paramètres!$G$5:$G$57,0)),INDEX($E$2921:$E$2973,MATCH(Paramètres!N14,Paramètres!$G$5:$G$57,0)))+IF(RIGHT(TRIM(Paramètres!O14),3)="Fin",1-$H2930,IF(LEFT(TRIM(Paramètres!O14),1)="F",1,0)))))))</f>
        <v/>
      </c>
      <c r="F2930" s="19">
        <f>IF($A2930="","",E2930+$H2930-1)</f>
        <v/>
      </c>
      <c r="G2930" s="18" t="n"/>
      <c r="H2930" s="18">
        <f>IF($A2930="","",IF(I2930&lt;&gt;"",I2930,Paramètres!B14))</f>
        <v/>
      </c>
      <c r="I2930" s="18" t="n"/>
    </row>
    <row r="2931">
      <c r="A2931" s="18">
        <f>IF(ISNUMBER(Dossiers!$D$58),Dossiers!$A$58&amp;" · "&amp;Dossiers!$B$58,"")</f>
        <v/>
      </c>
      <c r="B2931" s="18">
        <f>IF($A2931="","",Paramètres!G15)</f>
        <v/>
      </c>
      <c r="C2931" s="18">
        <f>IF($A2931="","",IF(Paramètres!H15="","",Paramètres!H15))</f>
        <v/>
      </c>
      <c r="D2931" s="18">
        <f>IF($A2931="","",IF(Paramètres!I15="","",Paramètres!I15))</f>
        <v/>
      </c>
      <c r="E2931" s="19">
        <f>IF($A2931="","",MIN(E2932:E2947))</f>
        <v/>
      </c>
      <c r="F2931" s="19">
        <f>IF($A2931="","",MAX(F2932:F2947))</f>
        <v/>
      </c>
      <c r="G2931" s="18" t="n"/>
      <c r="H2931" s="18">
        <f>IF($A2931="","",F2931-E2931+1)</f>
        <v/>
      </c>
      <c r="I2931" s="18" t="n"/>
    </row>
    <row r="2932">
      <c r="A2932" s="18">
        <f>IF(ISNUMBER(Dossiers!$D$58),Dossiers!$A$58&amp;" · "&amp;Dossiers!$B$58,"")</f>
        <v/>
      </c>
      <c r="B2932" s="18">
        <f>IF($A2932="","",Paramètres!G16)</f>
        <v/>
      </c>
      <c r="C2932" s="18">
        <f>IF($A2932="","",IF(Paramètres!H16="","",Paramètres!H16))</f>
        <v/>
      </c>
      <c r="D2932" s="18">
        <f>IF($A2932="","",IF(Paramètres!I16="","",Paramètres!I16))</f>
        <v/>
      </c>
      <c r="E2932" s="19">
        <f>IF($A2932="","",IF(Paramètres!J16&amp;Paramètres!L16&amp;Paramètres!N16="",Dossiers!$D$58,MAX(IF(Paramètres!J16="",0,IF(Paramètres!K16="",NA(),IF(LEFT(TRIM(Paramètres!K16),1)="F",INDEX($F$2921:$F$2973,MATCH(Paramètres!J16,Paramètres!$G$5:$G$57,0)),INDEX($E$2921:$E$2973,MATCH(Paramètres!J16,Paramètres!$G$5:$G$57,0)))+IF(RIGHT(TRIM(Paramètres!K16),3)="Fin",1-$H2932,IF(LEFT(TRIM(Paramètres!K16),1)="F",1,0)))),IF(Paramètres!L16="",0,IF(Paramètres!M16="",NA(),IF(LEFT(TRIM(Paramètres!M16),1)="F",INDEX($F$2921:$F$2973,MATCH(Paramètres!L16,Paramètres!$G$5:$G$57,0)),INDEX($E$2921:$E$2973,MATCH(Paramètres!L16,Paramètres!$G$5:$G$57,0)))+IF(RIGHT(TRIM(Paramètres!M16),3)="Fin",1-$H2932,IF(LEFT(TRIM(Paramètres!M16),1)="F",1,0)))),IF(Paramètres!N16="",0,IF(Paramètres!O16="",NA(),IF(LEFT(TRIM(Paramètres!O16),1)="F",INDEX($F$2921:$F$2973,MATCH(Paramètres!N16,Paramètres!$G$5:$G$57,0)),INDEX($E$2921:$E$2973,MATCH(Paramètres!N16,Paramètres!$G$5:$G$57,0)))+IF(RIGHT(TRIM(Paramètres!O16),3)="Fin",1-$H2932,IF(LEFT(TRIM(Paramètres!O16),1)="F",1,0)))))))</f>
        <v/>
      </c>
      <c r="F2932" s="19">
        <f>IF($A2932="","",E2932+$H2932-1)</f>
        <v/>
      </c>
      <c r="G2932" s="18" t="n"/>
      <c r="H2932" s="18">
        <f>IF($A2932="","",IF(I2932&lt;&gt;"",I2932,Paramètres!B16))</f>
        <v/>
      </c>
      <c r="I2932" s="18" t="n"/>
    </row>
    <row r="2933">
      <c r="A2933" s="18">
        <f>IF(ISNUMBER(Dossiers!$D$58),Dossiers!$A$58&amp;" · "&amp;Dossiers!$B$58,"")</f>
        <v/>
      </c>
      <c r="B2933" s="18">
        <f>IF($A2933="","",Paramètres!G17)</f>
        <v/>
      </c>
      <c r="C2933" s="18">
        <f>IF($A2933="","",IF(Paramètres!H17="","",Paramètres!H17))</f>
        <v/>
      </c>
      <c r="D2933" s="18">
        <f>IF($A2933="","",IF(Paramètres!I17="","",Paramètres!I17))</f>
        <v/>
      </c>
      <c r="E2933" s="19">
        <f>IF($A2933="","",IF(Paramètres!J17&amp;Paramètres!L17&amp;Paramètres!N17="",Dossiers!$D$58,MAX(IF(Paramètres!J17="",0,IF(Paramètres!K17="",NA(),IF(LEFT(TRIM(Paramètres!K17),1)="F",INDEX($F$2921:$F$2973,MATCH(Paramètres!J17,Paramètres!$G$5:$G$57,0)),INDEX($E$2921:$E$2973,MATCH(Paramètres!J17,Paramètres!$G$5:$G$57,0)))+IF(RIGHT(TRIM(Paramètres!K17),3)="Fin",1-$H2933,IF(LEFT(TRIM(Paramètres!K17),1)="F",1,0)))),IF(Paramètres!L17="",0,IF(Paramètres!M17="",NA(),IF(LEFT(TRIM(Paramètres!M17),1)="F",INDEX($F$2921:$F$2973,MATCH(Paramètres!L17,Paramètres!$G$5:$G$57,0)),INDEX($E$2921:$E$2973,MATCH(Paramètres!L17,Paramètres!$G$5:$G$57,0)))+IF(RIGHT(TRIM(Paramètres!M17),3)="Fin",1-$H2933,IF(LEFT(TRIM(Paramètres!M17),1)="F",1,0)))),IF(Paramètres!N17="",0,IF(Paramètres!O17="",NA(),IF(LEFT(TRIM(Paramètres!O17),1)="F",INDEX($F$2921:$F$2973,MATCH(Paramètres!N17,Paramètres!$G$5:$G$57,0)),INDEX($E$2921:$E$2973,MATCH(Paramètres!N17,Paramètres!$G$5:$G$57,0)))+IF(RIGHT(TRIM(Paramètres!O17),3)="Fin",1-$H2933,IF(LEFT(TRIM(Paramètres!O17),1)="F",1,0)))))))</f>
        <v/>
      </c>
      <c r="F2933" s="19">
        <f>IF($A2933="","",E2933+$H2933-1)</f>
        <v/>
      </c>
      <c r="G2933" s="18" t="n"/>
      <c r="H2933" s="18">
        <f>IF($A2933="","",IF(I2933&lt;&gt;"",I2933,Paramètres!B17))</f>
        <v/>
      </c>
      <c r="I2933" s="18" t="n"/>
    </row>
    <row r="2934">
      <c r="A2934" s="18">
        <f>IF(ISNUMBER(Dossiers!$D$58),Dossiers!$A$58&amp;" · "&amp;Dossiers!$B$58,"")</f>
        <v/>
      </c>
      <c r="B2934" s="18">
        <f>IF($A2934="","",Paramètres!G18)</f>
        <v/>
      </c>
      <c r="C2934" s="18">
        <f>IF($A2934="","",IF(Paramètres!H18="","",Paramètres!H18))</f>
        <v/>
      </c>
      <c r="D2934" s="18">
        <f>IF($A2934="","",IF(Paramètres!I18="","",Paramètres!I18))</f>
        <v/>
      </c>
      <c r="E2934" s="19">
        <f>IF($A2934="","",IF(Paramètres!J18&amp;Paramètres!L18&amp;Paramètres!N18="",Dossiers!$D$58,MAX(IF(Paramètres!J18="",0,IF(Paramètres!K18="",NA(),IF(LEFT(TRIM(Paramètres!K18),1)="F",INDEX($F$2921:$F$2973,MATCH(Paramètres!J18,Paramètres!$G$5:$G$57,0)),INDEX($E$2921:$E$2973,MATCH(Paramètres!J18,Paramètres!$G$5:$G$57,0)))+IF(RIGHT(TRIM(Paramètres!K18),3)="Fin",1-$H2934,IF(LEFT(TRIM(Paramètres!K18),1)="F",1,0)))),IF(Paramètres!L18="",0,IF(Paramètres!M18="",NA(),IF(LEFT(TRIM(Paramètres!M18),1)="F",INDEX($F$2921:$F$2973,MATCH(Paramètres!L18,Paramètres!$G$5:$G$57,0)),INDEX($E$2921:$E$2973,MATCH(Paramètres!L18,Paramètres!$G$5:$G$57,0)))+IF(RIGHT(TRIM(Paramètres!M18),3)="Fin",1-$H2934,IF(LEFT(TRIM(Paramètres!M18),1)="F",1,0)))),IF(Paramètres!N18="",0,IF(Paramètres!O18="",NA(),IF(LEFT(TRIM(Paramètres!O18),1)="F",INDEX($F$2921:$F$2973,MATCH(Paramètres!N18,Paramètres!$G$5:$G$57,0)),INDEX($E$2921:$E$2973,MATCH(Paramètres!N18,Paramètres!$G$5:$G$57,0)))+IF(RIGHT(TRIM(Paramètres!O18),3)="Fin",1-$H2934,IF(LEFT(TRIM(Paramètres!O18),1)="F",1,0)))))))</f>
        <v/>
      </c>
      <c r="F2934" s="19">
        <f>IF($A2934="","",E2934+$H2934-1)</f>
        <v/>
      </c>
      <c r="G2934" s="18" t="n"/>
      <c r="H2934" s="18">
        <f>IF($A2934="","",IF(I2934&lt;&gt;"",I2934,Paramètres!B18))</f>
        <v/>
      </c>
      <c r="I2934" s="18" t="n"/>
    </row>
    <row r="2935">
      <c r="A2935" s="18">
        <f>IF(ISNUMBER(Dossiers!$D$58),Dossiers!$A$58&amp;" · "&amp;Dossiers!$B$58,"")</f>
        <v/>
      </c>
      <c r="B2935" s="18">
        <f>IF($A2935="","",Paramètres!G19)</f>
        <v/>
      </c>
      <c r="C2935" s="18">
        <f>IF($A2935="","",IF(Paramètres!H19="","",Paramètres!H19))</f>
        <v/>
      </c>
      <c r="D2935" s="18">
        <f>IF($A2935="","",IF(Paramètres!I19="","",Paramètres!I19))</f>
        <v/>
      </c>
      <c r="E2935" s="19">
        <f>IF($A2935="","",IF(Paramètres!J19&amp;Paramètres!L19&amp;Paramètres!N19="",Dossiers!$D$58,MAX(IF(Paramètres!J19="",0,IF(Paramètres!K19="",NA(),IF(LEFT(TRIM(Paramètres!K19),1)="F",INDEX($F$2921:$F$2973,MATCH(Paramètres!J19,Paramètres!$G$5:$G$57,0)),INDEX($E$2921:$E$2973,MATCH(Paramètres!J19,Paramètres!$G$5:$G$57,0)))+IF(RIGHT(TRIM(Paramètres!K19),3)="Fin",1-$H2935,IF(LEFT(TRIM(Paramètres!K19),1)="F",1,0)))),IF(Paramètres!L19="",0,IF(Paramètres!M19="",NA(),IF(LEFT(TRIM(Paramètres!M19),1)="F",INDEX($F$2921:$F$2973,MATCH(Paramètres!L19,Paramètres!$G$5:$G$57,0)),INDEX($E$2921:$E$2973,MATCH(Paramètres!L19,Paramètres!$G$5:$G$57,0)))+IF(RIGHT(TRIM(Paramètres!M19),3)="Fin",1-$H2935,IF(LEFT(TRIM(Paramètres!M19),1)="F",1,0)))),IF(Paramètres!N19="",0,IF(Paramètres!O19="",NA(),IF(LEFT(TRIM(Paramètres!O19),1)="F",INDEX($F$2921:$F$2973,MATCH(Paramètres!N19,Paramètres!$G$5:$G$57,0)),INDEX($E$2921:$E$2973,MATCH(Paramètres!N19,Paramètres!$G$5:$G$57,0)))+IF(RIGHT(TRIM(Paramètres!O19),3)="Fin",1-$H2935,IF(LEFT(TRIM(Paramètres!O19),1)="F",1,0)))))))</f>
        <v/>
      </c>
      <c r="F2935" s="19">
        <f>IF($A2935="","",E2935+$H2935-1)</f>
        <v/>
      </c>
      <c r="G2935" s="18" t="n"/>
      <c r="H2935" s="18">
        <f>IF($A2935="","",IF(I2935&lt;&gt;"",I2935,Paramètres!B19))</f>
        <v/>
      </c>
      <c r="I2935" s="18" t="n"/>
    </row>
    <row r="2936">
      <c r="A2936" s="18">
        <f>IF(ISNUMBER(Dossiers!$D$58),Dossiers!$A$58&amp;" · "&amp;Dossiers!$B$58,"")</f>
        <v/>
      </c>
      <c r="B2936" s="18">
        <f>IF($A2936="","",Paramètres!G20)</f>
        <v/>
      </c>
      <c r="C2936" s="18">
        <f>IF($A2936="","",IF(Paramètres!H20="","",Paramètres!H20))</f>
        <v/>
      </c>
      <c r="D2936" s="18">
        <f>IF($A2936="","",IF(Paramètres!I20="","",Paramètres!I20))</f>
        <v/>
      </c>
      <c r="E2936" s="19">
        <f>IF($A2936="","",IF(Paramètres!J20&amp;Paramètres!L20&amp;Paramètres!N20="",Dossiers!$D$58,MAX(IF(Paramètres!J20="",0,IF(Paramètres!K20="",NA(),IF(LEFT(TRIM(Paramètres!K20),1)="F",INDEX($F$2921:$F$2973,MATCH(Paramètres!J20,Paramètres!$G$5:$G$57,0)),INDEX($E$2921:$E$2973,MATCH(Paramètres!J20,Paramètres!$G$5:$G$57,0)))+IF(RIGHT(TRIM(Paramètres!K20),3)="Fin",1-$H2936,IF(LEFT(TRIM(Paramètres!K20),1)="F",1,0)))),IF(Paramètres!L20="",0,IF(Paramètres!M20="",NA(),IF(LEFT(TRIM(Paramètres!M20),1)="F",INDEX($F$2921:$F$2973,MATCH(Paramètres!L20,Paramètres!$G$5:$G$57,0)),INDEX($E$2921:$E$2973,MATCH(Paramètres!L20,Paramètres!$G$5:$G$57,0)))+IF(RIGHT(TRIM(Paramètres!M20),3)="Fin",1-$H2936,IF(LEFT(TRIM(Paramètres!M20),1)="F",1,0)))),IF(Paramètres!N20="",0,IF(Paramètres!O20="",NA(),IF(LEFT(TRIM(Paramètres!O20),1)="F",INDEX($F$2921:$F$2973,MATCH(Paramètres!N20,Paramètres!$G$5:$G$57,0)),INDEX($E$2921:$E$2973,MATCH(Paramètres!N20,Paramètres!$G$5:$G$57,0)))+IF(RIGHT(TRIM(Paramètres!O20),3)="Fin",1-$H2936,IF(LEFT(TRIM(Paramètres!O20),1)="F",1,0)))))))</f>
        <v/>
      </c>
      <c r="F2936" s="19">
        <f>IF($A2936="","",E2936+$H2936-1)</f>
        <v/>
      </c>
      <c r="G2936" s="18" t="n"/>
      <c r="H2936" s="18">
        <f>IF($A2936="","",IF(I2936&lt;&gt;"",I2936,Paramètres!B20))</f>
        <v/>
      </c>
      <c r="I2936" s="18" t="n"/>
    </row>
    <row r="2937">
      <c r="A2937" s="18">
        <f>IF(ISNUMBER(Dossiers!$D$58),Dossiers!$A$58&amp;" · "&amp;Dossiers!$B$58,"")</f>
        <v/>
      </c>
      <c r="B2937" s="18">
        <f>IF($A2937="","",Paramètres!G21)</f>
        <v/>
      </c>
      <c r="C2937" s="18">
        <f>IF($A2937="","",IF(Paramètres!H21="","",Paramètres!H21))</f>
        <v/>
      </c>
      <c r="D2937" s="18">
        <f>IF($A2937="","",IF(Paramètres!I21="","",Paramètres!I21))</f>
        <v/>
      </c>
      <c r="E2937" s="19">
        <f>IF($A2937="","",IF(Paramètres!J21&amp;Paramètres!L21&amp;Paramètres!N21="",Dossiers!$D$58,MAX(IF(Paramètres!J21="",0,IF(Paramètres!K21="",NA(),IF(LEFT(TRIM(Paramètres!K21),1)="F",INDEX($F$2921:$F$2973,MATCH(Paramètres!J21,Paramètres!$G$5:$G$57,0)),INDEX($E$2921:$E$2973,MATCH(Paramètres!J21,Paramètres!$G$5:$G$57,0)))+IF(RIGHT(TRIM(Paramètres!K21),3)="Fin",1-$H2937,IF(LEFT(TRIM(Paramètres!K21),1)="F",1,0)))),IF(Paramètres!L21="",0,IF(Paramètres!M21="",NA(),IF(LEFT(TRIM(Paramètres!M21),1)="F",INDEX($F$2921:$F$2973,MATCH(Paramètres!L21,Paramètres!$G$5:$G$57,0)),INDEX($E$2921:$E$2973,MATCH(Paramètres!L21,Paramètres!$G$5:$G$57,0)))+IF(RIGHT(TRIM(Paramètres!M21),3)="Fin",1-$H2937,IF(LEFT(TRIM(Paramètres!M21),1)="F",1,0)))),IF(Paramètres!N21="",0,IF(Paramètres!O21="",NA(),IF(LEFT(TRIM(Paramètres!O21),1)="F",INDEX($F$2921:$F$2973,MATCH(Paramètres!N21,Paramètres!$G$5:$G$57,0)),INDEX($E$2921:$E$2973,MATCH(Paramètres!N21,Paramètres!$G$5:$G$57,0)))+IF(RIGHT(TRIM(Paramètres!O21),3)="Fin",1-$H2937,IF(LEFT(TRIM(Paramètres!O21),1)="F",1,0)))))))</f>
        <v/>
      </c>
      <c r="F2937" s="19">
        <f>IF($A2937="","",E2937+$H2937-1)</f>
        <v/>
      </c>
      <c r="G2937" s="18" t="n"/>
      <c r="H2937" s="18">
        <f>IF($A2937="","",IF(I2937&lt;&gt;"",I2937,Paramètres!B21))</f>
        <v/>
      </c>
      <c r="I2937" s="18" t="n"/>
    </row>
    <row r="2938">
      <c r="A2938" s="18">
        <f>IF(ISNUMBER(Dossiers!$D$58),Dossiers!$A$58&amp;" · "&amp;Dossiers!$B$58,"")</f>
        <v/>
      </c>
      <c r="B2938" s="18">
        <f>IF($A2938="","",Paramètres!G22)</f>
        <v/>
      </c>
      <c r="C2938" s="18">
        <f>IF($A2938="","",IF(Paramètres!H22="","",Paramètres!H22))</f>
        <v/>
      </c>
      <c r="D2938" s="18">
        <f>IF($A2938="","",IF(Paramètres!I22="","",Paramètres!I22))</f>
        <v/>
      </c>
      <c r="E2938" s="19">
        <f>IF($A2938="","",IF(Paramètres!J22&amp;Paramètres!L22&amp;Paramètres!N22="",Dossiers!$D$58,MAX(IF(Paramètres!J22="",0,IF(Paramètres!K22="",NA(),IF(LEFT(TRIM(Paramètres!K22),1)="F",INDEX($F$2921:$F$2973,MATCH(Paramètres!J22,Paramètres!$G$5:$G$57,0)),INDEX($E$2921:$E$2973,MATCH(Paramètres!J22,Paramètres!$G$5:$G$57,0)))+IF(RIGHT(TRIM(Paramètres!K22),3)="Fin",1-$H2938,IF(LEFT(TRIM(Paramètres!K22),1)="F",1,0)))),IF(Paramètres!L22="",0,IF(Paramètres!M22="",NA(),IF(LEFT(TRIM(Paramètres!M22),1)="F",INDEX($F$2921:$F$2973,MATCH(Paramètres!L22,Paramètres!$G$5:$G$57,0)),INDEX($E$2921:$E$2973,MATCH(Paramètres!L22,Paramètres!$G$5:$G$57,0)))+IF(RIGHT(TRIM(Paramètres!M22),3)="Fin",1-$H2938,IF(LEFT(TRIM(Paramètres!M22),1)="F",1,0)))),IF(Paramètres!N22="",0,IF(Paramètres!O22="",NA(),IF(LEFT(TRIM(Paramètres!O22),1)="F",INDEX($F$2921:$F$2973,MATCH(Paramètres!N22,Paramètres!$G$5:$G$57,0)),INDEX($E$2921:$E$2973,MATCH(Paramètres!N22,Paramètres!$G$5:$G$57,0)))+IF(RIGHT(TRIM(Paramètres!O22),3)="Fin",1-$H2938,IF(LEFT(TRIM(Paramètres!O22),1)="F",1,0)))))))</f>
        <v/>
      </c>
      <c r="F2938" s="19">
        <f>IF($A2938="","",E2938+$H2938-1)</f>
        <v/>
      </c>
      <c r="G2938" s="18" t="n"/>
      <c r="H2938" s="18">
        <f>IF($A2938="","",IF(I2938&lt;&gt;"",I2938,Paramètres!B22))</f>
        <v/>
      </c>
      <c r="I2938" s="18" t="n"/>
    </row>
    <row r="2939">
      <c r="A2939" s="18">
        <f>IF(ISNUMBER(Dossiers!$D$58),Dossiers!$A$58&amp;" · "&amp;Dossiers!$B$58,"")</f>
        <v/>
      </c>
      <c r="B2939" s="18">
        <f>IF($A2939="","",Paramètres!G23)</f>
        <v/>
      </c>
      <c r="C2939" s="18">
        <f>IF($A2939="","",IF(Paramètres!H23="","",Paramètres!H23))</f>
        <v/>
      </c>
      <c r="D2939" s="18">
        <f>IF($A2939="","",IF(Paramètres!I23="","",Paramètres!I23))</f>
        <v/>
      </c>
      <c r="E2939" s="19">
        <f>IF($A2939="","",IF(Paramètres!J23&amp;Paramètres!L23&amp;Paramètres!N23="",Dossiers!$D$58,MAX(IF(Paramètres!J23="",0,IF(Paramètres!K23="",NA(),IF(LEFT(TRIM(Paramètres!K23),1)="F",INDEX($F$2921:$F$2973,MATCH(Paramètres!J23,Paramètres!$G$5:$G$57,0)),INDEX($E$2921:$E$2973,MATCH(Paramètres!J23,Paramètres!$G$5:$G$57,0)))+IF(RIGHT(TRIM(Paramètres!K23),3)="Fin",1-$H2939,IF(LEFT(TRIM(Paramètres!K23),1)="F",1,0)))),IF(Paramètres!L23="",0,IF(Paramètres!M23="",NA(),IF(LEFT(TRIM(Paramètres!M23),1)="F",INDEX($F$2921:$F$2973,MATCH(Paramètres!L23,Paramètres!$G$5:$G$57,0)),INDEX($E$2921:$E$2973,MATCH(Paramètres!L23,Paramètres!$G$5:$G$57,0)))+IF(RIGHT(TRIM(Paramètres!M23),3)="Fin",1-$H2939,IF(LEFT(TRIM(Paramètres!M23),1)="F",1,0)))),IF(Paramètres!N23="",0,IF(Paramètres!O23="",NA(),IF(LEFT(TRIM(Paramètres!O23),1)="F",INDEX($F$2921:$F$2973,MATCH(Paramètres!N23,Paramètres!$G$5:$G$57,0)),INDEX($E$2921:$E$2973,MATCH(Paramètres!N23,Paramètres!$G$5:$G$57,0)))+IF(RIGHT(TRIM(Paramètres!O23),3)="Fin",1-$H2939,IF(LEFT(TRIM(Paramètres!O23),1)="F",1,0)))))))</f>
        <v/>
      </c>
      <c r="F2939" s="19">
        <f>IF($A2939="","",E2939+$H2939-1)</f>
        <v/>
      </c>
      <c r="G2939" s="18" t="n"/>
      <c r="H2939" s="18">
        <f>IF($A2939="","",IF(I2939&lt;&gt;"",I2939,Paramètres!B23))</f>
        <v/>
      </c>
      <c r="I2939" s="18" t="n"/>
    </row>
    <row r="2940">
      <c r="A2940" s="18">
        <f>IF(ISNUMBER(Dossiers!$D$58),Dossiers!$A$58&amp;" · "&amp;Dossiers!$B$58,"")</f>
        <v/>
      </c>
      <c r="B2940" s="18">
        <f>IF($A2940="","",Paramètres!G24)</f>
        <v/>
      </c>
      <c r="C2940" s="18">
        <f>IF($A2940="","",IF(Paramètres!H24="","",Paramètres!H24))</f>
        <v/>
      </c>
      <c r="D2940" s="18">
        <f>IF($A2940="","",IF(Paramètres!I24="","",Paramètres!I24))</f>
        <v/>
      </c>
      <c r="E2940" s="19">
        <f>IF($A2940="","",IF(Paramètres!J24&amp;Paramètres!L24&amp;Paramètres!N24="",Dossiers!$D$58,MAX(IF(Paramètres!J24="",0,IF(Paramètres!K24="",NA(),IF(LEFT(TRIM(Paramètres!K24),1)="F",INDEX($F$2921:$F$2973,MATCH(Paramètres!J24,Paramètres!$G$5:$G$57,0)),INDEX($E$2921:$E$2973,MATCH(Paramètres!J24,Paramètres!$G$5:$G$57,0)))+IF(RIGHT(TRIM(Paramètres!K24),3)="Fin",1-$H2940,IF(LEFT(TRIM(Paramètres!K24),1)="F",1,0)))),IF(Paramètres!L24="",0,IF(Paramètres!M24="",NA(),IF(LEFT(TRIM(Paramètres!M24),1)="F",INDEX($F$2921:$F$2973,MATCH(Paramètres!L24,Paramètres!$G$5:$G$57,0)),INDEX($E$2921:$E$2973,MATCH(Paramètres!L24,Paramètres!$G$5:$G$57,0)))+IF(RIGHT(TRIM(Paramètres!M24),3)="Fin",1-$H2940,IF(LEFT(TRIM(Paramètres!M24),1)="F",1,0)))),IF(Paramètres!N24="",0,IF(Paramètres!O24="",NA(),IF(LEFT(TRIM(Paramètres!O24),1)="F",INDEX($F$2921:$F$2973,MATCH(Paramètres!N24,Paramètres!$G$5:$G$57,0)),INDEX($E$2921:$E$2973,MATCH(Paramètres!N24,Paramètres!$G$5:$G$57,0)))+IF(RIGHT(TRIM(Paramètres!O24),3)="Fin",1-$H2940,IF(LEFT(TRIM(Paramètres!O24),1)="F",1,0)))))))</f>
        <v/>
      </c>
      <c r="F2940" s="19">
        <f>IF($A2940="","",E2940+$H2940-1)</f>
        <v/>
      </c>
      <c r="G2940" s="18" t="n"/>
      <c r="H2940" s="18">
        <f>IF($A2940="","",IF(I2940&lt;&gt;"",I2940,Paramètres!B24))</f>
        <v/>
      </c>
      <c r="I2940" s="18" t="n"/>
    </row>
    <row r="2941">
      <c r="A2941" s="18">
        <f>IF(ISNUMBER(Dossiers!$D$58),Dossiers!$A$58&amp;" · "&amp;Dossiers!$B$58,"")</f>
        <v/>
      </c>
      <c r="B2941" s="18">
        <f>IF($A2941="","",Paramètres!G25)</f>
        <v/>
      </c>
      <c r="C2941" s="18">
        <f>IF($A2941="","",IF(Paramètres!H25="","",Paramètres!H25))</f>
        <v/>
      </c>
      <c r="D2941" s="18">
        <f>IF($A2941="","",IF(Paramètres!I25="","",Paramètres!I25))</f>
        <v/>
      </c>
      <c r="E2941" s="19">
        <f>IF($A2941="","",IF(Paramètres!J25&amp;Paramètres!L25&amp;Paramètres!N25="",Dossiers!$D$58,MAX(IF(Paramètres!J25="",0,IF(Paramètres!K25="",NA(),IF(LEFT(TRIM(Paramètres!K25),1)="F",INDEX($F$2921:$F$2973,MATCH(Paramètres!J25,Paramètres!$G$5:$G$57,0)),INDEX($E$2921:$E$2973,MATCH(Paramètres!J25,Paramètres!$G$5:$G$57,0)))+IF(RIGHT(TRIM(Paramètres!K25),3)="Fin",1-$H2941,IF(LEFT(TRIM(Paramètres!K25),1)="F",1,0)))),IF(Paramètres!L25="",0,IF(Paramètres!M25="",NA(),IF(LEFT(TRIM(Paramètres!M25),1)="F",INDEX($F$2921:$F$2973,MATCH(Paramètres!L25,Paramètres!$G$5:$G$57,0)),INDEX($E$2921:$E$2973,MATCH(Paramètres!L25,Paramètres!$G$5:$G$57,0)))+IF(RIGHT(TRIM(Paramètres!M25),3)="Fin",1-$H2941,IF(LEFT(TRIM(Paramètres!M25),1)="F",1,0)))),IF(Paramètres!N25="",0,IF(Paramètres!O25="",NA(),IF(LEFT(TRIM(Paramètres!O25),1)="F",INDEX($F$2921:$F$2973,MATCH(Paramètres!N25,Paramètres!$G$5:$G$57,0)),INDEX($E$2921:$E$2973,MATCH(Paramètres!N25,Paramètres!$G$5:$G$57,0)))+IF(RIGHT(TRIM(Paramètres!O25),3)="Fin",1-$H2941,IF(LEFT(TRIM(Paramètres!O25),1)="F",1,0)))))))</f>
        <v/>
      </c>
      <c r="F2941" s="19">
        <f>IF($A2941="","",E2941+$H2941-1)</f>
        <v/>
      </c>
      <c r="G2941" s="18" t="n"/>
      <c r="H2941" s="18">
        <f>IF($A2941="","",IF(I2941&lt;&gt;"",I2941,Paramètres!B25))</f>
        <v/>
      </c>
      <c r="I2941" s="18" t="n"/>
    </row>
    <row r="2942">
      <c r="A2942" s="18">
        <f>IF(ISNUMBER(Dossiers!$D$58),Dossiers!$A$58&amp;" · "&amp;Dossiers!$B$58,"")</f>
        <v/>
      </c>
      <c r="B2942" s="18">
        <f>IF($A2942="","",Paramètres!G26)</f>
        <v/>
      </c>
      <c r="C2942" s="18">
        <f>IF($A2942="","",IF(Paramètres!H26="","",Paramètres!H26))</f>
        <v/>
      </c>
      <c r="D2942" s="18">
        <f>IF($A2942="","",IF(Paramètres!I26="","",Paramètres!I26))</f>
        <v/>
      </c>
      <c r="E2942" s="19">
        <f>IF($A2942="","",IF(Paramètres!J26&amp;Paramètres!L26&amp;Paramètres!N26="",Dossiers!$D$58,MAX(IF(Paramètres!J26="",0,IF(Paramètres!K26="",NA(),IF(LEFT(TRIM(Paramètres!K26),1)="F",INDEX($F$2921:$F$2973,MATCH(Paramètres!J26,Paramètres!$G$5:$G$57,0)),INDEX($E$2921:$E$2973,MATCH(Paramètres!J26,Paramètres!$G$5:$G$57,0)))+IF(RIGHT(TRIM(Paramètres!K26),3)="Fin",1-$H2942,IF(LEFT(TRIM(Paramètres!K26),1)="F",1,0)))),IF(Paramètres!L26="",0,IF(Paramètres!M26="",NA(),IF(LEFT(TRIM(Paramètres!M26),1)="F",INDEX($F$2921:$F$2973,MATCH(Paramètres!L26,Paramètres!$G$5:$G$57,0)),INDEX($E$2921:$E$2973,MATCH(Paramètres!L26,Paramètres!$G$5:$G$57,0)))+IF(RIGHT(TRIM(Paramètres!M26),3)="Fin",1-$H2942,IF(LEFT(TRIM(Paramètres!M26),1)="F",1,0)))),IF(Paramètres!N26="",0,IF(Paramètres!O26="",NA(),IF(LEFT(TRIM(Paramètres!O26),1)="F",INDEX($F$2921:$F$2973,MATCH(Paramètres!N26,Paramètres!$G$5:$G$57,0)),INDEX($E$2921:$E$2973,MATCH(Paramètres!N26,Paramètres!$G$5:$G$57,0)))+IF(RIGHT(TRIM(Paramètres!O26),3)="Fin",1-$H2942,IF(LEFT(TRIM(Paramètres!O26),1)="F",1,0)))))))</f>
        <v/>
      </c>
      <c r="F2942" s="19">
        <f>IF($A2942="","",E2942+$H2942-1)</f>
        <v/>
      </c>
      <c r="G2942" s="18" t="n"/>
      <c r="H2942" s="18">
        <f>IF($A2942="","",IF(I2942&lt;&gt;"",I2942,Paramètres!B26))</f>
        <v/>
      </c>
      <c r="I2942" s="18" t="n"/>
    </row>
    <row r="2943">
      <c r="A2943" s="18">
        <f>IF(ISNUMBER(Dossiers!$D$58),Dossiers!$A$58&amp;" · "&amp;Dossiers!$B$58,"")</f>
        <v/>
      </c>
      <c r="B2943" s="18">
        <f>IF($A2943="","",Paramètres!G27)</f>
        <v/>
      </c>
      <c r="C2943" s="18">
        <f>IF($A2943="","",IF(Paramètres!H27="","",Paramètres!H27))</f>
        <v/>
      </c>
      <c r="D2943" s="18">
        <f>IF($A2943="","",IF(Paramètres!I27="","",Paramètres!I27))</f>
        <v/>
      </c>
      <c r="E2943" s="19">
        <f>IF($A2943="","",IF(Paramètres!J27&amp;Paramètres!L27&amp;Paramètres!N27="",Dossiers!$D$58,MAX(IF(Paramètres!J27="",0,IF(Paramètres!K27="",NA(),IF(LEFT(TRIM(Paramètres!K27),1)="F",INDEX($F$2921:$F$2973,MATCH(Paramètres!J27,Paramètres!$G$5:$G$57,0)),INDEX($E$2921:$E$2973,MATCH(Paramètres!J27,Paramètres!$G$5:$G$57,0)))+IF(RIGHT(TRIM(Paramètres!K27),3)="Fin",1-$H2943,IF(LEFT(TRIM(Paramètres!K27),1)="F",1,0)))),IF(Paramètres!L27="",0,IF(Paramètres!M27="",NA(),IF(LEFT(TRIM(Paramètres!M27),1)="F",INDEX($F$2921:$F$2973,MATCH(Paramètres!L27,Paramètres!$G$5:$G$57,0)),INDEX($E$2921:$E$2973,MATCH(Paramètres!L27,Paramètres!$G$5:$G$57,0)))+IF(RIGHT(TRIM(Paramètres!M27),3)="Fin",1-$H2943,IF(LEFT(TRIM(Paramètres!M27),1)="F",1,0)))),IF(Paramètres!N27="",0,IF(Paramètres!O27="",NA(),IF(LEFT(TRIM(Paramètres!O27),1)="F",INDEX($F$2921:$F$2973,MATCH(Paramètres!N27,Paramètres!$G$5:$G$57,0)),INDEX($E$2921:$E$2973,MATCH(Paramètres!N27,Paramètres!$G$5:$G$57,0)))+IF(RIGHT(TRIM(Paramètres!O27),3)="Fin",1-$H2943,IF(LEFT(TRIM(Paramètres!O27),1)="F",1,0)))))))</f>
        <v/>
      </c>
      <c r="F2943" s="19">
        <f>IF($A2943="","",E2943+$H2943-1)</f>
        <v/>
      </c>
      <c r="G2943" s="18" t="n"/>
      <c r="H2943" s="18">
        <f>IF($A2943="","",IF(I2943&lt;&gt;"",I2943,Paramètres!B27))</f>
        <v/>
      </c>
      <c r="I2943" s="18" t="n"/>
    </row>
    <row r="2944">
      <c r="A2944" s="18">
        <f>IF(ISNUMBER(Dossiers!$D$58),Dossiers!$A$58&amp;" · "&amp;Dossiers!$B$58,"")</f>
        <v/>
      </c>
      <c r="B2944" s="18">
        <f>IF($A2944="","",Paramètres!G28)</f>
        <v/>
      </c>
      <c r="C2944" s="18">
        <f>IF($A2944="","",IF(Paramètres!H28="","",Paramètres!H28))</f>
        <v/>
      </c>
      <c r="D2944" s="18">
        <f>IF($A2944="","",IF(Paramètres!I28="","",Paramètres!I28))</f>
        <v/>
      </c>
      <c r="E2944" s="19">
        <f>IF($A2944="","",IF(Paramètres!J28&amp;Paramètres!L28&amp;Paramètres!N28="",Dossiers!$D$58,MAX(IF(Paramètres!J28="",0,IF(Paramètres!K28="",NA(),IF(LEFT(TRIM(Paramètres!K28),1)="F",INDEX($F$2921:$F$2973,MATCH(Paramètres!J28,Paramètres!$G$5:$G$57,0)),INDEX($E$2921:$E$2973,MATCH(Paramètres!J28,Paramètres!$G$5:$G$57,0)))+IF(RIGHT(TRIM(Paramètres!K28),3)="Fin",1-$H2944,IF(LEFT(TRIM(Paramètres!K28),1)="F",1,0)))),IF(Paramètres!L28="",0,IF(Paramètres!M28="",NA(),IF(LEFT(TRIM(Paramètres!M28),1)="F",INDEX($F$2921:$F$2973,MATCH(Paramètres!L28,Paramètres!$G$5:$G$57,0)),INDEX($E$2921:$E$2973,MATCH(Paramètres!L28,Paramètres!$G$5:$G$57,0)))+IF(RIGHT(TRIM(Paramètres!M28),3)="Fin",1-$H2944,IF(LEFT(TRIM(Paramètres!M28),1)="F",1,0)))),IF(Paramètres!N28="",0,IF(Paramètres!O28="",NA(),IF(LEFT(TRIM(Paramètres!O28),1)="F",INDEX($F$2921:$F$2973,MATCH(Paramètres!N28,Paramètres!$G$5:$G$57,0)),INDEX($E$2921:$E$2973,MATCH(Paramètres!N28,Paramètres!$G$5:$G$57,0)))+IF(RIGHT(TRIM(Paramètres!O28),3)="Fin",1-$H2944,IF(LEFT(TRIM(Paramètres!O28),1)="F",1,0)))))))</f>
        <v/>
      </c>
      <c r="F2944" s="19">
        <f>IF($A2944="","",E2944+$H2944-1)</f>
        <v/>
      </c>
      <c r="G2944" s="18" t="n"/>
      <c r="H2944" s="18">
        <f>IF($A2944="","",IF(I2944&lt;&gt;"",I2944,Paramètres!B28))</f>
        <v/>
      </c>
      <c r="I2944" s="18" t="n"/>
    </row>
    <row r="2945">
      <c r="A2945" s="18">
        <f>IF(ISNUMBER(Dossiers!$D$58),Dossiers!$A$58&amp;" · "&amp;Dossiers!$B$58,"")</f>
        <v/>
      </c>
      <c r="B2945" s="18">
        <f>IF($A2945="","",Paramètres!G29)</f>
        <v/>
      </c>
      <c r="C2945" s="18">
        <f>IF($A2945="","",IF(Paramètres!H29="","",Paramètres!H29))</f>
        <v/>
      </c>
      <c r="D2945" s="18">
        <f>IF($A2945="","",IF(Paramètres!I29="","",Paramètres!I29))</f>
        <v/>
      </c>
      <c r="E2945" s="19">
        <f>IF($A2945="","",IF(Paramètres!J29&amp;Paramètres!L29&amp;Paramètres!N29="",Dossiers!$D$58,MAX(IF(Paramètres!J29="",0,IF(Paramètres!K29="",NA(),IF(LEFT(TRIM(Paramètres!K29),1)="F",INDEX($F$2921:$F$2973,MATCH(Paramètres!J29,Paramètres!$G$5:$G$57,0)),INDEX($E$2921:$E$2973,MATCH(Paramètres!J29,Paramètres!$G$5:$G$57,0)))+IF(RIGHT(TRIM(Paramètres!K29),3)="Fin",1-$H2945,IF(LEFT(TRIM(Paramètres!K29),1)="F",1,0)))),IF(Paramètres!L29="",0,IF(Paramètres!M29="",NA(),IF(LEFT(TRIM(Paramètres!M29),1)="F",INDEX($F$2921:$F$2973,MATCH(Paramètres!L29,Paramètres!$G$5:$G$57,0)),INDEX($E$2921:$E$2973,MATCH(Paramètres!L29,Paramètres!$G$5:$G$57,0)))+IF(RIGHT(TRIM(Paramètres!M29),3)="Fin",1-$H2945,IF(LEFT(TRIM(Paramètres!M29),1)="F",1,0)))),IF(Paramètres!N29="",0,IF(Paramètres!O29="",NA(),IF(LEFT(TRIM(Paramètres!O29),1)="F",INDEX($F$2921:$F$2973,MATCH(Paramètres!N29,Paramètres!$G$5:$G$57,0)),INDEX($E$2921:$E$2973,MATCH(Paramètres!N29,Paramètres!$G$5:$G$57,0)))+IF(RIGHT(TRIM(Paramètres!O29),3)="Fin",1-$H2945,IF(LEFT(TRIM(Paramètres!O29),1)="F",1,0)))))))</f>
        <v/>
      </c>
      <c r="F2945" s="19">
        <f>IF($A2945="","",E2945+$H2945-1)</f>
        <v/>
      </c>
      <c r="G2945" s="18" t="n"/>
      <c r="H2945" s="18">
        <f>IF($A2945="","",IF(I2945&lt;&gt;"",I2945,Paramètres!B29))</f>
        <v/>
      </c>
      <c r="I2945" s="18" t="n"/>
    </row>
    <row r="2946">
      <c r="A2946" s="18">
        <f>IF(ISNUMBER(Dossiers!$D$58),Dossiers!$A$58&amp;" · "&amp;Dossiers!$B$58,"")</f>
        <v/>
      </c>
      <c r="B2946" s="18">
        <f>IF($A2946="","",Paramètres!G30)</f>
        <v/>
      </c>
      <c r="C2946" s="18">
        <f>IF($A2946="","",IF(Paramètres!H30="","",Paramètres!H30))</f>
        <v/>
      </c>
      <c r="D2946" s="18">
        <f>IF($A2946="","",IF(Paramètres!I30="","",Paramètres!I30))</f>
        <v/>
      </c>
      <c r="E2946" s="19">
        <f>IF($A2946="","",IF(Paramètres!J30&amp;Paramètres!L30&amp;Paramètres!N30="",Dossiers!$D$58,MAX(IF(Paramètres!J30="",0,IF(Paramètres!K30="",NA(),IF(LEFT(TRIM(Paramètres!K30),1)="F",INDEX($F$2921:$F$2973,MATCH(Paramètres!J30,Paramètres!$G$5:$G$57,0)),INDEX($E$2921:$E$2973,MATCH(Paramètres!J30,Paramètres!$G$5:$G$57,0)))+IF(RIGHT(TRIM(Paramètres!K30),3)="Fin",1-$H2946,IF(LEFT(TRIM(Paramètres!K30),1)="F",1,0)))),IF(Paramètres!L30="",0,IF(Paramètres!M30="",NA(),IF(LEFT(TRIM(Paramètres!M30),1)="F",INDEX($F$2921:$F$2973,MATCH(Paramètres!L30,Paramètres!$G$5:$G$57,0)),INDEX($E$2921:$E$2973,MATCH(Paramètres!L30,Paramètres!$G$5:$G$57,0)))+IF(RIGHT(TRIM(Paramètres!M30),3)="Fin",1-$H2946,IF(LEFT(TRIM(Paramètres!M30),1)="F",1,0)))),IF(Paramètres!N30="",0,IF(Paramètres!O30="",NA(),IF(LEFT(TRIM(Paramètres!O30),1)="F",INDEX($F$2921:$F$2973,MATCH(Paramètres!N30,Paramètres!$G$5:$G$57,0)),INDEX($E$2921:$E$2973,MATCH(Paramètres!N30,Paramètres!$G$5:$G$57,0)))+IF(RIGHT(TRIM(Paramètres!O30),3)="Fin",1-$H2946,IF(LEFT(TRIM(Paramètres!O30),1)="F",1,0)))))))</f>
        <v/>
      </c>
      <c r="F2946" s="19">
        <f>IF($A2946="","",E2946+$H2946-1)</f>
        <v/>
      </c>
      <c r="G2946" s="18" t="n"/>
      <c r="H2946" s="18">
        <f>IF($A2946="","",IF(I2946&lt;&gt;"",I2946,Paramètres!B30))</f>
        <v/>
      </c>
      <c r="I2946" s="18" t="n"/>
    </row>
    <row r="2947">
      <c r="A2947" s="18">
        <f>IF(ISNUMBER(Dossiers!$D$58),Dossiers!$A$58&amp;" · "&amp;Dossiers!$B$58,"")</f>
        <v/>
      </c>
      <c r="B2947" s="18">
        <f>IF($A2947="","",Paramètres!G31)</f>
        <v/>
      </c>
      <c r="C2947" s="20">
        <f>IF($A2947="","",IF(Dossiers!$F$58="","",Dossiers!$F$58))</f>
        <v/>
      </c>
      <c r="D2947" s="18">
        <f>IF($A2947="","",IF(Paramètres!I31="","",Paramètres!I31))</f>
        <v/>
      </c>
      <c r="E2947" s="19">
        <f>IF($A2947="","",IF(Paramètres!J31&amp;Paramètres!L31&amp;Paramètres!N31="",Dossiers!$D$58,MAX(IF(Paramètres!J31="",0,IF(Paramètres!K31="",NA(),IF(LEFT(TRIM(Paramètres!K31),1)="F",INDEX($F$2921:$F$2973,MATCH(Paramètres!J31,Paramètres!$G$5:$G$57,0)),INDEX($E$2921:$E$2973,MATCH(Paramètres!J31,Paramètres!$G$5:$G$57,0)))+IF(RIGHT(TRIM(Paramètres!K31),3)="Fin",1-$H2947,IF(LEFT(TRIM(Paramètres!K31),1)="F",1,0)))),IF(Paramètres!L31="",0,IF(Paramètres!M31="",NA(),IF(LEFT(TRIM(Paramètres!M31),1)="F",INDEX($F$2921:$F$2973,MATCH(Paramètres!L31,Paramètres!$G$5:$G$57,0)),INDEX($E$2921:$E$2973,MATCH(Paramètres!L31,Paramètres!$G$5:$G$57,0)))+IF(RIGHT(TRIM(Paramètres!M31),3)="Fin",1-$H2947,IF(LEFT(TRIM(Paramètres!M31),1)="F",1,0)))),IF(Paramètres!N31="",0,IF(Paramètres!O31="",NA(),IF(LEFT(TRIM(Paramètres!O31),1)="F",INDEX($F$2921:$F$2973,MATCH(Paramètres!N31,Paramètres!$G$5:$G$57,0)),INDEX($E$2921:$E$2973,MATCH(Paramètres!N31,Paramètres!$G$5:$G$57,0)))+IF(RIGHT(TRIM(Paramètres!O31),3)="Fin",1-$H2947,IF(LEFT(TRIM(Paramètres!O31),1)="F",1,0)))))))</f>
        <v/>
      </c>
      <c r="F2947" s="19">
        <f>IF($A2947="","",E2947+$H2947-1)</f>
        <v/>
      </c>
      <c r="G2947" s="18" t="n"/>
      <c r="H2947" s="18">
        <f>IF($A2947="","",IF(I2947&lt;&gt;"",I2947,Paramètres!B31))</f>
        <v/>
      </c>
      <c r="I2947" s="18" t="n"/>
    </row>
    <row r="2948">
      <c r="A2948" s="18">
        <f>IF(ISNUMBER(Dossiers!$D$58),Dossiers!$A$58&amp;" · "&amp;Dossiers!$B$58,"")</f>
        <v/>
      </c>
      <c r="B2948" s="18">
        <f>IF($A2948="","",Paramètres!G32)</f>
        <v/>
      </c>
      <c r="C2948" s="18">
        <f>IF($A2948="","",IF(Paramètres!H32="","",Paramètres!H32))</f>
        <v/>
      </c>
      <c r="D2948" s="18">
        <f>IF($A2948="","",IF(Paramètres!I32="","",Paramètres!I32))</f>
        <v/>
      </c>
      <c r="E2948" s="19">
        <f>IF($A2948="","",MIN(E2949:E2952))</f>
        <v/>
      </c>
      <c r="F2948" s="19">
        <f>IF($A2948="","",MAX(F2949:F2952))</f>
        <v/>
      </c>
      <c r="G2948" s="18" t="n"/>
      <c r="H2948" s="18">
        <f>IF($A2948="","",F2948-E2948+1)</f>
        <v/>
      </c>
      <c r="I2948" s="18" t="n"/>
    </row>
    <row r="2949">
      <c r="A2949" s="18">
        <f>IF(ISNUMBER(Dossiers!$D$58),Dossiers!$A$58&amp;" · "&amp;Dossiers!$B$58,"")</f>
        <v/>
      </c>
      <c r="B2949" s="18">
        <f>IF($A2949="","",Paramètres!G33)</f>
        <v/>
      </c>
      <c r="C2949" s="18">
        <f>IF($A2949="","",IF(Paramètres!H33="","",Paramètres!H33))</f>
        <v/>
      </c>
      <c r="D2949" s="18">
        <f>IF($A2949="","",IF(Paramètres!I33="","",Paramètres!I33))</f>
        <v/>
      </c>
      <c r="E2949" s="19">
        <f>IF($A2949="","",IF(Paramètres!J33&amp;Paramètres!L33&amp;Paramètres!N33="",Dossiers!$D$58,MAX(IF(Paramètres!J33="",0,IF(Paramètres!K33="",NA(),IF(LEFT(TRIM(Paramètres!K33),1)="F",INDEX($F$2921:$F$2973,MATCH(Paramètres!J33,Paramètres!$G$5:$G$57,0)),INDEX($E$2921:$E$2973,MATCH(Paramètres!J33,Paramètres!$G$5:$G$57,0)))+IF(RIGHT(TRIM(Paramètres!K33),3)="Fin",1-$H2949,IF(LEFT(TRIM(Paramètres!K33),1)="F",1,0)))),IF(Paramètres!L33="",0,IF(Paramètres!M33="",NA(),IF(LEFT(TRIM(Paramètres!M33),1)="F",INDEX($F$2921:$F$2973,MATCH(Paramètres!L33,Paramètres!$G$5:$G$57,0)),INDEX($E$2921:$E$2973,MATCH(Paramètres!L33,Paramètres!$G$5:$G$57,0)))+IF(RIGHT(TRIM(Paramètres!M33),3)="Fin",1-$H2949,IF(LEFT(TRIM(Paramètres!M33),1)="F",1,0)))),IF(Paramètres!N33="",0,IF(Paramètres!O33="",NA(),IF(LEFT(TRIM(Paramètres!O33),1)="F",INDEX($F$2921:$F$2973,MATCH(Paramètres!N33,Paramètres!$G$5:$G$57,0)),INDEX($E$2921:$E$2973,MATCH(Paramètres!N33,Paramètres!$G$5:$G$57,0)))+IF(RIGHT(TRIM(Paramètres!O33),3)="Fin",1-$H2949,IF(LEFT(TRIM(Paramètres!O33),1)="F",1,0)))))))</f>
        <v/>
      </c>
      <c r="F2949" s="19">
        <f>IF($A2949="","",E2949+$H2949-1)</f>
        <v/>
      </c>
      <c r="G2949" s="18" t="n"/>
      <c r="H2949" s="18">
        <f>IF($A2949="","",IF(I2949&lt;&gt;"",I2949,Paramètres!B33))</f>
        <v/>
      </c>
      <c r="I2949" s="18" t="n"/>
    </row>
    <row r="2950">
      <c r="A2950" s="18">
        <f>IF(ISNUMBER(Dossiers!$D$58),Dossiers!$A$58&amp;" · "&amp;Dossiers!$B$58,"")</f>
        <v/>
      </c>
      <c r="B2950" s="18">
        <f>IF($A2950="","",Paramètres!G34)</f>
        <v/>
      </c>
      <c r="C2950" s="18">
        <f>IF($A2950="","",IF(Paramètres!H34="","",Paramètres!H34))</f>
        <v/>
      </c>
      <c r="D2950" s="18">
        <f>IF($A2950="","",IF(Paramètres!I34="","",Paramètres!I34))</f>
        <v/>
      </c>
      <c r="E2950" s="19">
        <f>IF($A2950="","",IF(Paramètres!J34&amp;Paramètres!L34&amp;Paramètres!N34="",Dossiers!$D$58,MAX(IF(Paramètres!J34="",0,IF(Paramètres!K34="",NA(),IF(LEFT(TRIM(Paramètres!K34),1)="F",INDEX($F$2921:$F$2973,MATCH(Paramètres!J34,Paramètres!$G$5:$G$57,0)),INDEX($E$2921:$E$2973,MATCH(Paramètres!J34,Paramètres!$G$5:$G$57,0)))+IF(RIGHT(TRIM(Paramètres!K34),3)="Fin",1-$H2950,IF(LEFT(TRIM(Paramètres!K34),1)="F",1,0)))),IF(Paramètres!L34="",0,IF(Paramètres!M34="",NA(),IF(LEFT(TRIM(Paramètres!M34),1)="F",INDEX($F$2921:$F$2973,MATCH(Paramètres!L34,Paramètres!$G$5:$G$57,0)),INDEX($E$2921:$E$2973,MATCH(Paramètres!L34,Paramètres!$G$5:$G$57,0)))+IF(RIGHT(TRIM(Paramètres!M34),3)="Fin",1-$H2950,IF(LEFT(TRIM(Paramètres!M34),1)="F",1,0)))),IF(Paramètres!N34="",0,IF(Paramètres!O34="",NA(),IF(LEFT(TRIM(Paramètres!O34),1)="F",INDEX($F$2921:$F$2973,MATCH(Paramètres!N34,Paramètres!$G$5:$G$57,0)),INDEX($E$2921:$E$2973,MATCH(Paramètres!N34,Paramètres!$G$5:$G$57,0)))+IF(RIGHT(TRIM(Paramètres!O34),3)="Fin",1-$H2950,IF(LEFT(TRIM(Paramètres!O34),1)="F",1,0)))))))</f>
        <v/>
      </c>
      <c r="F2950" s="19">
        <f>IF($A2950="","",E2950+$H2950-1)</f>
        <v/>
      </c>
      <c r="G2950" s="18" t="n"/>
      <c r="H2950" s="18">
        <f>IF($A2950="","",IF(I2950&lt;&gt;"",I2950,Paramètres!B34))</f>
        <v/>
      </c>
      <c r="I2950" s="18" t="n"/>
    </row>
    <row r="2951">
      <c r="A2951" s="18">
        <f>IF(ISNUMBER(Dossiers!$D$58),Dossiers!$A$58&amp;" · "&amp;Dossiers!$B$58,"")</f>
        <v/>
      </c>
      <c r="B2951" s="18">
        <f>IF($A2951="","",Paramètres!G35)</f>
        <v/>
      </c>
      <c r="C2951" s="18">
        <f>IF($A2951="","",IF(Paramètres!H35="","",Paramètres!H35))</f>
        <v/>
      </c>
      <c r="D2951" s="18">
        <f>IF($A2951="","",IF(Paramètres!I35="","",Paramètres!I35))</f>
        <v/>
      </c>
      <c r="E2951" s="19">
        <f>IF($A2951="","",IF(Paramètres!J35&amp;Paramètres!L35&amp;Paramètres!N35="",Dossiers!$D$58,MAX(IF(Paramètres!J35="",0,IF(Paramètres!K35="",NA(),IF(LEFT(TRIM(Paramètres!K35),1)="F",INDEX($F$2921:$F$2973,MATCH(Paramètres!J35,Paramètres!$G$5:$G$57,0)),INDEX($E$2921:$E$2973,MATCH(Paramètres!J35,Paramètres!$G$5:$G$57,0)))+IF(RIGHT(TRIM(Paramètres!K35),3)="Fin",1-$H2951,IF(LEFT(TRIM(Paramètres!K35),1)="F",1,0)))),IF(Paramètres!L35="",0,IF(Paramètres!M35="",NA(),IF(LEFT(TRIM(Paramètres!M35),1)="F",INDEX($F$2921:$F$2973,MATCH(Paramètres!L35,Paramètres!$G$5:$G$57,0)),INDEX($E$2921:$E$2973,MATCH(Paramètres!L35,Paramètres!$G$5:$G$57,0)))+IF(RIGHT(TRIM(Paramètres!M35),3)="Fin",1-$H2951,IF(LEFT(TRIM(Paramètres!M35),1)="F",1,0)))),IF(Paramètres!N35="",0,IF(Paramètres!O35="",NA(),IF(LEFT(TRIM(Paramètres!O35),1)="F",INDEX($F$2921:$F$2973,MATCH(Paramètres!N35,Paramètres!$G$5:$G$57,0)),INDEX($E$2921:$E$2973,MATCH(Paramètres!N35,Paramètres!$G$5:$G$57,0)))+IF(RIGHT(TRIM(Paramètres!O35),3)="Fin",1-$H2951,IF(LEFT(TRIM(Paramètres!O35),1)="F",1,0)))))))</f>
        <v/>
      </c>
      <c r="F2951" s="19">
        <f>IF($A2951="","",E2951+$H2951-1)</f>
        <v/>
      </c>
      <c r="G2951" s="18" t="n"/>
      <c r="H2951" s="18">
        <f>IF($A2951="","",IF(I2951&lt;&gt;"",I2951,Paramètres!B35))</f>
        <v/>
      </c>
      <c r="I2951" s="18" t="n"/>
    </row>
    <row r="2952">
      <c r="A2952" s="18">
        <f>IF(ISNUMBER(Dossiers!$D$58),Dossiers!$A$58&amp;" · "&amp;Dossiers!$B$58,"")</f>
        <v/>
      </c>
      <c r="B2952" s="18">
        <f>IF($A2952="","",Paramètres!G36)</f>
        <v/>
      </c>
      <c r="C2952" s="18">
        <f>IF($A2952="","",IF(Paramètres!H36="","",Paramètres!H36))</f>
        <v/>
      </c>
      <c r="D2952" s="18">
        <f>IF($A2952="","",IF(Paramètres!I36="","",Paramètres!I36))</f>
        <v/>
      </c>
      <c r="E2952" s="19">
        <f>IF($A2952="","",IF(Paramètres!J36&amp;Paramètres!L36&amp;Paramètres!N36="",Dossiers!$D$58,MAX(IF(Paramètres!J36="",0,IF(Paramètres!K36="",NA(),IF(LEFT(TRIM(Paramètres!K36),1)="F",INDEX($F$2921:$F$2973,MATCH(Paramètres!J36,Paramètres!$G$5:$G$57,0)),INDEX($E$2921:$E$2973,MATCH(Paramètres!J36,Paramètres!$G$5:$G$57,0)))+IF(RIGHT(TRIM(Paramètres!K36),3)="Fin",1-$H2952,IF(LEFT(TRIM(Paramètres!K36),1)="F",1,0)))),IF(Paramètres!L36="",0,IF(Paramètres!M36="",NA(),IF(LEFT(TRIM(Paramètres!M36),1)="F",INDEX($F$2921:$F$2973,MATCH(Paramètres!L36,Paramètres!$G$5:$G$57,0)),INDEX($E$2921:$E$2973,MATCH(Paramètres!L36,Paramètres!$G$5:$G$57,0)))+IF(RIGHT(TRIM(Paramètres!M36),3)="Fin",1-$H2952,IF(LEFT(TRIM(Paramètres!M36),1)="F",1,0)))),IF(Paramètres!N36="",0,IF(Paramètres!O36="",NA(),IF(LEFT(TRIM(Paramètres!O36),1)="F",INDEX($F$2921:$F$2973,MATCH(Paramètres!N36,Paramètres!$G$5:$G$57,0)),INDEX($E$2921:$E$2973,MATCH(Paramètres!N36,Paramètres!$G$5:$G$57,0)))+IF(RIGHT(TRIM(Paramètres!O36),3)="Fin",1-$H2952,IF(LEFT(TRIM(Paramètres!O36),1)="F",1,0)))))))</f>
        <v/>
      </c>
      <c r="F2952" s="19">
        <f>IF($A2952="","",E2952+$H2952-1)</f>
        <v/>
      </c>
      <c r="G2952" s="18" t="n"/>
      <c r="H2952" s="18">
        <f>IF($A2952="","",IF(I2952&lt;&gt;"",I2952,Paramètres!B36))</f>
        <v/>
      </c>
      <c r="I2952" s="18" t="n"/>
    </row>
    <row r="2953">
      <c r="A2953" s="18">
        <f>IF(ISNUMBER(Dossiers!$D$58),Dossiers!$A$58&amp;" · "&amp;Dossiers!$B$58,"")</f>
        <v/>
      </c>
      <c r="B2953" s="18">
        <f>IF($A2953="","",Paramètres!G37)</f>
        <v/>
      </c>
      <c r="C2953" s="18">
        <f>IF($A2953="","",IF(Paramètres!H37="","",Paramètres!H37))</f>
        <v/>
      </c>
      <c r="D2953" s="18">
        <f>IF($A2953="","",IF(Paramètres!I37="","",Paramètres!I37))</f>
        <v/>
      </c>
      <c r="E2953" s="19">
        <f>IF($A2953="","",MIN(E2954:E2971))</f>
        <v/>
      </c>
      <c r="F2953" s="19">
        <f>IF($A2953="","",MAX(F2954:F2971))</f>
        <v/>
      </c>
      <c r="G2953" s="18" t="n"/>
      <c r="H2953" s="18">
        <f>IF($A2953="","",F2953-E2953+1)</f>
        <v/>
      </c>
      <c r="I2953" s="18" t="n"/>
    </row>
    <row r="2954">
      <c r="A2954" s="18">
        <f>IF(ISNUMBER(Dossiers!$D$58),Dossiers!$A$58&amp;" · "&amp;Dossiers!$B$58,"")</f>
        <v/>
      </c>
      <c r="B2954" s="18">
        <f>IF($A2954="","",Paramètres!G38)</f>
        <v/>
      </c>
      <c r="C2954" s="18">
        <f>IF($A2954="","",IF(Paramètres!H38="","",Paramètres!H38))</f>
        <v/>
      </c>
      <c r="D2954" s="18">
        <f>IF($A2954="","",IF(Paramètres!I38="","",Paramètres!I38))</f>
        <v/>
      </c>
      <c r="E2954" s="19">
        <f>IF($A2954="","",IF(Paramètres!J38&amp;Paramètres!L38&amp;Paramètres!N38="",Dossiers!$D$58,MAX(IF(Paramètres!J38="",0,IF(Paramètres!K38="",NA(),IF(LEFT(TRIM(Paramètres!K38),1)="F",INDEX($F$2921:$F$2973,MATCH(Paramètres!J38,Paramètres!$G$5:$G$57,0)),INDEX($E$2921:$E$2973,MATCH(Paramètres!J38,Paramètres!$G$5:$G$57,0)))+IF(RIGHT(TRIM(Paramètres!K38),3)="Fin",1-$H2954,IF(LEFT(TRIM(Paramètres!K38),1)="F",1,0)))),IF(Paramètres!L38="",0,IF(Paramètres!M38="",NA(),IF(LEFT(TRIM(Paramètres!M38),1)="F",INDEX($F$2921:$F$2973,MATCH(Paramètres!L38,Paramètres!$G$5:$G$57,0)),INDEX($E$2921:$E$2973,MATCH(Paramètres!L38,Paramètres!$G$5:$G$57,0)))+IF(RIGHT(TRIM(Paramètres!M38),3)="Fin",1-$H2954,IF(LEFT(TRIM(Paramètres!M38),1)="F",1,0)))),IF(Paramètres!N38="",0,IF(Paramètres!O38="",NA(),IF(LEFT(TRIM(Paramètres!O38),1)="F",INDEX($F$2921:$F$2973,MATCH(Paramètres!N38,Paramètres!$G$5:$G$57,0)),INDEX($E$2921:$E$2973,MATCH(Paramètres!N38,Paramètres!$G$5:$G$57,0)))+IF(RIGHT(TRIM(Paramètres!O38),3)="Fin",1-$H2954,IF(LEFT(TRIM(Paramètres!O38),1)="F",1,0)))))))</f>
        <v/>
      </c>
      <c r="F2954" s="19">
        <f>IF($A2954="","",E2954+$H2954-1)</f>
        <v/>
      </c>
      <c r="G2954" s="18" t="n"/>
      <c r="H2954" s="18">
        <f>IF($A2954="","",IF(I2954&lt;&gt;"",I2954,Paramètres!B38))</f>
        <v/>
      </c>
      <c r="I2954" s="18" t="n"/>
    </row>
    <row r="2955">
      <c r="A2955" s="18">
        <f>IF(ISNUMBER(Dossiers!$D$58),Dossiers!$A$58&amp;" · "&amp;Dossiers!$B$58,"")</f>
        <v/>
      </c>
      <c r="B2955" s="18">
        <f>IF($A2955="","",Paramètres!G39)</f>
        <v/>
      </c>
      <c r="C2955" s="18">
        <f>IF($A2955="","",IF(Paramètres!H39="","",Paramètres!H39))</f>
        <v/>
      </c>
      <c r="D2955" s="18">
        <f>IF($A2955="","",IF(Paramètres!I39="","",Paramètres!I39))</f>
        <v/>
      </c>
      <c r="E2955" s="19">
        <f>IF($A2955="","",IF(Paramètres!J39&amp;Paramètres!L39&amp;Paramètres!N39="",Dossiers!$D$58,MAX(IF(Paramètres!J39="",0,IF(Paramètres!K39="",NA(),IF(LEFT(TRIM(Paramètres!K39),1)="F",INDEX($F$2921:$F$2973,MATCH(Paramètres!J39,Paramètres!$G$5:$G$57,0)),INDEX($E$2921:$E$2973,MATCH(Paramètres!J39,Paramètres!$G$5:$G$57,0)))+IF(RIGHT(TRIM(Paramètres!K39),3)="Fin",1-$H2955,IF(LEFT(TRIM(Paramètres!K39),1)="F",1,0)))),IF(Paramètres!L39="",0,IF(Paramètres!M39="",NA(),IF(LEFT(TRIM(Paramètres!M39),1)="F",INDEX($F$2921:$F$2973,MATCH(Paramètres!L39,Paramètres!$G$5:$G$57,0)),INDEX($E$2921:$E$2973,MATCH(Paramètres!L39,Paramètres!$G$5:$G$57,0)))+IF(RIGHT(TRIM(Paramètres!M39),3)="Fin",1-$H2955,IF(LEFT(TRIM(Paramètres!M39),1)="F",1,0)))),IF(Paramètres!N39="",0,IF(Paramètres!O39="",NA(),IF(LEFT(TRIM(Paramètres!O39),1)="F",INDEX($F$2921:$F$2973,MATCH(Paramètres!N39,Paramètres!$G$5:$G$57,0)),INDEX($E$2921:$E$2973,MATCH(Paramètres!N39,Paramètres!$G$5:$G$57,0)))+IF(RIGHT(TRIM(Paramètres!O39),3)="Fin",1-$H2955,IF(LEFT(TRIM(Paramètres!O39),1)="F",1,0)))))))</f>
        <v/>
      </c>
      <c r="F2955" s="19">
        <f>IF($A2955="","",E2955+$H2955-1)</f>
        <v/>
      </c>
      <c r="G2955" s="18" t="n"/>
      <c r="H2955" s="18">
        <f>IF($A2955="","",IF(I2955&lt;&gt;"",I2955,Paramètres!B39))</f>
        <v/>
      </c>
      <c r="I2955" s="18" t="n"/>
    </row>
    <row r="2956">
      <c r="A2956" s="18">
        <f>IF(ISNUMBER(Dossiers!$D$58),Dossiers!$A$58&amp;" · "&amp;Dossiers!$B$58,"")</f>
        <v/>
      </c>
      <c r="B2956" s="18">
        <f>IF($A2956="","",Paramètres!G40)</f>
        <v/>
      </c>
      <c r="C2956" s="18">
        <f>IF($A2956="","",IF(Paramètres!H40="","",Paramètres!H40))</f>
        <v/>
      </c>
      <c r="D2956" s="18">
        <f>IF($A2956="","",IF(Paramètres!I40="","",Paramètres!I40))</f>
        <v/>
      </c>
      <c r="E2956" s="19">
        <f>IF($A2956="","",IF(Paramètres!J40&amp;Paramètres!L40&amp;Paramètres!N40="",Dossiers!$D$58,MAX(IF(Paramètres!J40="",0,IF(Paramètres!K40="",NA(),IF(LEFT(TRIM(Paramètres!K40),1)="F",INDEX($F$2921:$F$2973,MATCH(Paramètres!J40,Paramètres!$G$5:$G$57,0)),INDEX($E$2921:$E$2973,MATCH(Paramètres!J40,Paramètres!$G$5:$G$57,0)))+IF(RIGHT(TRIM(Paramètres!K40),3)="Fin",1-$H2956,IF(LEFT(TRIM(Paramètres!K40),1)="F",1,0)))),IF(Paramètres!L40="",0,IF(Paramètres!M40="",NA(),IF(LEFT(TRIM(Paramètres!M40),1)="F",INDEX($F$2921:$F$2973,MATCH(Paramètres!L40,Paramètres!$G$5:$G$57,0)),INDEX($E$2921:$E$2973,MATCH(Paramètres!L40,Paramètres!$G$5:$G$57,0)))+IF(RIGHT(TRIM(Paramètres!M40),3)="Fin",1-$H2956,IF(LEFT(TRIM(Paramètres!M40),1)="F",1,0)))),IF(Paramètres!N40="",0,IF(Paramètres!O40="",NA(),IF(LEFT(TRIM(Paramètres!O40),1)="F",INDEX($F$2921:$F$2973,MATCH(Paramètres!N40,Paramètres!$G$5:$G$57,0)),INDEX($E$2921:$E$2973,MATCH(Paramètres!N40,Paramètres!$G$5:$G$57,0)))+IF(RIGHT(TRIM(Paramètres!O40),3)="Fin",1-$H2956,IF(LEFT(TRIM(Paramètres!O40),1)="F",1,0)))))))</f>
        <v/>
      </c>
      <c r="F2956" s="19">
        <f>IF($A2956="","",E2956+$H2956-1)</f>
        <v/>
      </c>
      <c r="G2956" s="18" t="n"/>
      <c r="H2956" s="18">
        <f>IF($A2956="","",IF(I2956&lt;&gt;"",I2956,Paramètres!B40))</f>
        <v/>
      </c>
      <c r="I2956" s="18" t="n"/>
    </row>
    <row r="2957">
      <c r="A2957" s="18">
        <f>IF(ISNUMBER(Dossiers!$D$58),Dossiers!$A$58&amp;" · "&amp;Dossiers!$B$58,"")</f>
        <v/>
      </c>
      <c r="B2957" s="18">
        <f>IF($A2957="","",Paramètres!G41)</f>
        <v/>
      </c>
      <c r="C2957" s="18">
        <f>IF($A2957="","",IF(Paramètres!H41="","",Paramètres!H41))</f>
        <v/>
      </c>
      <c r="D2957" s="18">
        <f>IF($A2957="","",IF(Paramètres!I41="","",Paramètres!I41))</f>
        <v/>
      </c>
      <c r="E2957" s="19">
        <f>IF($A2957="","",IF(Paramètres!J41&amp;Paramètres!L41&amp;Paramètres!N41="",Dossiers!$D$58,MAX(IF(Paramètres!J41="",0,IF(Paramètres!K41="",NA(),IF(LEFT(TRIM(Paramètres!K41),1)="F",INDEX($F$2921:$F$2973,MATCH(Paramètres!J41,Paramètres!$G$5:$G$57,0)),INDEX($E$2921:$E$2973,MATCH(Paramètres!J41,Paramètres!$G$5:$G$57,0)))+IF(RIGHT(TRIM(Paramètres!K41),3)="Fin",1-$H2957,IF(LEFT(TRIM(Paramètres!K41),1)="F",1,0)))),IF(Paramètres!L41="",0,IF(Paramètres!M41="",NA(),IF(LEFT(TRIM(Paramètres!M41),1)="F",INDEX($F$2921:$F$2973,MATCH(Paramètres!L41,Paramètres!$G$5:$G$57,0)),INDEX($E$2921:$E$2973,MATCH(Paramètres!L41,Paramètres!$G$5:$G$57,0)))+IF(RIGHT(TRIM(Paramètres!M41),3)="Fin",1-$H2957,IF(LEFT(TRIM(Paramètres!M41),1)="F",1,0)))),IF(Paramètres!N41="",0,IF(Paramètres!O41="",NA(),IF(LEFT(TRIM(Paramètres!O41),1)="F",INDEX($F$2921:$F$2973,MATCH(Paramètres!N41,Paramètres!$G$5:$G$57,0)),INDEX($E$2921:$E$2973,MATCH(Paramètres!N41,Paramètres!$G$5:$G$57,0)))+IF(RIGHT(TRIM(Paramètres!O41),3)="Fin",1-$H2957,IF(LEFT(TRIM(Paramètres!O41),1)="F",1,0)))))))</f>
        <v/>
      </c>
      <c r="F2957" s="19">
        <f>IF($A2957="","",E2957+$H2957-1)</f>
        <v/>
      </c>
      <c r="G2957" s="18" t="n"/>
      <c r="H2957" s="18">
        <f>IF($A2957="","",IF(I2957&lt;&gt;"",I2957,Paramètres!B41))</f>
        <v/>
      </c>
      <c r="I2957" s="18" t="n"/>
    </row>
    <row r="2958">
      <c r="A2958" s="18">
        <f>IF(ISNUMBER(Dossiers!$D$58),Dossiers!$A$58&amp;" · "&amp;Dossiers!$B$58,"")</f>
        <v/>
      </c>
      <c r="B2958" s="18">
        <f>IF($A2958="","",Paramètres!G42)</f>
        <v/>
      </c>
      <c r="C2958" s="18">
        <f>IF($A2958="","",IF(Paramètres!H42="","",Paramètres!H42))</f>
        <v/>
      </c>
      <c r="D2958" s="18">
        <f>IF($A2958="","",IF(Paramètres!I42="","",Paramètres!I42))</f>
        <v/>
      </c>
      <c r="E2958" s="19">
        <f>IF($A2958="","",IF(Paramètres!J42&amp;Paramètres!L42&amp;Paramètres!N42="",Dossiers!$D$58,MAX(IF(Paramètres!J42="",0,IF(Paramètres!K42="",NA(),IF(LEFT(TRIM(Paramètres!K42),1)="F",INDEX($F$2921:$F$2973,MATCH(Paramètres!J42,Paramètres!$G$5:$G$57,0)),INDEX($E$2921:$E$2973,MATCH(Paramètres!J42,Paramètres!$G$5:$G$57,0)))+IF(RIGHT(TRIM(Paramètres!K42),3)="Fin",1-$H2958,IF(LEFT(TRIM(Paramètres!K42),1)="F",1,0)))),IF(Paramètres!L42="",0,IF(Paramètres!M42="",NA(),IF(LEFT(TRIM(Paramètres!M42),1)="F",INDEX($F$2921:$F$2973,MATCH(Paramètres!L42,Paramètres!$G$5:$G$57,0)),INDEX($E$2921:$E$2973,MATCH(Paramètres!L42,Paramètres!$G$5:$G$57,0)))+IF(RIGHT(TRIM(Paramètres!M42),3)="Fin",1-$H2958,IF(LEFT(TRIM(Paramètres!M42),1)="F",1,0)))),IF(Paramètres!N42="",0,IF(Paramètres!O42="",NA(),IF(LEFT(TRIM(Paramètres!O42),1)="F",INDEX($F$2921:$F$2973,MATCH(Paramètres!N42,Paramètres!$G$5:$G$57,0)),INDEX($E$2921:$E$2973,MATCH(Paramètres!N42,Paramètres!$G$5:$G$57,0)))+IF(RIGHT(TRIM(Paramètres!O42),3)="Fin",1-$H2958,IF(LEFT(TRIM(Paramètres!O42),1)="F",1,0)))))))</f>
        <v/>
      </c>
      <c r="F2958" s="19">
        <f>IF($A2958="","",E2958+$H2958-1)</f>
        <v/>
      </c>
      <c r="G2958" s="18" t="n"/>
      <c r="H2958" s="18">
        <f>IF($A2958="","",IF(I2958&lt;&gt;"",I2958,Paramètres!B42))</f>
        <v/>
      </c>
      <c r="I2958" s="18" t="n"/>
    </row>
    <row r="2959">
      <c r="A2959" s="18">
        <f>IF(ISNUMBER(Dossiers!$D$58),Dossiers!$A$58&amp;" · "&amp;Dossiers!$B$58,"")</f>
        <v/>
      </c>
      <c r="B2959" s="18">
        <f>IF($A2959="","",Paramètres!G43)</f>
        <v/>
      </c>
      <c r="C2959" s="18">
        <f>IF($A2959="","",IF(Paramètres!H43="","",Paramètres!H43))</f>
        <v/>
      </c>
      <c r="D2959" s="18">
        <f>IF($A2959="","",IF(Paramètres!I43="","",Paramètres!I43))</f>
        <v/>
      </c>
      <c r="E2959" s="19">
        <f>IF($A2959="","",IF(Paramètres!J43&amp;Paramètres!L43&amp;Paramètres!N43="",Dossiers!$D$58,MAX(IF(Paramètres!J43="",0,IF(Paramètres!K43="",NA(),IF(LEFT(TRIM(Paramètres!K43),1)="F",INDEX($F$2921:$F$2973,MATCH(Paramètres!J43,Paramètres!$G$5:$G$57,0)),INDEX($E$2921:$E$2973,MATCH(Paramètres!J43,Paramètres!$G$5:$G$57,0)))+IF(RIGHT(TRIM(Paramètres!K43),3)="Fin",1-$H2959,IF(LEFT(TRIM(Paramètres!K43),1)="F",1,0)))),IF(Paramètres!L43="",0,IF(Paramètres!M43="",NA(),IF(LEFT(TRIM(Paramètres!M43),1)="F",INDEX($F$2921:$F$2973,MATCH(Paramètres!L43,Paramètres!$G$5:$G$57,0)),INDEX($E$2921:$E$2973,MATCH(Paramètres!L43,Paramètres!$G$5:$G$57,0)))+IF(RIGHT(TRIM(Paramètres!M43),3)="Fin",1-$H2959,IF(LEFT(TRIM(Paramètres!M43),1)="F",1,0)))),IF(Paramètres!N43="",0,IF(Paramètres!O43="",NA(),IF(LEFT(TRIM(Paramètres!O43),1)="F",INDEX($F$2921:$F$2973,MATCH(Paramètres!N43,Paramètres!$G$5:$G$57,0)),INDEX($E$2921:$E$2973,MATCH(Paramètres!N43,Paramètres!$G$5:$G$57,0)))+IF(RIGHT(TRIM(Paramètres!O43),3)="Fin",1-$H2959,IF(LEFT(TRIM(Paramètres!O43),1)="F",1,0)))))))</f>
        <v/>
      </c>
      <c r="F2959" s="19">
        <f>IF($A2959="","",E2959+$H2959-1)</f>
        <v/>
      </c>
      <c r="G2959" s="18" t="n"/>
      <c r="H2959" s="18">
        <f>IF($A2959="","",IF(I2959&lt;&gt;"",I2959,Paramètres!B43))</f>
        <v/>
      </c>
      <c r="I2959" s="18" t="n"/>
    </row>
    <row r="2960">
      <c r="A2960" s="18">
        <f>IF(ISNUMBER(Dossiers!$D$58),Dossiers!$A$58&amp;" · "&amp;Dossiers!$B$58,"")</f>
        <v/>
      </c>
      <c r="B2960" s="18">
        <f>IF($A2960="","",Paramètres!G44)</f>
        <v/>
      </c>
      <c r="C2960" s="18">
        <f>IF($A2960="","",IF(Paramètres!H44="","",Paramètres!H44))</f>
        <v/>
      </c>
      <c r="D2960" s="18">
        <f>IF($A2960="","",IF(Paramètres!I44="","",Paramètres!I44))</f>
        <v/>
      </c>
      <c r="E2960" s="19">
        <f>IF($A2960="","",IF(Paramètres!J44&amp;Paramètres!L44&amp;Paramètres!N44="",Dossiers!$D$58,MAX(IF(Paramètres!J44="",0,IF(Paramètres!K44="",NA(),IF(LEFT(TRIM(Paramètres!K44),1)="F",INDEX($F$2921:$F$2973,MATCH(Paramètres!J44,Paramètres!$G$5:$G$57,0)),INDEX($E$2921:$E$2973,MATCH(Paramètres!J44,Paramètres!$G$5:$G$57,0)))+IF(RIGHT(TRIM(Paramètres!K44),3)="Fin",1-$H2960,IF(LEFT(TRIM(Paramètres!K44),1)="F",1,0)))),IF(Paramètres!L44="",0,IF(Paramètres!M44="",NA(),IF(LEFT(TRIM(Paramètres!M44),1)="F",INDEX($F$2921:$F$2973,MATCH(Paramètres!L44,Paramètres!$G$5:$G$57,0)),INDEX($E$2921:$E$2973,MATCH(Paramètres!L44,Paramètres!$G$5:$G$57,0)))+IF(RIGHT(TRIM(Paramètres!M44),3)="Fin",1-$H2960,IF(LEFT(TRIM(Paramètres!M44),1)="F",1,0)))),IF(Paramètres!N44="",0,IF(Paramètres!O44="",NA(),IF(LEFT(TRIM(Paramètres!O44),1)="F",INDEX($F$2921:$F$2973,MATCH(Paramètres!N44,Paramètres!$G$5:$G$57,0)),INDEX($E$2921:$E$2973,MATCH(Paramètres!N44,Paramètres!$G$5:$G$57,0)))+IF(RIGHT(TRIM(Paramètres!O44),3)="Fin",1-$H2960,IF(LEFT(TRIM(Paramètres!O44),1)="F",1,0)))))))</f>
        <v/>
      </c>
      <c r="F2960" s="19">
        <f>IF($A2960="","",E2960+$H2960-1)</f>
        <v/>
      </c>
      <c r="G2960" s="18" t="n"/>
      <c r="H2960" s="18">
        <f>IF($A2960="","",IF(I2960&lt;&gt;"",I2960,Paramètres!B44))</f>
        <v/>
      </c>
      <c r="I2960" s="18" t="n"/>
    </row>
    <row r="2961">
      <c r="A2961" s="18">
        <f>IF(ISNUMBER(Dossiers!$D$58),Dossiers!$A$58&amp;" · "&amp;Dossiers!$B$58,"")</f>
        <v/>
      </c>
      <c r="B2961" s="18">
        <f>IF($A2961="","",Paramètres!G45)</f>
        <v/>
      </c>
      <c r="C2961" s="20">
        <f>IF($A2961="","",IF(Dossiers!$G$58="","",Dossiers!$G$58))</f>
        <v/>
      </c>
      <c r="D2961" s="18">
        <f>IF($A2961="","",IF(Paramètres!I45="","",Paramètres!I45))</f>
        <v/>
      </c>
      <c r="E2961" s="19">
        <f>IF($A2961="","",IF(Paramètres!J45&amp;Paramètres!L45&amp;Paramètres!N45="",Dossiers!$D$58,MAX(IF(Paramètres!J45="",0,IF(Paramètres!K45="",NA(),IF(LEFT(TRIM(Paramètres!K45),1)="F",INDEX($F$2921:$F$2973,MATCH(Paramètres!J45,Paramètres!$G$5:$G$57,0)),INDEX($E$2921:$E$2973,MATCH(Paramètres!J45,Paramètres!$G$5:$G$57,0)))+IF(RIGHT(TRIM(Paramètres!K45),3)="Fin",1-$H2961,IF(LEFT(TRIM(Paramètres!K45),1)="F",1,0)))),IF(Paramètres!L45="",0,IF(Paramètres!M45="",NA(),IF(LEFT(TRIM(Paramètres!M45),1)="F",INDEX($F$2921:$F$2973,MATCH(Paramètres!L45,Paramètres!$G$5:$G$57,0)),INDEX($E$2921:$E$2973,MATCH(Paramètres!L45,Paramètres!$G$5:$G$57,0)))+IF(RIGHT(TRIM(Paramètres!M45),3)="Fin",1-$H2961,IF(LEFT(TRIM(Paramètres!M45),1)="F",1,0)))),IF(Paramètres!N45="",0,IF(Paramètres!O45="",NA(),IF(LEFT(TRIM(Paramètres!O45),1)="F",INDEX($F$2921:$F$2973,MATCH(Paramètres!N45,Paramètres!$G$5:$G$57,0)),INDEX($E$2921:$E$2973,MATCH(Paramètres!N45,Paramètres!$G$5:$G$57,0)))+IF(RIGHT(TRIM(Paramètres!O45),3)="Fin",1-$H2961,IF(LEFT(TRIM(Paramètres!O45),1)="F",1,0)))))))</f>
        <v/>
      </c>
      <c r="F2961" s="19">
        <f>IF($A2961="","",E2961+$H2961-1)</f>
        <v/>
      </c>
      <c r="G2961" s="18" t="n"/>
      <c r="H2961" s="18">
        <f>IF($A2961="","",IF(I2961&lt;&gt;"",I2961,Paramètres!B45))</f>
        <v/>
      </c>
      <c r="I2961" s="18" t="n"/>
    </row>
    <row r="2962">
      <c r="A2962" s="18">
        <f>IF(ISNUMBER(Dossiers!$D$58),Dossiers!$A$58&amp;" · "&amp;Dossiers!$B$58,"")</f>
        <v/>
      </c>
      <c r="B2962" s="18">
        <f>IF($A2962="","",Paramètres!G46)</f>
        <v/>
      </c>
      <c r="C2962" s="18">
        <f>IF($A2962="","",IF(Paramètres!H46="","",Paramètres!H46))</f>
        <v/>
      </c>
      <c r="D2962" s="18">
        <f>IF($A2962="","",IF(Paramètres!I46="","",Paramètres!I46))</f>
        <v/>
      </c>
      <c r="E2962" s="19">
        <f>IF($A2962="","",IF(Paramètres!J46&amp;Paramètres!L46&amp;Paramètres!N46="",Dossiers!$D$58,MAX(IF(Paramètres!J46="",0,IF(Paramètres!K46="",NA(),IF(LEFT(TRIM(Paramètres!K46),1)="F",INDEX($F$2921:$F$2973,MATCH(Paramètres!J46,Paramètres!$G$5:$G$57,0)),INDEX($E$2921:$E$2973,MATCH(Paramètres!J46,Paramètres!$G$5:$G$57,0)))+IF(RIGHT(TRIM(Paramètres!K46),3)="Fin",1-$H2962,IF(LEFT(TRIM(Paramètres!K46),1)="F",1,0)))),IF(Paramètres!L46="",0,IF(Paramètres!M46="",NA(),IF(LEFT(TRIM(Paramètres!M46),1)="F",INDEX($F$2921:$F$2973,MATCH(Paramètres!L46,Paramètres!$G$5:$G$57,0)),INDEX($E$2921:$E$2973,MATCH(Paramètres!L46,Paramètres!$G$5:$G$57,0)))+IF(RIGHT(TRIM(Paramètres!M46),3)="Fin",1-$H2962,IF(LEFT(TRIM(Paramètres!M46),1)="F",1,0)))),IF(Paramètres!N46="",0,IF(Paramètres!O46="",NA(),IF(LEFT(TRIM(Paramètres!O46),1)="F",INDEX($F$2921:$F$2973,MATCH(Paramètres!N46,Paramètres!$G$5:$G$57,0)),INDEX($E$2921:$E$2973,MATCH(Paramètres!N46,Paramètres!$G$5:$G$57,0)))+IF(RIGHT(TRIM(Paramètres!O46),3)="Fin",1-$H2962,IF(LEFT(TRIM(Paramètres!O46),1)="F",1,0)))))))</f>
        <v/>
      </c>
      <c r="F2962" s="19">
        <f>IF($A2962="","",E2962+$H2962-1)</f>
        <v/>
      </c>
      <c r="G2962" s="18" t="n"/>
      <c r="H2962" s="18">
        <f>IF($A2962="","",IF(I2962&lt;&gt;"",I2962,Paramètres!B46))</f>
        <v/>
      </c>
      <c r="I2962" s="18" t="n"/>
    </row>
    <row r="2963">
      <c r="A2963" s="18">
        <f>IF(ISNUMBER(Dossiers!$D$58),Dossiers!$A$58&amp;" · "&amp;Dossiers!$B$58,"")</f>
        <v/>
      </c>
      <c r="B2963" s="18">
        <f>IF($A2963="","",Paramètres!G47)</f>
        <v/>
      </c>
      <c r="C2963" s="18">
        <f>IF($A2963="","",IF(Paramètres!H47="","",Paramètres!H47))</f>
        <v/>
      </c>
      <c r="D2963" s="18">
        <f>IF($A2963="","",IF(Paramètres!I47="","",Paramètres!I47))</f>
        <v/>
      </c>
      <c r="E2963" s="19">
        <f>IF($A2963="","",IF(Paramètres!J47&amp;Paramètres!L47&amp;Paramètres!N47="",Dossiers!$D$58,MAX(IF(Paramètres!J47="",0,IF(Paramètres!K47="",NA(),IF(LEFT(TRIM(Paramètres!K47),1)="F",INDEX($F$2921:$F$2973,MATCH(Paramètres!J47,Paramètres!$G$5:$G$57,0)),INDEX($E$2921:$E$2973,MATCH(Paramètres!J47,Paramètres!$G$5:$G$57,0)))+IF(RIGHT(TRIM(Paramètres!K47),3)="Fin",1-$H2963,IF(LEFT(TRIM(Paramètres!K47),1)="F",1,0)))),IF(Paramètres!L47="",0,IF(Paramètres!M47="",NA(),IF(LEFT(TRIM(Paramètres!M47),1)="F",INDEX($F$2921:$F$2973,MATCH(Paramètres!L47,Paramètres!$G$5:$G$57,0)),INDEX($E$2921:$E$2973,MATCH(Paramètres!L47,Paramètres!$G$5:$G$57,0)))+IF(RIGHT(TRIM(Paramètres!M47),3)="Fin",1-$H2963,IF(LEFT(TRIM(Paramètres!M47),1)="F",1,0)))),IF(Paramètres!N47="",0,IF(Paramètres!O47="",NA(),IF(LEFT(TRIM(Paramètres!O47),1)="F",INDEX($F$2921:$F$2973,MATCH(Paramètres!N47,Paramètres!$G$5:$G$57,0)),INDEX($E$2921:$E$2973,MATCH(Paramètres!N47,Paramètres!$G$5:$G$57,0)))+IF(RIGHT(TRIM(Paramètres!O47),3)="Fin",1-$H2963,IF(LEFT(TRIM(Paramètres!O47),1)="F",1,0)))))))</f>
        <v/>
      </c>
      <c r="F2963" s="19">
        <f>IF($A2963="","",E2963+$H2963-1)</f>
        <v/>
      </c>
      <c r="G2963" s="18" t="n"/>
      <c r="H2963" s="18">
        <f>IF($A2963="","",IF(I2963&lt;&gt;"",I2963,Paramètres!B47))</f>
        <v/>
      </c>
      <c r="I2963" s="18" t="n"/>
    </row>
    <row r="2964">
      <c r="A2964" s="18">
        <f>IF(ISNUMBER(Dossiers!$D$58),Dossiers!$A$58&amp;" · "&amp;Dossiers!$B$58,"")</f>
        <v/>
      </c>
      <c r="B2964" s="18">
        <f>IF($A2964="","",Paramètres!G48)</f>
        <v/>
      </c>
      <c r="C2964" s="18">
        <f>IF($A2964="","",IF(Paramètres!H48="","",Paramètres!H48))</f>
        <v/>
      </c>
      <c r="D2964" s="18">
        <f>IF($A2964="","",IF(Paramètres!I48="","",Paramètres!I48))</f>
        <v/>
      </c>
      <c r="E2964" s="19">
        <f>IF($A2964="","",IF(Paramètres!J48&amp;Paramètres!L48&amp;Paramètres!N48="",Dossiers!$D$58,MAX(IF(Paramètres!J48="",0,IF(Paramètres!K48="",NA(),IF(LEFT(TRIM(Paramètres!K48),1)="F",INDEX($F$2921:$F$2973,MATCH(Paramètres!J48,Paramètres!$G$5:$G$57,0)),INDEX($E$2921:$E$2973,MATCH(Paramètres!J48,Paramètres!$G$5:$G$57,0)))+IF(RIGHT(TRIM(Paramètres!K48),3)="Fin",1-$H2964,IF(LEFT(TRIM(Paramètres!K48),1)="F",1,0)))),IF(Paramètres!L48="",0,IF(Paramètres!M48="",NA(),IF(LEFT(TRIM(Paramètres!M48),1)="F",INDEX($F$2921:$F$2973,MATCH(Paramètres!L48,Paramètres!$G$5:$G$57,0)),INDEX($E$2921:$E$2973,MATCH(Paramètres!L48,Paramètres!$G$5:$G$57,0)))+IF(RIGHT(TRIM(Paramètres!M48),3)="Fin",1-$H2964,IF(LEFT(TRIM(Paramètres!M48),1)="F",1,0)))),IF(Paramètres!N48="",0,IF(Paramètres!O48="",NA(),IF(LEFT(TRIM(Paramètres!O48),1)="F",INDEX($F$2921:$F$2973,MATCH(Paramètres!N48,Paramètres!$G$5:$G$57,0)),INDEX($E$2921:$E$2973,MATCH(Paramètres!N48,Paramètres!$G$5:$G$57,0)))+IF(RIGHT(TRIM(Paramètres!O48),3)="Fin",1-$H2964,IF(LEFT(TRIM(Paramètres!O48),1)="F",1,0)))))))</f>
        <v/>
      </c>
      <c r="F2964" s="19">
        <f>IF($A2964="","",E2964+$H2964-1)</f>
        <v/>
      </c>
      <c r="G2964" s="18" t="n"/>
      <c r="H2964" s="18">
        <f>IF($A2964="","",IF(I2964&lt;&gt;"",I2964,Paramètres!B48))</f>
        <v/>
      </c>
      <c r="I2964" s="18" t="n"/>
    </row>
    <row r="2965">
      <c r="A2965" s="18">
        <f>IF(ISNUMBER(Dossiers!$D$58),Dossiers!$A$58&amp;" · "&amp;Dossiers!$B$58,"")</f>
        <v/>
      </c>
      <c r="B2965" s="18">
        <f>IF($A2965="","",Paramètres!G49)</f>
        <v/>
      </c>
      <c r="C2965" s="18">
        <f>IF($A2965="","",IF(Paramètres!H49="","",Paramètres!H49))</f>
        <v/>
      </c>
      <c r="D2965" s="18">
        <f>IF($A2965="","",IF(Paramètres!I49="","",Paramètres!I49))</f>
        <v/>
      </c>
      <c r="E2965" s="19">
        <f>IF($A2965="","",IF(Paramètres!J49&amp;Paramètres!L49&amp;Paramètres!N49="",Dossiers!$D$58,MAX(IF(Paramètres!J49="",0,IF(Paramètres!K49="",NA(),IF(LEFT(TRIM(Paramètres!K49),1)="F",INDEX($F$2921:$F$2973,MATCH(Paramètres!J49,Paramètres!$G$5:$G$57,0)),INDEX($E$2921:$E$2973,MATCH(Paramètres!J49,Paramètres!$G$5:$G$57,0)))+IF(RIGHT(TRIM(Paramètres!K49),3)="Fin",1-$H2965,IF(LEFT(TRIM(Paramètres!K49),1)="F",1,0)))),IF(Paramètres!L49="",0,IF(Paramètres!M49="",NA(),IF(LEFT(TRIM(Paramètres!M49),1)="F",INDEX($F$2921:$F$2973,MATCH(Paramètres!L49,Paramètres!$G$5:$G$57,0)),INDEX($E$2921:$E$2973,MATCH(Paramètres!L49,Paramètres!$G$5:$G$57,0)))+IF(RIGHT(TRIM(Paramètres!M49),3)="Fin",1-$H2965,IF(LEFT(TRIM(Paramètres!M49),1)="F",1,0)))),IF(Paramètres!N49="",0,IF(Paramètres!O49="",NA(),IF(LEFT(TRIM(Paramètres!O49),1)="F",INDEX($F$2921:$F$2973,MATCH(Paramètres!N49,Paramètres!$G$5:$G$57,0)),INDEX($E$2921:$E$2973,MATCH(Paramètres!N49,Paramètres!$G$5:$G$57,0)))+IF(RIGHT(TRIM(Paramètres!O49),3)="Fin",1-$H2965,IF(LEFT(TRIM(Paramètres!O49),1)="F",1,0)))))))</f>
        <v/>
      </c>
      <c r="F2965" s="19">
        <f>IF($A2965="","",E2965+$H2965-1)</f>
        <v/>
      </c>
      <c r="G2965" s="18" t="n"/>
      <c r="H2965" s="18">
        <f>IF($A2965="","",IF(I2965&lt;&gt;"",I2965,Paramètres!B49))</f>
        <v/>
      </c>
      <c r="I2965" s="18" t="n"/>
    </row>
    <row r="2966">
      <c r="A2966" s="18">
        <f>IF(ISNUMBER(Dossiers!$D$58),Dossiers!$A$58&amp;" · "&amp;Dossiers!$B$58,"")</f>
        <v/>
      </c>
      <c r="B2966" s="18">
        <f>IF($A2966="","",Paramètres!G50)</f>
        <v/>
      </c>
      <c r="C2966" s="18">
        <f>IF($A2966="","",IF(Paramètres!H50="","",Paramètres!H50))</f>
        <v/>
      </c>
      <c r="D2966" s="18">
        <f>IF($A2966="","",IF(Paramètres!I50="","",Paramètres!I50))</f>
        <v/>
      </c>
      <c r="E2966" s="19">
        <f>IF($A2966="","",IF(Paramètres!J50&amp;Paramètres!L50&amp;Paramètres!N50="",Dossiers!$D$58,MAX(IF(Paramètres!J50="",0,IF(Paramètres!K50="",NA(),IF(LEFT(TRIM(Paramètres!K50),1)="F",INDEX($F$2921:$F$2973,MATCH(Paramètres!J50,Paramètres!$G$5:$G$57,0)),INDEX($E$2921:$E$2973,MATCH(Paramètres!J50,Paramètres!$G$5:$G$57,0)))+IF(RIGHT(TRIM(Paramètres!K50),3)="Fin",1-$H2966,IF(LEFT(TRIM(Paramètres!K50),1)="F",1,0)))),IF(Paramètres!L50="",0,IF(Paramètres!M50="",NA(),IF(LEFT(TRIM(Paramètres!M50),1)="F",INDEX($F$2921:$F$2973,MATCH(Paramètres!L50,Paramètres!$G$5:$G$57,0)),INDEX($E$2921:$E$2973,MATCH(Paramètres!L50,Paramètres!$G$5:$G$57,0)))+IF(RIGHT(TRIM(Paramètres!M50),3)="Fin",1-$H2966,IF(LEFT(TRIM(Paramètres!M50),1)="F",1,0)))),IF(Paramètres!N50="",0,IF(Paramètres!O50="",NA(),IF(LEFT(TRIM(Paramètres!O50),1)="F",INDEX($F$2921:$F$2973,MATCH(Paramètres!N50,Paramètres!$G$5:$G$57,0)),INDEX($E$2921:$E$2973,MATCH(Paramètres!N50,Paramètres!$G$5:$G$57,0)))+IF(RIGHT(TRIM(Paramètres!O50),3)="Fin",1-$H2966,IF(LEFT(TRIM(Paramètres!O50),1)="F",1,0)))))))</f>
        <v/>
      </c>
      <c r="F2966" s="19">
        <f>IF($A2966="","",E2966+$H2966-1)</f>
        <v/>
      </c>
      <c r="G2966" s="18" t="n"/>
      <c r="H2966" s="18">
        <f>IF($A2966="","",IF(I2966&lt;&gt;"",I2966,Paramètres!B50))</f>
        <v/>
      </c>
      <c r="I2966" s="18" t="n"/>
    </row>
    <row r="2967">
      <c r="A2967" s="18">
        <f>IF(ISNUMBER(Dossiers!$D$58),Dossiers!$A$58&amp;" · "&amp;Dossiers!$B$58,"")</f>
        <v/>
      </c>
      <c r="B2967" s="18">
        <f>IF($A2967="","",Paramètres!G51)</f>
        <v/>
      </c>
      <c r="C2967" s="18">
        <f>IF($A2967="","",IF(Paramètres!H51="","",Paramètres!H51))</f>
        <v/>
      </c>
      <c r="D2967" s="18">
        <f>IF($A2967="","",IF(Paramètres!I51="","",Paramètres!I51))</f>
        <v/>
      </c>
      <c r="E2967" s="19">
        <f>IF($A2967="","",IF(Paramètres!J51&amp;Paramètres!L51&amp;Paramètres!N51="",Dossiers!$D$58,MAX(IF(Paramètres!J51="",0,IF(Paramètres!K51="",NA(),IF(LEFT(TRIM(Paramètres!K51),1)="F",INDEX($F$2921:$F$2973,MATCH(Paramètres!J51,Paramètres!$G$5:$G$57,0)),INDEX($E$2921:$E$2973,MATCH(Paramètres!J51,Paramètres!$G$5:$G$57,0)))+IF(RIGHT(TRIM(Paramètres!K51),3)="Fin",1-$H2967,IF(LEFT(TRIM(Paramètres!K51),1)="F",1,0)))),IF(Paramètres!L51="",0,IF(Paramètres!M51="",NA(),IF(LEFT(TRIM(Paramètres!M51),1)="F",INDEX($F$2921:$F$2973,MATCH(Paramètres!L51,Paramètres!$G$5:$G$57,0)),INDEX($E$2921:$E$2973,MATCH(Paramètres!L51,Paramètres!$G$5:$G$57,0)))+IF(RIGHT(TRIM(Paramètres!M51),3)="Fin",1-$H2967,IF(LEFT(TRIM(Paramètres!M51),1)="F",1,0)))),IF(Paramètres!N51="",0,IF(Paramètres!O51="",NA(),IF(LEFT(TRIM(Paramètres!O51),1)="F",INDEX($F$2921:$F$2973,MATCH(Paramètres!N51,Paramètres!$G$5:$G$57,0)),INDEX($E$2921:$E$2973,MATCH(Paramètres!N51,Paramètres!$G$5:$G$57,0)))+IF(RIGHT(TRIM(Paramètres!O51),3)="Fin",1-$H2967,IF(LEFT(TRIM(Paramètres!O51),1)="F",1,0)))))))</f>
        <v/>
      </c>
      <c r="F2967" s="19">
        <f>IF($A2967="","",E2967+$H2967-1)</f>
        <v/>
      </c>
      <c r="G2967" s="18" t="n"/>
      <c r="H2967" s="18">
        <f>IF($A2967="","",IF(I2967&lt;&gt;"",I2967,Paramètres!B51))</f>
        <v/>
      </c>
      <c r="I2967" s="18" t="n"/>
    </row>
    <row r="2968">
      <c r="A2968" s="18">
        <f>IF(ISNUMBER(Dossiers!$D$58),Dossiers!$A$58&amp;" · "&amp;Dossiers!$B$58,"")</f>
        <v/>
      </c>
      <c r="B2968" s="18">
        <f>IF($A2968="","",Paramètres!G52)</f>
        <v/>
      </c>
      <c r="C2968" s="18">
        <f>IF($A2968="","",IF(Paramètres!H52="","",Paramètres!H52))</f>
        <v/>
      </c>
      <c r="D2968" s="18">
        <f>IF($A2968="","",IF(Paramètres!I52="","",Paramètres!I52))</f>
        <v/>
      </c>
      <c r="E2968" s="19">
        <f>IF($A2968="","",IF(Paramètres!J52&amp;Paramètres!L52&amp;Paramètres!N52="",Dossiers!$D$58,MAX(IF(Paramètres!J52="",0,IF(Paramètres!K52="",NA(),IF(LEFT(TRIM(Paramètres!K52),1)="F",INDEX($F$2921:$F$2973,MATCH(Paramètres!J52,Paramètres!$G$5:$G$57,0)),INDEX($E$2921:$E$2973,MATCH(Paramètres!J52,Paramètres!$G$5:$G$57,0)))+IF(RIGHT(TRIM(Paramètres!K52),3)="Fin",1-$H2968,IF(LEFT(TRIM(Paramètres!K52),1)="F",1,0)))),IF(Paramètres!L52="",0,IF(Paramètres!M52="",NA(),IF(LEFT(TRIM(Paramètres!M52),1)="F",INDEX($F$2921:$F$2973,MATCH(Paramètres!L52,Paramètres!$G$5:$G$57,0)),INDEX($E$2921:$E$2973,MATCH(Paramètres!L52,Paramètres!$G$5:$G$57,0)))+IF(RIGHT(TRIM(Paramètres!M52),3)="Fin",1-$H2968,IF(LEFT(TRIM(Paramètres!M52),1)="F",1,0)))),IF(Paramètres!N52="",0,IF(Paramètres!O52="",NA(),IF(LEFT(TRIM(Paramètres!O52),1)="F",INDEX($F$2921:$F$2973,MATCH(Paramètres!N52,Paramètres!$G$5:$G$57,0)),INDEX($E$2921:$E$2973,MATCH(Paramètres!N52,Paramètres!$G$5:$G$57,0)))+IF(RIGHT(TRIM(Paramètres!O52),3)="Fin",1-$H2968,IF(LEFT(TRIM(Paramètres!O52),1)="F",1,0)))))))</f>
        <v/>
      </c>
      <c r="F2968" s="19">
        <f>IF($A2968="","",E2968+$H2968-1)</f>
        <v/>
      </c>
      <c r="G2968" s="18" t="n"/>
      <c r="H2968" s="18">
        <f>IF($A2968="","",IF(I2968&lt;&gt;"",I2968,Paramètres!B52))</f>
        <v/>
      </c>
      <c r="I2968" s="18" t="n"/>
    </row>
    <row r="2969">
      <c r="A2969" s="18">
        <f>IF(ISNUMBER(Dossiers!$D$58),Dossiers!$A$58&amp;" · "&amp;Dossiers!$B$58,"")</f>
        <v/>
      </c>
      <c r="B2969" s="18">
        <f>IF($A2969="","",Paramètres!G53)</f>
        <v/>
      </c>
      <c r="C2969" s="18">
        <f>IF($A2969="","",IF(Paramètres!H53="","",Paramètres!H53))</f>
        <v/>
      </c>
      <c r="D2969" s="18">
        <f>IF($A2969="","",IF(Paramètres!I53="","",Paramètres!I53))</f>
        <v/>
      </c>
      <c r="E2969" s="19">
        <f>IF($A2969="","",IF(Paramètres!J53&amp;Paramètres!L53&amp;Paramètres!N53="",Dossiers!$D$58,MAX(IF(Paramètres!J53="",0,IF(Paramètres!K53="",NA(),IF(LEFT(TRIM(Paramètres!K53),1)="F",INDEX($F$2921:$F$2973,MATCH(Paramètres!J53,Paramètres!$G$5:$G$57,0)),INDEX($E$2921:$E$2973,MATCH(Paramètres!J53,Paramètres!$G$5:$G$57,0)))+IF(RIGHT(TRIM(Paramètres!K53),3)="Fin",1-$H2969,IF(LEFT(TRIM(Paramètres!K53),1)="F",1,0)))),IF(Paramètres!L53="",0,IF(Paramètres!M53="",NA(),IF(LEFT(TRIM(Paramètres!M53),1)="F",INDEX($F$2921:$F$2973,MATCH(Paramètres!L53,Paramètres!$G$5:$G$57,0)),INDEX($E$2921:$E$2973,MATCH(Paramètres!L53,Paramètres!$G$5:$G$57,0)))+IF(RIGHT(TRIM(Paramètres!M53),3)="Fin",1-$H2969,IF(LEFT(TRIM(Paramètres!M53),1)="F",1,0)))),IF(Paramètres!N53="",0,IF(Paramètres!O53="",NA(),IF(LEFT(TRIM(Paramètres!O53),1)="F",INDEX($F$2921:$F$2973,MATCH(Paramètres!N53,Paramètres!$G$5:$G$57,0)),INDEX($E$2921:$E$2973,MATCH(Paramètres!N53,Paramètres!$G$5:$G$57,0)))+IF(RIGHT(TRIM(Paramètres!O53),3)="Fin",1-$H2969,IF(LEFT(TRIM(Paramètres!O53),1)="F",1,0)))))))</f>
        <v/>
      </c>
      <c r="F2969" s="19">
        <f>IF($A2969="","",E2969+$H2969-1)</f>
        <v/>
      </c>
      <c r="G2969" s="18" t="n"/>
      <c r="H2969" s="18">
        <f>IF($A2969="","",IF(I2969&lt;&gt;"",I2969,Paramètres!B53))</f>
        <v/>
      </c>
      <c r="I2969" s="18" t="n"/>
    </row>
    <row r="2970">
      <c r="A2970" s="18">
        <f>IF(ISNUMBER(Dossiers!$D$58),Dossiers!$A$58&amp;" · "&amp;Dossiers!$B$58,"")</f>
        <v/>
      </c>
      <c r="B2970" s="18">
        <f>IF($A2970="","",Paramètres!G54)</f>
        <v/>
      </c>
      <c r="C2970" s="18">
        <f>IF($A2970="","",IF(Paramètres!H54="","",Paramètres!H54))</f>
        <v/>
      </c>
      <c r="D2970" s="18">
        <f>IF($A2970="","",IF(Paramètres!I54="","",Paramètres!I54))</f>
        <v/>
      </c>
      <c r="E2970" s="19">
        <f>IF($A2970="","",IF(Paramètres!J54&amp;Paramètres!L54&amp;Paramètres!N54="",Dossiers!$D$58,MAX(IF(Paramètres!J54="",0,IF(Paramètres!K54="",NA(),IF(LEFT(TRIM(Paramètres!K54),1)="F",INDEX($F$2921:$F$2973,MATCH(Paramètres!J54,Paramètres!$G$5:$G$57,0)),INDEX($E$2921:$E$2973,MATCH(Paramètres!J54,Paramètres!$G$5:$G$57,0)))+IF(RIGHT(TRIM(Paramètres!K54),3)="Fin",1-$H2970,IF(LEFT(TRIM(Paramètres!K54),1)="F",1,0)))),IF(Paramètres!L54="",0,IF(Paramètres!M54="",NA(),IF(LEFT(TRIM(Paramètres!M54),1)="F",INDEX($F$2921:$F$2973,MATCH(Paramètres!L54,Paramètres!$G$5:$G$57,0)),INDEX($E$2921:$E$2973,MATCH(Paramètres!L54,Paramètres!$G$5:$G$57,0)))+IF(RIGHT(TRIM(Paramètres!M54),3)="Fin",1-$H2970,IF(LEFT(TRIM(Paramètres!M54),1)="F",1,0)))),IF(Paramètres!N54="",0,IF(Paramètres!O54="",NA(),IF(LEFT(TRIM(Paramètres!O54),1)="F",INDEX($F$2921:$F$2973,MATCH(Paramètres!N54,Paramètres!$G$5:$G$57,0)),INDEX($E$2921:$E$2973,MATCH(Paramètres!N54,Paramètres!$G$5:$G$57,0)))+IF(RIGHT(TRIM(Paramètres!O54),3)="Fin",1-$H2970,IF(LEFT(TRIM(Paramètres!O54),1)="F",1,0)))))))</f>
        <v/>
      </c>
      <c r="F2970" s="19">
        <f>IF($A2970="","",E2970+$H2970-1)</f>
        <v/>
      </c>
      <c r="G2970" s="18" t="n"/>
      <c r="H2970" s="18">
        <f>IF($A2970="","",IF(I2970&lt;&gt;"",I2970,Paramètres!B54))</f>
        <v/>
      </c>
      <c r="I2970" s="18" t="n"/>
    </row>
    <row r="2971">
      <c r="A2971" s="18">
        <f>IF(ISNUMBER(Dossiers!$D$58),Dossiers!$A$58&amp;" · "&amp;Dossiers!$B$58,"")</f>
        <v/>
      </c>
      <c r="B2971" s="18">
        <f>IF($A2971="","",Paramètres!G55)</f>
        <v/>
      </c>
      <c r="C2971" s="18">
        <f>IF($A2971="","",IF(Paramètres!H55="","",Paramètres!H55))</f>
        <v/>
      </c>
      <c r="D2971" s="18">
        <f>IF($A2971="","",IF(Paramètres!I55="","",Paramètres!I55))</f>
        <v/>
      </c>
      <c r="E2971" s="19">
        <f>IF($A2971="","",IF(Paramètres!J55&amp;Paramètres!L55&amp;Paramètres!N55="",Dossiers!$D$58,MAX(IF(Paramètres!J55="",0,IF(Paramètres!K55="",NA(),IF(LEFT(TRIM(Paramètres!K55),1)="F",INDEX($F$2921:$F$2973,MATCH(Paramètres!J55,Paramètres!$G$5:$G$57,0)),INDEX($E$2921:$E$2973,MATCH(Paramètres!J55,Paramètres!$G$5:$G$57,0)))+IF(RIGHT(TRIM(Paramètres!K55),3)="Fin",1-$H2971,IF(LEFT(TRIM(Paramètres!K55),1)="F",1,0)))),IF(Paramètres!L55="",0,IF(Paramètres!M55="",NA(),IF(LEFT(TRIM(Paramètres!M55),1)="F",INDEX($F$2921:$F$2973,MATCH(Paramètres!L55,Paramètres!$G$5:$G$57,0)),INDEX($E$2921:$E$2973,MATCH(Paramètres!L55,Paramètres!$G$5:$G$57,0)))+IF(RIGHT(TRIM(Paramètres!M55),3)="Fin",1-$H2971,IF(LEFT(TRIM(Paramètres!M55),1)="F",1,0)))),IF(Paramètres!N55="",0,IF(Paramètres!O55="",NA(),IF(LEFT(TRIM(Paramètres!O55),1)="F",INDEX($F$2921:$F$2973,MATCH(Paramètres!N55,Paramètres!$G$5:$G$57,0)),INDEX($E$2921:$E$2973,MATCH(Paramètres!N55,Paramètres!$G$5:$G$57,0)))+IF(RIGHT(TRIM(Paramètres!O55),3)="Fin",1-$H2971,IF(LEFT(TRIM(Paramètres!O55),1)="F",1,0)))))))</f>
        <v/>
      </c>
      <c r="F2971" s="19">
        <f>IF($A2971="","",E2971+$H2971-1)</f>
        <v/>
      </c>
      <c r="G2971" s="18" t="n"/>
      <c r="H2971" s="18">
        <f>IF($A2971="","",IF(I2971&lt;&gt;"",I2971,Paramètres!B55))</f>
        <v/>
      </c>
      <c r="I2971" s="18" t="n"/>
    </row>
    <row r="2972">
      <c r="A2972" s="18">
        <f>IF(ISNUMBER(Dossiers!$D$58),Dossiers!$A$58&amp;" · "&amp;Dossiers!$B$58,"")</f>
        <v/>
      </c>
      <c r="B2972" s="18">
        <f>IF($A2972="","",Paramètres!G56)</f>
        <v/>
      </c>
      <c r="C2972" s="18">
        <f>IF($A2972="","",IF(Paramètres!H56="","",Paramètres!H56))</f>
        <v/>
      </c>
      <c r="D2972" s="18">
        <f>IF($A2972="","",IF(Paramètres!I56="","",Paramètres!I56))</f>
        <v/>
      </c>
      <c r="E2972" s="19">
        <f>IF($A2972="","",MIN(E2973:E2973))</f>
        <v/>
      </c>
      <c r="F2972" s="19">
        <f>IF($A2972="","",MAX(F2973:F2973))</f>
        <v/>
      </c>
      <c r="G2972" s="18" t="n"/>
      <c r="H2972" s="18">
        <f>IF($A2972="","",F2972-E2972+1)</f>
        <v/>
      </c>
      <c r="I2972" s="18" t="n"/>
    </row>
    <row r="2973">
      <c r="A2973" s="18">
        <f>IF(ISNUMBER(Dossiers!$D$58),Dossiers!$A$58&amp;" · "&amp;Dossiers!$B$58,"")</f>
        <v/>
      </c>
      <c r="B2973" s="18">
        <f>IF($A2973="","",Paramètres!G57)</f>
        <v/>
      </c>
      <c r="C2973" s="18">
        <f>IF($A2973="","",IF(Paramètres!H57="","",Paramètres!H57))</f>
        <v/>
      </c>
      <c r="D2973" s="18">
        <f>IF($A2973="","",IF(Paramètres!I57="","",Paramètres!I57))</f>
        <v/>
      </c>
      <c r="E2973" s="19">
        <f>IF($A2973="","",IF(Paramètres!J57&amp;Paramètres!L57&amp;Paramètres!N57="",Dossiers!$D$58,MAX(IF(Paramètres!J57="",0,IF(Paramètres!K57="",NA(),IF(LEFT(TRIM(Paramètres!K57),1)="F",INDEX($F$2921:$F$2973,MATCH(Paramètres!J57,Paramètres!$G$5:$G$57,0)),INDEX($E$2921:$E$2973,MATCH(Paramètres!J57,Paramètres!$G$5:$G$57,0)))+IF(RIGHT(TRIM(Paramètres!K57),3)="Fin",1-$H2973,IF(LEFT(TRIM(Paramètres!K57),1)="F",1,0)))),IF(Paramètres!L57="",0,IF(Paramètres!M57="",NA(),IF(LEFT(TRIM(Paramètres!M57),1)="F",INDEX($F$2921:$F$2973,MATCH(Paramètres!L57,Paramètres!$G$5:$G$57,0)),INDEX($E$2921:$E$2973,MATCH(Paramètres!L57,Paramètres!$G$5:$G$57,0)))+IF(RIGHT(TRIM(Paramètres!M57),3)="Fin",1-$H2973,IF(LEFT(TRIM(Paramètres!M57),1)="F",1,0)))),IF(Paramètres!N57="",0,IF(Paramètres!O57="",NA(),IF(LEFT(TRIM(Paramètres!O57),1)="F",INDEX($F$2921:$F$2973,MATCH(Paramètres!N57,Paramètres!$G$5:$G$57,0)),INDEX($E$2921:$E$2973,MATCH(Paramètres!N57,Paramètres!$G$5:$G$57,0)))+IF(RIGHT(TRIM(Paramètres!O57),3)="Fin",1-$H2973,IF(LEFT(TRIM(Paramètres!O57),1)="F",1,0)))))))</f>
        <v/>
      </c>
      <c r="F2973" s="19">
        <f>IF($A2973="","",E2973+$H2973-1)</f>
        <v/>
      </c>
      <c r="G2973" s="18" t="n"/>
      <c r="H2973" s="18">
        <f>IF($A2973="","",IF(I2973&lt;&gt;"",I2973,Paramètres!B57))</f>
        <v/>
      </c>
      <c r="I2973" s="18" t="n"/>
    </row>
    <row r="2974">
      <c r="A2974" s="16">
        <f>IF(ISNUMBER(Dossiers!$D$59),Dossiers!$E$59,"")</f>
        <v/>
      </c>
      <c r="B2974" s="16">
        <f>IF($A2974="","","Identifiant")</f>
        <v/>
      </c>
      <c r="C2974" s="16">
        <f>IF($A2974="","","Macro Etape")</f>
        <v/>
      </c>
      <c r="D2974" s="16">
        <f>IF($A2974="","","Etape")</f>
        <v/>
      </c>
      <c r="E2974" s="17">
        <f>IF($A2974="","","Début le")</f>
        <v/>
      </c>
      <c r="F2974" s="17">
        <f>IF($A2974="","","Fin prévue le")</f>
        <v/>
      </c>
      <c r="G2974" s="16">
        <f>IF($A2974="","","Statut")</f>
        <v/>
      </c>
      <c r="H2974" s="16">
        <f>IF($A2974="","","Durée (jours)")</f>
        <v/>
      </c>
      <c r="I2974" s="16">
        <f>IF($A2974="","","Durée particulière")</f>
        <v/>
      </c>
      <c r="J2974" s="10">
        <f>IF($A2974="","",HYPERLINK("#'Tableau de bord'!A1","↑ Tableau de bord"))</f>
        <v/>
      </c>
    </row>
    <row r="2975">
      <c r="A2975" s="18">
        <f>IF(ISNUMBER(Dossiers!$D$59),Dossiers!$A$59&amp;" · "&amp;Dossiers!$B$59,"")</f>
        <v/>
      </c>
      <c r="B2975" s="18">
        <f>IF($A2975="","",Paramètres!G5)</f>
        <v/>
      </c>
      <c r="C2975" s="18">
        <f>IF($A2975="","",IF(Paramètres!H5="","",Paramètres!H5))</f>
        <v/>
      </c>
      <c r="D2975" s="18">
        <f>IF($A2975="","",IF(Paramètres!I5="","",Paramètres!I5))</f>
        <v/>
      </c>
      <c r="E2975" s="19">
        <f>IF($A2975="","",MIN(E2976:E2979))</f>
        <v/>
      </c>
      <c r="F2975" s="19">
        <f>IF($A2975="","",MAX(F2976:F2979))</f>
        <v/>
      </c>
      <c r="G2975" s="18" t="n"/>
      <c r="H2975" s="18">
        <f>IF($A2975="","",F2975-E2975+1)</f>
        <v/>
      </c>
      <c r="I2975" s="18" t="n"/>
    </row>
    <row r="2976">
      <c r="A2976" s="18">
        <f>IF(ISNUMBER(Dossiers!$D$59),Dossiers!$A$59&amp;" · "&amp;Dossiers!$B$59,"")</f>
        <v/>
      </c>
      <c r="B2976" s="18">
        <f>IF($A2976="","",Paramètres!G6)</f>
        <v/>
      </c>
      <c r="C2976" s="18">
        <f>IF($A2976="","",IF(Paramètres!H6="","",Paramètres!H6))</f>
        <v/>
      </c>
      <c r="D2976" s="18">
        <f>IF($A2976="","",IF(Paramètres!I6="","",Paramètres!I6))</f>
        <v/>
      </c>
      <c r="E2976" s="19">
        <f>IF($A2976="","",IF(Paramètres!J6&amp;Paramètres!L6&amp;Paramètres!N6="",Dossiers!$D$59,MAX(IF(Paramètres!J6="",0,IF(Paramètres!K6="",NA(),IF(LEFT(TRIM(Paramètres!K6),1)="F",INDEX($F$2975:$F$3027,MATCH(Paramètres!J6,Paramètres!$G$5:$G$57,0)),INDEX($E$2975:$E$3027,MATCH(Paramètres!J6,Paramètres!$G$5:$G$57,0)))+IF(RIGHT(TRIM(Paramètres!K6),3)="Fin",1-$H2976,IF(LEFT(TRIM(Paramètres!K6),1)="F",1,0)))),IF(Paramètres!L6="",0,IF(Paramètres!M6="",NA(),IF(LEFT(TRIM(Paramètres!M6),1)="F",INDEX($F$2975:$F$3027,MATCH(Paramètres!L6,Paramètres!$G$5:$G$57,0)),INDEX($E$2975:$E$3027,MATCH(Paramètres!L6,Paramètres!$G$5:$G$57,0)))+IF(RIGHT(TRIM(Paramètres!M6),3)="Fin",1-$H2976,IF(LEFT(TRIM(Paramètres!M6),1)="F",1,0)))),IF(Paramètres!N6="",0,IF(Paramètres!O6="",NA(),IF(LEFT(TRIM(Paramètres!O6),1)="F",INDEX($F$2975:$F$3027,MATCH(Paramètres!N6,Paramètres!$G$5:$G$57,0)),INDEX($E$2975:$E$3027,MATCH(Paramètres!N6,Paramètres!$G$5:$G$57,0)))+IF(RIGHT(TRIM(Paramètres!O6),3)="Fin",1-$H2976,IF(LEFT(TRIM(Paramètres!O6),1)="F",1,0)))))))</f>
        <v/>
      </c>
      <c r="F2976" s="19">
        <f>IF($A2976="","",E2976+$H2976-1)</f>
        <v/>
      </c>
      <c r="G2976" s="18" t="n"/>
      <c r="H2976" s="18">
        <f>IF($A2976="","",IF(I2976&lt;&gt;"",I2976,Paramètres!B6))</f>
        <v/>
      </c>
      <c r="I2976" s="18" t="n"/>
    </row>
    <row r="2977">
      <c r="A2977" s="18">
        <f>IF(ISNUMBER(Dossiers!$D$59),Dossiers!$A$59&amp;" · "&amp;Dossiers!$B$59,"")</f>
        <v/>
      </c>
      <c r="B2977" s="18">
        <f>IF($A2977="","",Paramètres!G7)</f>
        <v/>
      </c>
      <c r="C2977" s="18">
        <f>IF($A2977="","",IF(Paramètres!H7="","",Paramètres!H7))</f>
        <v/>
      </c>
      <c r="D2977" s="18">
        <f>IF($A2977="","",IF(Paramètres!I7="","",Paramètres!I7))</f>
        <v/>
      </c>
      <c r="E2977" s="19">
        <f>IF($A2977="","",IF(Paramètres!J7&amp;Paramètres!L7&amp;Paramètres!N7="",Dossiers!$D$59,MAX(IF(Paramètres!J7="",0,IF(Paramètres!K7="",NA(),IF(LEFT(TRIM(Paramètres!K7),1)="F",INDEX($F$2975:$F$3027,MATCH(Paramètres!J7,Paramètres!$G$5:$G$57,0)),INDEX($E$2975:$E$3027,MATCH(Paramètres!J7,Paramètres!$G$5:$G$57,0)))+IF(RIGHT(TRIM(Paramètres!K7),3)="Fin",1-$H2977,IF(LEFT(TRIM(Paramètres!K7),1)="F",1,0)))),IF(Paramètres!L7="",0,IF(Paramètres!M7="",NA(),IF(LEFT(TRIM(Paramètres!M7),1)="F",INDEX($F$2975:$F$3027,MATCH(Paramètres!L7,Paramètres!$G$5:$G$57,0)),INDEX($E$2975:$E$3027,MATCH(Paramètres!L7,Paramètres!$G$5:$G$57,0)))+IF(RIGHT(TRIM(Paramètres!M7),3)="Fin",1-$H2977,IF(LEFT(TRIM(Paramètres!M7),1)="F",1,0)))),IF(Paramètres!N7="",0,IF(Paramètres!O7="",NA(),IF(LEFT(TRIM(Paramètres!O7),1)="F",INDEX($F$2975:$F$3027,MATCH(Paramètres!N7,Paramètres!$G$5:$G$57,0)),INDEX($E$2975:$E$3027,MATCH(Paramètres!N7,Paramètres!$G$5:$G$57,0)))+IF(RIGHT(TRIM(Paramètres!O7),3)="Fin",1-$H2977,IF(LEFT(TRIM(Paramètres!O7),1)="F",1,0)))))))</f>
        <v/>
      </c>
      <c r="F2977" s="19">
        <f>IF($A2977="","",E2977+$H2977-1)</f>
        <v/>
      </c>
      <c r="G2977" s="18" t="n"/>
      <c r="H2977" s="18">
        <f>IF($A2977="","",IF(I2977&lt;&gt;"",I2977,Paramètres!B7))</f>
        <v/>
      </c>
      <c r="I2977" s="18" t="n"/>
    </row>
    <row r="2978">
      <c r="A2978" s="18">
        <f>IF(ISNUMBER(Dossiers!$D$59),Dossiers!$A$59&amp;" · "&amp;Dossiers!$B$59,"")</f>
        <v/>
      </c>
      <c r="B2978" s="18">
        <f>IF($A2978="","",Paramètres!G8)</f>
        <v/>
      </c>
      <c r="C2978" s="18">
        <f>IF($A2978="","",IF(Paramètres!H8="","",Paramètres!H8))</f>
        <v/>
      </c>
      <c r="D2978" s="18">
        <f>IF($A2978="","",IF(Paramètres!I8="","",Paramètres!I8))</f>
        <v/>
      </c>
      <c r="E2978" s="19">
        <f>IF($A2978="","",IF(Paramètres!J8&amp;Paramètres!L8&amp;Paramètres!N8="",Dossiers!$D$59,MAX(IF(Paramètres!J8="",0,IF(Paramètres!K8="",NA(),IF(LEFT(TRIM(Paramètres!K8),1)="F",INDEX($F$2975:$F$3027,MATCH(Paramètres!J8,Paramètres!$G$5:$G$57,0)),INDEX($E$2975:$E$3027,MATCH(Paramètres!J8,Paramètres!$G$5:$G$57,0)))+IF(RIGHT(TRIM(Paramètres!K8),3)="Fin",1-$H2978,IF(LEFT(TRIM(Paramètres!K8),1)="F",1,0)))),IF(Paramètres!L8="",0,IF(Paramètres!M8="",NA(),IF(LEFT(TRIM(Paramètres!M8),1)="F",INDEX($F$2975:$F$3027,MATCH(Paramètres!L8,Paramètres!$G$5:$G$57,0)),INDEX($E$2975:$E$3027,MATCH(Paramètres!L8,Paramètres!$G$5:$G$57,0)))+IF(RIGHT(TRIM(Paramètres!M8),3)="Fin",1-$H2978,IF(LEFT(TRIM(Paramètres!M8),1)="F",1,0)))),IF(Paramètres!N8="",0,IF(Paramètres!O8="",NA(),IF(LEFT(TRIM(Paramètres!O8),1)="F",INDEX($F$2975:$F$3027,MATCH(Paramètres!N8,Paramètres!$G$5:$G$57,0)),INDEX($E$2975:$E$3027,MATCH(Paramètres!N8,Paramètres!$G$5:$G$57,0)))+IF(RIGHT(TRIM(Paramètres!O8),3)="Fin",1-$H2978,IF(LEFT(TRIM(Paramètres!O8),1)="F",1,0)))))))</f>
        <v/>
      </c>
      <c r="F2978" s="19">
        <f>IF($A2978="","",E2978+$H2978-1)</f>
        <v/>
      </c>
      <c r="G2978" s="18" t="n"/>
      <c r="H2978" s="18">
        <f>IF($A2978="","",IF(I2978&lt;&gt;"",I2978,Paramètres!B8))</f>
        <v/>
      </c>
      <c r="I2978" s="18" t="n"/>
    </row>
    <row r="2979">
      <c r="A2979" s="18">
        <f>IF(ISNUMBER(Dossiers!$D$59),Dossiers!$A$59&amp;" · "&amp;Dossiers!$B$59,"")</f>
        <v/>
      </c>
      <c r="B2979" s="18">
        <f>IF($A2979="","",Paramètres!G9)</f>
        <v/>
      </c>
      <c r="C2979" s="18">
        <f>IF($A2979="","",IF(Paramètres!H9="","",Paramètres!H9))</f>
        <v/>
      </c>
      <c r="D2979" s="18">
        <f>IF($A2979="","",IF(Paramètres!I9="","",Paramètres!I9))</f>
        <v/>
      </c>
      <c r="E2979" s="19">
        <f>IF($A2979="","",IF(Paramètres!J9&amp;Paramètres!L9&amp;Paramètres!N9="",Dossiers!$D$59,MAX(IF(Paramètres!J9="",0,IF(Paramètres!K9="",NA(),IF(LEFT(TRIM(Paramètres!K9),1)="F",INDEX($F$2975:$F$3027,MATCH(Paramètres!J9,Paramètres!$G$5:$G$57,0)),INDEX($E$2975:$E$3027,MATCH(Paramètres!J9,Paramètres!$G$5:$G$57,0)))+IF(RIGHT(TRIM(Paramètres!K9),3)="Fin",1-$H2979,IF(LEFT(TRIM(Paramètres!K9),1)="F",1,0)))),IF(Paramètres!L9="",0,IF(Paramètres!M9="",NA(),IF(LEFT(TRIM(Paramètres!M9),1)="F",INDEX($F$2975:$F$3027,MATCH(Paramètres!L9,Paramètres!$G$5:$G$57,0)),INDEX($E$2975:$E$3027,MATCH(Paramètres!L9,Paramètres!$G$5:$G$57,0)))+IF(RIGHT(TRIM(Paramètres!M9),3)="Fin",1-$H2979,IF(LEFT(TRIM(Paramètres!M9),1)="F",1,0)))),IF(Paramètres!N9="",0,IF(Paramètres!O9="",NA(),IF(LEFT(TRIM(Paramètres!O9),1)="F",INDEX($F$2975:$F$3027,MATCH(Paramètres!N9,Paramètres!$G$5:$G$57,0)),INDEX($E$2975:$E$3027,MATCH(Paramètres!N9,Paramètres!$G$5:$G$57,0)))+IF(RIGHT(TRIM(Paramètres!O9),3)="Fin",1-$H2979,IF(LEFT(TRIM(Paramètres!O9),1)="F",1,0)))))))</f>
        <v/>
      </c>
      <c r="F2979" s="19">
        <f>IF($A2979="","",E2979+$H2979-1)</f>
        <v/>
      </c>
      <c r="G2979" s="18" t="n"/>
      <c r="H2979" s="18">
        <f>IF($A2979="","",IF(I2979&lt;&gt;"",I2979,Paramètres!B9))</f>
        <v/>
      </c>
      <c r="I2979" s="18" t="n"/>
    </row>
    <row r="2980">
      <c r="A2980" s="18">
        <f>IF(ISNUMBER(Dossiers!$D$59),Dossiers!$A$59&amp;" · "&amp;Dossiers!$B$59,"")</f>
        <v/>
      </c>
      <c r="B2980" s="18">
        <f>IF($A2980="","",Paramètres!G10)</f>
        <v/>
      </c>
      <c r="C2980" s="18">
        <f>IF($A2980="","",IF(Paramètres!H10="","",Paramètres!H10))</f>
        <v/>
      </c>
      <c r="D2980" s="18">
        <f>IF($A2980="","",IF(Paramètres!I10="","",Paramètres!I10))</f>
        <v/>
      </c>
      <c r="E2980" s="19">
        <f>IF($A2980="","",MIN(E2981:E2984))</f>
        <v/>
      </c>
      <c r="F2980" s="19">
        <f>IF($A2980="","",MAX(F2981:F2984))</f>
        <v/>
      </c>
      <c r="G2980" s="18" t="n"/>
      <c r="H2980" s="18">
        <f>IF($A2980="","",F2980-E2980+1)</f>
        <v/>
      </c>
      <c r="I2980" s="18" t="n"/>
    </row>
    <row r="2981">
      <c r="A2981" s="18">
        <f>IF(ISNUMBER(Dossiers!$D$59),Dossiers!$A$59&amp;" · "&amp;Dossiers!$B$59,"")</f>
        <v/>
      </c>
      <c r="B2981" s="18">
        <f>IF($A2981="","",Paramètres!G11)</f>
        <v/>
      </c>
      <c r="C2981" s="18">
        <f>IF($A2981="","",IF(Paramètres!H11="","",Paramètres!H11))</f>
        <v/>
      </c>
      <c r="D2981" s="18">
        <f>IF($A2981="","",IF(Paramètres!I11="","",Paramètres!I11))</f>
        <v/>
      </c>
      <c r="E2981" s="19">
        <f>IF($A2981="","",IF(Paramètres!J11&amp;Paramètres!L11&amp;Paramètres!N11="",Dossiers!$D$59,MAX(IF(Paramètres!J11="",0,IF(Paramètres!K11="",NA(),IF(LEFT(TRIM(Paramètres!K11),1)="F",INDEX($F$2975:$F$3027,MATCH(Paramètres!J11,Paramètres!$G$5:$G$57,0)),INDEX($E$2975:$E$3027,MATCH(Paramètres!J11,Paramètres!$G$5:$G$57,0)))+IF(RIGHT(TRIM(Paramètres!K11),3)="Fin",1-$H2981,IF(LEFT(TRIM(Paramètres!K11),1)="F",1,0)))),IF(Paramètres!L11="",0,IF(Paramètres!M11="",NA(),IF(LEFT(TRIM(Paramètres!M11),1)="F",INDEX($F$2975:$F$3027,MATCH(Paramètres!L11,Paramètres!$G$5:$G$57,0)),INDEX($E$2975:$E$3027,MATCH(Paramètres!L11,Paramètres!$G$5:$G$57,0)))+IF(RIGHT(TRIM(Paramètres!M11),3)="Fin",1-$H2981,IF(LEFT(TRIM(Paramètres!M11),1)="F",1,0)))),IF(Paramètres!N11="",0,IF(Paramètres!O11="",NA(),IF(LEFT(TRIM(Paramètres!O11),1)="F",INDEX($F$2975:$F$3027,MATCH(Paramètres!N11,Paramètres!$G$5:$G$57,0)),INDEX($E$2975:$E$3027,MATCH(Paramètres!N11,Paramètres!$G$5:$G$57,0)))+IF(RIGHT(TRIM(Paramètres!O11),3)="Fin",1-$H2981,IF(LEFT(TRIM(Paramètres!O11),1)="F",1,0)))))))</f>
        <v/>
      </c>
      <c r="F2981" s="19">
        <f>IF($A2981="","",E2981+$H2981-1)</f>
        <v/>
      </c>
      <c r="G2981" s="18" t="n"/>
      <c r="H2981" s="18">
        <f>IF($A2981="","",IF(I2981&lt;&gt;"",I2981,Paramètres!B11))</f>
        <v/>
      </c>
      <c r="I2981" s="18" t="n"/>
    </row>
    <row r="2982">
      <c r="A2982" s="18">
        <f>IF(ISNUMBER(Dossiers!$D$59),Dossiers!$A$59&amp;" · "&amp;Dossiers!$B$59,"")</f>
        <v/>
      </c>
      <c r="B2982" s="18">
        <f>IF($A2982="","",Paramètres!G12)</f>
        <v/>
      </c>
      <c r="C2982" s="18">
        <f>IF($A2982="","",IF(Paramètres!H12="","",Paramètres!H12))</f>
        <v/>
      </c>
      <c r="D2982" s="18">
        <f>IF($A2982="","",IF(Paramètres!I12="","",Paramètres!I12))</f>
        <v/>
      </c>
      <c r="E2982" s="19">
        <f>IF($A2982="","",IF(Paramètres!J12&amp;Paramètres!L12&amp;Paramètres!N12="",Dossiers!$D$59,MAX(IF(Paramètres!J12="",0,IF(Paramètres!K12="",NA(),IF(LEFT(TRIM(Paramètres!K12),1)="F",INDEX($F$2975:$F$3027,MATCH(Paramètres!J12,Paramètres!$G$5:$G$57,0)),INDEX($E$2975:$E$3027,MATCH(Paramètres!J12,Paramètres!$G$5:$G$57,0)))+IF(RIGHT(TRIM(Paramètres!K12),3)="Fin",1-$H2982,IF(LEFT(TRIM(Paramètres!K12),1)="F",1,0)))),IF(Paramètres!L12="",0,IF(Paramètres!M12="",NA(),IF(LEFT(TRIM(Paramètres!M12),1)="F",INDEX($F$2975:$F$3027,MATCH(Paramètres!L12,Paramètres!$G$5:$G$57,0)),INDEX($E$2975:$E$3027,MATCH(Paramètres!L12,Paramètres!$G$5:$G$57,0)))+IF(RIGHT(TRIM(Paramètres!M12),3)="Fin",1-$H2982,IF(LEFT(TRIM(Paramètres!M12),1)="F",1,0)))),IF(Paramètres!N12="",0,IF(Paramètres!O12="",NA(),IF(LEFT(TRIM(Paramètres!O12),1)="F",INDEX($F$2975:$F$3027,MATCH(Paramètres!N12,Paramètres!$G$5:$G$57,0)),INDEX($E$2975:$E$3027,MATCH(Paramètres!N12,Paramètres!$G$5:$G$57,0)))+IF(RIGHT(TRIM(Paramètres!O12),3)="Fin",1-$H2982,IF(LEFT(TRIM(Paramètres!O12),1)="F",1,0)))))))</f>
        <v/>
      </c>
      <c r="F2982" s="19">
        <f>IF($A2982="","",E2982+$H2982-1)</f>
        <v/>
      </c>
      <c r="G2982" s="18" t="n"/>
      <c r="H2982" s="18">
        <f>IF($A2982="","",IF(I2982&lt;&gt;"",I2982,Paramètres!B12))</f>
        <v/>
      </c>
      <c r="I2982" s="18" t="n"/>
    </row>
    <row r="2983">
      <c r="A2983" s="18">
        <f>IF(ISNUMBER(Dossiers!$D$59),Dossiers!$A$59&amp;" · "&amp;Dossiers!$B$59,"")</f>
        <v/>
      </c>
      <c r="B2983" s="18">
        <f>IF($A2983="","",Paramètres!G13)</f>
        <v/>
      </c>
      <c r="C2983" s="18">
        <f>IF($A2983="","",IF(Paramètres!H13="","",Paramètres!H13))</f>
        <v/>
      </c>
      <c r="D2983" s="18">
        <f>IF($A2983="","",IF(Paramètres!I13="","",Paramètres!I13))</f>
        <v/>
      </c>
      <c r="E2983" s="19">
        <f>IF($A2983="","",IF(Paramètres!J13&amp;Paramètres!L13&amp;Paramètres!N13="",Dossiers!$D$59,MAX(IF(Paramètres!J13="",0,IF(Paramètres!K13="",NA(),IF(LEFT(TRIM(Paramètres!K13),1)="F",INDEX($F$2975:$F$3027,MATCH(Paramètres!J13,Paramètres!$G$5:$G$57,0)),INDEX($E$2975:$E$3027,MATCH(Paramètres!J13,Paramètres!$G$5:$G$57,0)))+IF(RIGHT(TRIM(Paramètres!K13),3)="Fin",1-$H2983,IF(LEFT(TRIM(Paramètres!K13),1)="F",1,0)))),IF(Paramètres!L13="",0,IF(Paramètres!M13="",NA(),IF(LEFT(TRIM(Paramètres!M13),1)="F",INDEX($F$2975:$F$3027,MATCH(Paramètres!L13,Paramètres!$G$5:$G$57,0)),INDEX($E$2975:$E$3027,MATCH(Paramètres!L13,Paramètres!$G$5:$G$57,0)))+IF(RIGHT(TRIM(Paramètres!M13),3)="Fin",1-$H2983,IF(LEFT(TRIM(Paramètres!M13),1)="F",1,0)))),IF(Paramètres!N13="",0,IF(Paramètres!O13="",NA(),IF(LEFT(TRIM(Paramètres!O13),1)="F",INDEX($F$2975:$F$3027,MATCH(Paramètres!N13,Paramètres!$G$5:$G$57,0)),INDEX($E$2975:$E$3027,MATCH(Paramètres!N13,Paramètres!$G$5:$G$57,0)))+IF(RIGHT(TRIM(Paramètres!O13),3)="Fin",1-$H2983,IF(LEFT(TRIM(Paramètres!O13),1)="F",1,0)))))))</f>
        <v/>
      </c>
      <c r="F2983" s="19">
        <f>IF($A2983="","",E2983+$H2983-1)</f>
        <v/>
      </c>
      <c r="G2983" s="18" t="n"/>
      <c r="H2983" s="18">
        <f>IF($A2983="","",IF(I2983&lt;&gt;"",I2983,Paramètres!B13))</f>
        <v/>
      </c>
      <c r="I2983" s="18" t="n"/>
    </row>
    <row r="2984">
      <c r="A2984" s="18">
        <f>IF(ISNUMBER(Dossiers!$D$59),Dossiers!$A$59&amp;" · "&amp;Dossiers!$B$59,"")</f>
        <v/>
      </c>
      <c r="B2984" s="18">
        <f>IF($A2984="","",Paramètres!G14)</f>
        <v/>
      </c>
      <c r="C2984" s="18">
        <f>IF($A2984="","",IF(Paramètres!H14="","",Paramètres!H14))</f>
        <v/>
      </c>
      <c r="D2984" s="18">
        <f>IF($A2984="","",IF(Paramètres!I14="","",Paramètres!I14))</f>
        <v/>
      </c>
      <c r="E2984" s="19">
        <f>IF($A2984="","",IF(Paramètres!J14&amp;Paramètres!L14&amp;Paramètres!N14="",Dossiers!$D$59,MAX(IF(Paramètres!J14="",0,IF(Paramètres!K14="",NA(),IF(LEFT(TRIM(Paramètres!K14),1)="F",INDEX($F$2975:$F$3027,MATCH(Paramètres!J14,Paramètres!$G$5:$G$57,0)),INDEX($E$2975:$E$3027,MATCH(Paramètres!J14,Paramètres!$G$5:$G$57,0)))+IF(RIGHT(TRIM(Paramètres!K14),3)="Fin",1-$H2984,IF(LEFT(TRIM(Paramètres!K14),1)="F",1,0)))),IF(Paramètres!L14="",0,IF(Paramètres!M14="",NA(),IF(LEFT(TRIM(Paramètres!M14),1)="F",INDEX($F$2975:$F$3027,MATCH(Paramètres!L14,Paramètres!$G$5:$G$57,0)),INDEX($E$2975:$E$3027,MATCH(Paramètres!L14,Paramètres!$G$5:$G$57,0)))+IF(RIGHT(TRIM(Paramètres!M14),3)="Fin",1-$H2984,IF(LEFT(TRIM(Paramètres!M14),1)="F",1,0)))),IF(Paramètres!N14="",0,IF(Paramètres!O14="",NA(),IF(LEFT(TRIM(Paramètres!O14),1)="F",INDEX($F$2975:$F$3027,MATCH(Paramètres!N14,Paramètres!$G$5:$G$57,0)),INDEX($E$2975:$E$3027,MATCH(Paramètres!N14,Paramètres!$G$5:$G$57,0)))+IF(RIGHT(TRIM(Paramètres!O14),3)="Fin",1-$H2984,IF(LEFT(TRIM(Paramètres!O14),1)="F",1,0)))))))</f>
        <v/>
      </c>
      <c r="F2984" s="19">
        <f>IF($A2984="","",E2984+$H2984-1)</f>
        <v/>
      </c>
      <c r="G2984" s="18" t="n"/>
      <c r="H2984" s="18">
        <f>IF($A2984="","",IF(I2984&lt;&gt;"",I2984,Paramètres!B14))</f>
        <v/>
      </c>
      <c r="I2984" s="18" t="n"/>
    </row>
    <row r="2985">
      <c r="A2985" s="18">
        <f>IF(ISNUMBER(Dossiers!$D$59),Dossiers!$A$59&amp;" · "&amp;Dossiers!$B$59,"")</f>
        <v/>
      </c>
      <c r="B2985" s="18">
        <f>IF($A2985="","",Paramètres!G15)</f>
        <v/>
      </c>
      <c r="C2985" s="18">
        <f>IF($A2985="","",IF(Paramètres!H15="","",Paramètres!H15))</f>
        <v/>
      </c>
      <c r="D2985" s="18">
        <f>IF($A2985="","",IF(Paramètres!I15="","",Paramètres!I15))</f>
        <v/>
      </c>
      <c r="E2985" s="19">
        <f>IF($A2985="","",MIN(E2986:E3001))</f>
        <v/>
      </c>
      <c r="F2985" s="19">
        <f>IF($A2985="","",MAX(F2986:F3001))</f>
        <v/>
      </c>
      <c r="G2985" s="18" t="n"/>
      <c r="H2985" s="18">
        <f>IF($A2985="","",F2985-E2985+1)</f>
        <v/>
      </c>
      <c r="I2985" s="18" t="n"/>
    </row>
    <row r="2986">
      <c r="A2986" s="18">
        <f>IF(ISNUMBER(Dossiers!$D$59),Dossiers!$A$59&amp;" · "&amp;Dossiers!$B$59,"")</f>
        <v/>
      </c>
      <c r="B2986" s="18">
        <f>IF($A2986="","",Paramètres!G16)</f>
        <v/>
      </c>
      <c r="C2986" s="18">
        <f>IF($A2986="","",IF(Paramètres!H16="","",Paramètres!H16))</f>
        <v/>
      </c>
      <c r="D2986" s="18">
        <f>IF($A2986="","",IF(Paramètres!I16="","",Paramètres!I16))</f>
        <v/>
      </c>
      <c r="E2986" s="19">
        <f>IF($A2986="","",IF(Paramètres!J16&amp;Paramètres!L16&amp;Paramètres!N16="",Dossiers!$D$59,MAX(IF(Paramètres!J16="",0,IF(Paramètres!K16="",NA(),IF(LEFT(TRIM(Paramètres!K16),1)="F",INDEX($F$2975:$F$3027,MATCH(Paramètres!J16,Paramètres!$G$5:$G$57,0)),INDEX($E$2975:$E$3027,MATCH(Paramètres!J16,Paramètres!$G$5:$G$57,0)))+IF(RIGHT(TRIM(Paramètres!K16),3)="Fin",1-$H2986,IF(LEFT(TRIM(Paramètres!K16),1)="F",1,0)))),IF(Paramètres!L16="",0,IF(Paramètres!M16="",NA(),IF(LEFT(TRIM(Paramètres!M16),1)="F",INDEX($F$2975:$F$3027,MATCH(Paramètres!L16,Paramètres!$G$5:$G$57,0)),INDEX($E$2975:$E$3027,MATCH(Paramètres!L16,Paramètres!$G$5:$G$57,0)))+IF(RIGHT(TRIM(Paramètres!M16),3)="Fin",1-$H2986,IF(LEFT(TRIM(Paramètres!M16),1)="F",1,0)))),IF(Paramètres!N16="",0,IF(Paramètres!O16="",NA(),IF(LEFT(TRIM(Paramètres!O16),1)="F",INDEX($F$2975:$F$3027,MATCH(Paramètres!N16,Paramètres!$G$5:$G$57,0)),INDEX($E$2975:$E$3027,MATCH(Paramètres!N16,Paramètres!$G$5:$G$57,0)))+IF(RIGHT(TRIM(Paramètres!O16),3)="Fin",1-$H2986,IF(LEFT(TRIM(Paramètres!O16),1)="F",1,0)))))))</f>
        <v/>
      </c>
      <c r="F2986" s="19">
        <f>IF($A2986="","",E2986+$H2986-1)</f>
        <v/>
      </c>
      <c r="G2986" s="18" t="n"/>
      <c r="H2986" s="18">
        <f>IF($A2986="","",IF(I2986&lt;&gt;"",I2986,Paramètres!B16))</f>
        <v/>
      </c>
      <c r="I2986" s="18" t="n"/>
    </row>
    <row r="2987">
      <c r="A2987" s="18">
        <f>IF(ISNUMBER(Dossiers!$D$59),Dossiers!$A$59&amp;" · "&amp;Dossiers!$B$59,"")</f>
        <v/>
      </c>
      <c r="B2987" s="18">
        <f>IF($A2987="","",Paramètres!G17)</f>
        <v/>
      </c>
      <c r="C2987" s="18">
        <f>IF($A2987="","",IF(Paramètres!H17="","",Paramètres!H17))</f>
        <v/>
      </c>
      <c r="D2987" s="18">
        <f>IF($A2987="","",IF(Paramètres!I17="","",Paramètres!I17))</f>
        <v/>
      </c>
      <c r="E2987" s="19">
        <f>IF($A2987="","",IF(Paramètres!J17&amp;Paramètres!L17&amp;Paramètres!N17="",Dossiers!$D$59,MAX(IF(Paramètres!J17="",0,IF(Paramètres!K17="",NA(),IF(LEFT(TRIM(Paramètres!K17),1)="F",INDEX($F$2975:$F$3027,MATCH(Paramètres!J17,Paramètres!$G$5:$G$57,0)),INDEX($E$2975:$E$3027,MATCH(Paramètres!J17,Paramètres!$G$5:$G$57,0)))+IF(RIGHT(TRIM(Paramètres!K17),3)="Fin",1-$H2987,IF(LEFT(TRIM(Paramètres!K17),1)="F",1,0)))),IF(Paramètres!L17="",0,IF(Paramètres!M17="",NA(),IF(LEFT(TRIM(Paramètres!M17),1)="F",INDEX($F$2975:$F$3027,MATCH(Paramètres!L17,Paramètres!$G$5:$G$57,0)),INDEX($E$2975:$E$3027,MATCH(Paramètres!L17,Paramètres!$G$5:$G$57,0)))+IF(RIGHT(TRIM(Paramètres!M17),3)="Fin",1-$H2987,IF(LEFT(TRIM(Paramètres!M17),1)="F",1,0)))),IF(Paramètres!N17="",0,IF(Paramètres!O17="",NA(),IF(LEFT(TRIM(Paramètres!O17),1)="F",INDEX($F$2975:$F$3027,MATCH(Paramètres!N17,Paramètres!$G$5:$G$57,0)),INDEX($E$2975:$E$3027,MATCH(Paramètres!N17,Paramètres!$G$5:$G$57,0)))+IF(RIGHT(TRIM(Paramètres!O17),3)="Fin",1-$H2987,IF(LEFT(TRIM(Paramètres!O17),1)="F",1,0)))))))</f>
        <v/>
      </c>
      <c r="F2987" s="19">
        <f>IF($A2987="","",E2987+$H2987-1)</f>
        <v/>
      </c>
      <c r="G2987" s="18" t="n"/>
      <c r="H2987" s="18">
        <f>IF($A2987="","",IF(I2987&lt;&gt;"",I2987,Paramètres!B17))</f>
        <v/>
      </c>
      <c r="I2987" s="18" t="n"/>
    </row>
    <row r="2988">
      <c r="A2988" s="18">
        <f>IF(ISNUMBER(Dossiers!$D$59),Dossiers!$A$59&amp;" · "&amp;Dossiers!$B$59,"")</f>
        <v/>
      </c>
      <c r="B2988" s="18">
        <f>IF($A2988="","",Paramètres!G18)</f>
        <v/>
      </c>
      <c r="C2988" s="18">
        <f>IF($A2988="","",IF(Paramètres!H18="","",Paramètres!H18))</f>
        <v/>
      </c>
      <c r="D2988" s="18">
        <f>IF($A2988="","",IF(Paramètres!I18="","",Paramètres!I18))</f>
        <v/>
      </c>
      <c r="E2988" s="19">
        <f>IF($A2988="","",IF(Paramètres!J18&amp;Paramètres!L18&amp;Paramètres!N18="",Dossiers!$D$59,MAX(IF(Paramètres!J18="",0,IF(Paramètres!K18="",NA(),IF(LEFT(TRIM(Paramètres!K18),1)="F",INDEX($F$2975:$F$3027,MATCH(Paramètres!J18,Paramètres!$G$5:$G$57,0)),INDEX($E$2975:$E$3027,MATCH(Paramètres!J18,Paramètres!$G$5:$G$57,0)))+IF(RIGHT(TRIM(Paramètres!K18),3)="Fin",1-$H2988,IF(LEFT(TRIM(Paramètres!K18),1)="F",1,0)))),IF(Paramètres!L18="",0,IF(Paramètres!M18="",NA(),IF(LEFT(TRIM(Paramètres!M18),1)="F",INDEX($F$2975:$F$3027,MATCH(Paramètres!L18,Paramètres!$G$5:$G$57,0)),INDEX($E$2975:$E$3027,MATCH(Paramètres!L18,Paramètres!$G$5:$G$57,0)))+IF(RIGHT(TRIM(Paramètres!M18),3)="Fin",1-$H2988,IF(LEFT(TRIM(Paramètres!M18),1)="F",1,0)))),IF(Paramètres!N18="",0,IF(Paramètres!O18="",NA(),IF(LEFT(TRIM(Paramètres!O18),1)="F",INDEX($F$2975:$F$3027,MATCH(Paramètres!N18,Paramètres!$G$5:$G$57,0)),INDEX($E$2975:$E$3027,MATCH(Paramètres!N18,Paramètres!$G$5:$G$57,0)))+IF(RIGHT(TRIM(Paramètres!O18),3)="Fin",1-$H2988,IF(LEFT(TRIM(Paramètres!O18),1)="F",1,0)))))))</f>
        <v/>
      </c>
      <c r="F2988" s="19">
        <f>IF($A2988="","",E2988+$H2988-1)</f>
        <v/>
      </c>
      <c r="G2988" s="18" t="n"/>
      <c r="H2988" s="18">
        <f>IF($A2988="","",IF(I2988&lt;&gt;"",I2988,Paramètres!B18))</f>
        <v/>
      </c>
      <c r="I2988" s="18" t="n"/>
    </row>
    <row r="2989">
      <c r="A2989" s="18">
        <f>IF(ISNUMBER(Dossiers!$D$59),Dossiers!$A$59&amp;" · "&amp;Dossiers!$B$59,"")</f>
        <v/>
      </c>
      <c r="B2989" s="18">
        <f>IF($A2989="","",Paramètres!G19)</f>
        <v/>
      </c>
      <c r="C2989" s="18">
        <f>IF($A2989="","",IF(Paramètres!H19="","",Paramètres!H19))</f>
        <v/>
      </c>
      <c r="D2989" s="18">
        <f>IF($A2989="","",IF(Paramètres!I19="","",Paramètres!I19))</f>
        <v/>
      </c>
      <c r="E2989" s="19">
        <f>IF($A2989="","",IF(Paramètres!J19&amp;Paramètres!L19&amp;Paramètres!N19="",Dossiers!$D$59,MAX(IF(Paramètres!J19="",0,IF(Paramètres!K19="",NA(),IF(LEFT(TRIM(Paramètres!K19),1)="F",INDEX($F$2975:$F$3027,MATCH(Paramètres!J19,Paramètres!$G$5:$G$57,0)),INDEX($E$2975:$E$3027,MATCH(Paramètres!J19,Paramètres!$G$5:$G$57,0)))+IF(RIGHT(TRIM(Paramètres!K19),3)="Fin",1-$H2989,IF(LEFT(TRIM(Paramètres!K19),1)="F",1,0)))),IF(Paramètres!L19="",0,IF(Paramètres!M19="",NA(),IF(LEFT(TRIM(Paramètres!M19),1)="F",INDEX($F$2975:$F$3027,MATCH(Paramètres!L19,Paramètres!$G$5:$G$57,0)),INDEX($E$2975:$E$3027,MATCH(Paramètres!L19,Paramètres!$G$5:$G$57,0)))+IF(RIGHT(TRIM(Paramètres!M19),3)="Fin",1-$H2989,IF(LEFT(TRIM(Paramètres!M19),1)="F",1,0)))),IF(Paramètres!N19="",0,IF(Paramètres!O19="",NA(),IF(LEFT(TRIM(Paramètres!O19),1)="F",INDEX($F$2975:$F$3027,MATCH(Paramètres!N19,Paramètres!$G$5:$G$57,0)),INDEX($E$2975:$E$3027,MATCH(Paramètres!N19,Paramètres!$G$5:$G$57,0)))+IF(RIGHT(TRIM(Paramètres!O19),3)="Fin",1-$H2989,IF(LEFT(TRIM(Paramètres!O19),1)="F",1,0)))))))</f>
        <v/>
      </c>
      <c r="F2989" s="19">
        <f>IF($A2989="","",E2989+$H2989-1)</f>
        <v/>
      </c>
      <c r="G2989" s="18" t="n"/>
      <c r="H2989" s="18">
        <f>IF($A2989="","",IF(I2989&lt;&gt;"",I2989,Paramètres!B19))</f>
        <v/>
      </c>
      <c r="I2989" s="18" t="n"/>
    </row>
    <row r="2990">
      <c r="A2990" s="18">
        <f>IF(ISNUMBER(Dossiers!$D$59),Dossiers!$A$59&amp;" · "&amp;Dossiers!$B$59,"")</f>
        <v/>
      </c>
      <c r="B2990" s="18">
        <f>IF($A2990="","",Paramètres!G20)</f>
        <v/>
      </c>
      <c r="C2990" s="18">
        <f>IF($A2990="","",IF(Paramètres!H20="","",Paramètres!H20))</f>
        <v/>
      </c>
      <c r="D2990" s="18">
        <f>IF($A2990="","",IF(Paramètres!I20="","",Paramètres!I20))</f>
        <v/>
      </c>
      <c r="E2990" s="19">
        <f>IF($A2990="","",IF(Paramètres!J20&amp;Paramètres!L20&amp;Paramètres!N20="",Dossiers!$D$59,MAX(IF(Paramètres!J20="",0,IF(Paramètres!K20="",NA(),IF(LEFT(TRIM(Paramètres!K20),1)="F",INDEX($F$2975:$F$3027,MATCH(Paramètres!J20,Paramètres!$G$5:$G$57,0)),INDEX($E$2975:$E$3027,MATCH(Paramètres!J20,Paramètres!$G$5:$G$57,0)))+IF(RIGHT(TRIM(Paramètres!K20),3)="Fin",1-$H2990,IF(LEFT(TRIM(Paramètres!K20),1)="F",1,0)))),IF(Paramètres!L20="",0,IF(Paramètres!M20="",NA(),IF(LEFT(TRIM(Paramètres!M20),1)="F",INDEX($F$2975:$F$3027,MATCH(Paramètres!L20,Paramètres!$G$5:$G$57,0)),INDEX($E$2975:$E$3027,MATCH(Paramètres!L20,Paramètres!$G$5:$G$57,0)))+IF(RIGHT(TRIM(Paramètres!M20),3)="Fin",1-$H2990,IF(LEFT(TRIM(Paramètres!M20),1)="F",1,0)))),IF(Paramètres!N20="",0,IF(Paramètres!O20="",NA(),IF(LEFT(TRIM(Paramètres!O20),1)="F",INDEX($F$2975:$F$3027,MATCH(Paramètres!N20,Paramètres!$G$5:$G$57,0)),INDEX($E$2975:$E$3027,MATCH(Paramètres!N20,Paramètres!$G$5:$G$57,0)))+IF(RIGHT(TRIM(Paramètres!O20),3)="Fin",1-$H2990,IF(LEFT(TRIM(Paramètres!O20),1)="F",1,0)))))))</f>
        <v/>
      </c>
      <c r="F2990" s="19">
        <f>IF($A2990="","",E2990+$H2990-1)</f>
        <v/>
      </c>
      <c r="G2990" s="18" t="n"/>
      <c r="H2990" s="18">
        <f>IF($A2990="","",IF(I2990&lt;&gt;"",I2990,Paramètres!B20))</f>
        <v/>
      </c>
      <c r="I2990" s="18" t="n"/>
    </row>
    <row r="2991">
      <c r="A2991" s="18">
        <f>IF(ISNUMBER(Dossiers!$D$59),Dossiers!$A$59&amp;" · "&amp;Dossiers!$B$59,"")</f>
        <v/>
      </c>
      <c r="B2991" s="18">
        <f>IF($A2991="","",Paramètres!G21)</f>
        <v/>
      </c>
      <c r="C2991" s="18">
        <f>IF($A2991="","",IF(Paramètres!H21="","",Paramètres!H21))</f>
        <v/>
      </c>
      <c r="D2991" s="18">
        <f>IF($A2991="","",IF(Paramètres!I21="","",Paramètres!I21))</f>
        <v/>
      </c>
      <c r="E2991" s="19">
        <f>IF($A2991="","",IF(Paramètres!J21&amp;Paramètres!L21&amp;Paramètres!N21="",Dossiers!$D$59,MAX(IF(Paramètres!J21="",0,IF(Paramètres!K21="",NA(),IF(LEFT(TRIM(Paramètres!K21),1)="F",INDEX($F$2975:$F$3027,MATCH(Paramètres!J21,Paramètres!$G$5:$G$57,0)),INDEX($E$2975:$E$3027,MATCH(Paramètres!J21,Paramètres!$G$5:$G$57,0)))+IF(RIGHT(TRIM(Paramètres!K21),3)="Fin",1-$H2991,IF(LEFT(TRIM(Paramètres!K21),1)="F",1,0)))),IF(Paramètres!L21="",0,IF(Paramètres!M21="",NA(),IF(LEFT(TRIM(Paramètres!M21),1)="F",INDEX($F$2975:$F$3027,MATCH(Paramètres!L21,Paramètres!$G$5:$G$57,0)),INDEX($E$2975:$E$3027,MATCH(Paramètres!L21,Paramètres!$G$5:$G$57,0)))+IF(RIGHT(TRIM(Paramètres!M21),3)="Fin",1-$H2991,IF(LEFT(TRIM(Paramètres!M21),1)="F",1,0)))),IF(Paramètres!N21="",0,IF(Paramètres!O21="",NA(),IF(LEFT(TRIM(Paramètres!O21),1)="F",INDEX($F$2975:$F$3027,MATCH(Paramètres!N21,Paramètres!$G$5:$G$57,0)),INDEX($E$2975:$E$3027,MATCH(Paramètres!N21,Paramètres!$G$5:$G$57,0)))+IF(RIGHT(TRIM(Paramètres!O21),3)="Fin",1-$H2991,IF(LEFT(TRIM(Paramètres!O21),1)="F",1,0)))))))</f>
        <v/>
      </c>
      <c r="F2991" s="19">
        <f>IF($A2991="","",E2991+$H2991-1)</f>
        <v/>
      </c>
      <c r="G2991" s="18" t="n"/>
      <c r="H2991" s="18">
        <f>IF($A2991="","",IF(I2991&lt;&gt;"",I2991,Paramètres!B21))</f>
        <v/>
      </c>
      <c r="I2991" s="18" t="n"/>
    </row>
    <row r="2992">
      <c r="A2992" s="18">
        <f>IF(ISNUMBER(Dossiers!$D$59),Dossiers!$A$59&amp;" · "&amp;Dossiers!$B$59,"")</f>
        <v/>
      </c>
      <c r="B2992" s="18">
        <f>IF($A2992="","",Paramètres!G22)</f>
        <v/>
      </c>
      <c r="C2992" s="18">
        <f>IF($A2992="","",IF(Paramètres!H22="","",Paramètres!H22))</f>
        <v/>
      </c>
      <c r="D2992" s="18">
        <f>IF($A2992="","",IF(Paramètres!I22="","",Paramètres!I22))</f>
        <v/>
      </c>
      <c r="E2992" s="19">
        <f>IF($A2992="","",IF(Paramètres!J22&amp;Paramètres!L22&amp;Paramètres!N22="",Dossiers!$D$59,MAX(IF(Paramètres!J22="",0,IF(Paramètres!K22="",NA(),IF(LEFT(TRIM(Paramètres!K22),1)="F",INDEX($F$2975:$F$3027,MATCH(Paramètres!J22,Paramètres!$G$5:$G$57,0)),INDEX($E$2975:$E$3027,MATCH(Paramètres!J22,Paramètres!$G$5:$G$57,0)))+IF(RIGHT(TRIM(Paramètres!K22),3)="Fin",1-$H2992,IF(LEFT(TRIM(Paramètres!K22),1)="F",1,0)))),IF(Paramètres!L22="",0,IF(Paramètres!M22="",NA(),IF(LEFT(TRIM(Paramètres!M22),1)="F",INDEX($F$2975:$F$3027,MATCH(Paramètres!L22,Paramètres!$G$5:$G$57,0)),INDEX($E$2975:$E$3027,MATCH(Paramètres!L22,Paramètres!$G$5:$G$57,0)))+IF(RIGHT(TRIM(Paramètres!M22),3)="Fin",1-$H2992,IF(LEFT(TRIM(Paramètres!M22),1)="F",1,0)))),IF(Paramètres!N22="",0,IF(Paramètres!O22="",NA(),IF(LEFT(TRIM(Paramètres!O22),1)="F",INDEX($F$2975:$F$3027,MATCH(Paramètres!N22,Paramètres!$G$5:$G$57,0)),INDEX($E$2975:$E$3027,MATCH(Paramètres!N22,Paramètres!$G$5:$G$57,0)))+IF(RIGHT(TRIM(Paramètres!O22),3)="Fin",1-$H2992,IF(LEFT(TRIM(Paramètres!O22),1)="F",1,0)))))))</f>
        <v/>
      </c>
      <c r="F2992" s="19">
        <f>IF($A2992="","",E2992+$H2992-1)</f>
        <v/>
      </c>
      <c r="G2992" s="18" t="n"/>
      <c r="H2992" s="18">
        <f>IF($A2992="","",IF(I2992&lt;&gt;"",I2992,Paramètres!B22))</f>
        <v/>
      </c>
      <c r="I2992" s="18" t="n"/>
    </row>
    <row r="2993">
      <c r="A2993" s="18">
        <f>IF(ISNUMBER(Dossiers!$D$59),Dossiers!$A$59&amp;" · "&amp;Dossiers!$B$59,"")</f>
        <v/>
      </c>
      <c r="B2993" s="18">
        <f>IF($A2993="","",Paramètres!G23)</f>
        <v/>
      </c>
      <c r="C2993" s="18">
        <f>IF($A2993="","",IF(Paramètres!H23="","",Paramètres!H23))</f>
        <v/>
      </c>
      <c r="D2993" s="18">
        <f>IF($A2993="","",IF(Paramètres!I23="","",Paramètres!I23))</f>
        <v/>
      </c>
      <c r="E2993" s="19">
        <f>IF($A2993="","",IF(Paramètres!J23&amp;Paramètres!L23&amp;Paramètres!N23="",Dossiers!$D$59,MAX(IF(Paramètres!J23="",0,IF(Paramètres!K23="",NA(),IF(LEFT(TRIM(Paramètres!K23),1)="F",INDEX($F$2975:$F$3027,MATCH(Paramètres!J23,Paramètres!$G$5:$G$57,0)),INDEX($E$2975:$E$3027,MATCH(Paramètres!J23,Paramètres!$G$5:$G$57,0)))+IF(RIGHT(TRIM(Paramètres!K23),3)="Fin",1-$H2993,IF(LEFT(TRIM(Paramètres!K23),1)="F",1,0)))),IF(Paramètres!L23="",0,IF(Paramètres!M23="",NA(),IF(LEFT(TRIM(Paramètres!M23),1)="F",INDEX($F$2975:$F$3027,MATCH(Paramètres!L23,Paramètres!$G$5:$G$57,0)),INDEX($E$2975:$E$3027,MATCH(Paramètres!L23,Paramètres!$G$5:$G$57,0)))+IF(RIGHT(TRIM(Paramètres!M23),3)="Fin",1-$H2993,IF(LEFT(TRIM(Paramètres!M23),1)="F",1,0)))),IF(Paramètres!N23="",0,IF(Paramètres!O23="",NA(),IF(LEFT(TRIM(Paramètres!O23),1)="F",INDEX($F$2975:$F$3027,MATCH(Paramètres!N23,Paramètres!$G$5:$G$57,0)),INDEX($E$2975:$E$3027,MATCH(Paramètres!N23,Paramètres!$G$5:$G$57,0)))+IF(RIGHT(TRIM(Paramètres!O23),3)="Fin",1-$H2993,IF(LEFT(TRIM(Paramètres!O23),1)="F",1,0)))))))</f>
        <v/>
      </c>
      <c r="F2993" s="19">
        <f>IF($A2993="","",E2993+$H2993-1)</f>
        <v/>
      </c>
      <c r="G2993" s="18" t="n"/>
      <c r="H2993" s="18">
        <f>IF($A2993="","",IF(I2993&lt;&gt;"",I2993,Paramètres!B23))</f>
        <v/>
      </c>
      <c r="I2993" s="18" t="n"/>
    </row>
    <row r="2994">
      <c r="A2994" s="18">
        <f>IF(ISNUMBER(Dossiers!$D$59),Dossiers!$A$59&amp;" · "&amp;Dossiers!$B$59,"")</f>
        <v/>
      </c>
      <c r="B2994" s="18">
        <f>IF($A2994="","",Paramètres!G24)</f>
        <v/>
      </c>
      <c r="C2994" s="18">
        <f>IF($A2994="","",IF(Paramètres!H24="","",Paramètres!H24))</f>
        <v/>
      </c>
      <c r="D2994" s="18">
        <f>IF($A2994="","",IF(Paramètres!I24="","",Paramètres!I24))</f>
        <v/>
      </c>
      <c r="E2994" s="19">
        <f>IF($A2994="","",IF(Paramètres!J24&amp;Paramètres!L24&amp;Paramètres!N24="",Dossiers!$D$59,MAX(IF(Paramètres!J24="",0,IF(Paramètres!K24="",NA(),IF(LEFT(TRIM(Paramètres!K24),1)="F",INDEX($F$2975:$F$3027,MATCH(Paramètres!J24,Paramètres!$G$5:$G$57,0)),INDEX($E$2975:$E$3027,MATCH(Paramètres!J24,Paramètres!$G$5:$G$57,0)))+IF(RIGHT(TRIM(Paramètres!K24),3)="Fin",1-$H2994,IF(LEFT(TRIM(Paramètres!K24),1)="F",1,0)))),IF(Paramètres!L24="",0,IF(Paramètres!M24="",NA(),IF(LEFT(TRIM(Paramètres!M24),1)="F",INDEX($F$2975:$F$3027,MATCH(Paramètres!L24,Paramètres!$G$5:$G$57,0)),INDEX($E$2975:$E$3027,MATCH(Paramètres!L24,Paramètres!$G$5:$G$57,0)))+IF(RIGHT(TRIM(Paramètres!M24),3)="Fin",1-$H2994,IF(LEFT(TRIM(Paramètres!M24),1)="F",1,0)))),IF(Paramètres!N24="",0,IF(Paramètres!O24="",NA(),IF(LEFT(TRIM(Paramètres!O24),1)="F",INDEX($F$2975:$F$3027,MATCH(Paramètres!N24,Paramètres!$G$5:$G$57,0)),INDEX($E$2975:$E$3027,MATCH(Paramètres!N24,Paramètres!$G$5:$G$57,0)))+IF(RIGHT(TRIM(Paramètres!O24),3)="Fin",1-$H2994,IF(LEFT(TRIM(Paramètres!O24),1)="F",1,0)))))))</f>
        <v/>
      </c>
      <c r="F2994" s="19">
        <f>IF($A2994="","",E2994+$H2994-1)</f>
        <v/>
      </c>
      <c r="G2994" s="18" t="n"/>
      <c r="H2994" s="18">
        <f>IF($A2994="","",IF(I2994&lt;&gt;"",I2994,Paramètres!B24))</f>
        <v/>
      </c>
      <c r="I2994" s="18" t="n"/>
    </row>
    <row r="2995">
      <c r="A2995" s="18">
        <f>IF(ISNUMBER(Dossiers!$D$59),Dossiers!$A$59&amp;" · "&amp;Dossiers!$B$59,"")</f>
        <v/>
      </c>
      <c r="B2995" s="18">
        <f>IF($A2995="","",Paramètres!G25)</f>
        <v/>
      </c>
      <c r="C2995" s="18">
        <f>IF($A2995="","",IF(Paramètres!H25="","",Paramètres!H25))</f>
        <v/>
      </c>
      <c r="D2995" s="18">
        <f>IF($A2995="","",IF(Paramètres!I25="","",Paramètres!I25))</f>
        <v/>
      </c>
      <c r="E2995" s="19">
        <f>IF($A2995="","",IF(Paramètres!J25&amp;Paramètres!L25&amp;Paramètres!N25="",Dossiers!$D$59,MAX(IF(Paramètres!J25="",0,IF(Paramètres!K25="",NA(),IF(LEFT(TRIM(Paramètres!K25),1)="F",INDEX($F$2975:$F$3027,MATCH(Paramètres!J25,Paramètres!$G$5:$G$57,0)),INDEX($E$2975:$E$3027,MATCH(Paramètres!J25,Paramètres!$G$5:$G$57,0)))+IF(RIGHT(TRIM(Paramètres!K25),3)="Fin",1-$H2995,IF(LEFT(TRIM(Paramètres!K25),1)="F",1,0)))),IF(Paramètres!L25="",0,IF(Paramètres!M25="",NA(),IF(LEFT(TRIM(Paramètres!M25),1)="F",INDEX($F$2975:$F$3027,MATCH(Paramètres!L25,Paramètres!$G$5:$G$57,0)),INDEX($E$2975:$E$3027,MATCH(Paramètres!L25,Paramètres!$G$5:$G$57,0)))+IF(RIGHT(TRIM(Paramètres!M25),3)="Fin",1-$H2995,IF(LEFT(TRIM(Paramètres!M25),1)="F",1,0)))),IF(Paramètres!N25="",0,IF(Paramètres!O25="",NA(),IF(LEFT(TRIM(Paramètres!O25),1)="F",INDEX($F$2975:$F$3027,MATCH(Paramètres!N25,Paramètres!$G$5:$G$57,0)),INDEX($E$2975:$E$3027,MATCH(Paramètres!N25,Paramètres!$G$5:$G$57,0)))+IF(RIGHT(TRIM(Paramètres!O25),3)="Fin",1-$H2995,IF(LEFT(TRIM(Paramètres!O25),1)="F",1,0)))))))</f>
        <v/>
      </c>
      <c r="F2995" s="19">
        <f>IF($A2995="","",E2995+$H2995-1)</f>
        <v/>
      </c>
      <c r="G2995" s="18" t="n"/>
      <c r="H2995" s="18">
        <f>IF($A2995="","",IF(I2995&lt;&gt;"",I2995,Paramètres!B25))</f>
        <v/>
      </c>
      <c r="I2995" s="18" t="n"/>
    </row>
    <row r="2996">
      <c r="A2996" s="18">
        <f>IF(ISNUMBER(Dossiers!$D$59),Dossiers!$A$59&amp;" · "&amp;Dossiers!$B$59,"")</f>
        <v/>
      </c>
      <c r="B2996" s="18">
        <f>IF($A2996="","",Paramètres!G26)</f>
        <v/>
      </c>
      <c r="C2996" s="18">
        <f>IF($A2996="","",IF(Paramètres!H26="","",Paramètres!H26))</f>
        <v/>
      </c>
      <c r="D2996" s="18">
        <f>IF($A2996="","",IF(Paramètres!I26="","",Paramètres!I26))</f>
        <v/>
      </c>
      <c r="E2996" s="19">
        <f>IF($A2996="","",IF(Paramètres!J26&amp;Paramètres!L26&amp;Paramètres!N26="",Dossiers!$D$59,MAX(IF(Paramètres!J26="",0,IF(Paramètres!K26="",NA(),IF(LEFT(TRIM(Paramètres!K26),1)="F",INDEX($F$2975:$F$3027,MATCH(Paramètres!J26,Paramètres!$G$5:$G$57,0)),INDEX($E$2975:$E$3027,MATCH(Paramètres!J26,Paramètres!$G$5:$G$57,0)))+IF(RIGHT(TRIM(Paramètres!K26),3)="Fin",1-$H2996,IF(LEFT(TRIM(Paramètres!K26),1)="F",1,0)))),IF(Paramètres!L26="",0,IF(Paramètres!M26="",NA(),IF(LEFT(TRIM(Paramètres!M26),1)="F",INDEX($F$2975:$F$3027,MATCH(Paramètres!L26,Paramètres!$G$5:$G$57,0)),INDEX($E$2975:$E$3027,MATCH(Paramètres!L26,Paramètres!$G$5:$G$57,0)))+IF(RIGHT(TRIM(Paramètres!M26),3)="Fin",1-$H2996,IF(LEFT(TRIM(Paramètres!M26),1)="F",1,0)))),IF(Paramètres!N26="",0,IF(Paramètres!O26="",NA(),IF(LEFT(TRIM(Paramètres!O26),1)="F",INDEX($F$2975:$F$3027,MATCH(Paramètres!N26,Paramètres!$G$5:$G$57,0)),INDEX($E$2975:$E$3027,MATCH(Paramètres!N26,Paramètres!$G$5:$G$57,0)))+IF(RIGHT(TRIM(Paramètres!O26),3)="Fin",1-$H2996,IF(LEFT(TRIM(Paramètres!O26),1)="F",1,0)))))))</f>
        <v/>
      </c>
      <c r="F2996" s="19">
        <f>IF($A2996="","",E2996+$H2996-1)</f>
        <v/>
      </c>
      <c r="G2996" s="18" t="n"/>
      <c r="H2996" s="18">
        <f>IF($A2996="","",IF(I2996&lt;&gt;"",I2996,Paramètres!B26))</f>
        <v/>
      </c>
      <c r="I2996" s="18" t="n"/>
    </row>
    <row r="2997">
      <c r="A2997" s="18">
        <f>IF(ISNUMBER(Dossiers!$D$59),Dossiers!$A$59&amp;" · "&amp;Dossiers!$B$59,"")</f>
        <v/>
      </c>
      <c r="B2997" s="18">
        <f>IF($A2997="","",Paramètres!G27)</f>
        <v/>
      </c>
      <c r="C2997" s="18">
        <f>IF($A2997="","",IF(Paramètres!H27="","",Paramètres!H27))</f>
        <v/>
      </c>
      <c r="D2997" s="18">
        <f>IF($A2997="","",IF(Paramètres!I27="","",Paramètres!I27))</f>
        <v/>
      </c>
      <c r="E2997" s="19">
        <f>IF($A2997="","",IF(Paramètres!J27&amp;Paramètres!L27&amp;Paramètres!N27="",Dossiers!$D$59,MAX(IF(Paramètres!J27="",0,IF(Paramètres!K27="",NA(),IF(LEFT(TRIM(Paramètres!K27),1)="F",INDEX($F$2975:$F$3027,MATCH(Paramètres!J27,Paramètres!$G$5:$G$57,0)),INDEX($E$2975:$E$3027,MATCH(Paramètres!J27,Paramètres!$G$5:$G$57,0)))+IF(RIGHT(TRIM(Paramètres!K27),3)="Fin",1-$H2997,IF(LEFT(TRIM(Paramètres!K27),1)="F",1,0)))),IF(Paramètres!L27="",0,IF(Paramètres!M27="",NA(),IF(LEFT(TRIM(Paramètres!M27),1)="F",INDEX($F$2975:$F$3027,MATCH(Paramètres!L27,Paramètres!$G$5:$G$57,0)),INDEX($E$2975:$E$3027,MATCH(Paramètres!L27,Paramètres!$G$5:$G$57,0)))+IF(RIGHT(TRIM(Paramètres!M27),3)="Fin",1-$H2997,IF(LEFT(TRIM(Paramètres!M27),1)="F",1,0)))),IF(Paramètres!N27="",0,IF(Paramètres!O27="",NA(),IF(LEFT(TRIM(Paramètres!O27),1)="F",INDEX($F$2975:$F$3027,MATCH(Paramètres!N27,Paramètres!$G$5:$G$57,0)),INDEX($E$2975:$E$3027,MATCH(Paramètres!N27,Paramètres!$G$5:$G$57,0)))+IF(RIGHT(TRIM(Paramètres!O27),3)="Fin",1-$H2997,IF(LEFT(TRIM(Paramètres!O27),1)="F",1,0)))))))</f>
        <v/>
      </c>
      <c r="F2997" s="19">
        <f>IF($A2997="","",E2997+$H2997-1)</f>
        <v/>
      </c>
      <c r="G2997" s="18" t="n"/>
      <c r="H2997" s="18">
        <f>IF($A2997="","",IF(I2997&lt;&gt;"",I2997,Paramètres!B27))</f>
        <v/>
      </c>
      <c r="I2997" s="18" t="n"/>
    </row>
    <row r="2998">
      <c r="A2998" s="18">
        <f>IF(ISNUMBER(Dossiers!$D$59),Dossiers!$A$59&amp;" · "&amp;Dossiers!$B$59,"")</f>
        <v/>
      </c>
      <c r="B2998" s="18">
        <f>IF($A2998="","",Paramètres!G28)</f>
        <v/>
      </c>
      <c r="C2998" s="18">
        <f>IF($A2998="","",IF(Paramètres!H28="","",Paramètres!H28))</f>
        <v/>
      </c>
      <c r="D2998" s="18">
        <f>IF($A2998="","",IF(Paramètres!I28="","",Paramètres!I28))</f>
        <v/>
      </c>
      <c r="E2998" s="19">
        <f>IF($A2998="","",IF(Paramètres!J28&amp;Paramètres!L28&amp;Paramètres!N28="",Dossiers!$D$59,MAX(IF(Paramètres!J28="",0,IF(Paramètres!K28="",NA(),IF(LEFT(TRIM(Paramètres!K28),1)="F",INDEX($F$2975:$F$3027,MATCH(Paramètres!J28,Paramètres!$G$5:$G$57,0)),INDEX($E$2975:$E$3027,MATCH(Paramètres!J28,Paramètres!$G$5:$G$57,0)))+IF(RIGHT(TRIM(Paramètres!K28),3)="Fin",1-$H2998,IF(LEFT(TRIM(Paramètres!K28),1)="F",1,0)))),IF(Paramètres!L28="",0,IF(Paramètres!M28="",NA(),IF(LEFT(TRIM(Paramètres!M28),1)="F",INDEX($F$2975:$F$3027,MATCH(Paramètres!L28,Paramètres!$G$5:$G$57,0)),INDEX($E$2975:$E$3027,MATCH(Paramètres!L28,Paramètres!$G$5:$G$57,0)))+IF(RIGHT(TRIM(Paramètres!M28),3)="Fin",1-$H2998,IF(LEFT(TRIM(Paramètres!M28),1)="F",1,0)))),IF(Paramètres!N28="",0,IF(Paramètres!O28="",NA(),IF(LEFT(TRIM(Paramètres!O28),1)="F",INDEX($F$2975:$F$3027,MATCH(Paramètres!N28,Paramètres!$G$5:$G$57,0)),INDEX($E$2975:$E$3027,MATCH(Paramètres!N28,Paramètres!$G$5:$G$57,0)))+IF(RIGHT(TRIM(Paramètres!O28),3)="Fin",1-$H2998,IF(LEFT(TRIM(Paramètres!O28),1)="F",1,0)))))))</f>
        <v/>
      </c>
      <c r="F2998" s="19">
        <f>IF($A2998="","",E2998+$H2998-1)</f>
        <v/>
      </c>
      <c r="G2998" s="18" t="n"/>
      <c r="H2998" s="18">
        <f>IF($A2998="","",IF(I2998&lt;&gt;"",I2998,Paramètres!B28))</f>
        <v/>
      </c>
      <c r="I2998" s="18" t="n"/>
    </row>
    <row r="2999">
      <c r="A2999" s="18">
        <f>IF(ISNUMBER(Dossiers!$D$59),Dossiers!$A$59&amp;" · "&amp;Dossiers!$B$59,"")</f>
        <v/>
      </c>
      <c r="B2999" s="18">
        <f>IF($A2999="","",Paramètres!G29)</f>
        <v/>
      </c>
      <c r="C2999" s="18">
        <f>IF($A2999="","",IF(Paramètres!H29="","",Paramètres!H29))</f>
        <v/>
      </c>
      <c r="D2999" s="18">
        <f>IF($A2999="","",IF(Paramètres!I29="","",Paramètres!I29))</f>
        <v/>
      </c>
      <c r="E2999" s="19">
        <f>IF($A2999="","",IF(Paramètres!J29&amp;Paramètres!L29&amp;Paramètres!N29="",Dossiers!$D$59,MAX(IF(Paramètres!J29="",0,IF(Paramètres!K29="",NA(),IF(LEFT(TRIM(Paramètres!K29),1)="F",INDEX($F$2975:$F$3027,MATCH(Paramètres!J29,Paramètres!$G$5:$G$57,0)),INDEX($E$2975:$E$3027,MATCH(Paramètres!J29,Paramètres!$G$5:$G$57,0)))+IF(RIGHT(TRIM(Paramètres!K29),3)="Fin",1-$H2999,IF(LEFT(TRIM(Paramètres!K29),1)="F",1,0)))),IF(Paramètres!L29="",0,IF(Paramètres!M29="",NA(),IF(LEFT(TRIM(Paramètres!M29),1)="F",INDEX($F$2975:$F$3027,MATCH(Paramètres!L29,Paramètres!$G$5:$G$57,0)),INDEX($E$2975:$E$3027,MATCH(Paramètres!L29,Paramètres!$G$5:$G$57,0)))+IF(RIGHT(TRIM(Paramètres!M29),3)="Fin",1-$H2999,IF(LEFT(TRIM(Paramètres!M29),1)="F",1,0)))),IF(Paramètres!N29="",0,IF(Paramètres!O29="",NA(),IF(LEFT(TRIM(Paramètres!O29),1)="F",INDEX($F$2975:$F$3027,MATCH(Paramètres!N29,Paramètres!$G$5:$G$57,0)),INDEX($E$2975:$E$3027,MATCH(Paramètres!N29,Paramètres!$G$5:$G$57,0)))+IF(RIGHT(TRIM(Paramètres!O29),3)="Fin",1-$H2999,IF(LEFT(TRIM(Paramètres!O29),1)="F",1,0)))))))</f>
        <v/>
      </c>
      <c r="F2999" s="19">
        <f>IF($A2999="","",E2999+$H2999-1)</f>
        <v/>
      </c>
      <c r="G2999" s="18" t="n"/>
      <c r="H2999" s="18">
        <f>IF($A2999="","",IF(I2999&lt;&gt;"",I2999,Paramètres!B29))</f>
        <v/>
      </c>
      <c r="I2999" s="18" t="n"/>
    </row>
    <row r="3000">
      <c r="A3000" s="18">
        <f>IF(ISNUMBER(Dossiers!$D$59),Dossiers!$A$59&amp;" · "&amp;Dossiers!$B$59,"")</f>
        <v/>
      </c>
      <c r="B3000" s="18">
        <f>IF($A3000="","",Paramètres!G30)</f>
        <v/>
      </c>
      <c r="C3000" s="18">
        <f>IF($A3000="","",IF(Paramètres!H30="","",Paramètres!H30))</f>
        <v/>
      </c>
      <c r="D3000" s="18">
        <f>IF($A3000="","",IF(Paramètres!I30="","",Paramètres!I30))</f>
        <v/>
      </c>
      <c r="E3000" s="19">
        <f>IF($A3000="","",IF(Paramètres!J30&amp;Paramètres!L30&amp;Paramètres!N30="",Dossiers!$D$59,MAX(IF(Paramètres!J30="",0,IF(Paramètres!K30="",NA(),IF(LEFT(TRIM(Paramètres!K30),1)="F",INDEX($F$2975:$F$3027,MATCH(Paramètres!J30,Paramètres!$G$5:$G$57,0)),INDEX($E$2975:$E$3027,MATCH(Paramètres!J30,Paramètres!$G$5:$G$57,0)))+IF(RIGHT(TRIM(Paramètres!K30),3)="Fin",1-$H3000,IF(LEFT(TRIM(Paramètres!K30),1)="F",1,0)))),IF(Paramètres!L30="",0,IF(Paramètres!M30="",NA(),IF(LEFT(TRIM(Paramètres!M30),1)="F",INDEX($F$2975:$F$3027,MATCH(Paramètres!L30,Paramètres!$G$5:$G$57,0)),INDEX($E$2975:$E$3027,MATCH(Paramètres!L30,Paramètres!$G$5:$G$57,0)))+IF(RIGHT(TRIM(Paramètres!M30),3)="Fin",1-$H3000,IF(LEFT(TRIM(Paramètres!M30),1)="F",1,0)))),IF(Paramètres!N30="",0,IF(Paramètres!O30="",NA(),IF(LEFT(TRIM(Paramètres!O30),1)="F",INDEX($F$2975:$F$3027,MATCH(Paramètres!N30,Paramètres!$G$5:$G$57,0)),INDEX($E$2975:$E$3027,MATCH(Paramètres!N30,Paramètres!$G$5:$G$57,0)))+IF(RIGHT(TRIM(Paramètres!O30),3)="Fin",1-$H3000,IF(LEFT(TRIM(Paramètres!O30),1)="F",1,0)))))))</f>
        <v/>
      </c>
      <c r="F3000" s="19">
        <f>IF($A3000="","",E3000+$H3000-1)</f>
        <v/>
      </c>
      <c r="G3000" s="18" t="n"/>
      <c r="H3000" s="18">
        <f>IF($A3000="","",IF(I3000&lt;&gt;"",I3000,Paramètres!B30))</f>
        <v/>
      </c>
      <c r="I3000" s="18" t="n"/>
    </row>
    <row r="3001">
      <c r="A3001" s="18">
        <f>IF(ISNUMBER(Dossiers!$D$59),Dossiers!$A$59&amp;" · "&amp;Dossiers!$B$59,"")</f>
        <v/>
      </c>
      <c r="B3001" s="18">
        <f>IF($A3001="","",Paramètres!G31)</f>
        <v/>
      </c>
      <c r="C3001" s="20">
        <f>IF($A3001="","",IF(Dossiers!$F$59="","",Dossiers!$F$59))</f>
        <v/>
      </c>
      <c r="D3001" s="18">
        <f>IF($A3001="","",IF(Paramètres!I31="","",Paramètres!I31))</f>
        <v/>
      </c>
      <c r="E3001" s="19">
        <f>IF($A3001="","",IF(Paramètres!J31&amp;Paramètres!L31&amp;Paramètres!N31="",Dossiers!$D$59,MAX(IF(Paramètres!J31="",0,IF(Paramètres!K31="",NA(),IF(LEFT(TRIM(Paramètres!K31),1)="F",INDEX($F$2975:$F$3027,MATCH(Paramètres!J31,Paramètres!$G$5:$G$57,0)),INDEX($E$2975:$E$3027,MATCH(Paramètres!J31,Paramètres!$G$5:$G$57,0)))+IF(RIGHT(TRIM(Paramètres!K31),3)="Fin",1-$H3001,IF(LEFT(TRIM(Paramètres!K31),1)="F",1,0)))),IF(Paramètres!L31="",0,IF(Paramètres!M31="",NA(),IF(LEFT(TRIM(Paramètres!M31),1)="F",INDEX($F$2975:$F$3027,MATCH(Paramètres!L31,Paramètres!$G$5:$G$57,0)),INDEX($E$2975:$E$3027,MATCH(Paramètres!L31,Paramètres!$G$5:$G$57,0)))+IF(RIGHT(TRIM(Paramètres!M31),3)="Fin",1-$H3001,IF(LEFT(TRIM(Paramètres!M31),1)="F",1,0)))),IF(Paramètres!N31="",0,IF(Paramètres!O31="",NA(),IF(LEFT(TRIM(Paramètres!O31),1)="F",INDEX($F$2975:$F$3027,MATCH(Paramètres!N31,Paramètres!$G$5:$G$57,0)),INDEX($E$2975:$E$3027,MATCH(Paramètres!N31,Paramètres!$G$5:$G$57,0)))+IF(RIGHT(TRIM(Paramètres!O31),3)="Fin",1-$H3001,IF(LEFT(TRIM(Paramètres!O31),1)="F",1,0)))))))</f>
        <v/>
      </c>
      <c r="F3001" s="19">
        <f>IF($A3001="","",E3001+$H3001-1)</f>
        <v/>
      </c>
      <c r="G3001" s="18" t="n"/>
      <c r="H3001" s="18">
        <f>IF($A3001="","",IF(I3001&lt;&gt;"",I3001,Paramètres!B31))</f>
        <v/>
      </c>
      <c r="I3001" s="18" t="n"/>
    </row>
    <row r="3002">
      <c r="A3002" s="18">
        <f>IF(ISNUMBER(Dossiers!$D$59),Dossiers!$A$59&amp;" · "&amp;Dossiers!$B$59,"")</f>
        <v/>
      </c>
      <c r="B3002" s="18">
        <f>IF($A3002="","",Paramètres!G32)</f>
        <v/>
      </c>
      <c r="C3002" s="18">
        <f>IF($A3002="","",IF(Paramètres!H32="","",Paramètres!H32))</f>
        <v/>
      </c>
      <c r="D3002" s="18">
        <f>IF($A3002="","",IF(Paramètres!I32="","",Paramètres!I32))</f>
        <v/>
      </c>
      <c r="E3002" s="19">
        <f>IF($A3002="","",MIN(E3003:E3006))</f>
        <v/>
      </c>
      <c r="F3002" s="19">
        <f>IF($A3002="","",MAX(F3003:F3006))</f>
        <v/>
      </c>
      <c r="G3002" s="18" t="n"/>
      <c r="H3002" s="18">
        <f>IF($A3002="","",F3002-E3002+1)</f>
        <v/>
      </c>
      <c r="I3002" s="18" t="n"/>
    </row>
    <row r="3003">
      <c r="A3003" s="18">
        <f>IF(ISNUMBER(Dossiers!$D$59),Dossiers!$A$59&amp;" · "&amp;Dossiers!$B$59,"")</f>
        <v/>
      </c>
      <c r="B3003" s="18">
        <f>IF($A3003="","",Paramètres!G33)</f>
        <v/>
      </c>
      <c r="C3003" s="18">
        <f>IF($A3003="","",IF(Paramètres!H33="","",Paramètres!H33))</f>
        <v/>
      </c>
      <c r="D3003" s="18">
        <f>IF($A3003="","",IF(Paramètres!I33="","",Paramètres!I33))</f>
        <v/>
      </c>
      <c r="E3003" s="19">
        <f>IF($A3003="","",IF(Paramètres!J33&amp;Paramètres!L33&amp;Paramètres!N33="",Dossiers!$D$59,MAX(IF(Paramètres!J33="",0,IF(Paramètres!K33="",NA(),IF(LEFT(TRIM(Paramètres!K33),1)="F",INDEX($F$2975:$F$3027,MATCH(Paramètres!J33,Paramètres!$G$5:$G$57,0)),INDEX($E$2975:$E$3027,MATCH(Paramètres!J33,Paramètres!$G$5:$G$57,0)))+IF(RIGHT(TRIM(Paramètres!K33),3)="Fin",1-$H3003,IF(LEFT(TRIM(Paramètres!K33),1)="F",1,0)))),IF(Paramètres!L33="",0,IF(Paramètres!M33="",NA(),IF(LEFT(TRIM(Paramètres!M33),1)="F",INDEX($F$2975:$F$3027,MATCH(Paramètres!L33,Paramètres!$G$5:$G$57,0)),INDEX($E$2975:$E$3027,MATCH(Paramètres!L33,Paramètres!$G$5:$G$57,0)))+IF(RIGHT(TRIM(Paramètres!M33),3)="Fin",1-$H3003,IF(LEFT(TRIM(Paramètres!M33),1)="F",1,0)))),IF(Paramètres!N33="",0,IF(Paramètres!O33="",NA(),IF(LEFT(TRIM(Paramètres!O33),1)="F",INDEX($F$2975:$F$3027,MATCH(Paramètres!N33,Paramètres!$G$5:$G$57,0)),INDEX($E$2975:$E$3027,MATCH(Paramètres!N33,Paramètres!$G$5:$G$57,0)))+IF(RIGHT(TRIM(Paramètres!O33),3)="Fin",1-$H3003,IF(LEFT(TRIM(Paramètres!O33),1)="F",1,0)))))))</f>
        <v/>
      </c>
      <c r="F3003" s="19">
        <f>IF($A3003="","",E3003+$H3003-1)</f>
        <v/>
      </c>
      <c r="G3003" s="18" t="n"/>
      <c r="H3003" s="18">
        <f>IF($A3003="","",IF(I3003&lt;&gt;"",I3003,Paramètres!B33))</f>
        <v/>
      </c>
      <c r="I3003" s="18" t="n"/>
    </row>
    <row r="3004">
      <c r="A3004" s="18">
        <f>IF(ISNUMBER(Dossiers!$D$59),Dossiers!$A$59&amp;" · "&amp;Dossiers!$B$59,"")</f>
        <v/>
      </c>
      <c r="B3004" s="18">
        <f>IF($A3004="","",Paramètres!G34)</f>
        <v/>
      </c>
      <c r="C3004" s="18">
        <f>IF($A3004="","",IF(Paramètres!H34="","",Paramètres!H34))</f>
        <v/>
      </c>
      <c r="D3004" s="18">
        <f>IF($A3004="","",IF(Paramètres!I34="","",Paramètres!I34))</f>
        <v/>
      </c>
      <c r="E3004" s="19">
        <f>IF($A3004="","",IF(Paramètres!J34&amp;Paramètres!L34&amp;Paramètres!N34="",Dossiers!$D$59,MAX(IF(Paramètres!J34="",0,IF(Paramètres!K34="",NA(),IF(LEFT(TRIM(Paramètres!K34),1)="F",INDEX($F$2975:$F$3027,MATCH(Paramètres!J34,Paramètres!$G$5:$G$57,0)),INDEX($E$2975:$E$3027,MATCH(Paramètres!J34,Paramètres!$G$5:$G$57,0)))+IF(RIGHT(TRIM(Paramètres!K34),3)="Fin",1-$H3004,IF(LEFT(TRIM(Paramètres!K34),1)="F",1,0)))),IF(Paramètres!L34="",0,IF(Paramètres!M34="",NA(),IF(LEFT(TRIM(Paramètres!M34),1)="F",INDEX($F$2975:$F$3027,MATCH(Paramètres!L34,Paramètres!$G$5:$G$57,0)),INDEX($E$2975:$E$3027,MATCH(Paramètres!L34,Paramètres!$G$5:$G$57,0)))+IF(RIGHT(TRIM(Paramètres!M34),3)="Fin",1-$H3004,IF(LEFT(TRIM(Paramètres!M34),1)="F",1,0)))),IF(Paramètres!N34="",0,IF(Paramètres!O34="",NA(),IF(LEFT(TRIM(Paramètres!O34),1)="F",INDEX($F$2975:$F$3027,MATCH(Paramètres!N34,Paramètres!$G$5:$G$57,0)),INDEX($E$2975:$E$3027,MATCH(Paramètres!N34,Paramètres!$G$5:$G$57,0)))+IF(RIGHT(TRIM(Paramètres!O34),3)="Fin",1-$H3004,IF(LEFT(TRIM(Paramètres!O34),1)="F",1,0)))))))</f>
        <v/>
      </c>
      <c r="F3004" s="19">
        <f>IF($A3004="","",E3004+$H3004-1)</f>
        <v/>
      </c>
      <c r="G3004" s="18" t="n"/>
      <c r="H3004" s="18">
        <f>IF($A3004="","",IF(I3004&lt;&gt;"",I3004,Paramètres!B34))</f>
        <v/>
      </c>
      <c r="I3004" s="18" t="n"/>
    </row>
    <row r="3005">
      <c r="A3005" s="18">
        <f>IF(ISNUMBER(Dossiers!$D$59),Dossiers!$A$59&amp;" · "&amp;Dossiers!$B$59,"")</f>
        <v/>
      </c>
      <c r="B3005" s="18">
        <f>IF($A3005="","",Paramètres!G35)</f>
        <v/>
      </c>
      <c r="C3005" s="18">
        <f>IF($A3005="","",IF(Paramètres!H35="","",Paramètres!H35))</f>
        <v/>
      </c>
      <c r="D3005" s="18">
        <f>IF($A3005="","",IF(Paramètres!I35="","",Paramètres!I35))</f>
        <v/>
      </c>
      <c r="E3005" s="19">
        <f>IF($A3005="","",IF(Paramètres!J35&amp;Paramètres!L35&amp;Paramètres!N35="",Dossiers!$D$59,MAX(IF(Paramètres!J35="",0,IF(Paramètres!K35="",NA(),IF(LEFT(TRIM(Paramètres!K35),1)="F",INDEX($F$2975:$F$3027,MATCH(Paramètres!J35,Paramètres!$G$5:$G$57,0)),INDEX($E$2975:$E$3027,MATCH(Paramètres!J35,Paramètres!$G$5:$G$57,0)))+IF(RIGHT(TRIM(Paramètres!K35),3)="Fin",1-$H3005,IF(LEFT(TRIM(Paramètres!K35),1)="F",1,0)))),IF(Paramètres!L35="",0,IF(Paramètres!M35="",NA(),IF(LEFT(TRIM(Paramètres!M35),1)="F",INDEX($F$2975:$F$3027,MATCH(Paramètres!L35,Paramètres!$G$5:$G$57,0)),INDEX($E$2975:$E$3027,MATCH(Paramètres!L35,Paramètres!$G$5:$G$57,0)))+IF(RIGHT(TRIM(Paramètres!M35),3)="Fin",1-$H3005,IF(LEFT(TRIM(Paramètres!M35),1)="F",1,0)))),IF(Paramètres!N35="",0,IF(Paramètres!O35="",NA(),IF(LEFT(TRIM(Paramètres!O35),1)="F",INDEX($F$2975:$F$3027,MATCH(Paramètres!N35,Paramètres!$G$5:$G$57,0)),INDEX($E$2975:$E$3027,MATCH(Paramètres!N35,Paramètres!$G$5:$G$57,0)))+IF(RIGHT(TRIM(Paramètres!O35),3)="Fin",1-$H3005,IF(LEFT(TRIM(Paramètres!O35),1)="F",1,0)))))))</f>
        <v/>
      </c>
      <c r="F3005" s="19">
        <f>IF($A3005="","",E3005+$H3005-1)</f>
        <v/>
      </c>
      <c r="G3005" s="18" t="n"/>
      <c r="H3005" s="18">
        <f>IF($A3005="","",IF(I3005&lt;&gt;"",I3005,Paramètres!B35))</f>
        <v/>
      </c>
      <c r="I3005" s="18" t="n"/>
    </row>
    <row r="3006">
      <c r="A3006" s="18">
        <f>IF(ISNUMBER(Dossiers!$D$59),Dossiers!$A$59&amp;" · "&amp;Dossiers!$B$59,"")</f>
        <v/>
      </c>
      <c r="B3006" s="18">
        <f>IF($A3006="","",Paramètres!G36)</f>
        <v/>
      </c>
      <c r="C3006" s="18">
        <f>IF($A3006="","",IF(Paramètres!H36="","",Paramètres!H36))</f>
        <v/>
      </c>
      <c r="D3006" s="18">
        <f>IF($A3006="","",IF(Paramètres!I36="","",Paramètres!I36))</f>
        <v/>
      </c>
      <c r="E3006" s="19">
        <f>IF($A3006="","",IF(Paramètres!J36&amp;Paramètres!L36&amp;Paramètres!N36="",Dossiers!$D$59,MAX(IF(Paramètres!J36="",0,IF(Paramètres!K36="",NA(),IF(LEFT(TRIM(Paramètres!K36),1)="F",INDEX($F$2975:$F$3027,MATCH(Paramètres!J36,Paramètres!$G$5:$G$57,0)),INDEX($E$2975:$E$3027,MATCH(Paramètres!J36,Paramètres!$G$5:$G$57,0)))+IF(RIGHT(TRIM(Paramètres!K36),3)="Fin",1-$H3006,IF(LEFT(TRIM(Paramètres!K36),1)="F",1,0)))),IF(Paramètres!L36="",0,IF(Paramètres!M36="",NA(),IF(LEFT(TRIM(Paramètres!M36),1)="F",INDEX($F$2975:$F$3027,MATCH(Paramètres!L36,Paramètres!$G$5:$G$57,0)),INDEX($E$2975:$E$3027,MATCH(Paramètres!L36,Paramètres!$G$5:$G$57,0)))+IF(RIGHT(TRIM(Paramètres!M36),3)="Fin",1-$H3006,IF(LEFT(TRIM(Paramètres!M36),1)="F",1,0)))),IF(Paramètres!N36="",0,IF(Paramètres!O36="",NA(),IF(LEFT(TRIM(Paramètres!O36),1)="F",INDEX($F$2975:$F$3027,MATCH(Paramètres!N36,Paramètres!$G$5:$G$57,0)),INDEX($E$2975:$E$3027,MATCH(Paramètres!N36,Paramètres!$G$5:$G$57,0)))+IF(RIGHT(TRIM(Paramètres!O36),3)="Fin",1-$H3006,IF(LEFT(TRIM(Paramètres!O36),1)="F",1,0)))))))</f>
        <v/>
      </c>
      <c r="F3006" s="19">
        <f>IF($A3006="","",E3006+$H3006-1)</f>
        <v/>
      </c>
      <c r="G3006" s="18" t="n"/>
      <c r="H3006" s="18">
        <f>IF($A3006="","",IF(I3006&lt;&gt;"",I3006,Paramètres!B36))</f>
        <v/>
      </c>
      <c r="I3006" s="18" t="n"/>
    </row>
    <row r="3007">
      <c r="A3007" s="18">
        <f>IF(ISNUMBER(Dossiers!$D$59),Dossiers!$A$59&amp;" · "&amp;Dossiers!$B$59,"")</f>
        <v/>
      </c>
      <c r="B3007" s="18">
        <f>IF($A3007="","",Paramètres!G37)</f>
        <v/>
      </c>
      <c r="C3007" s="18">
        <f>IF($A3007="","",IF(Paramètres!H37="","",Paramètres!H37))</f>
        <v/>
      </c>
      <c r="D3007" s="18">
        <f>IF($A3007="","",IF(Paramètres!I37="","",Paramètres!I37))</f>
        <v/>
      </c>
      <c r="E3007" s="19">
        <f>IF($A3007="","",MIN(E3008:E3025))</f>
        <v/>
      </c>
      <c r="F3007" s="19">
        <f>IF($A3007="","",MAX(F3008:F3025))</f>
        <v/>
      </c>
      <c r="G3007" s="18" t="n"/>
      <c r="H3007" s="18">
        <f>IF($A3007="","",F3007-E3007+1)</f>
        <v/>
      </c>
      <c r="I3007" s="18" t="n"/>
    </row>
    <row r="3008">
      <c r="A3008" s="18">
        <f>IF(ISNUMBER(Dossiers!$D$59),Dossiers!$A$59&amp;" · "&amp;Dossiers!$B$59,"")</f>
        <v/>
      </c>
      <c r="B3008" s="18">
        <f>IF($A3008="","",Paramètres!G38)</f>
        <v/>
      </c>
      <c r="C3008" s="18">
        <f>IF($A3008="","",IF(Paramètres!H38="","",Paramètres!H38))</f>
        <v/>
      </c>
      <c r="D3008" s="18">
        <f>IF($A3008="","",IF(Paramètres!I38="","",Paramètres!I38))</f>
        <v/>
      </c>
      <c r="E3008" s="19">
        <f>IF($A3008="","",IF(Paramètres!J38&amp;Paramètres!L38&amp;Paramètres!N38="",Dossiers!$D$59,MAX(IF(Paramètres!J38="",0,IF(Paramètres!K38="",NA(),IF(LEFT(TRIM(Paramètres!K38),1)="F",INDEX($F$2975:$F$3027,MATCH(Paramètres!J38,Paramètres!$G$5:$G$57,0)),INDEX($E$2975:$E$3027,MATCH(Paramètres!J38,Paramètres!$G$5:$G$57,0)))+IF(RIGHT(TRIM(Paramètres!K38),3)="Fin",1-$H3008,IF(LEFT(TRIM(Paramètres!K38),1)="F",1,0)))),IF(Paramètres!L38="",0,IF(Paramètres!M38="",NA(),IF(LEFT(TRIM(Paramètres!M38),1)="F",INDEX($F$2975:$F$3027,MATCH(Paramètres!L38,Paramètres!$G$5:$G$57,0)),INDEX($E$2975:$E$3027,MATCH(Paramètres!L38,Paramètres!$G$5:$G$57,0)))+IF(RIGHT(TRIM(Paramètres!M38),3)="Fin",1-$H3008,IF(LEFT(TRIM(Paramètres!M38),1)="F",1,0)))),IF(Paramètres!N38="",0,IF(Paramètres!O38="",NA(),IF(LEFT(TRIM(Paramètres!O38),1)="F",INDEX($F$2975:$F$3027,MATCH(Paramètres!N38,Paramètres!$G$5:$G$57,0)),INDEX($E$2975:$E$3027,MATCH(Paramètres!N38,Paramètres!$G$5:$G$57,0)))+IF(RIGHT(TRIM(Paramètres!O38),3)="Fin",1-$H3008,IF(LEFT(TRIM(Paramètres!O38),1)="F",1,0)))))))</f>
        <v/>
      </c>
      <c r="F3008" s="19">
        <f>IF($A3008="","",E3008+$H3008-1)</f>
        <v/>
      </c>
      <c r="G3008" s="18" t="n"/>
      <c r="H3008" s="18">
        <f>IF($A3008="","",IF(I3008&lt;&gt;"",I3008,Paramètres!B38))</f>
        <v/>
      </c>
      <c r="I3008" s="18" t="n"/>
    </row>
    <row r="3009">
      <c r="A3009" s="18">
        <f>IF(ISNUMBER(Dossiers!$D$59),Dossiers!$A$59&amp;" · "&amp;Dossiers!$B$59,"")</f>
        <v/>
      </c>
      <c r="B3009" s="18">
        <f>IF($A3009="","",Paramètres!G39)</f>
        <v/>
      </c>
      <c r="C3009" s="18">
        <f>IF($A3009="","",IF(Paramètres!H39="","",Paramètres!H39))</f>
        <v/>
      </c>
      <c r="D3009" s="18">
        <f>IF($A3009="","",IF(Paramètres!I39="","",Paramètres!I39))</f>
        <v/>
      </c>
      <c r="E3009" s="19">
        <f>IF($A3009="","",IF(Paramètres!J39&amp;Paramètres!L39&amp;Paramètres!N39="",Dossiers!$D$59,MAX(IF(Paramètres!J39="",0,IF(Paramètres!K39="",NA(),IF(LEFT(TRIM(Paramètres!K39),1)="F",INDEX($F$2975:$F$3027,MATCH(Paramètres!J39,Paramètres!$G$5:$G$57,0)),INDEX($E$2975:$E$3027,MATCH(Paramètres!J39,Paramètres!$G$5:$G$57,0)))+IF(RIGHT(TRIM(Paramètres!K39),3)="Fin",1-$H3009,IF(LEFT(TRIM(Paramètres!K39),1)="F",1,0)))),IF(Paramètres!L39="",0,IF(Paramètres!M39="",NA(),IF(LEFT(TRIM(Paramètres!M39),1)="F",INDEX($F$2975:$F$3027,MATCH(Paramètres!L39,Paramètres!$G$5:$G$57,0)),INDEX($E$2975:$E$3027,MATCH(Paramètres!L39,Paramètres!$G$5:$G$57,0)))+IF(RIGHT(TRIM(Paramètres!M39),3)="Fin",1-$H3009,IF(LEFT(TRIM(Paramètres!M39),1)="F",1,0)))),IF(Paramètres!N39="",0,IF(Paramètres!O39="",NA(),IF(LEFT(TRIM(Paramètres!O39),1)="F",INDEX($F$2975:$F$3027,MATCH(Paramètres!N39,Paramètres!$G$5:$G$57,0)),INDEX($E$2975:$E$3027,MATCH(Paramètres!N39,Paramètres!$G$5:$G$57,0)))+IF(RIGHT(TRIM(Paramètres!O39),3)="Fin",1-$H3009,IF(LEFT(TRIM(Paramètres!O39),1)="F",1,0)))))))</f>
        <v/>
      </c>
      <c r="F3009" s="19">
        <f>IF($A3009="","",E3009+$H3009-1)</f>
        <v/>
      </c>
      <c r="G3009" s="18" t="n"/>
      <c r="H3009" s="18">
        <f>IF($A3009="","",IF(I3009&lt;&gt;"",I3009,Paramètres!B39))</f>
        <v/>
      </c>
      <c r="I3009" s="18" t="n"/>
    </row>
    <row r="3010">
      <c r="A3010" s="18">
        <f>IF(ISNUMBER(Dossiers!$D$59),Dossiers!$A$59&amp;" · "&amp;Dossiers!$B$59,"")</f>
        <v/>
      </c>
      <c r="B3010" s="18">
        <f>IF($A3010="","",Paramètres!G40)</f>
        <v/>
      </c>
      <c r="C3010" s="18">
        <f>IF($A3010="","",IF(Paramètres!H40="","",Paramètres!H40))</f>
        <v/>
      </c>
      <c r="D3010" s="18">
        <f>IF($A3010="","",IF(Paramètres!I40="","",Paramètres!I40))</f>
        <v/>
      </c>
      <c r="E3010" s="19">
        <f>IF($A3010="","",IF(Paramètres!J40&amp;Paramètres!L40&amp;Paramètres!N40="",Dossiers!$D$59,MAX(IF(Paramètres!J40="",0,IF(Paramètres!K40="",NA(),IF(LEFT(TRIM(Paramètres!K40),1)="F",INDEX($F$2975:$F$3027,MATCH(Paramètres!J40,Paramètres!$G$5:$G$57,0)),INDEX($E$2975:$E$3027,MATCH(Paramètres!J40,Paramètres!$G$5:$G$57,0)))+IF(RIGHT(TRIM(Paramètres!K40),3)="Fin",1-$H3010,IF(LEFT(TRIM(Paramètres!K40),1)="F",1,0)))),IF(Paramètres!L40="",0,IF(Paramètres!M40="",NA(),IF(LEFT(TRIM(Paramètres!M40),1)="F",INDEX($F$2975:$F$3027,MATCH(Paramètres!L40,Paramètres!$G$5:$G$57,0)),INDEX($E$2975:$E$3027,MATCH(Paramètres!L40,Paramètres!$G$5:$G$57,0)))+IF(RIGHT(TRIM(Paramètres!M40),3)="Fin",1-$H3010,IF(LEFT(TRIM(Paramètres!M40),1)="F",1,0)))),IF(Paramètres!N40="",0,IF(Paramètres!O40="",NA(),IF(LEFT(TRIM(Paramètres!O40),1)="F",INDEX($F$2975:$F$3027,MATCH(Paramètres!N40,Paramètres!$G$5:$G$57,0)),INDEX($E$2975:$E$3027,MATCH(Paramètres!N40,Paramètres!$G$5:$G$57,0)))+IF(RIGHT(TRIM(Paramètres!O40),3)="Fin",1-$H3010,IF(LEFT(TRIM(Paramètres!O40),1)="F",1,0)))))))</f>
        <v/>
      </c>
      <c r="F3010" s="19">
        <f>IF($A3010="","",E3010+$H3010-1)</f>
        <v/>
      </c>
      <c r="G3010" s="18" t="n"/>
      <c r="H3010" s="18">
        <f>IF($A3010="","",IF(I3010&lt;&gt;"",I3010,Paramètres!B40))</f>
        <v/>
      </c>
      <c r="I3010" s="18" t="n"/>
    </row>
    <row r="3011">
      <c r="A3011" s="18">
        <f>IF(ISNUMBER(Dossiers!$D$59),Dossiers!$A$59&amp;" · "&amp;Dossiers!$B$59,"")</f>
        <v/>
      </c>
      <c r="B3011" s="18">
        <f>IF($A3011="","",Paramètres!G41)</f>
        <v/>
      </c>
      <c r="C3011" s="18">
        <f>IF($A3011="","",IF(Paramètres!H41="","",Paramètres!H41))</f>
        <v/>
      </c>
      <c r="D3011" s="18">
        <f>IF($A3011="","",IF(Paramètres!I41="","",Paramètres!I41))</f>
        <v/>
      </c>
      <c r="E3011" s="19">
        <f>IF($A3011="","",IF(Paramètres!J41&amp;Paramètres!L41&amp;Paramètres!N41="",Dossiers!$D$59,MAX(IF(Paramètres!J41="",0,IF(Paramètres!K41="",NA(),IF(LEFT(TRIM(Paramètres!K41),1)="F",INDEX($F$2975:$F$3027,MATCH(Paramètres!J41,Paramètres!$G$5:$G$57,0)),INDEX($E$2975:$E$3027,MATCH(Paramètres!J41,Paramètres!$G$5:$G$57,0)))+IF(RIGHT(TRIM(Paramètres!K41),3)="Fin",1-$H3011,IF(LEFT(TRIM(Paramètres!K41),1)="F",1,0)))),IF(Paramètres!L41="",0,IF(Paramètres!M41="",NA(),IF(LEFT(TRIM(Paramètres!M41),1)="F",INDEX($F$2975:$F$3027,MATCH(Paramètres!L41,Paramètres!$G$5:$G$57,0)),INDEX($E$2975:$E$3027,MATCH(Paramètres!L41,Paramètres!$G$5:$G$57,0)))+IF(RIGHT(TRIM(Paramètres!M41),3)="Fin",1-$H3011,IF(LEFT(TRIM(Paramètres!M41),1)="F",1,0)))),IF(Paramètres!N41="",0,IF(Paramètres!O41="",NA(),IF(LEFT(TRIM(Paramètres!O41),1)="F",INDEX($F$2975:$F$3027,MATCH(Paramètres!N41,Paramètres!$G$5:$G$57,0)),INDEX($E$2975:$E$3027,MATCH(Paramètres!N41,Paramètres!$G$5:$G$57,0)))+IF(RIGHT(TRIM(Paramètres!O41),3)="Fin",1-$H3011,IF(LEFT(TRIM(Paramètres!O41),1)="F",1,0)))))))</f>
        <v/>
      </c>
      <c r="F3011" s="19">
        <f>IF($A3011="","",E3011+$H3011-1)</f>
        <v/>
      </c>
      <c r="G3011" s="18" t="n"/>
      <c r="H3011" s="18">
        <f>IF($A3011="","",IF(I3011&lt;&gt;"",I3011,Paramètres!B41))</f>
        <v/>
      </c>
      <c r="I3011" s="18" t="n"/>
    </row>
    <row r="3012">
      <c r="A3012" s="18">
        <f>IF(ISNUMBER(Dossiers!$D$59),Dossiers!$A$59&amp;" · "&amp;Dossiers!$B$59,"")</f>
        <v/>
      </c>
      <c r="B3012" s="18">
        <f>IF($A3012="","",Paramètres!G42)</f>
        <v/>
      </c>
      <c r="C3012" s="18">
        <f>IF($A3012="","",IF(Paramètres!H42="","",Paramètres!H42))</f>
        <v/>
      </c>
      <c r="D3012" s="18">
        <f>IF($A3012="","",IF(Paramètres!I42="","",Paramètres!I42))</f>
        <v/>
      </c>
      <c r="E3012" s="19">
        <f>IF($A3012="","",IF(Paramètres!J42&amp;Paramètres!L42&amp;Paramètres!N42="",Dossiers!$D$59,MAX(IF(Paramètres!J42="",0,IF(Paramètres!K42="",NA(),IF(LEFT(TRIM(Paramètres!K42),1)="F",INDEX($F$2975:$F$3027,MATCH(Paramètres!J42,Paramètres!$G$5:$G$57,0)),INDEX($E$2975:$E$3027,MATCH(Paramètres!J42,Paramètres!$G$5:$G$57,0)))+IF(RIGHT(TRIM(Paramètres!K42),3)="Fin",1-$H3012,IF(LEFT(TRIM(Paramètres!K42),1)="F",1,0)))),IF(Paramètres!L42="",0,IF(Paramètres!M42="",NA(),IF(LEFT(TRIM(Paramètres!M42),1)="F",INDEX($F$2975:$F$3027,MATCH(Paramètres!L42,Paramètres!$G$5:$G$57,0)),INDEX($E$2975:$E$3027,MATCH(Paramètres!L42,Paramètres!$G$5:$G$57,0)))+IF(RIGHT(TRIM(Paramètres!M42),3)="Fin",1-$H3012,IF(LEFT(TRIM(Paramètres!M42),1)="F",1,0)))),IF(Paramètres!N42="",0,IF(Paramètres!O42="",NA(),IF(LEFT(TRIM(Paramètres!O42),1)="F",INDEX($F$2975:$F$3027,MATCH(Paramètres!N42,Paramètres!$G$5:$G$57,0)),INDEX($E$2975:$E$3027,MATCH(Paramètres!N42,Paramètres!$G$5:$G$57,0)))+IF(RIGHT(TRIM(Paramètres!O42),3)="Fin",1-$H3012,IF(LEFT(TRIM(Paramètres!O42),1)="F",1,0)))))))</f>
        <v/>
      </c>
      <c r="F3012" s="19">
        <f>IF($A3012="","",E3012+$H3012-1)</f>
        <v/>
      </c>
      <c r="G3012" s="18" t="n"/>
      <c r="H3012" s="18">
        <f>IF($A3012="","",IF(I3012&lt;&gt;"",I3012,Paramètres!B42))</f>
        <v/>
      </c>
      <c r="I3012" s="18" t="n"/>
    </row>
    <row r="3013">
      <c r="A3013" s="18">
        <f>IF(ISNUMBER(Dossiers!$D$59),Dossiers!$A$59&amp;" · "&amp;Dossiers!$B$59,"")</f>
        <v/>
      </c>
      <c r="B3013" s="18">
        <f>IF($A3013="","",Paramètres!G43)</f>
        <v/>
      </c>
      <c r="C3013" s="18">
        <f>IF($A3013="","",IF(Paramètres!H43="","",Paramètres!H43))</f>
        <v/>
      </c>
      <c r="D3013" s="18">
        <f>IF($A3013="","",IF(Paramètres!I43="","",Paramètres!I43))</f>
        <v/>
      </c>
      <c r="E3013" s="19">
        <f>IF($A3013="","",IF(Paramètres!J43&amp;Paramètres!L43&amp;Paramètres!N43="",Dossiers!$D$59,MAX(IF(Paramètres!J43="",0,IF(Paramètres!K43="",NA(),IF(LEFT(TRIM(Paramètres!K43),1)="F",INDEX($F$2975:$F$3027,MATCH(Paramètres!J43,Paramètres!$G$5:$G$57,0)),INDEX($E$2975:$E$3027,MATCH(Paramètres!J43,Paramètres!$G$5:$G$57,0)))+IF(RIGHT(TRIM(Paramètres!K43),3)="Fin",1-$H3013,IF(LEFT(TRIM(Paramètres!K43),1)="F",1,0)))),IF(Paramètres!L43="",0,IF(Paramètres!M43="",NA(),IF(LEFT(TRIM(Paramètres!M43),1)="F",INDEX($F$2975:$F$3027,MATCH(Paramètres!L43,Paramètres!$G$5:$G$57,0)),INDEX($E$2975:$E$3027,MATCH(Paramètres!L43,Paramètres!$G$5:$G$57,0)))+IF(RIGHT(TRIM(Paramètres!M43),3)="Fin",1-$H3013,IF(LEFT(TRIM(Paramètres!M43),1)="F",1,0)))),IF(Paramètres!N43="",0,IF(Paramètres!O43="",NA(),IF(LEFT(TRIM(Paramètres!O43),1)="F",INDEX($F$2975:$F$3027,MATCH(Paramètres!N43,Paramètres!$G$5:$G$57,0)),INDEX($E$2975:$E$3027,MATCH(Paramètres!N43,Paramètres!$G$5:$G$57,0)))+IF(RIGHT(TRIM(Paramètres!O43),3)="Fin",1-$H3013,IF(LEFT(TRIM(Paramètres!O43),1)="F",1,0)))))))</f>
        <v/>
      </c>
      <c r="F3013" s="19">
        <f>IF($A3013="","",E3013+$H3013-1)</f>
        <v/>
      </c>
      <c r="G3013" s="18" t="n"/>
      <c r="H3013" s="18">
        <f>IF($A3013="","",IF(I3013&lt;&gt;"",I3013,Paramètres!B43))</f>
        <v/>
      </c>
      <c r="I3013" s="18" t="n"/>
    </row>
    <row r="3014">
      <c r="A3014" s="18">
        <f>IF(ISNUMBER(Dossiers!$D$59),Dossiers!$A$59&amp;" · "&amp;Dossiers!$B$59,"")</f>
        <v/>
      </c>
      <c r="B3014" s="18">
        <f>IF($A3014="","",Paramètres!G44)</f>
        <v/>
      </c>
      <c r="C3014" s="18">
        <f>IF($A3014="","",IF(Paramètres!H44="","",Paramètres!H44))</f>
        <v/>
      </c>
      <c r="D3014" s="18">
        <f>IF($A3014="","",IF(Paramètres!I44="","",Paramètres!I44))</f>
        <v/>
      </c>
      <c r="E3014" s="19">
        <f>IF($A3014="","",IF(Paramètres!J44&amp;Paramètres!L44&amp;Paramètres!N44="",Dossiers!$D$59,MAX(IF(Paramètres!J44="",0,IF(Paramètres!K44="",NA(),IF(LEFT(TRIM(Paramètres!K44),1)="F",INDEX($F$2975:$F$3027,MATCH(Paramètres!J44,Paramètres!$G$5:$G$57,0)),INDEX($E$2975:$E$3027,MATCH(Paramètres!J44,Paramètres!$G$5:$G$57,0)))+IF(RIGHT(TRIM(Paramètres!K44),3)="Fin",1-$H3014,IF(LEFT(TRIM(Paramètres!K44),1)="F",1,0)))),IF(Paramètres!L44="",0,IF(Paramètres!M44="",NA(),IF(LEFT(TRIM(Paramètres!M44),1)="F",INDEX($F$2975:$F$3027,MATCH(Paramètres!L44,Paramètres!$G$5:$G$57,0)),INDEX($E$2975:$E$3027,MATCH(Paramètres!L44,Paramètres!$G$5:$G$57,0)))+IF(RIGHT(TRIM(Paramètres!M44),3)="Fin",1-$H3014,IF(LEFT(TRIM(Paramètres!M44),1)="F",1,0)))),IF(Paramètres!N44="",0,IF(Paramètres!O44="",NA(),IF(LEFT(TRIM(Paramètres!O44),1)="F",INDEX($F$2975:$F$3027,MATCH(Paramètres!N44,Paramètres!$G$5:$G$57,0)),INDEX($E$2975:$E$3027,MATCH(Paramètres!N44,Paramètres!$G$5:$G$57,0)))+IF(RIGHT(TRIM(Paramètres!O44),3)="Fin",1-$H3014,IF(LEFT(TRIM(Paramètres!O44),1)="F",1,0)))))))</f>
        <v/>
      </c>
      <c r="F3014" s="19">
        <f>IF($A3014="","",E3014+$H3014-1)</f>
        <v/>
      </c>
      <c r="G3014" s="18" t="n"/>
      <c r="H3014" s="18">
        <f>IF($A3014="","",IF(I3014&lt;&gt;"",I3014,Paramètres!B44))</f>
        <v/>
      </c>
      <c r="I3014" s="18" t="n"/>
    </row>
    <row r="3015">
      <c r="A3015" s="18">
        <f>IF(ISNUMBER(Dossiers!$D$59),Dossiers!$A$59&amp;" · "&amp;Dossiers!$B$59,"")</f>
        <v/>
      </c>
      <c r="B3015" s="18">
        <f>IF($A3015="","",Paramètres!G45)</f>
        <v/>
      </c>
      <c r="C3015" s="20">
        <f>IF($A3015="","",IF(Dossiers!$G$59="","",Dossiers!$G$59))</f>
        <v/>
      </c>
      <c r="D3015" s="18">
        <f>IF($A3015="","",IF(Paramètres!I45="","",Paramètres!I45))</f>
        <v/>
      </c>
      <c r="E3015" s="19">
        <f>IF($A3015="","",IF(Paramètres!J45&amp;Paramètres!L45&amp;Paramètres!N45="",Dossiers!$D$59,MAX(IF(Paramètres!J45="",0,IF(Paramètres!K45="",NA(),IF(LEFT(TRIM(Paramètres!K45),1)="F",INDEX($F$2975:$F$3027,MATCH(Paramètres!J45,Paramètres!$G$5:$G$57,0)),INDEX($E$2975:$E$3027,MATCH(Paramètres!J45,Paramètres!$G$5:$G$57,0)))+IF(RIGHT(TRIM(Paramètres!K45),3)="Fin",1-$H3015,IF(LEFT(TRIM(Paramètres!K45),1)="F",1,0)))),IF(Paramètres!L45="",0,IF(Paramètres!M45="",NA(),IF(LEFT(TRIM(Paramètres!M45),1)="F",INDEX($F$2975:$F$3027,MATCH(Paramètres!L45,Paramètres!$G$5:$G$57,0)),INDEX($E$2975:$E$3027,MATCH(Paramètres!L45,Paramètres!$G$5:$G$57,0)))+IF(RIGHT(TRIM(Paramètres!M45),3)="Fin",1-$H3015,IF(LEFT(TRIM(Paramètres!M45),1)="F",1,0)))),IF(Paramètres!N45="",0,IF(Paramètres!O45="",NA(),IF(LEFT(TRIM(Paramètres!O45),1)="F",INDEX($F$2975:$F$3027,MATCH(Paramètres!N45,Paramètres!$G$5:$G$57,0)),INDEX($E$2975:$E$3027,MATCH(Paramètres!N45,Paramètres!$G$5:$G$57,0)))+IF(RIGHT(TRIM(Paramètres!O45),3)="Fin",1-$H3015,IF(LEFT(TRIM(Paramètres!O45),1)="F",1,0)))))))</f>
        <v/>
      </c>
      <c r="F3015" s="19">
        <f>IF($A3015="","",E3015+$H3015-1)</f>
        <v/>
      </c>
      <c r="G3015" s="18" t="n"/>
      <c r="H3015" s="18">
        <f>IF($A3015="","",IF(I3015&lt;&gt;"",I3015,Paramètres!B45))</f>
        <v/>
      </c>
      <c r="I3015" s="18" t="n"/>
    </row>
    <row r="3016">
      <c r="A3016" s="18">
        <f>IF(ISNUMBER(Dossiers!$D$59),Dossiers!$A$59&amp;" · "&amp;Dossiers!$B$59,"")</f>
        <v/>
      </c>
      <c r="B3016" s="18">
        <f>IF($A3016="","",Paramètres!G46)</f>
        <v/>
      </c>
      <c r="C3016" s="18">
        <f>IF($A3016="","",IF(Paramètres!H46="","",Paramètres!H46))</f>
        <v/>
      </c>
      <c r="D3016" s="18">
        <f>IF($A3016="","",IF(Paramètres!I46="","",Paramètres!I46))</f>
        <v/>
      </c>
      <c r="E3016" s="19">
        <f>IF($A3016="","",IF(Paramètres!J46&amp;Paramètres!L46&amp;Paramètres!N46="",Dossiers!$D$59,MAX(IF(Paramètres!J46="",0,IF(Paramètres!K46="",NA(),IF(LEFT(TRIM(Paramètres!K46),1)="F",INDEX($F$2975:$F$3027,MATCH(Paramètres!J46,Paramètres!$G$5:$G$57,0)),INDEX($E$2975:$E$3027,MATCH(Paramètres!J46,Paramètres!$G$5:$G$57,0)))+IF(RIGHT(TRIM(Paramètres!K46),3)="Fin",1-$H3016,IF(LEFT(TRIM(Paramètres!K46),1)="F",1,0)))),IF(Paramètres!L46="",0,IF(Paramètres!M46="",NA(),IF(LEFT(TRIM(Paramètres!M46),1)="F",INDEX($F$2975:$F$3027,MATCH(Paramètres!L46,Paramètres!$G$5:$G$57,0)),INDEX($E$2975:$E$3027,MATCH(Paramètres!L46,Paramètres!$G$5:$G$57,0)))+IF(RIGHT(TRIM(Paramètres!M46),3)="Fin",1-$H3016,IF(LEFT(TRIM(Paramètres!M46),1)="F",1,0)))),IF(Paramètres!N46="",0,IF(Paramètres!O46="",NA(),IF(LEFT(TRIM(Paramètres!O46),1)="F",INDEX($F$2975:$F$3027,MATCH(Paramètres!N46,Paramètres!$G$5:$G$57,0)),INDEX($E$2975:$E$3027,MATCH(Paramètres!N46,Paramètres!$G$5:$G$57,0)))+IF(RIGHT(TRIM(Paramètres!O46),3)="Fin",1-$H3016,IF(LEFT(TRIM(Paramètres!O46),1)="F",1,0)))))))</f>
        <v/>
      </c>
      <c r="F3016" s="19">
        <f>IF($A3016="","",E3016+$H3016-1)</f>
        <v/>
      </c>
      <c r="G3016" s="18" t="n"/>
      <c r="H3016" s="18">
        <f>IF($A3016="","",IF(I3016&lt;&gt;"",I3016,Paramètres!B46))</f>
        <v/>
      </c>
      <c r="I3016" s="18" t="n"/>
    </row>
    <row r="3017">
      <c r="A3017" s="18">
        <f>IF(ISNUMBER(Dossiers!$D$59),Dossiers!$A$59&amp;" · "&amp;Dossiers!$B$59,"")</f>
        <v/>
      </c>
      <c r="B3017" s="18">
        <f>IF($A3017="","",Paramètres!G47)</f>
        <v/>
      </c>
      <c r="C3017" s="18">
        <f>IF($A3017="","",IF(Paramètres!H47="","",Paramètres!H47))</f>
        <v/>
      </c>
      <c r="D3017" s="18">
        <f>IF($A3017="","",IF(Paramètres!I47="","",Paramètres!I47))</f>
        <v/>
      </c>
      <c r="E3017" s="19">
        <f>IF($A3017="","",IF(Paramètres!J47&amp;Paramètres!L47&amp;Paramètres!N47="",Dossiers!$D$59,MAX(IF(Paramètres!J47="",0,IF(Paramètres!K47="",NA(),IF(LEFT(TRIM(Paramètres!K47),1)="F",INDEX($F$2975:$F$3027,MATCH(Paramètres!J47,Paramètres!$G$5:$G$57,0)),INDEX($E$2975:$E$3027,MATCH(Paramètres!J47,Paramètres!$G$5:$G$57,0)))+IF(RIGHT(TRIM(Paramètres!K47),3)="Fin",1-$H3017,IF(LEFT(TRIM(Paramètres!K47),1)="F",1,0)))),IF(Paramètres!L47="",0,IF(Paramètres!M47="",NA(),IF(LEFT(TRIM(Paramètres!M47),1)="F",INDEX($F$2975:$F$3027,MATCH(Paramètres!L47,Paramètres!$G$5:$G$57,0)),INDEX($E$2975:$E$3027,MATCH(Paramètres!L47,Paramètres!$G$5:$G$57,0)))+IF(RIGHT(TRIM(Paramètres!M47),3)="Fin",1-$H3017,IF(LEFT(TRIM(Paramètres!M47),1)="F",1,0)))),IF(Paramètres!N47="",0,IF(Paramètres!O47="",NA(),IF(LEFT(TRIM(Paramètres!O47),1)="F",INDEX($F$2975:$F$3027,MATCH(Paramètres!N47,Paramètres!$G$5:$G$57,0)),INDEX($E$2975:$E$3027,MATCH(Paramètres!N47,Paramètres!$G$5:$G$57,0)))+IF(RIGHT(TRIM(Paramètres!O47),3)="Fin",1-$H3017,IF(LEFT(TRIM(Paramètres!O47),1)="F",1,0)))))))</f>
        <v/>
      </c>
      <c r="F3017" s="19">
        <f>IF($A3017="","",E3017+$H3017-1)</f>
        <v/>
      </c>
      <c r="G3017" s="18" t="n"/>
      <c r="H3017" s="18">
        <f>IF($A3017="","",IF(I3017&lt;&gt;"",I3017,Paramètres!B47))</f>
        <v/>
      </c>
      <c r="I3017" s="18" t="n"/>
    </row>
    <row r="3018">
      <c r="A3018" s="18">
        <f>IF(ISNUMBER(Dossiers!$D$59),Dossiers!$A$59&amp;" · "&amp;Dossiers!$B$59,"")</f>
        <v/>
      </c>
      <c r="B3018" s="18">
        <f>IF($A3018="","",Paramètres!G48)</f>
        <v/>
      </c>
      <c r="C3018" s="18">
        <f>IF($A3018="","",IF(Paramètres!H48="","",Paramètres!H48))</f>
        <v/>
      </c>
      <c r="D3018" s="18">
        <f>IF($A3018="","",IF(Paramètres!I48="","",Paramètres!I48))</f>
        <v/>
      </c>
      <c r="E3018" s="19">
        <f>IF($A3018="","",IF(Paramètres!J48&amp;Paramètres!L48&amp;Paramètres!N48="",Dossiers!$D$59,MAX(IF(Paramètres!J48="",0,IF(Paramètres!K48="",NA(),IF(LEFT(TRIM(Paramètres!K48),1)="F",INDEX($F$2975:$F$3027,MATCH(Paramètres!J48,Paramètres!$G$5:$G$57,0)),INDEX($E$2975:$E$3027,MATCH(Paramètres!J48,Paramètres!$G$5:$G$57,0)))+IF(RIGHT(TRIM(Paramètres!K48),3)="Fin",1-$H3018,IF(LEFT(TRIM(Paramètres!K48),1)="F",1,0)))),IF(Paramètres!L48="",0,IF(Paramètres!M48="",NA(),IF(LEFT(TRIM(Paramètres!M48),1)="F",INDEX($F$2975:$F$3027,MATCH(Paramètres!L48,Paramètres!$G$5:$G$57,0)),INDEX($E$2975:$E$3027,MATCH(Paramètres!L48,Paramètres!$G$5:$G$57,0)))+IF(RIGHT(TRIM(Paramètres!M48),3)="Fin",1-$H3018,IF(LEFT(TRIM(Paramètres!M48),1)="F",1,0)))),IF(Paramètres!N48="",0,IF(Paramètres!O48="",NA(),IF(LEFT(TRIM(Paramètres!O48),1)="F",INDEX($F$2975:$F$3027,MATCH(Paramètres!N48,Paramètres!$G$5:$G$57,0)),INDEX($E$2975:$E$3027,MATCH(Paramètres!N48,Paramètres!$G$5:$G$57,0)))+IF(RIGHT(TRIM(Paramètres!O48),3)="Fin",1-$H3018,IF(LEFT(TRIM(Paramètres!O48),1)="F",1,0)))))))</f>
        <v/>
      </c>
      <c r="F3018" s="19">
        <f>IF($A3018="","",E3018+$H3018-1)</f>
        <v/>
      </c>
      <c r="G3018" s="18" t="n"/>
      <c r="H3018" s="18">
        <f>IF($A3018="","",IF(I3018&lt;&gt;"",I3018,Paramètres!B48))</f>
        <v/>
      </c>
      <c r="I3018" s="18" t="n"/>
    </row>
    <row r="3019">
      <c r="A3019" s="18">
        <f>IF(ISNUMBER(Dossiers!$D$59),Dossiers!$A$59&amp;" · "&amp;Dossiers!$B$59,"")</f>
        <v/>
      </c>
      <c r="B3019" s="18">
        <f>IF($A3019="","",Paramètres!G49)</f>
        <v/>
      </c>
      <c r="C3019" s="18">
        <f>IF($A3019="","",IF(Paramètres!H49="","",Paramètres!H49))</f>
        <v/>
      </c>
      <c r="D3019" s="18">
        <f>IF($A3019="","",IF(Paramètres!I49="","",Paramètres!I49))</f>
        <v/>
      </c>
      <c r="E3019" s="19">
        <f>IF($A3019="","",IF(Paramètres!J49&amp;Paramètres!L49&amp;Paramètres!N49="",Dossiers!$D$59,MAX(IF(Paramètres!J49="",0,IF(Paramètres!K49="",NA(),IF(LEFT(TRIM(Paramètres!K49),1)="F",INDEX($F$2975:$F$3027,MATCH(Paramètres!J49,Paramètres!$G$5:$G$57,0)),INDEX($E$2975:$E$3027,MATCH(Paramètres!J49,Paramètres!$G$5:$G$57,0)))+IF(RIGHT(TRIM(Paramètres!K49),3)="Fin",1-$H3019,IF(LEFT(TRIM(Paramètres!K49),1)="F",1,0)))),IF(Paramètres!L49="",0,IF(Paramètres!M49="",NA(),IF(LEFT(TRIM(Paramètres!M49),1)="F",INDEX($F$2975:$F$3027,MATCH(Paramètres!L49,Paramètres!$G$5:$G$57,0)),INDEX($E$2975:$E$3027,MATCH(Paramètres!L49,Paramètres!$G$5:$G$57,0)))+IF(RIGHT(TRIM(Paramètres!M49),3)="Fin",1-$H3019,IF(LEFT(TRIM(Paramètres!M49),1)="F",1,0)))),IF(Paramètres!N49="",0,IF(Paramètres!O49="",NA(),IF(LEFT(TRIM(Paramètres!O49),1)="F",INDEX($F$2975:$F$3027,MATCH(Paramètres!N49,Paramètres!$G$5:$G$57,0)),INDEX($E$2975:$E$3027,MATCH(Paramètres!N49,Paramètres!$G$5:$G$57,0)))+IF(RIGHT(TRIM(Paramètres!O49),3)="Fin",1-$H3019,IF(LEFT(TRIM(Paramètres!O49),1)="F",1,0)))))))</f>
        <v/>
      </c>
      <c r="F3019" s="19">
        <f>IF($A3019="","",E3019+$H3019-1)</f>
        <v/>
      </c>
      <c r="G3019" s="18" t="n"/>
      <c r="H3019" s="18">
        <f>IF($A3019="","",IF(I3019&lt;&gt;"",I3019,Paramètres!B49))</f>
        <v/>
      </c>
      <c r="I3019" s="18" t="n"/>
    </row>
    <row r="3020">
      <c r="A3020" s="18">
        <f>IF(ISNUMBER(Dossiers!$D$59),Dossiers!$A$59&amp;" · "&amp;Dossiers!$B$59,"")</f>
        <v/>
      </c>
      <c r="B3020" s="18">
        <f>IF($A3020="","",Paramètres!G50)</f>
        <v/>
      </c>
      <c r="C3020" s="18">
        <f>IF($A3020="","",IF(Paramètres!H50="","",Paramètres!H50))</f>
        <v/>
      </c>
      <c r="D3020" s="18">
        <f>IF($A3020="","",IF(Paramètres!I50="","",Paramètres!I50))</f>
        <v/>
      </c>
      <c r="E3020" s="19">
        <f>IF($A3020="","",IF(Paramètres!J50&amp;Paramètres!L50&amp;Paramètres!N50="",Dossiers!$D$59,MAX(IF(Paramètres!J50="",0,IF(Paramètres!K50="",NA(),IF(LEFT(TRIM(Paramètres!K50),1)="F",INDEX($F$2975:$F$3027,MATCH(Paramètres!J50,Paramètres!$G$5:$G$57,0)),INDEX($E$2975:$E$3027,MATCH(Paramètres!J50,Paramètres!$G$5:$G$57,0)))+IF(RIGHT(TRIM(Paramètres!K50),3)="Fin",1-$H3020,IF(LEFT(TRIM(Paramètres!K50),1)="F",1,0)))),IF(Paramètres!L50="",0,IF(Paramètres!M50="",NA(),IF(LEFT(TRIM(Paramètres!M50),1)="F",INDEX($F$2975:$F$3027,MATCH(Paramètres!L50,Paramètres!$G$5:$G$57,0)),INDEX($E$2975:$E$3027,MATCH(Paramètres!L50,Paramètres!$G$5:$G$57,0)))+IF(RIGHT(TRIM(Paramètres!M50),3)="Fin",1-$H3020,IF(LEFT(TRIM(Paramètres!M50),1)="F",1,0)))),IF(Paramètres!N50="",0,IF(Paramètres!O50="",NA(),IF(LEFT(TRIM(Paramètres!O50),1)="F",INDEX($F$2975:$F$3027,MATCH(Paramètres!N50,Paramètres!$G$5:$G$57,0)),INDEX($E$2975:$E$3027,MATCH(Paramètres!N50,Paramètres!$G$5:$G$57,0)))+IF(RIGHT(TRIM(Paramètres!O50),3)="Fin",1-$H3020,IF(LEFT(TRIM(Paramètres!O50),1)="F",1,0)))))))</f>
        <v/>
      </c>
      <c r="F3020" s="19">
        <f>IF($A3020="","",E3020+$H3020-1)</f>
        <v/>
      </c>
      <c r="G3020" s="18" t="n"/>
      <c r="H3020" s="18">
        <f>IF($A3020="","",IF(I3020&lt;&gt;"",I3020,Paramètres!B50))</f>
        <v/>
      </c>
      <c r="I3020" s="18" t="n"/>
    </row>
    <row r="3021">
      <c r="A3021" s="18">
        <f>IF(ISNUMBER(Dossiers!$D$59),Dossiers!$A$59&amp;" · "&amp;Dossiers!$B$59,"")</f>
        <v/>
      </c>
      <c r="B3021" s="18">
        <f>IF($A3021="","",Paramètres!G51)</f>
        <v/>
      </c>
      <c r="C3021" s="18">
        <f>IF($A3021="","",IF(Paramètres!H51="","",Paramètres!H51))</f>
        <v/>
      </c>
      <c r="D3021" s="18">
        <f>IF($A3021="","",IF(Paramètres!I51="","",Paramètres!I51))</f>
        <v/>
      </c>
      <c r="E3021" s="19">
        <f>IF($A3021="","",IF(Paramètres!J51&amp;Paramètres!L51&amp;Paramètres!N51="",Dossiers!$D$59,MAX(IF(Paramètres!J51="",0,IF(Paramètres!K51="",NA(),IF(LEFT(TRIM(Paramètres!K51),1)="F",INDEX($F$2975:$F$3027,MATCH(Paramètres!J51,Paramètres!$G$5:$G$57,0)),INDEX($E$2975:$E$3027,MATCH(Paramètres!J51,Paramètres!$G$5:$G$57,0)))+IF(RIGHT(TRIM(Paramètres!K51),3)="Fin",1-$H3021,IF(LEFT(TRIM(Paramètres!K51),1)="F",1,0)))),IF(Paramètres!L51="",0,IF(Paramètres!M51="",NA(),IF(LEFT(TRIM(Paramètres!M51),1)="F",INDEX($F$2975:$F$3027,MATCH(Paramètres!L51,Paramètres!$G$5:$G$57,0)),INDEX($E$2975:$E$3027,MATCH(Paramètres!L51,Paramètres!$G$5:$G$57,0)))+IF(RIGHT(TRIM(Paramètres!M51),3)="Fin",1-$H3021,IF(LEFT(TRIM(Paramètres!M51),1)="F",1,0)))),IF(Paramètres!N51="",0,IF(Paramètres!O51="",NA(),IF(LEFT(TRIM(Paramètres!O51),1)="F",INDEX($F$2975:$F$3027,MATCH(Paramètres!N51,Paramètres!$G$5:$G$57,0)),INDEX($E$2975:$E$3027,MATCH(Paramètres!N51,Paramètres!$G$5:$G$57,0)))+IF(RIGHT(TRIM(Paramètres!O51),3)="Fin",1-$H3021,IF(LEFT(TRIM(Paramètres!O51),1)="F",1,0)))))))</f>
        <v/>
      </c>
      <c r="F3021" s="19">
        <f>IF($A3021="","",E3021+$H3021-1)</f>
        <v/>
      </c>
      <c r="G3021" s="18" t="n"/>
      <c r="H3021" s="18">
        <f>IF($A3021="","",IF(I3021&lt;&gt;"",I3021,Paramètres!B51))</f>
        <v/>
      </c>
      <c r="I3021" s="18" t="n"/>
    </row>
    <row r="3022">
      <c r="A3022" s="18">
        <f>IF(ISNUMBER(Dossiers!$D$59),Dossiers!$A$59&amp;" · "&amp;Dossiers!$B$59,"")</f>
        <v/>
      </c>
      <c r="B3022" s="18">
        <f>IF($A3022="","",Paramètres!G52)</f>
        <v/>
      </c>
      <c r="C3022" s="18">
        <f>IF($A3022="","",IF(Paramètres!H52="","",Paramètres!H52))</f>
        <v/>
      </c>
      <c r="D3022" s="18">
        <f>IF($A3022="","",IF(Paramètres!I52="","",Paramètres!I52))</f>
        <v/>
      </c>
      <c r="E3022" s="19">
        <f>IF($A3022="","",IF(Paramètres!J52&amp;Paramètres!L52&amp;Paramètres!N52="",Dossiers!$D$59,MAX(IF(Paramètres!J52="",0,IF(Paramètres!K52="",NA(),IF(LEFT(TRIM(Paramètres!K52),1)="F",INDEX($F$2975:$F$3027,MATCH(Paramètres!J52,Paramètres!$G$5:$G$57,0)),INDEX($E$2975:$E$3027,MATCH(Paramètres!J52,Paramètres!$G$5:$G$57,0)))+IF(RIGHT(TRIM(Paramètres!K52),3)="Fin",1-$H3022,IF(LEFT(TRIM(Paramètres!K52),1)="F",1,0)))),IF(Paramètres!L52="",0,IF(Paramètres!M52="",NA(),IF(LEFT(TRIM(Paramètres!M52),1)="F",INDEX($F$2975:$F$3027,MATCH(Paramètres!L52,Paramètres!$G$5:$G$57,0)),INDEX($E$2975:$E$3027,MATCH(Paramètres!L52,Paramètres!$G$5:$G$57,0)))+IF(RIGHT(TRIM(Paramètres!M52),3)="Fin",1-$H3022,IF(LEFT(TRIM(Paramètres!M52),1)="F",1,0)))),IF(Paramètres!N52="",0,IF(Paramètres!O52="",NA(),IF(LEFT(TRIM(Paramètres!O52),1)="F",INDEX($F$2975:$F$3027,MATCH(Paramètres!N52,Paramètres!$G$5:$G$57,0)),INDEX($E$2975:$E$3027,MATCH(Paramètres!N52,Paramètres!$G$5:$G$57,0)))+IF(RIGHT(TRIM(Paramètres!O52),3)="Fin",1-$H3022,IF(LEFT(TRIM(Paramètres!O52),1)="F",1,0)))))))</f>
        <v/>
      </c>
      <c r="F3022" s="19">
        <f>IF($A3022="","",E3022+$H3022-1)</f>
        <v/>
      </c>
      <c r="G3022" s="18" t="n"/>
      <c r="H3022" s="18">
        <f>IF($A3022="","",IF(I3022&lt;&gt;"",I3022,Paramètres!B52))</f>
        <v/>
      </c>
      <c r="I3022" s="18" t="n"/>
    </row>
    <row r="3023">
      <c r="A3023" s="18">
        <f>IF(ISNUMBER(Dossiers!$D$59),Dossiers!$A$59&amp;" · "&amp;Dossiers!$B$59,"")</f>
        <v/>
      </c>
      <c r="B3023" s="18">
        <f>IF($A3023="","",Paramètres!G53)</f>
        <v/>
      </c>
      <c r="C3023" s="18">
        <f>IF($A3023="","",IF(Paramètres!H53="","",Paramètres!H53))</f>
        <v/>
      </c>
      <c r="D3023" s="18">
        <f>IF($A3023="","",IF(Paramètres!I53="","",Paramètres!I53))</f>
        <v/>
      </c>
      <c r="E3023" s="19">
        <f>IF($A3023="","",IF(Paramètres!J53&amp;Paramètres!L53&amp;Paramètres!N53="",Dossiers!$D$59,MAX(IF(Paramètres!J53="",0,IF(Paramètres!K53="",NA(),IF(LEFT(TRIM(Paramètres!K53),1)="F",INDEX($F$2975:$F$3027,MATCH(Paramètres!J53,Paramètres!$G$5:$G$57,0)),INDEX($E$2975:$E$3027,MATCH(Paramètres!J53,Paramètres!$G$5:$G$57,0)))+IF(RIGHT(TRIM(Paramètres!K53),3)="Fin",1-$H3023,IF(LEFT(TRIM(Paramètres!K53),1)="F",1,0)))),IF(Paramètres!L53="",0,IF(Paramètres!M53="",NA(),IF(LEFT(TRIM(Paramètres!M53),1)="F",INDEX($F$2975:$F$3027,MATCH(Paramètres!L53,Paramètres!$G$5:$G$57,0)),INDEX($E$2975:$E$3027,MATCH(Paramètres!L53,Paramètres!$G$5:$G$57,0)))+IF(RIGHT(TRIM(Paramètres!M53),3)="Fin",1-$H3023,IF(LEFT(TRIM(Paramètres!M53),1)="F",1,0)))),IF(Paramètres!N53="",0,IF(Paramètres!O53="",NA(),IF(LEFT(TRIM(Paramètres!O53),1)="F",INDEX($F$2975:$F$3027,MATCH(Paramètres!N53,Paramètres!$G$5:$G$57,0)),INDEX($E$2975:$E$3027,MATCH(Paramètres!N53,Paramètres!$G$5:$G$57,0)))+IF(RIGHT(TRIM(Paramètres!O53),3)="Fin",1-$H3023,IF(LEFT(TRIM(Paramètres!O53),1)="F",1,0)))))))</f>
        <v/>
      </c>
      <c r="F3023" s="19">
        <f>IF($A3023="","",E3023+$H3023-1)</f>
        <v/>
      </c>
      <c r="G3023" s="18" t="n"/>
      <c r="H3023" s="18">
        <f>IF($A3023="","",IF(I3023&lt;&gt;"",I3023,Paramètres!B53))</f>
        <v/>
      </c>
      <c r="I3023" s="18" t="n"/>
    </row>
    <row r="3024">
      <c r="A3024" s="18">
        <f>IF(ISNUMBER(Dossiers!$D$59),Dossiers!$A$59&amp;" · "&amp;Dossiers!$B$59,"")</f>
        <v/>
      </c>
      <c r="B3024" s="18">
        <f>IF($A3024="","",Paramètres!G54)</f>
        <v/>
      </c>
      <c r="C3024" s="18">
        <f>IF($A3024="","",IF(Paramètres!H54="","",Paramètres!H54))</f>
        <v/>
      </c>
      <c r="D3024" s="18">
        <f>IF($A3024="","",IF(Paramètres!I54="","",Paramètres!I54))</f>
        <v/>
      </c>
      <c r="E3024" s="19">
        <f>IF($A3024="","",IF(Paramètres!J54&amp;Paramètres!L54&amp;Paramètres!N54="",Dossiers!$D$59,MAX(IF(Paramètres!J54="",0,IF(Paramètres!K54="",NA(),IF(LEFT(TRIM(Paramètres!K54),1)="F",INDEX($F$2975:$F$3027,MATCH(Paramètres!J54,Paramètres!$G$5:$G$57,0)),INDEX($E$2975:$E$3027,MATCH(Paramètres!J54,Paramètres!$G$5:$G$57,0)))+IF(RIGHT(TRIM(Paramètres!K54),3)="Fin",1-$H3024,IF(LEFT(TRIM(Paramètres!K54),1)="F",1,0)))),IF(Paramètres!L54="",0,IF(Paramètres!M54="",NA(),IF(LEFT(TRIM(Paramètres!M54),1)="F",INDEX($F$2975:$F$3027,MATCH(Paramètres!L54,Paramètres!$G$5:$G$57,0)),INDEX($E$2975:$E$3027,MATCH(Paramètres!L54,Paramètres!$G$5:$G$57,0)))+IF(RIGHT(TRIM(Paramètres!M54),3)="Fin",1-$H3024,IF(LEFT(TRIM(Paramètres!M54),1)="F",1,0)))),IF(Paramètres!N54="",0,IF(Paramètres!O54="",NA(),IF(LEFT(TRIM(Paramètres!O54),1)="F",INDEX($F$2975:$F$3027,MATCH(Paramètres!N54,Paramètres!$G$5:$G$57,0)),INDEX($E$2975:$E$3027,MATCH(Paramètres!N54,Paramètres!$G$5:$G$57,0)))+IF(RIGHT(TRIM(Paramètres!O54),3)="Fin",1-$H3024,IF(LEFT(TRIM(Paramètres!O54),1)="F",1,0)))))))</f>
        <v/>
      </c>
      <c r="F3024" s="19">
        <f>IF($A3024="","",E3024+$H3024-1)</f>
        <v/>
      </c>
      <c r="G3024" s="18" t="n"/>
      <c r="H3024" s="18">
        <f>IF($A3024="","",IF(I3024&lt;&gt;"",I3024,Paramètres!B54))</f>
        <v/>
      </c>
      <c r="I3024" s="18" t="n"/>
    </row>
    <row r="3025">
      <c r="A3025" s="18">
        <f>IF(ISNUMBER(Dossiers!$D$59),Dossiers!$A$59&amp;" · "&amp;Dossiers!$B$59,"")</f>
        <v/>
      </c>
      <c r="B3025" s="18">
        <f>IF($A3025="","",Paramètres!G55)</f>
        <v/>
      </c>
      <c r="C3025" s="18">
        <f>IF($A3025="","",IF(Paramètres!H55="","",Paramètres!H55))</f>
        <v/>
      </c>
      <c r="D3025" s="18">
        <f>IF($A3025="","",IF(Paramètres!I55="","",Paramètres!I55))</f>
        <v/>
      </c>
      <c r="E3025" s="19">
        <f>IF($A3025="","",IF(Paramètres!J55&amp;Paramètres!L55&amp;Paramètres!N55="",Dossiers!$D$59,MAX(IF(Paramètres!J55="",0,IF(Paramètres!K55="",NA(),IF(LEFT(TRIM(Paramètres!K55),1)="F",INDEX($F$2975:$F$3027,MATCH(Paramètres!J55,Paramètres!$G$5:$G$57,0)),INDEX($E$2975:$E$3027,MATCH(Paramètres!J55,Paramètres!$G$5:$G$57,0)))+IF(RIGHT(TRIM(Paramètres!K55),3)="Fin",1-$H3025,IF(LEFT(TRIM(Paramètres!K55),1)="F",1,0)))),IF(Paramètres!L55="",0,IF(Paramètres!M55="",NA(),IF(LEFT(TRIM(Paramètres!M55),1)="F",INDEX($F$2975:$F$3027,MATCH(Paramètres!L55,Paramètres!$G$5:$G$57,0)),INDEX($E$2975:$E$3027,MATCH(Paramètres!L55,Paramètres!$G$5:$G$57,0)))+IF(RIGHT(TRIM(Paramètres!M55),3)="Fin",1-$H3025,IF(LEFT(TRIM(Paramètres!M55),1)="F",1,0)))),IF(Paramètres!N55="",0,IF(Paramètres!O55="",NA(),IF(LEFT(TRIM(Paramètres!O55),1)="F",INDEX($F$2975:$F$3027,MATCH(Paramètres!N55,Paramètres!$G$5:$G$57,0)),INDEX($E$2975:$E$3027,MATCH(Paramètres!N55,Paramètres!$G$5:$G$57,0)))+IF(RIGHT(TRIM(Paramètres!O55),3)="Fin",1-$H3025,IF(LEFT(TRIM(Paramètres!O55),1)="F",1,0)))))))</f>
        <v/>
      </c>
      <c r="F3025" s="19">
        <f>IF($A3025="","",E3025+$H3025-1)</f>
        <v/>
      </c>
      <c r="G3025" s="18" t="n"/>
      <c r="H3025" s="18">
        <f>IF($A3025="","",IF(I3025&lt;&gt;"",I3025,Paramètres!B55))</f>
        <v/>
      </c>
      <c r="I3025" s="18" t="n"/>
    </row>
    <row r="3026">
      <c r="A3026" s="18">
        <f>IF(ISNUMBER(Dossiers!$D$59),Dossiers!$A$59&amp;" · "&amp;Dossiers!$B$59,"")</f>
        <v/>
      </c>
      <c r="B3026" s="18">
        <f>IF($A3026="","",Paramètres!G56)</f>
        <v/>
      </c>
      <c r="C3026" s="18">
        <f>IF($A3026="","",IF(Paramètres!H56="","",Paramètres!H56))</f>
        <v/>
      </c>
      <c r="D3026" s="18">
        <f>IF($A3026="","",IF(Paramètres!I56="","",Paramètres!I56))</f>
        <v/>
      </c>
      <c r="E3026" s="19">
        <f>IF($A3026="","",MIN(E3027:E3027))</f>
        <v/>
      </c>
      <c r="F3026" s="19">
        <f>IF($A3026="","",MAX(F3027:F3027))</f>
        <v/>
      </c>
      <c r="G3026" s="18" t="n"/>
      <c r="H3026" s="18">
        <f>IF($A3026="","",F3026-E3026+1)</f>
        <v/>
      </c>
      <c r="I3026" s="18" t="n"/>
    </row>
    <row r="3027">
      <c r="A3027" s="18">
        <f>IF(ISNUMBER(Dossiers!$D$59),Dossiers!$A$59&amp;" · "&amp;Dossiers!$B$59,"")</f>
        <v/>
      </c>
      <c r="B3027" s="18">
        <f>IF($A3027="","",Paramètres!G57)</f>
        <v/>
      </c>
      <c r="C3027" s="18">
        <f>IF($A3027="","",IF(Paramètres!H57="","",Paramètres!H57))</f>
        <v/>
      </c>
      <c r="D3027" s="18">
        <f>IF($A3027="","",IF(Paramètres!I57="","",Paramètres!I57))</f>
        <v/>
      </c>
      <c r="E3027" s="19">
        <f>IF($A3027="","",IF(Paramètres!J57&amp;Paramètres!L57&amp;Paramètres!N57="",Dossiers!$D$59,MAX(IF(Paramètres!J57="",0,IF(Paramètres!K57="",NA(),IF(LEFT(TRIM(Paramètres!K57),1)="F",INDEX($F$2975:$F$3027,MATCH(Paramètres!J57,Paramètres!$G$5:$G$57,0)),INDEX($E$2975:$E$3027,MATCH(Paramètres!J57,Paramètres!$G$5:$G$57,0)))+IF(RIGHT(TRIM(Paramètres!K57),3)="Fin",1-$H3027,IF(LEFT(TRIM(Paramètres!K57),1)="F",1,0)))),IF(Paramètres!L57="",0,IF(Paramètres!M57="",NA(),IF(LEFT(TRIM(Paramètres!M57),1)="F",INDEX($F$2975:$F$3027,MATCH(Paramètres!L57,Paramètres!$G$5:$G$57,0)),INDEX($E$2975:$E$3027,MATCH(Paramètres!L57,Paramètres!$G$5:$G$57,0)))+IF(RIGHT(TRIM(Paramètres!M57),3)="Fin",1-$H3027,IF(LEFT(TRIM(Paramètres!M57),1)="F",1,0)))),IF(Paramètres!N57="",0,IF(Paramètres!O57="",NA(),IF(LEFT(TRIM(Paramètres!O57),1)="F",INDEX($F$2975:$F$3027,MATCH(Paramètres!N57,Paramètres!$G$5:$G$57,0)),INDEX($E$2975:$E$3027,MATCH(Paramètres!N57,Paramètres!$G$5:$G$57,0)))+IF(RIGHT(TRIM(Paramètres!O57),3)="Fin",1-$H3027,IF(LEFT(TRIM(Paramètres!O57),1)="F",1,0)))))))</f>
        <v/>
      </c>
      <c r="F3027" s="19">
        <f>IF($A3027="","",E3027+$H3027-1)</f>
        <v/>
      </c>
      <c r="G3027" s="18" t="n"/>
      <c r="H3027" s="18">
        <f>IF($A3027="","",IF(I3027&lt;&gt;"",I3027,Paramètres!B57))</f>
        <v/>
      </c>
      <c r="I3027" s="18" t="n"/>
    </row>
    <row r="3028">
      <c r="A3028" s="16">
        <f>IF(ISNUMBER(Dossiers!$D$60),Dossiers!$E$60,"")</f>
        <v/>
      </c>
      <c r="B3028" s="16">
        <f>IF($A3028="","","Identifiant")</f>
        <v/>
      </c>
      <c r="C3028" s="16">
        <f>IF($A3028="","","Macro Etape")</f>
        <v/>
      </c>
      <c r="D3028" s="16">
        <f>IF($A3028="","","Etape")</f>
        <v/>
      </c>
      <c r="E3028" s="17">
        <f>IF($A3028="","","Début le")</f>
        <v/>
      </c>
      <c r="F3028" s="17">
        <f>IF($A3028="","","Fin prévue le")</f>
        <v/>
      </c>
      <c r="G3028" s="16">
        <f>IF($A3028="","","Statut")</f>
        <v/>
      </c>
      <c r="H3028" s="16">
        <f>IF($A3028="","","Durée (jours)")</f>
        <v/>
      </c>
      <c r="I3028" s="16">
        <f>IF($A3028="","","Durée particulière")</f>
        <v/>
      </c>
      <c r="J3028" s="10">
        <f>IF($A3028="","",HYPERLINK("#'Tableau de bord'!A1","↑ Tableau de bord"))</f>
        <v/>
      </c>
    </row>
    <row r="3029">
      <c r="A3029" s="18">
        <f>IF(ISNUMBER(Dossiers!$D$60),Dossiers!$A$60&amp;" · "&amp;Dossiers!$B$60,"")</f>
        <v/>
      </c>
      <c r="B3029" s="18">
        <f>IF($A3029="","",Paramètres!G5)</f>
        <v/>
      </c>
      <c r="C3029" s="18">
        <f>IF($A3029="","",IF(Paramètres!H5="","",Paramètres!H5))</f>
        <v/>
      </c>
      <c r="D3029" s="18">
        <f>IF($A3029="","",IF(Paramètres!I5="","",Paramètres!I5))</f>
        <v/>
      </c>
      <c r="E3029" s="19">
        <f>IF($A3029="","",MIN(E3030:E3033))</f>
        <v/>
      </c>
      <c r="F3029" s="19">
        <f>IF($A3029="","",MAX(F3030:F3033))</f>
        <v/>
      </c>
      <c r="G3029" s="18" t="n"/>
      <c r="H3029" s="18">
        <f>IF($A3029="","",F3029-E3029+1)</f>
        <v/>
      </c>
      <c r="I3029" s="18" t="n"/>
    </row>
    <row r="3030">
      <c r="A3030" s="18">
        <f>IF(ISNUMBER(Dossiers!$D$60),Dossiers!$A$60&amp;" · "&amp;Dossiers!$B$60,"")</f>
        <v/>
      </c>
      <c r="B3030" s="18">
        <f>IF($A3030="","",Paramètres!G6)</f>
        <v/>
      </c>
      <c r="C3030" s="18">
        <f>IF($A3030="","",IF(Paramètres!H6="","",Paramètres!H6))</f>
        <v/>
      </c>
      <c r="D3030" s="18">
        <f>IF($A3030="","",IF(Paramètres!I6="","",Paramètres!I6))</f>
        <v/>
      </c>
      <c r="E3030" s="19">
        <f>IF($A3030="","",IF(Paramètres!J6&amp;Paramètres!L6&amp;Paramètres!N6="",Dossiers!$D$60,MAX(IF(Paramètres!J6="",0,IF(Paramètres!K6="",NA(),IF(LEFT(TRIM(Paramètres!K6),1)="F",INDEX($F$3029:$F$3081,MATCH(Paramètres!J6,Paramètres!$G$5:$G$57,0)),INDEX($E$3029:$E$3081,MATCH(Paramètres!J6,Paramètres!$G$5:$G$57,0)))+IF(RIGHT(TRIM(Paramètres!K6),3)="Fin",1-$H3030,IF(LEFT(TRIM(Paramètres!K6),1)="F",1,0)))),IF(Paramètres!L6="",0,IF(Paramètres!M6="",NA(),IF(LEFT(TRIM(Paramètres!M6),1)="F",INDEX($F$3029:$F$3081,MATCH(Paramètres!L6,Paramètres!$G$5:$G$57,0)),INDEX($E$3029:$E$3081,MATCH(Paramètres!L6,Paramètres!$G$5:$G$57,0)))+IF(RIGHT(TRIM(Paramètres!M6),3)="Fin",1-$H3030,IF(LEFT(TRIM(Paramètres!M6),1)="F",1,0)))),IF(Paramètres!N6="",0,IF(Paramètres!O6="",NA(),IF(LEFT(TRIM(Paramètres!O6),1)="F",INDEX($F$3029:$F$3081,MATCH(Paramètres!N6,Paramètres!$G$5:$G$57,0)),INDEX($E$3029:$E$3081,MATCH(Paramètres!N6,Paramètres!$G$5:$G$57,0)))+IF(RIGHT(TRIM(Paramètres!O6),3)="Fin",1-$H3030,IF(LEFT(TRIM(Paramètres!O6),1)="F",1,0)))))))</f>
        <v/>
      </c>
      <c r="F3030" s="19">
        <f>IF($A3030="","",E3030+$H3030-1)</f>
        <v/>
      </c>
      <c r="G3030" s="18" t="n"/>
      <c r="H3030" s="18">
        <f>IF($A3030="","",IF(I3030&lt;&gt;"",I3030,Paramètres!B6))</f>
        <v/>
      </c>
      <c r="I3030" s="18" t="n"/>
    </row>
    <row r="3031">
      <c r="A3031" s="18">
        <f>IF(ISNUMBER(Dossiers!$D$60),Dossiers!$A$60&amp;" · "&amp;Dossiers!$B$60,"")</f>
        <v/>
      </c>
      <c r="B3031" s="18">
        <f>IF($A3031="","",Paramètres!G7)</f>
        <v/>
      </c>
      <c r="C3031" s="18">
        <f>IF($A3031="","",IF(Paramètres!H7="","",Paramètres!H7))</f>
        <v/>
      </c>
      <c r="D3031" s="18">
        <f>IF($A3031="","",IF(Paramètres!I7="","",Paramètres!I7))</f>
        <v/>
      </c>
      <c r="E3031" s="19">
        <f>IF($A3031="","",IF(Paramètres!J7&amp;Paramètres!L7&amp;Paramètres!N7="",Dossiers!$D$60,MAX(IF(Paramètres!J7="",0,IF(Paramètres!K7="",NA(),IF(LEFT(TRIM(Paramètres!K7),1)="F",INDEX($F$3029:$F$3081,MATCH(Paramètres!J7,Paramètres!$G$5:$G$57,0)),INDEX($E$3029:$E$3081,MATCH(Paramètres!J7,Paramètres!$G$5:$G$57,0)))+IF(RIGHT(TRIM(Paramètres!K7),3)="Fin",1-$H3031,IF(LEFT(TRIM(Paramètres!K7),1)="F",1,0)))),IF(Paramètres!L7="",0,IF(Paramètres!M7="",NA(),IF(LEFT(TRIM(Paramètres!M7),1)="F",INDEX($F$3029:$F$3081,MATCH(Paramètres!L7,Paramètres!$G$5:$G$57,0)),INDEX($E$3029:$E$3081,MATCH(Paramètres!L7,Paramètres!$G$5:$G$57,0)))+IF(RIGHT(TRIM(Paramètres!M7),3)="Fin",1-$H3031,IF(LEFT(TRIM(Paramètres!M7),1)="F",1,0)))),IF(Paramètres!N7="",0,IF(Paramètres!O7="",NA(),IF(LEFT(TRIM(Paramètres!O7),1)="F",INDEX($F$3029:$F$3081,MATCH(Paramètres!N7,Paramètres!$G$5:$G$57,0)),INDEX($E$3029:$E$3081,MATCH(Paramètres!N7,Paramètres!$G$5:$G$57,0)))+IF(RIGHT(TRIM(Paramètres!O7),3)="Fin",1-$H3031,IF(LEFT(TRIM(Paramètres!O7),1)="F",1,0)))))))</f>
        <v/>
      </c>
      <c r="F3031" s="19">
        <f>IF($A3031="","",E3031+$H3031-1)</f>
        <v/>
      </c>
      <c r="G3031" s="18" t="n"/>
      <c r="H3031" s="18">
        <f>IF($A3031="","",IF(I3031&lt;&gt;"",I3031,Paramètres!B7))</f>
        <v/>
      </c>
      <c r="I3031" s="18" t="n"/>
    </row>
    <row r="3032">
      <c r="A3032" s="18">
        <f>IF(ISNUMBER(Dossiers!$D$60),Dossiers!$A$60&amp;" · "&amp;Dossiers!$B$60,"")</f>
        <v/>
      </c>
      <c r="B3032" s="18">
        <f>IF($A3032="","",Paramètres!G8)</f>
        <v/>
      </c>
      <c r="C3032" s="18">
        <f>IF($A3032="","",IF(Paramètres!H8="","",Paramètres!H8))</f>
        <v/>
      </c>
      <c r="D3032" s="18">
        <f>IF($A3032="","",IF(Paramètres!I8="","",Paramètres!I8))</f>
        <v/>
      </c>
      <c r="E3032" s="19">
        <f>IF($A3032="","",IF(Paramètres!J8&amp;Paramètres!L8&amp;Paramètres!N8="",Dossiers!$D$60,MAX(IF(Paramètres!J8="",0,IF(Paramètres!K8="",NA(),IF(LEFT(TRIM(Paramètres!K8),1)="F",INDEX($F$3029:$F$3081,MATCH(Paramètres!J8,Paramètres!$G$5:$G$57,0)),INDEX($E$3029:$E$3081,MATCH(Paramètres!J8,Paramètres!$G$5:$G$57,0)))+IF(RIGHT(TRIM(Paramètres!K8),3)="Fin",1-$H3032,IF(LEFT(TRIM(Paramètres!K8),1)="F",1,0)))),IF(Paramètres!L8="",0,IF(Paramètres!M8="",NA(),IF(LEFT(TRIM(Paramètres!M8),1)="F",INDEX($F$3029:$F$3081,MATCH(Paramètres!L8,Paramètres!$G$5:$G$57,0)),INDEX($E$3029:$E$3081,MATCH(Paramètres!L8,Paramètres!$G$5:$G$57,0)))+IF(RIGHT(TRIM(Paramètres!M8),3)="Fin",1-$H3032,IF(LEFT(TRIM(Paramètres!M8),1)="F",1,0)))),IF(Paramètres!N8="",0,IF(Paramètres!O8="",NA(),IF(LEFT(TRIM(Paramètres!O8),1)="F",INDEX($F$3029:$F$3081,MATCH(Paramètres!N8,Paramètres!$G$5:$G$57,0)),INDEX($E$3029:$E$3081,MATCH(Paramètres!N8,Paramètres!$G$5:$G$57,0)))+IF(RIGHT(TRIM(Paramètres!O8),3)="Fin",1-$H3032,IF(LEFT(TRIM(Paramètres!O8),1)="F",1,0)))))))</f>
        <v/>
      </c>
      <c r="F3032" s="19">
        <f>IF($A3032="","",E3032+$H3032-1)</f>
        <v/>
      </c>
      <c r="G3032" s="18" t="n"/>
      <c r="H3032" s="18">
        <f>IF($A3032="","",IF(I3032&lt;&gt;"",I3032,Paramètres!B8))</f>
        <v/>
      </c>
      <c r="I3032" s="18" t="n"/>
    </row>
    <row r="3033">
      <c r="A3033" s="18">
        <f>IF(ISNUMBER(Dossiers!$D$60),Dossiers!$A$60&amp;" · "&amp;Dossiers!$B$60,"")</f>
        <v/>
      </c>
      <c r="B3033" s="18">
        <f>IF($A3033="","",Paramètres!G9)</f>
        <v/>
      </c>
      <c r="C3033" s="18">
        <f>IF($A3033="","",IF(Paramètres!H9="","",Paramètres!H9))</f>
        <v/>
      </c>
      <c r="D3033" s="18">
        <f>IF($A3033="","",IF(Paramètres!I9="","",Paramètres!I9))</f>
        <v/>
      </c>
      <c r="E3033" s="19">
        <f>IF($A3033="","",IF(Paramètres!J9&amp;Paramètres!L9&amp;Paramètres!N9="",Dossiers!$D$60,MAX(IF(Paramètres!J9="",0,IF(Paramètres!K9="",NA(),IF(LEFT(TRIM(Paramètres!K9),1)="F",INDEX($F$3029:$F$3081,MATCH(Paramètres!J9,Paramètres!$G$5:$G$57,0)),INDEX($E$3029:$E$3081,MATCH(Paramètres!J9,Paramètres!$G$5:$G$57,0)))+IF(RIGHT(TRIM(Paramètres!K9),3)="Fin",1-$H3033,IF(LEFT(TRIM(Paramètres!K9),1)="F",1,0)))),IF(Paramètres!L9="",0,IF(Paramètres!M9="",NA(),IF(LEFT(TRIM(Paramètres!M9),1)="F",INDEX($F$3029:$F$3081,MATCH(Paramètres!L9,Paramètres!$G$5:$G$57,0)),INDEX($E$3029:$E$3081,MATCH(Paramètres!L9,Paramètres!$G$5:$G$57,0)))+IF(RIGHT(TRIM(Paramètres!M9),3)="Fin",1-$H3033,IF(LEFT(TRIM(Paramètres!M9),1)="F",1,0)))),IF(Paramètres!N9="",0,IF(Paramètres!O9="",NA(),IF(LEFT(TRIM(Paramètres!O9),1)="F",INDEX($F$3029:$F$3081,MATCH(Paramètres!N9,Paramètres!$G$5:$G$57,0)),INDEX($E$3029:$E$3081,MATCH(Paramètres!N9,Paramètres!$G$5:$G$57,0)))+IF(RIGHT(TRIM(Paramètres!O9),3)="Fin",1-$H3033,IF(LEFT(TRIM(Paramètres!O9),1)="F",1,0)))))))</f>
        <v/>
      </c>
      <c r="F3033" s="19">
        <f>IF($A3033="","",E3033+$H3033-1)</f>
        <v/>
      </c>
      <c r="G3033" s="18" t="n"/>
      <c r="H3033" s="18">
        <f>IF($A3033="","",IF(I3033&lt;&gt;"",I3033,Paramètres!B9))</f>
        <v/>
      </c>
      <c r="I3033" s="18" t="n"/>
    </row>
    <row r="3034">
      <c r="A3034" s="18">
        <f>IF(ISNUMBER(Dossiers!$D$60),Dossiers!$A$60&amp;" · "&amp;Dossiers!$B$60,"")</f>
        <v/>
      </c>
      <c r="B3034" s="18">
        <f>IF($A3034="","",Paramètres!G10)</f>
        <v/>
      </c>
      <c r="C3034" s="18">
        <f>IF($A3034="","",IF(Paramètres!H10="","",Paramètres!H10))</f>
        <v/>
      </c>
      <c r="D3034" s="18">
        <f>IF($A3034="","",IF(Paramètres!I10="","",Paramètres!I10))</f>
        <v/>
      </c>
      <c r="E3034" s="19">
        <f>IF($A3034="","",MIN(E3035:E3038))</f>
        <v/>
      </c>
      <c r="F3034" s="19">
        <f>IF($A3034="","",MAX(F3035:F3038))</f>
        <v/>
      </c>
      <c r="G3034" s="18" t="n"/>
      <c r="H3034" s="18">
        <f>IF($A3034="","",F3034-E3034+1)</f>
        <v/>
      </c>
      <c r="I3034" s="18" t="n"/>
    </row>
    <row r="3035">
      <c r="A3035" s="18">
        <f>IF(ISNUMBER(Dossiers!$D$60),Dossiers!$A$60&amp;" · "&amp;Dossiers!$B$60,"")</f>
        <v/>
      </c>
      <c r="B3035" s="18">
        <f>IF($A3035="","",Paramètres!G11)</f>
        <v/>
      </c>
      <c r="C3035" s="18">
        <f>IF($A3035="","",IF(Paramètres!H11="","",Paramètres!H11))</f>
        <v/>
      </c>
      <c r="D3035" s="18">
        <f>IF($A3035="","",IF(Paramètres!I11="","",Paramètres!I11))</f>
        <v/>
      </c>
      <c r="E3035" s="19">
        <f>IF($A3035="","",IF(Paramètres!J11&amp;Paramètres!L11&amp;Paramètres!N11="",Dossiers!$D$60,MAX(IF(Paramètres!J11="",0,IF(Paramètres!K11="",NA(),IF(LEFT(TRIM(Paramètres!K11),1)="F",INDEX($F$3029:$F$3081,MATCH(Paramètres!J11,Paramètres!$G$5:$G$57,0)),INDEX($E$3029:$E$3081,MATCH(Paramètres!J11,Paramètres!$G$5:$G$57,0)))+IF(RIGHT(TRIM(Paramètres!K11),3)="Fin",1-$H3035,IF(LEFT(TRIM(Paramètres!K11),1)="F",1,0)))),IF(Paramètres!L11="",0,IF(Paramètres!M11="",NA(),IF(LEFT(TRIM(Paramètres!M11),1)="F",INDEX($F$3029:$F$3081,MATCH(Paramètres!L11,Paramètres!$G$5:$G$57,0)),INDEX($E$3029:$E$3081,MATCH(Paramètres!L11,Paramètres!$G$5:$G$57,0)))+IF(RIGHT(TRIM(Paramètres!M11),3)="Fin",1-$H3035,IF(LEFT(TRIM(Paramètres!M11),1)="F",1,0)))),IF(Paramètres!N11="",0,IF(Paramètres!O11="",NA(),IF(LEFT(TRIM(Paramètres!O11),1)="F",INDEX($F$3029:$F$3081,MATCH(Paramètres!N11,Paramètres!$G$5:$G$57,0)),INDEX($E$3029:$E$3081,MATCH(Paramètres!N11,Paramètres!$G$5:$G$57,0)))+IF(RIGHT(TRIM(Paramètres!O11),3)="Fin",1-$H3035,IF(LEFT(TRIM(Paramètres!O11),1)="F",1,0)))))))</f>
        <v/>
      </c>
      <c r="F3035" s="19">
        <f>IF($A3035="","",E3035+$H3035-1)</f>
        <v/>
      </c>
      <c r="G3035" s="18" t="n"/>
      <c r="H3035" s="18">
        <f>IF($A3035="","",IF(I3035&lt;&gt;"",I3035,Paramètres!B11))</f>
        <v/>
      </c>
      <c r="I3035" s="18" t="n"/>
    </row>
    <row r="3036">
      <c r="A3036" s="18">
        <f>IF(ISNUMBER(Dossiers!$D$60),Dossiers!$A$60&amp;" · "&amp;Dossiers!$B$60,"")</f>
        <v/>
      </c>
      <c r="B3036" s="18">
        <f>IF($A3036="","",Paramètres!G12)</f>
        <v/>
      </c>
      <c r="C3036" s="18">
        <f>IF($A3036="","",IF(Paramètres!H12="","",Paramètres!H12))</f>
        <v/>
      </c>
      <c r="D3036" s="18">
        <f>IF($A3036="","",IF(Paramètres!I12="","",Paramètres!I12))</f>
        <v/>
      </c>
      <c r="E3036" s="19">
        <f>IF($A3036="","",IF(Paramètres!J12&amp;Paramètres!L12&amp;Paramètres!N12="",Dossiers!$D$60,MAX(IF(Paramètres!J12="",0,IF(Paramètres!K12="",NA(),IF(LEFT(TRIM(Paramètres!K12),1)="F",INDEX($F$3029:$F$3081,MATCH(Paramètres!J12,Paramètres!$G$5:$G$57,0)),INDEX($E$3029:$E$3081,MATCH(Paramètres!J12,Paramètres!$G$5:$G$57,0)))+IF(RIGHT(TRIM(Paramètres!K12),3)="Fin",1-$H3036,IF(LEFT(TRIM(Paramètres!K12),1)="F",1,0)))),IF(Paramètres!L12="",0,IF(Paramètres!M12="",NA(),IF(LEFT(TRIM(Paramètres!M12),1)="F",INDEX($F$3029:$F$3081,MATCH(Paramètres!L12,Paramètres!$G$5:$G$57,0)),INDEX($E$3029:$E$3081,MATCH(Paramètres!L12,Paramètres!$G$5:$G$57,0)))+IF(RIGHT(TRIM(Paramètres!M12),3)="Fin",1-$H3036,IF(LEFT(TRIM(Paramètres!M12),1)="F",1,0)))),IF(Paramètres!N12="",0,IF(Paramètres!O12="",NA(),IF(LEFT(TRIM(Paramètres!O12),1)="F",INDEX($F$3029:$F$3081,MATCH(Paramètres!N12,Paramètres!$G$5:$G$57,0)),INDEX($E$3029:$E$3081,MATCH(Paramètres!N12,Paramètres!$G$5:$G$57,0)))+IF(RIGHT(TRIM(Paramètres!O12),3)="Fin",1-$H3036,IF(LEFT(TRIM(Paramètres!O12),1)="F",1,0)))))))</f>
        <v/>
      </c>
      <c r="F3036" s="19">
        <f>IF($A3036="","",E3036+$H3036-1)</f>
        <v/>
      </c>
      <c r="G3036" s="18" t="n"/>
      <c r="H3036" s="18">
        <f>IF($A3036="","",IF(I3036&lt;&gt;"",I3036,Paramètres!B12))</f>
        <v/>
      </c>
      <c r="I3036" s="18" t="n"/>
    </row>
    <row r="3037">
      <c r="A3037" s="18">
        <f>IF(ISNUMBER(Dossiers!$D$60),Dossiers!$A$60&amp;" · "&amp;Dossiers!$B$60,"")</f>
        <v/>
      </c>
      <c r="B3037" s="18">
        <f>IF($A3037="","",Paramètres!G13)</f>
        <v/>
      </c>
      <c r="C3037" s="18">
        <f>IF($A3037="","",IF(Paramètres!H13="","",Paramètres!H13))</f>
        <v/>
      </c>
      <c r="D3037" s="18">
        <f>IF($A3037="","",IF(Paramètres!I13="","",Paramètres!I13))</f>
        <v/>
      </c>
      <c r="E3037" s="19">
        <f>IF($A3037="","",IF(Paramètres!J13&amp;Paramètres!L13&amp;Paramètres!N13="",Dossiers!$D$60,MAX(IF(Paramètres!J13="",0,IF(Paramètres!K13="",NA(),IF(LEFT(TRIM(Paramètres!K13),1)="F",INDEX($F$3029:$F$3081,MATCH(Paramètres!J13,Paramètres!$G$5:$G$57,0)),INDEX($E$3029:$E$3081,MATCH(Paramètres!J13,Paramètres!$G$5:$G$57,0)))+IF(RIGHT(TRIM(Paramètres!K13),3)="Fin",1-$H3037,IF(LEFT(TRIM(Paramètres!K13),1)="F",1,0)))),IF(Paramètres!L13="",0,IF(Paramètres!M13="",NA(),IF(LEFT(TRIM(Paramètres!M13),1)="F",INDEX($F$3029:$F$3081,MATCH(Paramètres!L13,Paramètres!$G$5:$G$57,0)),INDEX($E$3029:$E$3081,MATCH(Paramètres!L13,Paramètres!$G$5:$G$57,0)))+IF(RIGHT(TRIM(Paramètres!M13),3)="Fin",1-$H3037,IF(LEFT(TRIM(Paramètres!M13),1)="F",1,0)))),IF(Paramètres!N13="",0,IF(Paramètres!O13="",NA(),IF(LEFT(TRIM(Paramètres!O13),1)="F",INDEX($F$3029:$F$3081,MATCH(Paramètres!N13,Paramètres!$G$5:$G$57,0)),INDEX($E$3029:$E$3081,MATCH(Paramètres!N13,Paramètres!$G$5:$G$57,0)))+IF(RIGHT(TRIM(Paramètres!O13),3)="Fin",1-$H3037,IF(LEFT(TRIM(Paramètres!O13),1)="F",1,0)))))))</f>
        <v/>
      </c>
      <c r="F3037" s="19">
        <f>IF($A3037="","",E3037+$H3037-1)</f>
        <v/>
      </c>
      <c r="G3037" s="18" t="n"/>
      <c r="H3037" s="18">
        <f>IF($A3037="","",IF(I3037&lt;&gt;"",I3037,Paramètres!B13))</f>
        <v/>
      </c>
      <c r="I3037" s="18" t="n"/>
    </row>
    <row r="3038">
      <c r="A3038" s="18">
        <f>IF(ISNUMBER(Dossiers!$D$60),Dossiers!$A$60&amp;" · "&amp;Dossiers!$B$60,"")</f>
        <v/>
      </c>
      <c r="B3038" s="18">
        <f>IF($A3038="","",Paramètres!G14)</f>
        <v/>
      </c>
      <c r="C3038" s="18">
        <f>IF($A3038="","",IF(Paramètres!H14="","",Paramètres!H14))</f>
        <v/>
      </c>
      <c r="D3038" s="18">
        <f>IF($A3038="","",IF(Paramètres!I14="","",Paramètres!I14))</f>
        <v/>
      </c>
      <c r="E3038" s="19">
        <f>IF($A3038="","",IF(Paramètres!J14&amp;Paramètres!L14&amp;Paramètres!N14="",Dossiers!$D$60,MAX(IF(Paramètres!J14="",0,IF(Paramètres!K14="",NA(),IF(LEFT(TRIM(Paramètres!K14),1)="F",INDEX($F$3029:$F$3081,MATCH(Paramètres!J14,Paramètres!$G$5:$G$57,0)),INDEX($E$3029:$E$3081,MATCH(Paramètres!J14,Paramètres!$G$5:$G$57,0)))+IF(RIGHT(TRIM(Paramètres!K14),3)="Fin",1-$H3038,IF(LEFT(TRIM(Paramètres!K14),1)="F",1,0)))),IF(Paramètres!L14="",0,IF(Paramètres!M14="",NA(),IF(LEFT(TRIM(Paramètres!M14),1)="F",INDEX($F$3029:$F$3081,MATCH(Paramètres!L14,Paramètres!$G$5:$G$57,0)),INDEX($E$3029:$E$3081,MATCH(Paramètres!L14,Paramètres!$G$5:$G$57,0)))+IF(RIGHT(TRIM(Paramètres!M14),3)="Fin",1-$H3038,IF(LEFT(TRIM(Paramètres!M14),1)="F",1,0)))),IF(Paramètres!N14="",0,IF(Paramètres!O14="",NA(),IF(LEFT(TRIM(Paramètres!O14),1)="F",INDEX($F$3029:$F$3081,MATCH(Paramètres!N14,Paramètres!$G$5:$G$57,0)),INDEX($E$3029:$E$3081,MATCH(Paramètres!N14,Paramètres!$G$5:$G$57,0)))+IF(RIGHT(TRIM(Paramètres!O14),3)="Fin",1-$H3038,IF(LEFT(TRIM(Paramètres!O14),1)="F",1,0)))))))</f>
        <v/>
      </c>
      <c r="F3038" s="19">
        <f>IF($A3038="","",E3038+$H3038-1)</f>
        <v/>
      </c>
      <c r="G3038" s="18" t="n"/>
      <c r="H3038" s="18">
        <f>IF($A3038="","",IF(I3038&lt;&gt;"",I3038,Paramètres!B14))</f>
        <v/>
      </c>
      <c r="I3038" s="18" t="n"/>
    </row>
    <row r="3039">
      <c r="A3039" s="18">
        <f>IF(ISNUMBER(Dossiers!$D$60),Dossiers!$A$60&amp;" · "&amp;Dossiers!$B$60,"")</f>
        <v/>
      </c>
      <c r="B3039" s="18">
        <f>IF($A3039="","",Paramètres!G15)</f>
        <v/>
      </c>
      <c r="C3039" s="18">
        <f>IF($A3039="","",IF(Paramètres!H15="","",Paramètres!H15))</f>
        <v/>
      </c>
      <c r="D3039" s="18">
        <f>IF($A3039="","",IF(Paramètres!I15="","",Paramètres!I15))</f>
        <v/>
      </c>
      <c r="E3039" s="19">
        <f>IF($A3039="","",MIN(E3040:E3055))</f>
        <v/>
      </c>
      <c r="F3039" s="19">
        <f>IF($A3039="","",MAX(F3040:F3055))</f>
        <v/>
      </c>
      <c r="G3039" s="18" t="n"/>
      <c r="H3039" s="18">
        <f>IF($A3039="","",F3039-E3039+1)</f>
        <v/>
      </c>
      <c r="I3039" s="18" t="n"/>
    </row>
    <row r="3040">
      <c r="A3040" s="18">
        <f>IF(ISNUMBER(Dossiers!$D$60),Dossiers!$A$60&amp;" · "&amp;Dossiers!$B$60,"")</f>
        <v/>
      </c>
      <c r="B3040" s="18">
        <f>IF($A3040="","",Paramètres!G16)</f>
        <v/>
      </c>
      <c r="C3040" s="18">
        <f>IF($A3040="","",IF(Paramètres!H16="","",Paramètres!H16))</f>
        <v/>
      </c>
      <c r="D3040" s="18">
        <f>IF($A3040="","",IF(Paramètres!I16="","",Paramètres!I16))</f>
        <v/>
      </c>
      <c r="E3040" s="19">
        <f>IF($A3040="","",IF(Paramètres!J16&amp;Paramètres!L16&amp;Paramètres!N16="",Dossiers!$D$60,MAX(IF(Paramètres!J16="",0,IF(Paramètres!K16="",NA(),IF(LEFT(TRIM(Paramètres!K16),1)="F",INDEX($F$3029:$F$3081,MATCH(Paramètres!J16,Paramètres!$G$5:$G$57,0)),INDEX($E$3029:$E$3081,MATCH(Paramètres!J16,Paramètres!$G$5:$G$57,0)))+IF(RIGHT(TRIM(Paramètres!K16),3)="Fin",1-$H3040,IF(LEFT(TRIM(Paramètres!K16),1)="F",1,0)))),IF(Paramètres!L16="",0,IF(Paramètres!M16="",NA(),IF(LEFT(TRIM(Paramètres!M16),1)="F",INDEX($F$3029:$F$3081,MATCH(Paramètres!L16,Paramètres!$G$5:$G$57,0)),INDEX($E$3029:$E$3081,MATCH(Paramètres!L16,Paramètres!$G$5:$G$57,0)))+IF(RIGHT(TRIM(Paramètres!M16),3)="Fin",1-$H3040,IF(LEFT(TRIM(Paramètres!M16),1)="F",1,0)))),IF(Paramètres!N16="",0,IF(Paramètres!O16="",NA(),IF(LEFT(TRIM(Paramètres!O16),1)="F",INDEX($F$3029:$F$3081,MATCH(Paramètres!N16,Paramètres!$G$5:$G$57,0)),INDEX($E$3029:$E$3081,MATCH(Paramètres!N16,Paramètres!$G$5:$G$57,0)))+IF(RIGHT(TRIM(Paramètres!O16),3)="Fin",1-$H3040,IF(LEFT(TRIM(Paramètres!O16),1)="F",1,0)))))))</f>
        <v/>
      </c>
      <c r="F3040" s="19">
        <f>IF($A3040="","",E3040+$H3040-1)</f>
        <v/>
      </c>
      <c r="G3040" s="18" t="n"/>
      <c r="H3040" s="18">
        <f>IF($A3040="","",IF(I3040&lt;&gt;"",I3040,Paramètres!B16))</f>
        <v/>
      </c>
      <c r="I3040" s="18" t="n"/>
    </row>
    <row r="3041">
      <c r="A3041" s="18">
        <f>IF(ISNUMBER(Dossiers!$D$60),Dossiers!$A$60&amp;" · "&amp;Dossiers!$B$60,"")</f>
        <v/>
      </c>
      <c r="B3041" s="18">
        <f>IF($A3041="","",Paramètres!G17)</f>
        <v/>
      </c>
      <c r="C3041" s="18">
        <f>IF($A3041="","",IF(Paramètres!H17="","",Paramètres!H17))</f>
        <v/>
      </c>
      <c r="D3041" s="18">
        <f>IF($A3041="","",IF(Paramètres!I17="","",Paramètres!I17))</f>
        <v/>
      </c>
      <c r="E3041" s="19">
        <f>IF($A3041="","",IF(Paramètres!J17&amp;Paramètres!L17&amp;Paramètres!N17="",Dossiers!$D$60,MAX(IF(Paramètres!J17="",0,IF(Paramètres!K17="",NA(),IF(LEFT(TRIM(Paramètres!K17),1)="F",INDEX($F$3029:$F$3081,MATCH(Paramètres!J17,Paramètres!$G$5:$G$57,0)),INDEX($E$3029:$E$3081,MATCH(Paramètres!J17,Paramètres!$G$5:$G$57,0)))+IF(RIGHT(TRIM(Paramètres!K17),3)="Fin",1-$H3041,IF(LEFT(TRIM(Paramètres!K17),1)="F",1,0)))),IF(Paramètres!L17="",0,IF(Paramètres!M17="",NA(),IF(LEFT(TRIM(Paramètres!M17),1)="F",INDEX($F$3029:$F$3081,MATCH(Paramètres!L17,Paramètres!$G$5:$G$57,0)),INDEX($E$3029:$E$3081,MATCH(Paramètres!L17,Paramètres!$G$5:$G$57,0)))+IF(RIGHT(TRIM(Paramètres!M17),3)="Fin",1-$H3041,IF(LEFT(TRIM(Paramètres!M17),1)="F",1,0)))),IF(Paramètres!N17="",0,IF(Paramètres!O17="",NA(),IF(LEFT(TRIM(Paramètres!O17),1)="F",INDEX($F$3029:$F$3081,MATCH(Paramètres!N17,Paramètres!$G$5:$G$57,0)),INDEX($E$3029:$E$3081,MATCH(Paramètres!N17,Paramètres!$G$5:$G$57,0)))+IF(RIGHT(TRIM(Paramètres!O17),3)="Fin",1-$H3041,IF(LEFT(TRIM(Paramètres!O17),1)="F",1,0)))))))</f>
        <v/>
      </c>
      <c r="F3041" s="19">
        <f>IF($A3041="","",E3041+$H3041-1)</f>
        <v/>
      </c>
      <c r="G3041" s="18" t="n"/>
      <c r="H3041" s="18">
        <f>IF($A3041="","",IF(I3041&lt;&gt;"",I3041,Paramètres!B17))</f>
        <v/>
      </c>
      <c r="I3041" s="18" t="n"/>
    </row>
    <row r="3042">
      <c r="A3042" s="18">
        <f>IF(ISNUMBER(Dossiers!$D$60),Dossiers!$A$60&amp;" · "&amp;Dossiers!$B$60,"")</f>
        <v/>
      </c>
      <c r="B3042" s="18">
        <f>IF($A3042="","",Paramètres!G18)</f>
        <v/>
      </c>
      <c r="C3042" s="18">
        <f>IF($A3042="","",IF(Paramètres!H18="","",Paramètres!H18))</f>
        <v/>
      </c>
      <c r="D3042" s="18">
        <f>IF($A3042="","",IF(Paramètres!I18="","",Paramètres!I18))</f>
        <v/>
      </c>
      <c r="E3042" s="19">
        <f>IF($A3042="","",IF(Paramètres!J18&amp;Paramètres!L18&amp;Paramètres!N18="",Dossiers!$D$60,MAX(IF(Paramètres!J18="",0,IF(Paramètres!K18="",NA(),IF(LEFT(TRIM(Paramètres!K18),1)="F",INDEX($F$3029:$F$3081,MATCH(Paramètres!J18,Paramètres!$G$5:$G$57,0)),INDEX($E$3029:$E$3081,MATCH(Paramètres!J18,Paramètres!$G$5:$G$57,0)))+IF(RIGHT(TRIM(Paramètres!K18),3)="Fin",1-$H3042,IF(LEFT(TRIM(Paramètres!K18),1)="F",1,0)))),IF(Paramètres!L18="",0,IF(Paramètres!M18="",NA(),IF(LEFT(TRIM(Paramètres!M18),1)="F",INDEX($F$3029:$F$3081,MATCH(Paramètres!L18,Paramètres!$G$5:$G$57,0)),INDEX($E$3029:$E$3081,MATCH(Paramètres!L18,Paramètres!$G$5:$G$57,0)))+IF(RIGHT(TRIM(Paramètres!M18),3)="Fin",1-$H3042,IF(LEFT(TRIM(Paramètres!M18),1)="F",1,0)))),IF(Paramètres!N18="",0,IF(Paramètres!O18="",NA(),IF(LEFT(TRIM(Paramètres!O18),1)="F",INDEX($F$3029:$F$3081,MATCH(Paramètres!N18,Paramètres!$G$5:$G$57,0)),INDEX($E$3029:$E$3081,MATCH(Paramètres!N18,Paramètres!$G$5:$G$57,0)))+IF(RIGHT(TRIM(Paramètres!O18),3)="Fin",1-$H3042,IF(LEFT(TRIM(Paramètres!O18),1)="F",1,0)))))))</f>
        <v/>
      </c>
      <c r="F3042" s="19">
        <f>IF($A3042="","",E3042+$H3042-1)</f>
        <v/>
      </c>
      <c r="G3042" s="18" t="n"/>
      <c r="H3042" s="18">
        <f>IF($A3042="","",IF(I3042&lt;&gt;"",I3042,Paramètres!B18))</f>
        <v/>
      </c>
      <c r="I3042" s="18" t="n"/>
    </row>
    <row r="3043">
      <c r="A3043" s="18">
        <f>IF(ISNUMBER(Dossiers!$D$60),Dossiers!$A$60&amp;" · "&amp;Dossiers!$B$60,"")</f>
        <v/>
      </c>
      <c r="B3043" s="18">
        <f>IF($A3043="","",Paramètres!G19)</f>
        <v/>
      </c>
      <c r="C3043" s="18">
        <f>IF($A3043="","",IF(Paramètres!H19="","",Paramètres!H19))</f>
        <v/>
      </c>
      <c r="D3043" s="18">
        <f>IF($A3043="","",IF(Paramètres!I19="","",Paramètres!I19))</f>
        <v/>
      </c>
      <c r="E3043" s="19">
        <f>IF($A3043="","",IF(Paramètres!J19&amp;Paramètres!L19&amp;Paramètres!N19="",Dossiers!$D$60,MAX(IF(Paramètres!J19="",0,IF(Paramètres!K19="",NA(),IF(LEFT(TRIM(Paramètres!K19),1)="F",INDEX($F$3029:$F$3081,MATCH(Paramètres!J19,Paramètres!$G$5:$G$57,0)),INDEX($E$3029:$E$3081,MATCH(Paramètres!J19,Paramètres!$G$5:$G$57,0)))+IF(RIGHT(TRIM(Paramètres!K19),3)="Fin",1-$H3043,IF(LEFT(TRIM(Paramètres!K19),1)="F",1,0)))),IF(Paramètres!L19="",0,IF(Paramètres!M19="",NA(),IF(LEFT(TRIM(Paramètres!M19),1)="F",INDEX($F$3029:$F$3081,MATCH(Paramètres!L19,Paramètres!$G$5:$G$57,0)),INDEX($E$3029:$E$3081,MATCH(Paramètres!L19,Paramètres!$G$5:$G$57,0)))+IF(RIGHT(TRIM(Paramètres!M19),3)="Fin",1-$H3043,IF(LEFT(TRIM(Paramètres!M19),1)="F",1,0)))),IF(Paramètres!N19="",0,IF(Paramètres!O19="",NA(),IF(LEFT(TRIM(Paramètres!O19),1)="F",INDEX($F$3029:$F$3081,MATCH(Paramètres!N19,Paramètres!$G$5:$G$57,0)),INDEX($E$3029:$E$3081,MATCH(Paramètres!N19,Paramètres!$G$5:$G$57,0)))+IF(RIGHT(TRIM(Paramètres!O19),3)="Fin",1-$H3043,IF(LEFT(TRIM(Paramètres!O19),1)="F",1,0)))))))</f>
        <v/>
      </c>
      <c r="F3043" s="19">
        <f>IF($A3043="","",E3043+$H3043-1)</f>
        <v/>
      </c>
      <c r="G3043" s="18" t="n"/>
      <c r="H3043" s="18">
        <f>IF($A3043="","",IF(I3043&lt;&gt;"",I3043,Paramètres!B19))</f>
        <v/>
      </c>
      <c r="I3043" s="18" t="n"/>
    </row>
    <row r="3044">
      <c r="A3044" s="18">
        <f>IF(ISNUMBER(Dossiers!$D$60),Dossiers!$A$60&amp;" · "&amp;Dossiers!$B$60,"")</f>
        <v/>
      </c>
      <c r="B3044" s="18">
        <f>IF($A3044="","",Paramètres!G20)</f>
        <v/>
      </c>
      <c r="C3044" s="18">
        <f>IF($A3044="","",IF(Paramètres!H20="","",Paramètres!H20))</f>
        <v/>
      </c>
      <c r="D3044" s="18">
        <f>IF($A3044="","",IF(Paramètres!I20="","",Paramètres!I20))</f>
        <v/>
      </c>
      <c r="E3044" s="19">
        <f>IF($A3044="","",IF(Paramètres!J20&amp;Paramètres!L20&amp;Paramètres!N20="",Dossiers!$D$60,MAX(IF(Paramètres!J20="",0,IF(Paramètres!K20="",NA(),IF(LEFT(TRIM(Paramètres!K20),1)="F",INDEX($F$3029:$F$3081,MATCH(Paramètres!J20,Paramètres!$G$5:$G$57,0)),INDEX($E$3029:$E$3081,MATCH(Paramètres!J20,Paramètres!$G$5:$G$57,0)))+IF(RIGHT(TRIM(Paramètres!K20),3)="Fin",1-$H3044,IF(LEFT(TRIM(Paramètres!K20),1)="F",1,0)))),IF(Paramètres!L20="",0,IF(Paramètres!M20="",NA(),IF(LEFT(TRIM(Paramètres!M20),1)="F",INDEX($F$3029:$F$3081,MATCH(Paramètres!L20,Paramètres!$G$5:$G$57,0)),INDEX($E$3029:$E$3081,MATCH(Paramètres!L20,Paramètres!$G$5:$G$57,0)))+IF(RIGHT(TRIM(Paramètres!M20),3)="Fin",1-$H3044,IF(LEFT(TRIM(Paramètres!M20),1)="F",1,0)))),IF(Paramètres!N20="",0,IF(Paramètres!O20="",NA(),IF(LEFT(TRIM(Paramètres!O20),1)="F",INDEX($F$3029:$F$3081,MATCH(Paramètres!N20,Paramètres!$G$5:$G$57,0)),INDEX($E$3029:$E$3081,MATCH(Paramètres!N20,Paramètres!$G$5:$G$57,0)))+IF(RIGHT(TRIM(Paramètres!O20),3)="Fin",1-$H3044,IF(LEFT(TRIM(Paramètres!O20),1)="F",1,0)))))))</f>
        <v/>
      </c>
      <c r="F3044" s="19">
        <f>IF($A3044="","",E3044+$H3044-1)</f>
        <v/>
      </c>
      <c r="G3044" s="18" t="n"/>
      <c r="H3044" s="18">
        <f>IF($A3044="","",IF(I3044&lt;&gt;"",I3044,Paramètres!B20))</f>
        <v/>
      </c>
      <c r="I3044" s="18" t="n"/>
    </row>
    <row r="3045">
      <c r="A3045" s="18">
        <f>IF(ISNUMBER(Dossiers!$D$60),Dossiers!$A$60&amp;" · "&amp;Dossiers!$B$60,"")</f>
        <v/>
      </c>
      <c r="B3045" s="18">
        <f>IF($A3045="","",Paramètres!G21)</f>
        <v/>
      </c>
      <c r="C3045" s="18">
        <f>IF($A3045="","",IF(Paramètres!H21="","",Paramètres!H21))</f>
        <v/>
      </c>
      <c r="D3045" s="18">
        <f>IF($A3045="","",IF(Paramètres!I21="","",Paramètres!I21))</f>
        <v/>
      </c>
      <c r="E3045" s="19">
        <f>IF($A3045="","",IF(Paramètres!J21&amp;Paramètres!L21&amp;Paramètres!N21="",Dossiers!$D$60,MAX(IF(Paramètres!J21="",0,IF(Paramètres!K21="",NA(),IF(LEFT(TRIM(Paramètres!K21),1)="F",INDEX($F$3029:$F$3081,MATCH(Paramètres!J21,Paramètres!$G$5:$G$57,0)),INDEX($E$3029:$E$3081,MATCH(Paramètres!J21,Paramètres!$G$5:$G$57,0)))+IF(RIGHT(TRIM(Paramètres!K21),3)="Fin",1-$H3045,IF(LEFT(TRIM(Paramètres!K21),1)="F",1,0)))),IF(Paramètres!L21="",0,IF(Paramètres!M21="",NA(),IF(LEFT(TRIM(Paramètres!M21),1)="F",INDEX($F$3029:$F$3081,MATCH(Paramètres!L21,Paramètres!$G$5:$G$57,0)),INDEX($E$3029:$E$3081,MATCH(Paramètres!L21,Paramètres!$G$5:$G$57,0)))+IF(RIGHT(TRIM(Paramètres!M21),3)="Fin",1-$H3045,IF(LEFT(TRIM(Paramètres!M21),1)="F",1,0)))),IF(Paramètres!N21="",0,IF(Paramètres!O21="",NA(),IF(LEFT(TRIM(Paramètres!O21),1)="F",INDEX($F$3029:$F$3081,MATCH(Paramètres!N21,Paramètres!$G$5:$G$57,0)),INDEX($E$3029:$E$3081,MATCH(Paramètres!N21,Paramètres!$G$5:$G$57,0)))+IF(RIGHT(TRIM(Paramètres!O21),3)="Fin",1-$H3045,IF(LEFT(TRIM(Paramètres!O21),1)="F",1,0)))))))</f>
        <v/>
      </c>
      <c r="F3045" s="19">
        <f>IF($A3045="","",E3045+$H3045-1)</f>
        <v/>
      </c>
      <c r="G3045" s="18" t="n"/>
      <c r="H3045" s="18">
        <f>IF($A3045="","",IF(I3045&lt;&gt;"",I3045,Paramètres!B21))</f>
        <v/>
      </c>
      <c r="I3045" s="18" t="n"/>
    </row>
    <row r="3046">
      <c r="A3046" s="18">
        <f>IF(ISNUMBER(Dossiers!$D$60),Dossiers!$A$60&amp;" · "&amp;Dossiers!$B$60,"")</f>
        <v/>
      </c>
      <c r="B3046" s="18">
        <f>IF($A3046="","",Paramètres!G22)</f>
        <v/>
      </c>
      <c r="C3046" s="18">
        <f>IF($A3046="","",IF(Paramètres!H22="","",Paramètres!H22))</f>
        <v/>
      </c>
      <c r="D3046" s="18">
        <f>IF($A3046="","",IF(Paramètres!I22="","",Paramètres!I22))</f>
        <v/>
      </c>
      <c r="E3046" s="19">
        <f>IF($A3046="","",IF(Paramètres!J22&amp;Paramètres!L22&amp;Paramètres!N22="",Dossiers!$D$60,MAX(IF(Paramètres!J22="",0,IF(Paramètres!K22="",NA(),IF(LEFT(TRIM(Paramètres!K22),1)="F",INDEX($F$3029:$F$3081,MATCH(Paramètres!J22,Paramètres!$G$5:$G$57,0)),INDEX($E$3029:$E$3081,MATCH(Paramètres!J22,Paramètres!$G$5:$G$57,0)))+IF(RIGHT(TRIM(Paramètres!K22),3)="Fin",1-$H3046,IF(LEFT(TRIM(Paramètres!K22),1)="F",1,0)))),IF(Paramètres!L22="",0,IF(Paramètres!M22="",NA(),IF(LEFT(TRIM(Paramètres!M22),1)="F",INDEX($F$3029:$F$3081,MATCH(Paramètres!L22,Paramètres!$G$5:$G$57,0)),INDEX($E$3029:$E$3081,MATCH(Paramètres!L22,Paramètres!$G$5:$G$57,0)))+IF(RIGHT(TRIM(Paramètres!M22),3)="Fin",1-$H3046,IF(LEFT(TRIM(Paramètres!M22),1)="F",1,0)))),IF(Paramètres!N22="",0,IF(Paramètres!O22="",NA(),IF(LEFT(TRIM(Paramètres!O22),1)="F",INDEX($F$3029:$F$3081,MATCH(Paramètres!N22,Paramètres!$G$5:$G$57,0)),INDEX($E$3029:$E$3081,MATCH(Paramètres!N22,Paramètres!$G$5:$G$57,0)))+IF(RIGHT(TRIM(Paramètres!O22),3)="Fin",1-$H3046,IF(LEFT(TRIM(Paramètres!O22),1)="F",1,0)))))))</f>
        <v/>
      </c>
      <c r="F3046" s="19">
        <f>IF($A3046="","",E3046+$H3046-1)</f>
        <v/>
      </c>
      <c r="G3046" s="18" t="n"/>
      <c r="H3046" s="18">
        <f>IF($A3046="","",IF(I3046&lt;&gt;"",I3046,Paramètres!B22))</f>
        <v/>
      </c>
      <c r="I3046" s="18" t="n"/>
    </row>
    <row r="3047">
      <c r="A3047" s="18">
        <f>IF(ISNUMBER(Dossiers!$D$60),Dossiers!$A$60&amp;" · "&amp;Dossiers!$B$60,"")</f>
        <v/>
      </c>
      <c r="B3047" s="18">
        <f>IF($A3047="","",Paramètres!G23)</f>
        <v/>
      </c>
      <c r="C3047" s="18">
        <f>IF($A3047="","",IF(Paramètres!H23="","",Paramètres!H23))</f>
        <v/>
      </c>
      <c r="D3047" s="18">
        <f>IF($A3047="","",IF(Paramètres!I23="","",Paramètres!I23))</f>
        <v/>
      </c>
      <c r="E3047" s="19">
        <f>IF($A3047="","",IF(Paramètres!J23&amp;Paramètres!L23&amp;Paramètres!N23="",Dossiers!$D$60,MAX(IF(Paramètres!J23="",0,IF(Paramètres!K23="",NA(),IF(LEFT(TRIM(Paramètres!K23),1)="F",INDEX($F$3029:$F$3081,MATCH(Paramètres!J23,Paramètres!$G$5:$G$57,0)),INDEX($E$3029:$E$3081,MATCH(Paramètres!J23,Paramètres!$G$5:$G$57,0)))+IF(RIGHT(TRIM(Paramètres!K23),3)="Fin",1-$H3047,IF(LEFT(TRIM(Paramètres!K23),1)="F",1,0)))),IF(Paramètres!L23="",0,IF(Paramètres!M23="",NA(),IF(LEFT(TRIM(Paramètres!M23),1)="F",INDEX($F$3029:$F$3081,MATCH(Paramètres!L23,Paramètres!$G$5:$G$57,0)),INDEX($E$3029:$E$3081,MATCH(Paramètres!L23,Paramètres!$G$5:$G$57,0)))+IF(RIGHT(TRIM(Paramètres!M23),3)="Fin",1-$H3047,IF(LEFT(TRIM(Paramètres!M23),1)="F",1,0)))),IF(Paramètres!N23="",0,IF(Paramètres!O23="",NA(),IF(LEFT(TRIM(Paramètres!O23),1)="F",INDEX($F$3029:$F$3081,MATCH(Paramètres!N23,Paramètres!$G$5:$G$57,0)),INDEX($E$3029:$E$3081,MATCH(Paramètres!N23,Paramètres!$G$5:$G$57,0)))+IF(RIGHT(TRIM(Paramètres!O23),3)="Fin",1-$H3047,IF(LEFT(TRIM(Paramètres!O23),1)="F",1,0)))))))</f>
        <v/>
      </c>
      <c r="F3047" s="19">
        <f>IF($A3047="","",E3047+$H3047-1)</f>
        <v/>
      </c>
      <c r="G3047" s="18" t="n"/>
      <c r="H3047" s="18">
        <f>IF($A3047="","",IF(I3047&lt;&gt;"",I3047,Paramètres!B23))</f>
        <v/>
      </c>
      <c r="I3047" s="18" t="n"/>
    </row>
    <row r="3048">
      <c r="A3048" s="18">
        <f>IF(ISNUMBER(Dossiers!$D$60),Dossiers!$A$60&amp;" · "&amp;Dossiers!$B$60,"")</f>
        <v/>
      </c>
      <c r="B3048" s="18">
        <f>IF($A3048="","",Paramètres!G24)</f>
        <v/>
      </c>
      <c r="C3048" s="18">
        <f>IF($A3048="","",IF(Paramètres!H24="","",Paramètres!H24))</f>
        <v/>
      </c>
      <c r="D3048" s="18">
        <f>IF($A3048="","",IF(Paramètres!I24="","",Paramètres!I24))</f>
        <v/>
      </c>
      <c r="E3048" s="19">
        <f>IF($A3048="","",IF(Paramètres!J24&amp;Paramètres!L24&amp;Paramètres!N24="",Dossiers!$D$60,MAX(IF(Paramètres!J24="",0,IF(Paramètres!K24="",NA(),IF(LEFT(TRIM(Paramètres!K24),1)="F",INDEX($F$3029:$F$3081,MATCH(Paramètres!J24,Paramètres!$G$5:$G$57,0)),INDEX($E$3029:$E$3081,MATCH(Paramètres!J24,Paramètres!$G$5:$G$57,0)))+IF(RIGHT(TRIM(Paramètres!K24),3)="Fin",1-$H3048,IF(LEFT(TRIM(Paramètres!K24),1)="F",1,0)))),IF(Paramètres!L24="",0,IF(Paramètres!M24="",NA(),IF(LEFT(TRIM(Paramètres!M24),1)="F",INDEX($F$3029:$F$3081,MATCH(Paramètres!L24,Paramètres!$G$5:$G$57,0)),INDEX($E$3029:$E$3081,MATCH(Paramètres!L24,Paramètres!$G$5:$G$57,0)))+IF(RIGHT(TRIM(Paramètres!M24),3)="Fin",1-$H3048,IF(LEFT(TRIM(Paramètres!M24),1)="F",1,0)))),IF(Paramètres!N24="",0,IF(Paramètres!O24="",NA(),IF(LEFT(TRIM(Paramètres!O24),1)="F",INDEX($F$3029:$F$3081,MATCH(Paramètres!N24,Paramètres!$G$5:$G$57,0)),INDEX($E$3029:$E$3081,MATCH(Paramètres!N24,Paramètres!$G$5:$G$57,0)))+IF(RIGHT(TRIM(Paramètres!O24),3)="Fin",1-$H3048,IF(LEFT(TRIM(Paramètres!O24),1)="F",1,0)))))))</f>
        <v/>
      </c>
      <c r="F3048" s="19">
        <f>IF($A3048="","",E3048+$H3048-1)</f>
        <v/>
      </c>
      <c r="G3048" s="18" t="n"/>
      <c r="H3048" s="18">
        <f>IF($A3048="","",IF(I3048&lt;&gt;"",I3048,Paramètres!B24))</f>
        <v/>
      </c>
      <c r="I3048" s="18" t="n"/>
    </row>
    <row r="3049">
      <c r="A3049" s="18">
        <f>IF(ISNUMBER(Dossiers!$D$60),Dossiers!$A$60&amp;" · "&amp;Dossiers!$B$60,"")</f>
        <v/>
      </c>
      <c r="B3049" s="18">
        <f>IF($A3049="","",Paramètres!G25)</f>
        <v/>
      </c>
      <c r="C3049" s="18">
        <f>IF($A3049="","",IF(Paramètres!H25="","",Paramètres!H25))</f>
        <v/>
      </c>
      <c r="D3049" s="18">
        <f>IF($A3049="","",IF(Paramètres!I25="","",Paramètres!I25))</f>
        <v/>
      </c>
      <c r="E3049" s="19">
        <f>IF($A3049="","",IF(Paramètres!J25&amp;Paramètres!L25&amp;Paramètres!N25="",Dossiers!$D$60,MAX(IF(Paramètres!J25="",0,IF(Paramètres!K25="",NA(),IF(LEFT(TRIM(Paramètres!K25),1)="F",INDEX($F$3029:$F$3081,MATCH(Paramètres!J25,Paramètres!$G$5:$G$57,0)),INDEX($E$3029:$E$3081,MATCH(Paramètres!J25,Paramètres!$G$5:$G$57,0)))+IF(RIGHT(TRIM(Paramètres!K25),3)="Fin",1-$H3049,IF(LEFT(TRIM(Paramètres!K25),1)="F",1,0)))),IF(Paramètres!L25="",0,IF(Paramètres!M25="",NA(),IF(LEFT(TRIM(Paramètres!M25),1)="F",INDEX($F$3029:$F$3081,MATCH(Paramètres!L25,Paramètres!$G$5:$G$57,0)),INDEX($E$3029:$E$3081,MATCH(Paramètres!L25,Paramètres!$G$5:$G$57,0)))+IF(RIGHT(TRIM(Paramètres!M25),3)="Fin",1-$H3049,IF(LEFT(TRIM(Paramètres!M25),1)="F",1,0)))),IF(Paramètres!N25="",0,IF(Paramètres!O25="",NA(),IF(LEFT(TRIM(Paramètres!O25),1)="F",INDEX($F$3029:$F$3081,MATCH(Paramètres!N25,Paramètres!$G$5:$G$57,0)),INDEX($E$3029:$E$3081,MATCH(Paramètres!N25,Paramètres!$G$5:$G$57,0)))+IF(RIGHT(TRIM(Paramètres!O25),3)="Fin",1-$H3049,IF(LEFT(TRIM(Paramètres!O25),1)="F",1,0)))))))</f>
        <v/>
      </c>
      <c r="F3049" s="19">
        <f>IF($A3049="","",E3049+$H3049-1)</f>
        <v/>
      </c>
      <c r="G3049" s="18" t="n"/>
      <c r="H3049" s="18">
        <f>IF($A3049="","",IF(I3049&lt;&gt;"",I3049,Paramètres!B25))</f>
        <v/>
      </c>
      <c r="I3049" s="18" t="n"/>
    </row>
    <row r="3050">
      <c r="A3050" s="18">
        <f>IF(ISNUMBER(Dossiers!$D$60),Dossiers!$A$60&amp;" · "&amp;Dossiers!$B$60,"")</f>
        <v/>
      </c>
      <c r="B3050" s="18">
        <f>IF($A3050="","",Paramètres!G26)</f>
        <v/>
      </c>
      <c r="C3050" s="18">
        <f>IF($A3050="","",IF(Paramètres!H26="","",Paramètres!H26))</f>
        <v/>
      </c>
      <c r="D3050" s="18">
        <f>IF($A3050="","",IF(Paramètres!I26="","",Paramètres!I26))</f>
        <v/>
      </c>
      <c r="E3050" s="19">
        <f>IF($A3050="","",IF(Paramètres!J26&amp;Paramètres!L26&amp;Paramètres!N26="",Dossiers!$D$60,MAX(IF(Paramètres!J26="",0,IF(Paramètres!K26="",NA(),IF(LEFT(TRIM(Paramètres!K26),1)="F",INDEX($F$3029:$F$3081,MATCH(Paramètres!J26,Paramètres!$G$5:$G$57,0)),INDEX($E$3029:$E$3081,MATCH(Paramètres!J26,Paramètres!$G$5:$G$57,0)))+IF(RIGHT(TRIM(Paramètres!K26),3)="Fin",1-$H3050,IF(LEFT(TRIM(Paramètres!K26),1)="F",1,0)))),IF(Paramètres!L26="",0,IF(Paramètres!M26="",NA(),IF(LEFT(TRIM(Paramètres!M26),1)="F",INDEX($F$3029:$F$3081,MATCH(Paramètres!L26,Paramètres!$G$5:$G$57,0)),INDEX($E$3029:$E$3081,MATCH(Paramètres!L26,Paramètres!$G$5:$G$57,0)))+IF(RIGHT(TRIM(Paramètres!M26),3)="Fin",1-$H3050,IF(LEFT(TRIM(Paramètres!M26),1)="F",1,0)))),IF(Paramètres!N26="",0,IF(Paramètres!O26="",NA(),IF(LEFT(TRIM(Paramètres!O26),1)="F",INDEX($F$3029:$F$3081,MATCH(Paramètres!N26,Paramètres!$G$5:$G$57,0)),INDEX($E$3029:$E$3081,MATCH(Paramètres!N26,Paramètres!$G$5:$G$57,0)))+IF(RIGHT(TRIM(Paramètres!O26),3)="Fin",1-$H3050,IF(LEFT(TRIM(Paramètres!O26),1)="F",1,0)))))))</f>
        <v/>
      </c>
      <c r="F3050" s="19">
        <f>IF($A3050="","",E3050+$H3050-1)</f>
        <v/>
      </c>
      <c r="G3050" s="18" t="n"/>
      <c r="H3050" s="18">
        <f>IF($A3050="","",IF(I3050&lt;&gt;"",I3050,Paramètres!B26))</f>
        <v/>
      </c>
      <c r="I3050" s="18" t="n"/>
    </row>
    <row r="3051">
      <c r="A3051" s="18">
        <f>IF(ISNUMBER(Dossiers!$D$60),Dossiers!$A$60&amp;" · "&amp;Dossiers!$B$60,"")</f>
        <v/>
      </c>
      <c r="B3051" s="18">
        <f>IF($A3051="","",Paramètres!G27)</f>
        <v/>
      </c>
      <c r="C3051" s="18">
        <f>IF($A3051="","",IF(Paramètres!H27="","",Paramètres!H27))</f>
        <v/>
      </c>
      <c r="D3051" s="18">
        <f>IF($A3051="","",IF(Paramètres!I27="","",Paramètres!I27))</f>
        <v/>
      </c>
      <c r="E3051" s="19">
        <f>IF($A3051="","",IF(Paramètres!J27&amp;Paramètres!L27&amp;Paramètres!N27="",Dossiers!$D$60,MAX(IF(Paramètres!J27="",0,IF(Paramètres!K27="",NA(),IF(LEFT(TRIM(Paramètres!K27),1)="F",INDEX($F$3029:$F$3081,MATCH(Paramètres!J27,Paramètres!$G$5:$G$57,0)),INDEX($E$3029:$E$3081,MATCH(Paramètres!J27,Paramètres!$G$5:$G$57,0)))+IF(RIGHT(TRIM(Paramètres!K27),3)="Fin",1-$H3051,IF(LEFT(TRIM(Paramètres!K27),1)="F",1,0)))),IF(Paramètres!L27="",0,IF(Paramètres!M27="",NA(),IF(LEFT(TRIM(Paramètres!M27),1)="F",INDEX($F$3029:$F$3081,MATCH(Paramètres!L27,Paramètres!$G$5:$G$57,0)),INDEX($E$3029:$E$3081,MATCH(Paramètres!L27,Paramètres!$G$5:$G$57,0)))+IF(RIGHT(TRIM(Paramètres!M27),3)="Fin",1-$H3051,IF(LEFT(TRIM(Paramètres!M27),1)="F",1,0)))),IF(Paramètres!N27="",0,IF(Paramètres!O27="",NA(),IF(LEFT(TRIM(Paramètres!O27),1)="F",INDEX($F$3029:$F$3081,MATCH(Paramètres!N27,Paramètres!$G$5:$G$57,0)),INDEX($E$3029:$E$3081,MATCH(Paramètres!N27,Paramètres!$G$5:$G$57,0)))+IF(RIGHT(TRIM(Paramètres!O27),3)="Fin",1-$H3051,IF(LEFT(TRIM(Paramètres!O27),1)="F",1,0)))))))</f>
        <v/>
      </c>
      <c r="F3051" s="19">
        <f>IF($A3051="","",E3051+$H3051-1)</f>
        <v/>
      </c>
      <c r="G3051" s="18" t="n"/>
      <c r="H3051" s="18">
        <f>IF($A3051="","",IF(I3051&lt;&gt;"",I3051,Paramètres!B27))</f>
        <v/>
      </c>
      <c r="I3051" s="18" t="n"/>
    </row>
    <row r="3052">
      <c r="A3052" s="18">
        <f>IF(ISNUMBER(Dossiers!$D$60),Dossiers!$A$60&amp;" · "&amp;Dossiers!$B$60,"")</f>
        <v/>
      </c>
      <c r="B3052" s="18">
        <f>IF($A3052="","",Paramètres!G28)</f>
        <v/>
      </c>
      <c r="C3052" s="18">
        <f>IF($A3052="","",IF(Paramètres!H28="","",Paramètres!H28))</f>
        <v/>
      </c>
      <c r="D3052" s="18">
        <f>IF($A3052="","",IF(Paramètres!I28="","",Paramètres!I28))</f>
        <v/>
      </c>
      <c r="E3052" s="19">
        <f>IF($A3052="","",IF(Paramètres!J28&amp;Paramètres!L28&amp;Paramètres!N28="",Dossiers!$D$60,MAX(IF(Paramètres!J28="",0,IF(Paramètres!K28="",NA(),IF(LEFT(TRIM(Paramètres!K28),1)="F",INDEX($F$3029:$F$3081,MATCH(Paramètres!J28,Paramètres!$G$5:$G$57,0)),INDEX($E$3029:$E$3081,MATCH(Paramètres!J28,Paramètres!$G$5:$G$57,0)))+IF(RIGHT(TRIM(Paramètres!K28),3)="Fin",1-$H3052,IF(LEFT(TRIM(Paramètres!K28),1)="F",1,0)))),IF(Paramètres!L28="",0,IF(Paramètres!M28="",NA(),IF(LEFT(TRIM(Paramètres!M28),1)="F",INDEX($F$3029:$F$3081,MATCH(Paramètres!L28,Paramètres!$G$5:$G$57,0)),INDEX($E$3029:$E$3081,MATCH(Paramètres!L28,Paramètres!$G$5:$G$57,0)))+IF(RIGHT(TRIM(Paramètres!M28),3)="Fin",1-$H3052,IF(LEFT(TRIM(Paramètres!M28),1)="F",1,0)))),IF(Paramètres!N28="",0,IF(Paramètres!O28="",NA(),IF(LEFT(TRIM(Paramètres!O28),1)="F",INDEX($F$3029:$F$3081,MATCH(Paramètres!N28,Paramètres!$G$5:$G$57,0)),INDEX($E$3029:$E$3081,MATCH(Paramètres!N28,Paramètres!$G$5:$G$57,0)))+IF(RIGHT(TRIM(Paramètres!O28),3)="Fin",1-$H3052,IF(LEFT(TRIM(Paramètres!O28),1)="F",1,0)))))))</f>
        <v/>
      </c>
      <c r="F3052" s="19">
        <f>IF($A3052="","",E3052+$H3052-1)</f>
        <v/>
      </c>
      <c r="G3052" s="18" t="n"/>
      <c r="H3052" s="18">
        <f>IF($A3052="","",IF(I3052&lt;&gt;"",I3052,Paramètres!B28))</f>
        <v/>
      </c>
      <c r="I3052" s="18" t="n"/>
    </row>
    <row r="3053">
      <c r="A3053" s="18">
        <f>IF(ISNUMBER(Dossiers!$D$60),Dossiers!$A$60&amp;" · "&amp;Dossiers!$B$60,"")</f>
        <v/>
      </c>
      <c r="B3053" s="18">
        <f>IF($A3053="","",Paramètres!G29)</f>
        <v/>
      </c>
      <c r="C3053" s="18">
        <f>IF($A3053="","",IF(Paramètres!H29="","",Paramètres!H29))</f>
        <v/>
      </c>
      <c r="D3053" s="18">
        <f>IF($A3053="","",IF(Paramètres!I29="","",Paramètres!I29))</f>
        <v/>
      </c>
      <c r="E3053" s="19">
        <f>IF($A3053="","",IF(Paramètres!J29&amp;Paramètres!L29&amp;Paramètres!N29="",Dossiers!$D$60,MAX(IF(Paramètres!J29="",0,IF(Paramètres!K29="",NA(),IF(LEFT(TRIM(Paramètres!K29),1)="F",INDEX($F$3029:$F$3081,MATCH(Paramètres!J29,Paramètres!$G$5:$G$57,0)),INDEX($E$3029:$E$3081,MATCH(Paramètres!J29,Paramètres!$G$5:$G$57,0)))+IF(RIGHT(TRIM(Paramètres!K29),3)="Fin",1-$H3053,IF(LEFT(TRIM(Paramètres!K29),1)="F",1,0)))),IF(Paramètres!L29="",0,IF(Paramètres!M29="",NA(),IF(LEFT(TRIM(Paramètres!M29),1)="F",INDEX($F$3029:$F$3081,MATCH(Paramètres!L29,Paramètres!$G$5:$G$57,0)),INDEX($E$3029:$E$3081,MATCH(Paramètres!L29,Paramètres!$G$5:$G$57,0)))+IF(RIGHT(TRIM(Paramètres!M29),3)="Fin",1-$H3053,IF(LEFT(TRIM(Paramètres!M29),1)="F",1,0)))),IF(Paramètres!N29="",0,IF(Paramètres!O29="",NA(),IF(LEFT(TRIM(Paramètres!O29),1)="F",INDEX($F$3029:$F$3081,MATCH(Paramètres!N29,Paramètres!$G$5:$G$57,0)),INDEX($E$3029:$E$3081,MATCH(Paramètres!N29,Paramètres!$G$5:$G$57,0)))+IF(RIGHT(TRIM(Paramètres!O29),3)="Fin",1-$H3053,IF(LEFT(TRIM(Paramètres!O29),1)="F",1,0)))))))</f>
        <v/>
      </c>
      <c r="F3053" s="19">
        <f>IF($A3053="","",E3053+$H3053-1)</f>
        <v/>
      </c>
      <c r="G3053" s="18" t="n"/>
      <c r="H3053" s="18">
        <f>IF($A3053="","",IF(I3053&lt;&gt;"",I3053,Paramètres!B29))</f>
        <v/>
      </c>
      <c r="I3053" s="18" t="n"/>
    </row>
    <row r="3054">
      <c r="A3054" s="18">
        <f>IF(ISNUMBER(Dossiers!$D$60),Dossiers!$A$60&amp;" · "&amp;Dossiers!$B$60,"")</f>
        <v/>
      </c>
      <c r="B3054" s="18">
        <f>IF($A3054="","",Paramètres!G30)</f>
        <v/>
      </c>
      <c r="C3054" s="18">
        <f>IF($A3054="","",IF(Paramètres!H30="","",Paramètres!H30))</f>
        <v/>
      </c>
      <c r="D3054" s="18">
        <f>IF($A3054="","",IF(Paramètres!I30="","",Paramètres!I30))</f>
        <v/>
      </c>
      <c r="E3054" s="19">
        <f>IF($A3054="","",IF(Paramètres!J30&amp;Paramètres!L30&amp;Paramètres!N30="",Dossiers!$D$60,MAX(IF(Paramètres!J30="",0,IF(Paramètres!K30="",NA(),IF(LEFT(TRIM(Paramètres!K30),1)="F",INDEX($F$3029:$F$3081,MATCH(Paramètres!J30,Paramètres!$G$5:$G$57,0)),INDEX($E$3029:$E$3081,MATCH(Paramètres!J30,Paramètres!$G$5:$G$57,0)))+IF(RIGHT(TRIM(Paramètres!K30),3)="Fin",1-$H3054,IF(LEFT(TRIM(Paramètres!K30),1)="F",1,0)))),IF(Paramètres!L30="",0,IF(Paramètres!M30="",NA(),IF(LEFT(TRIM(Paramètres!M30),1)="F",INDEX($F$3029:$F$3081,MATCH(Paramètres!L30,Paramètres!$G$5:$G$57,0)),INDEX($E$3029:$E$3081,MATCH(Paramètres!L30,Paramètres!$G$5:$G$57,0)))+IF(RIGHT(TRIM(Paramètres!M30),3)="Fin",1-$H3054,IF(LEFT(TRIM(Paramètres!M30),1)="F",1,0)))),IF(Paramètres!N30="",0,IF(Paramètres!O30="",NA(),IF(LEFT(TRIM(Paramètres!O30),1)="F",INDEX($F$3029:$F$3081,MATCH(Paramètres!N30,Paramètres!$G$5:$G$57,0)),INDEX($E$3029:$E$3081,MATCH(Paramètres!N30,Paramètres!$G$5:$G$57,0)))+IF(RIGHT(TRIM(Paramètres!O30),3)="Fin",1-$H3054,IF(LEFT(TRIM(Paramètres!O30),1)="F",1,0)))))))</f>
        <v/>
      </c>
      <c r="F3054" s="19">
        <f>IF($A3054="","",E3054+$H3054-1)</f>
        <v/>
      </c>
      <c r="G3054" s="18" t="n"/>
      <c r="H3054" s="18">
        <f>IF($A3054="","",IF(I3054&lt;&gt;"",I3054,Paramètres!B30))</f>
        <v/>
      </c>
      <c r="I3054" s="18" t="n"/>
    </row>
    <row r="3055">
      <c r="A3055" s="18">
        <f>IF(ISNUMBER(Dossiers!$D$60),Dossiers!$A$60&amp;" · "&amp;Dossiers!$B$60,"")</f>
        <v/>
      </c>
      <c r="B3055" s="18">
        <f>IF($A3055="","",Paramètres!G31)</f>
        <v/>
      </c>
      <c r="C3055" s="20">
        <f>IF($A3055="","",IF(Dossiers!$F$60="","",Dossiers!$F$60))</f>
        <v/>
      </c>
      <c r="D3055" s="18">
        <f>IF($A3055="","",IF(Paramètres!I31="","",Paramètres!I31))</f>
        <v/>
      </c>
      <c r="E3055" s="19">
        <f>IF($A3055="","",IF(Paramètres!J31&amp;Paramètres!L31&amp;Paramètres!N31="",Dossiers!$D$60,MAX(IF(Paramètres!J31="",0,IF(Paramètres!K31="",NA(),IF(LEFT(TRIM(Paramètres!K31),1)="F",INDEX($F$3029:$F$3081,MATCH(Paramètres!J31,Paramètres!$G$5:$G$57,0)),INDEX($E$3029:$E$3081,MATCH(Paramètres!J31,Paramètres!$G$5:$G$57,0)))+IF(RIGHT(TRIM(Paramètres!K31),3)="Fin",1-$H3055,IF(LEFT(TRIM(Paramètres!K31),1)="F",1,0)))),IF(Paramètres!L31="",0,IF(Paramètres!M31="",NA(),IF(LEFT(TRIM(Paramètres!M31),1)="F",INDEX($F$3029:$F$3081,MATCH(Paramètres!L31,Paramètres!$G$5:$G$57,0)),INDEX($E$3029:$E$3081,MATCH(Paramètres!L31,Paramètres!$G$5:$G$57,0)))+IF(RIGHT(TRIM(Paramètres!M31),3)="Fin",1-$H3055,IF(LEFT(TRIM(Paramètres!M31),1)="F",1,0)))),IF(Paramètres!N31="",0,IF(Paramètres!O31="",NA(),IF(LEFT(TRIM(Paramètres!O31),1)="F",INDEX($F$3029:$F$3081,MATCH(Paramètres!N31,Paramètres!$G$5:$G$57,0)),INDEX($E$3029:$E$3081,MATCH(Paramètres!N31,Paramètres!$G$5:$G$57,0)))+IF(RIGHT(TRIM(Paramètres!O31),3)="Fin",1-$H3055,IF(LEFT(TRIM(Paramètres!O31),1)="F",1,0)))))))</f>
        <v/>
      </c>
      <c r="F3055" s="19">
        <f>IF($A3055="","",E3055+$H3055-1)</f>
        <v/>
      </c>
      <c r="G3055" s="18" t="n"/>
      <c r="H3055" s="18">
        <f>IF($A3055="","",IF(I3055&lt;&gt;"",I3055,Paramètres!B31))</f>
        <v/>
      </c>
      <c r="I3055" s="18" t="n"/>
    </row>
    <row r="3056">
      <c r="A3056" s="18">
        <f>IF(ISNUMBER(Dossiers!$D$60),Dossiers!$A$60&amp;" · "&amp;Dossiers!$B$60,"")</f>
        <v/>
      </c>
      <c r="B3056" s="18">
        <f>IF($A3056="","",Paramètres!G32)</f>
        <v/>
      </c>
      <c r="C3056" s="18">
        <f>IF($A3056="","",IF(Paramètres!H32="","",Paramètres!H32))</f>
        <v/>
      </c>
      <c r="D3056" s="18">
        <f>IF($A3056="","",IF(Paramètres!I32="","",Paramètres!I32))</f>
        <v/>
      </c>
      <c r="E3056" s="19">
        <f>IF($A3056="","",MIN(E3057:E3060))</f>
        <v/>
      </c>
      <c r="F3056" s="19">
        <f>IF($A3056="","",MAX(F3057:F3060))</f>
        <v/>
      </c>
      <c r="G3056" s="18" t="n"/>
      <c r="H3056" s="18">
        <f>IF($A3056="","",F3056-E3056+1)</f>
        <v/>
      </c>
      <c r="I3056" s="18" t="n"/>
    </row>
    <row r="3057">
      <c r="A3057" s="18">
        <f>IF(ISNUMBER(Dossiers!$D$60),Dossiers!$A$60&amp;" · "&amp;Dossiers!$B$60,"")</f>
        <v/>
      </c>
      <c r="B3057" s="18">
        <f>IF($A3057="","",Paramètres!G33)</f>
        <v/>
      </c>
      <c r="C3057" s="18">
        <f>IF($A3057="","",IF(Paramètres!H33="","",Paramètres!H33))</f>
        <v/>
      </c>
      <c r="D3057" s="18">
        <f>IF($A3057="","",IF(Paramètres!I33="","",Paramètres!I33))</f>
        <v/>
      </c>
      <c r="E3057" s="19">
        <f>IF($A3057="","",IF(Paramètres!J33&amp;Paramètres!L33&amp;Paramètres!N33="",Dossiers!$D$60,MAX(IF(Paramètres!J33="",0,IF(Paramètres!K33="",NA(),IF(LEFT(TRIM(Paramètres!K33),1)="F",INDEX($F$3029:$F$3081,MATCH(Paramètres!J33,Paramètres!$G$5:$G$57,0)),INDEX($E$3029:$E$3081,MATCH(Paramètres!J33,Paramètres!$G$5:$G$57,0)))+IF(RIGHT(TRIM(Paramètres!K33),3)="Fin",1-$H3057,IF(LEFT(TRIM(Paramètres!K33),1)="F",1,0)))),IF(Paramètres!L33="",0,IF(Paramètres!M33="",NA(),IF(LEFT(TRIM(Paramètres!M33),1)="F",INDEX($F$3029:$F$3081,MATCH(Paramètres!L33,Paramètres!$G$5:$G$57,0)),INDEX($E$3029:$E$3081,MATCH(Paramètres!L33,Paramètres!$G$5:$G$57,0)))+IF(RIGHT(TRIM(Paramètres!M33),3)="Fin",1-$H3057,IF(LEFT(TRIM(Paramètres!M33),1)="F",1,0)))),IF(Paramètres!N33="",0,IF(Paramètres!O33="",NA(),IF(LEFT(TRIM(Paramètres!O33),1)="F",INDEX($F$3029:$F$3081,MATCH(Paramètres!N33,Paramètres!$G$5:$G$57,0)),INDEX($E$3029:$E$3081,MATCH(Paramètres!N33,Paramètres!$G$5:$G$57,0)))+IF(RIGHT(TRIM(Paramètres!O33),3)="Fin",1-$H3057,IF(LEFT(TRIM(Paramètres!O33),1)="F",1,0)))))))</f>
        <v/>
      </c>
      <c r="F3057" s="19">
        <f>IF($A3057="","",E3057+$H3057-1)</f>
        <v/>
      </c>
      <c r="G3057" s="18" t="n"/>
      <c r="H3057" s="18">
        <f>IF($A3057="","",IF(I3057&lt;&gt;"",I3057,Paramètres!B33))</f>
        <v/>
      </c>
      <c r="I3057" s="18" t="n"/>
    </row>
    <row r="3058">
      <c r="A3058" s="18">
        <f>IF(ISNUMBER(Dossiers!$D$60),Dossiers!$A$60&amp;" · "&amp;Dossiers!$B$60,"")</f>
        <v/>
      </c>
      <c r="B3058" s="18">
        <f>IF($A3058="","",Paramètres!G34)</f>
        <v/>
      </c>
      <c r="C3058" s="18">
        <f>IF($A3058="","",IF(Paramètres!H34="","",Paramètres!H34))</f>
        <v/>
      </c>
      <c r="D3058" s="18">
        <f>IF($A3058="","",IF(Paramètres!I34="","",Paramètres!I34))</f>
        <v/>
      </c>
      <c r="E3058" s="19">
        <f>IF($A3058="","",IF(Paramètres!J34&amp;Paramètres!L34&amp;Paramètres!N34="",Dossiers!$D$60,MAX(IF(Paramètres!J34="",0,IF(Paramètres!K34="",NA(),IF(LEFT(TRIM(Paramètres!K34),1)="F",INDEX($F$3029:$F$3081,MATCH(Paramètres!J34,Paramètres!$G$5:$G$57,0)),INDEX($E$3029:$E$3081,MATCH(Paramètres!J34,Paramètres!$G$5:$G$57,0)))+IF(RIGHT(TRIM(Paramètres!K34),3)="Fin",1-$H3058,IF(LEFT(TRIM(Paramètres!K34),1)="F",1,0)))),IF(Paramètres!L34="",0,IF(Paramètres!M34="",NA(),IF(LEFT(TRIM(Paramètres!M34),1)="F",INDEX($F$3029:$F$3081,MATCH(Paramètres!L34,Paramètres!$G$5:$G$57,0)),INDEX($E$3029:$E$3081,MATCH(Paramètres!L34,Paramètres!$G$5:$G$57,0)))+IF(RIGHT(TRIM(Paramètres!M34),3)="Fin",1-$H3058,IF(LEFT(TRIM(Paramètres!M34),1)="F",1,0)))),IF(Paramètres!N34="",0,IF(Paramètres!O34="",NA(),IF(LEFT(TRIM(Paramètres!O34),1)="F",INDEX($F$3029:$F$3081,MATCH(Paramètres!N34,Paramètres!$G$5:$G$57,0)),INDEX($E$3029:$E$3081,MATCH(Paramètres!N34,Paramètres!$G$5:$G$57,0)))+IF(RIGHT(TRIM(Paramètres!O34),3)="Fin",1-$H3058,IF(LEFT(TRIM(Paramètres!O34),1)="F",1,0)))))))</f>
        <v/>
      </c>
      <c r="F3058" s="19">
        <f>IF($A3058="","",E3058+$H3058-1)</f>
        <v/>
      </c>
      <c r="G3058" s="18" t="n"/>
      <c r="H3058" s="18">
        <f>IF($A3058="","",IF(I3058&lt;&gt;"",I3058,Paramètres!B34))</f>
        <v/>
      </c>
      <c r="I3058" s="18" t="n"/>
    </row>
    <row r="3059">
      <c r="A3059" s="18">
        <f>IF(ISNUMBER(Dossiers!$D$60),Dossiers!$A$60&amp;" · "&amp;Dossiers!$B$60,"")</f>
        <v/>
      </c>
      <c r="B3059" s="18">
        <f>IF($A3059="","",Paramètres!G35)</f>
        <v/>
      </c>
      <c r="C3059" s="18">
        <f>IF($A3059="","",IF(Paramètres!H35="","",Paramètres!H35))</f>
        <v/>
      </c>
      <c r="D3059" s="18">
        <f>IF($A3059="","",IF(Paramètres!I35="","",Paramètres!I35))</f>
        <v/>
      </c>
      <c r="E3059" s="19">
        <f>IF($A3059="","",IF(Paramètres!J35&amp;Paramètres!L35&amp;Paramètres!N35="",Dossiers!$D$60,MAX(IF(Paramètres!J35="",0,IF(Paramètres!K35="",NA(),IF(LEFT(TRIM(Paramètres!K35),1)="F",INDEX($F$3029:$F$3081,MATCH(Paramètres!J35,Paramètres!$G$5:$G$57,0)),INDEX($E$3029:$E$3081,MATCH(Paramètres!J35,Paramètres!$G$5:$G$57,0)))+IF(RIGHT(TRIM(Paramètres!K35),3)="Fin",1-$H3059,IF(LEFT(TRIM(Paramètres!K35),1)="F",1,0)))),IF(Paramètres!L35="",0,IF(Paramètres!M35="",NA(),IF(LEFT(TRIM(Paramètres!M35),1)="F",INDEX($F$3029:$F$3081,MATCH(Paramètres!L35,Paramètres!$G$5:$G$57,0)),INDEX($E$3029:$E$3081,MATCH(Paramètres!L35,Paramètres!$G$5:$G$57,0)))+IF(RIGHT(TRIM(Paramètres!M35),3)="Fin",1-$H3059,IF(LEFT(TRIM(Paramètres!M35),1)="F",1,0)))),IF(Paramètres!N35="",0,IF(Paramètres!O35="",NA(),IF(LEFT(TRIM(Paramètres!O35),1)="F",INDEX($F$3029:$F$3081,MATCH(Paramètres!N35,Paramètres!$G$5:$G$57,0)),INDEX($E$3029:$E$3081,MATCH(Paramètres!N35,Paramètres!$G$5:$G$57,0)))+IF(RIGHT(TRIM(Paramètres!O35),3)="Fin",1-$H3059,IF(LEFT(TRIM(Paramètres!O35),1)="F",1,0)))))))</f>
        <v/>
      </c>
      <c r="F3059" s="19">
        <f>IF($A3059="","",E3059+$H3059-1)</f>
        <v/>
      </c>
      <c r="G3059" s="18" t="n"/>
      <c r="H3059" s="18">
        <f>IF($A3059="","",IF(I3059&lt;&gt;"",I3059,Paramètres!B35))</f>
        <v/>
      </c>
      <c r="I3059" s="18" t="n"/>
    </row>
    <row r="3060">
      <c r="A3060" s="18">
        <f>IF(ISNUMBER(Dossiers!$D$60),Dossiers!$A$60&amp;" · "&amp;Dossiers!$B$60,"")</f>
        <v/>
      </c>
      <c r="B3060" s="18">
        <f>IF($A3060="","",Paramètres!G36)</f>
        <v/>
      </c>
      <c r="C3060" s="18">
        <f>IF($A3060="","",IF(Paramètres!H36="","",Paramètres!H36))</f>
        <v/>
      </c>
      <c r="D3060" s="18">
        <f>IF($A3060="","",IF(Paramètres!I36="","",Paramètres!I36))</f>
        <v/>
      </c>
      <c r="E3060" s="19">
        <f>IF($A3060="","",IF(Paramètres!J36&amp;Paramètres!L36&amp;Paramètres!N36="",Dossiers!$D$60,MAX(IF(Paramètres!J36="",0,IF(Paramètres!K36="",NA(),IF(LEFT(TRIM(Paramètres!K36),1)="F",INDEX($F$3029:$F$3081,MATCH(Paramètres!J36,Paramètres!$G$5:$G$57,0)),INDEX($E$3029:$E$3081,MATCH(Paramètres!J36,Paramètres!$G$5:$G$57,0)))+IF(RIGHT(TRIM(Paramètres!K36),3)="Fin",1-$H3060,IF(LEFT(TRIM(Paramètres!K36),1)="F",1,0)))),IF(Paramètres!L36="",0,IF(Paramètres!M36="",NA(),IF(LEFT(TRIM(Paramètres!M36),1)="F",INDEX($F$3029:$F$3081,MATCH(Paramètres!L36,Paramètres!$G$5:$G$57,0)),INDEX($E$3029:$E$3081,MATCH(Paramètres!L36,Paramètres!$G$5:$G$57,0)))+IF(RIGHT(TRIM(Paramètres!M36),3)="Fin",1-$H3060,IF(LEFT(TRIM(Paramètres!M36),1)="F",1,0)))),IF(Paramètres!N36="",0,IF(Paramètres!O36="",NA(),IF(LEFT(TRIM(Paramètres!O36),1)="F",INDEX($F$3029:$F$3081,MATCH(Paramètres!N36,Paramètres!$G$5:$G$57,0)),INDEX($E$3029:$E$3081,MATCH(Paramètres!N36,Paramètres!$G$5:$G$57,0)))+IF(RIGHT(TRIM(Paramètres!O36),3)="Fin",1-$H3060,IF(LEFT(TRIM(Paramètres!O36),1)="F",1,0)))))))</f>
        <v/>
      </c>
      <c r="F3060" s="19">
        <f>IF($A3060="","",E3060+$H3060-1)</f>
        <v/>
      </c>
      <c r="G3060" s="18" t="n"/>
      <c r="H3060" s="18">
        <f>IF($A3060="","",IF(I3060&lt;&gt;"",I3060,Paramètres!B36))</f>
        <v/>
      </c>
      <c r="I3060" s="18" t="n"/>
    </row>
    <row r="3061">
      <c r="A3061" s="18">
        <f>IF(ISNUMBER(Dossiers!$D$60),Dossiers!$A$60&amp;" · "&amp;Dossiers!$B$60,"")</f>
        <v/>
      </c>
      <c r="B3061" s="18">
        <f>IF($A3061="","",Paramètres!G37)</f>
        <v/>
      </c>
      <c r="C3061" s="18">
        <f>IF($A3061="","",IF(Paramètres!H37="","",Paramètres!H37))</f>
        <v/>
      </c>
      <c r="D3061" s="18">
        <f>IF($A3061="","",IF(Paramètres!I37="","",Paramètres!I37))</f>
        <v/>
      </c>
      <c r="E3061" s="19">
        <f>IF($A3061="","",MIN(E3062:E3079))</f>
        <v/>
      </c>
      <c r="F3061" s="19">
        <f>IF($A3061="","",MAX(F3062:F3079))</f>
        <v/>
      </c>
      <c r="G3061" s="18" t="n"/>
      <c r="H3061" s="18">
        <f>IF($A3061="","",F3061-E3061+1)</f>
        <v/>
      </c>
      <c r="I3061" s="18" t="n"/>
    </row>
    <row r="3062">
      <c r="A3062" s="18">
        <f>IF(ISNUMBER(Dossiers!$D$60),Dossiers!$A$60&amp;" · "&amp;Dossiers!$B$60,"")</f>
        <v/>
      </c>
      <c r="B3062" s="18">
        <f>IF($A3062="","",Paramètres!G38)</f>
        <v/>
      </c>
      <c r="C3062" s="18">
        <f>IF($A3062="","",IF(Paramètres!H38="","",Paramètres!H38))</f>
        <v/>
      </c>
      <c r="D3062" s="18">
        <f>IF($A3062="","",IF(Paramètres!I38="","",Paramètres!I38))</f>
        <v/>
      </c>
      <c r="E3062" s="19">
        <f>IF($A3062="","",IF(Paramètres!J38&amp;Paramètres!L38&amp;Paramètres!N38="",Dossiers!$D$60,MAX(IF(Paramètres!J38="",0,IF(Paramètres!K38="",NA(),IF(LEFT(TRIM(Paramètres!K38),1)="F",INDEX($F$3029:$F$3081,MATCH(Paramètres!J38,Paramètres!$G$5:$G$57,0)),INDEX($E$3029:$E$3081,MATCH(Paramètres!J38,Paramètres!$G$5:$G$57,0)))+IF(RIGHT(TRIM(Paramètres!K38),3)="Fin",1-$H3062,IF(LEFT(TRIM(Paramètres!K38),1)="F",1,0)))),IF(Paramètres!L38="",0,IF(Paramètres!M38="",NA(),IF(LEFT(TRIM(Paramètres!M38),1)="F",INDEX($F$3029:$F$3081,MATCH(Paramètres!L38,Paramètres!$G$5:$G$57,0)),INDEX($E$3029:$E$3081,MATCH(Paramètres!L38,Paramètres!$G$5:$G$57,0)))+IF(RIGHT(TRIM(Paramètres!M38),3)="Fin",1-$H3062,IF(LEFT(TRIM(Paramètres!M38),1)="F",1,0)))),IF(Paramètres!N38="",0,IF(Paramètres!O38="",NA(),IF(LEFT(TRIM(Paramètres!O38),1)="F",INDEX($F$3029:$F$3081,MATCH(Paramètres!N38,Paramètres!$G$5:$G$57,0)),INDEX($E$3029:$E$3081,MATCH(Paramètres!N38,Paramètres!$G$5:$G$57,0)))+IF(RIGHT(TRIM(Paramètres!O38),3)="Fin",1-$H3062,IF(LEFT(TRIM(Paramètres!O38),1)="F",1,0)))))))</f>
        <v/>
      </c>
      <c r="F3062" s="19">
        <f>IF($A3062="","",E3062+$H3062-1)</f>
        <v/>
      </c>
      <c r="G3062" s="18" t="n"/>
      <c r="H3062" s="18">
        <f>IF($A3062="","",IF(I3062&lt;&gt;"",I3062,Paramètres!B38))</f>
        <v/>
      </c>
      <c r="I3062" s="18" t="n"/>
    </row>
    <row r="3063">
      <c r="A3063" s="18">
        <f>IF(ISNUMBER(Dossiers!$D$60),Dossiers!$A$60&amp;" · "&amp;Dossiers!$B$60,"")</f>
        <v/>
      </c>
      <c r="B3063" s="18">
        <f>IF($A3063="","",Paramètres!G39)</f>
        <v/>
      </c>
      <c r="C3063" s="18">
        <f>IF($A3063="","",IF(Paramètres!H39="","",Paramètres!H39))</f>
        <v/>
      </c>
      <c r="D3063" s="18">
        <f>IF($A3063="","",IF(Paramètres!I39="","",Paramètres!I39))</f>
        <v/>
      </c>
      <c r="E3063" s="19">
        <f>IF($A3063="","",IF(Paramètres!J39&amp;Paramètres!L39&amp;Paramètres!N39="",Dossiers!$D$60,MAX(IF(Paramètres!J39="",0,IF(Paramètres!K39="",NA(),IF(LEFT(TRIM(Paramètres!K39),1)="F",INDEX($F$3029:$F$3081,MATCH(Paramètres!J39,Paramètres!$G$5:$G$57,0)),INDEX($E$3029:$E$3081,MATCH(Paramètres!J39,Paramètres!$G$5:$G$57,0)))+IF(RIGHT(TRIM(Paramètres!K39),3)="Fin",1-$H3063,IF(LEFT(TRIM(Paramètres!K39),1)="F",1,0)))),IF(Paramètres!L39="",0,IF(Paramètres!M39="",NA(),IF(LEFT(TRIM(Paramètres!M39),1)="F",INDEX($F$3029:$F$3081,MATCH(Paramètres!L39,Paramètres!$G$5:$G$57,0)),INDEX($E$3029:$E$3081,MATCH(Paramètres!L39,Paramètres!$G$5:$G$57,0)))+IF(RIGHT(TRIM(Paramètres!M39),3)="Fin",1-$H3063,IF(LEFT(TRIM(Paramètres!M39),1)="F",1,0)))),IF(Paramètres!N39="",0,IF(Paramètres!O39="",NA(),IF(LEFT(TRIM(Paramètres!O39),1)="F",INDEX($F$3029:$F$3081,MATCH(Paramètres!N39,Paramètres!$G$5:$G$57,0)),INDEX($E$3029:$E$3081,MATCH(Paramètres!N39,Paramètres!$G$5:$G$57,0)))+IF(RIGHT(TRIM(Paramètres!O39),3)="Fin",1-$H3063,IF(LEFT(TRIM(Paramètres!O39),1)="F",1,0)))))))</f>
        <v/>
      </c>
      <c r="F3063" s="19">
        <f>IF($A3063="","",E3063+$H3063-1)</f>
        <v/>
      </c>
      <c r="G3063" s="18" t="n"/>
      <c r="H3063" s="18">
        <f>IF($A3063="","",IF(I3063&lt;&gt;"",I3063,Paramètres!B39))</f>
        <v/>
      </c>
      <c r="I3063" s="18" t="n"/>
    </row>
    <row r="3064">
      <c r="A3064" s="18">
        <f>IF(ISNUMBER(Dossiers!$D$60),Dossiers!$A$60&amp;" · "&amp;Dossiers!$B$60,"")</f>
        <v/>
      </c>
      <c r="B3064" s="18">
        <f>IF($A3064="","",Paramètres!G40)</f>
        <v/>
      </c>
      <c r="C3064" s="18">
        <f>IF($A3064="","",IF(Paramètres!H40="","",Paramètres!H40))</f>
        <v/>
      </c>
      <c r="D3064" s="18">
        <f>IF($A3064="","",IF(Paramètres!I40="","",Paramètres!I40))</f>
        <v/>
      </c>
      <c r="E3064" s="19">
        <f>IF($A3064="","",IF(Paramètres!J40&amp;Paramètres!L40&amp;Paramètres!N40="",Dossiers!$D$60,MAX(IF(Paramètres!J40="",0,IF(Paramètres!K40="",NA(),IF(LEFT(TRIM(Paramètres!K40),1)="F",INDEX($F$3029:$F$3081,MATCH(Paramètres!J40,Paramètres!$G$5:$G$57,0)),INDEX($E$3029:$E$3081,MATCH(Paramètres!J40,Paramètres!$G$5:$G$57,0)))+IF(RIGHT(TRIM(Paramètres!K40),3)="Fin",1-$H3064,IF(LEFT(TRIM(Paramètres!K40),1)="F",1,0)))),IF(Paramètres!L40="",0,IF(Paramètres!M40="",NA(),IF(LEFT(TRIM(Paramètres!M40),1)="F",INDEX($F$3029:$F$3081,MATCH(Paramètres!L40,Paramètres!$G$5:$G$57,0)),INDEX($E$3029:$E$3081,MATCH(Paramètres!L40,Paramètres!$G$5:$G$57,0)))+IF(RIGHT(TRIM(Paramètres!M40),3)="Fin",1-$H3064,IF(LEFT(TRIM(Paramètres!M40),1)="F",1,0)))),IF(Paramètres!N40="",0,IF(Paramètres!O40="",NA(),IF(LEFT(TRIM(Paramètres!O40),1)="F",INDEX($F$3029:$F$3081,MATCH(Paramètres!N40,Paramètres!$G$5:$G$57,0)),INDEX($E$3029:$E$3081,MATCH(Paramètres!N40,Paramètres!$G$5:$G$57,0)))+IF(RIGHT(TRIM(Paramètres!O40),3)="Fin",1-$H3064,IF(LEFT(TRIM(Paramètres!O40),1)="F",1,0)))))))</f>
        <v/>
      </c>
      <c r="F3064" s="19">
        <f>IF($A3064="","",E3064+$H3064-1)</f>
        <v/>
      </c>
      <c r="G3064" s="18" t="n"/>
      <c r="H3064" s="18">
        <f>IF($A3064="","",IF(I3064&lt;&gt;"",I3064,Paramètres!B40))</f>
        <v/>
      </c>
      <c r="I3064" s="18" t="n"/>
    </row>
    <row r="3065">
      <c r="A3065" s="18">
        <f>IF(ISNUMBER(Dossiers!$D$60),Dossiers!$A$60&amp;" · "&amp;Dossiers!$B$60,"")</f>
        <v/>
      </c>
      <c r="B3065" s="18">
        <f>IF($A3065="","",Paramètres!G41)</f>
        <v/>
      </c>
      <c r="C3065" s="18">
        <f>IF($A3065="","",IF(Paramètres!H41="","",Paramètres!H41))</f>
        <v/>
      </c>
      <c r="D3065" s="18">
        <f>IF($A3065="","",IF(Paramètres!I41="","",Paramètres!I41))</f>
        <v/>
      </c>
      <c r="E3065" s="19">
        <f>IF($A3065="","",IF(Paramètres!J41&amp;Paramètres!L41&amp;Paramètres!N41="",Dossiers!$D$60,MAX(IF(Paramètres!J41="",0,IF(Paramètres!K41="",NA(),IF(LEFT(TRIM(Paramètres!K41),1)="F",INDEX($F$3029:$F$3081,MATCH(Paramètres!J41,Paramètres!$G$5:$G$57,0)),INDEX($E$3029:$E$3081,MATCH(Paramètres!J41,Paramètres!$G$5:$G$57,0)))+IF(RIGHT(TRIM(Paramètres!K41),3)="Fin",1-$H3065,IF(LEFT(TRIM(Paramètres!K41),1)="F",1,0)))),IF(Paramètres!L41="",0,IF(Paramètres!M41="",NA(),IF(LEFT(TRIM(Paramètres!M41),1)="F",INDEX($F$3029:$F$3081,MATCH(Paramètres!L41,Paramètres!$G$5:$G$57,0)),INDEX($E$3029:$E$3081,MATCH(Paramètres!L41,Paramètres!$G$5:$G$57,0)))+IF(RIGHT(TRIM(Paramètres!M41),3)="Fin",1-$H3065,IF(LEFT(TRIM(Paramètres!M41),1)="F",1,0)))),IF(Paramètres!N41="",0,IF(Paramètres!O41="",NA(),IF(LEFT(TRIM(Paramètres!O41),1)="F",INDEX($F$3029:$F$3081,MATCH(Paramètres!N41,Paramètres!$G$5:$G$57,0)),INDEX($E$3029:$E$3081,MATCH(Paramètres!N41,Paramètres!$G$5:$G$57,0)))+IF(RIGHT(TRIM(Paramètres!O41),3)="Fin",1-$H3065,IF(LEFT(TRIM(Paramètres!O41),1)="F",1,0)))))))</f>
        <v/>
      </c>
      <c r="F3065" s="19">
        <f>IF($A3065="","",E3065+$H3065-1)</f>
        <v/>
      </c>
      <c r="G3065" s="18" t="n"/>
      <c r="H3065" s="18">
        <f>IF($A3065="","",IF(I3065&lt;&gt;"",I3065,Paramètres!B41))</f>
        <v/>
      </c>
      <c r="I3065" s="18" t="n"/>
    </row>
    <row r="3066">
      <c r="A3066" s="18">
        <f>IF(ISNUMBER(Dossiers!$D$60),Dossiers!$A$60&amp;" · "&amp;Dossiers!$B$60,"")</f>
        <v/>
      </c>
      <c r="B3066" s="18">
        <f>IF($A3066="","",Paramètres!G42)</f>
        <v/>
      </c>
      <c r="C3066" s="18">
        <f>IF($A3066="","",IF(Paramètres!H42="","",Paramètres!H42))</f>
        <v/>
      </c>
      <c r="D3066" s="18">
        <f>IF($A3066="","",IF(Paramètres!I42="","",Paramètres!I42))</f>
        <v/>
      </c>
      <c r="E3066" s="19">
        <f>IF($A3066="","",IF(Paramètres!J42&amp;Paramètres!L42&amp;Paramètres!N42="",Dossiers!$D$60,MAX(IF(Paramètres!J42="",0,IF(Paramètres!K42="",NA(),IF(LEFT(TRIM(Paramètres!K42),1)="F",INDEX($F$3029:$F$3081,MATCH(Paramètres!J42,Paramètres!$G$5:$G$57,0)),INDEX($E$3029:$E$3081,MATCH(Paramètres!J42,Paramètres!$G$5:$G$57,0)))+IF(RIGHT(TRIM(Paramètres!K42),3)="Fin",1-$H3066,IF(LEFT(TRIM(Paramètres!K42),1)="F",1,0)))),IF(Paramètres!L42="",0,IF(Paramètres!M42="",NA(),IF(LEFT(TRIM(Paramètres!M42),1)="F",INDEX($F$3029:$F$3081,MATCH(Paramètres!L42,Paramètres!$G$5:$G$57,0)),INDEX($E$3029:$E$3081,MATCH(Paramètres!L42,Paramètres!$G$5:$G$57,0)))+IF(RIGHT(TRIM(Paramètres!M42),3)="Fin",1-$H3066,IF(LEFT(TRIM(Paramètres!M42),1)="F",1,0)))),IF(Paramètres!N42="",0,IF(Paramètres!O42="",NA(),IF(LEFT(TRIM(Paramètres!O42),1)="F",INDEX($F$3029:$F$3081,MATCH(Paramètres!N42,Paramètres!$G$5:$G$57,0)),INDEX($E$3029:$E$3081,MATCH(Paramètres!N42,Paramètres!$G$5:$G$57,0)))+IF(RIGHT(TRIM(Paramètres!O42),3)="Fin",1-$H3066,IF(LEFT(TRIM(Paramètres!O42),1)="F",1,0)))))))</f>
        <v/>
      </c>
      <c r="F3066" s="19">
        <f>IF($A3066="","",E3066+$H3066-1)</f>
        <v/>
      </c>
      <c r="G3066" s="18" t="n"/>
      <c r="H3066" s="18">
        <f>IF($A3066="","",IF(I3066&lt;&gt;"",I3066,Paramètres!B42))</f>
        <v/>
      </c>
      <c r="I3066" s="18" t="n"/>
    </row>
    <row r="3067">
      <c r="A3067" s="18">
        <f>IF(ISNUMBER(Dossiers!$D$60),Dossiers!$A$60&amp;" · "&amp;Dossiers!$B$60,"")</f>
        <v/>
      </c>
      <c r="B3067" s="18">
        <f>IF($A3067="","",Paramètres!G43)</f>
        <v/>
      </c>
      <c r="C3067" s="18">
        <f>IF($A3067="","",IF(Paramètres!H43="","",Paramètres!H43))</f>
        <v/>
      </c>
      <c r="D3067" s="18">
        <f>IF($A3067="","",IF(Paramètres!I43="","",Paramètres!I43))</f>
        <v/>
      </c>
      <c r="E3067" s="19">
        <f>IF($A3067="","",IF(Paramètres!J43&amp;Paramètres!L43&amp;Paramètres!N43="",Dossiers!$D$60,MAX(IF(Paramètres!J43="",0,IF(Paramètres!K43="",NA(),IF(LEFT(TRIM(Paramètres!K43),1)="F",INDEX($F$3029:$F$3081,MATCH(Paramètres!J43,Paramètres!$G$5:$G$57,0)),INDEX($E$3029:$E$3081,MATCH(Paramètres!J43,Paramètres!$G$5:$G$57,0)))+IF(RIGHT(TRIM(Paramètres!K43),3)="Fin",1-$H3067,IF(LEFT(TRIM(Paramètres!K43),1)="F",1,0)))),IF(Paramètres!L43="",0,IF(Paramètres!M43="",NA(),IF(LEFT(TRIM(Paramètres!M43),1)="F",INDEX($F$3029:$F$3081,MATCH(Paramètres!L43,Paramètres!$G$5:$G$57,0)),INDEX($E$3029:$E$3081,MATCH(Paramètres!L43,Paramètres!$G$5:$G$57,0)))+IF(RIGHT(TRIM(Paramètres!M43),3)="Fin",1-$H3067,IF(LEFT(TRIM(Paramètres!M43),1)="F",1,0)))),IF(Paramètres!N43="",0,IF(Paramètres!O43="",NA(),IF(LEFT(TRIM(Paramètres!O43),1)="F",INDEX($F$3029:$F$3081,MATCH(Paramètres!N43,Paramètres!$G$5:$G$57,0)),INDEX($E$3029:$E$3081,MATCH(Paramètres!N43,Paramètres!$G$5:$G$57,0)))+IF(RIGHT(TRIM(Paramètres!O43),3)="Fin",1-$H3067,IF(LEFT(TRIM(Paramètres!O43),1)="F",1,0)))))))</f>
        <v/>
      </c>
      <c r="F3067" s="19">
        <f>IF($A3067="","",E3067+$H3067-1)</f>
        <v/>
      </c>
      <c r="G3067" s="18" t="n"/>
      <c r="H3067" s="18">
        <f>IF($A3067="","",IF(I3067&lt;&gt;"",I3067,Paramètres!B43))</f>
        <v/>
      </c>
      <c r="I3067" s="18" t="n"/>
    </row>
    <row r="3068">
      <c r="A3068" s="18">
        <f>IF(ISNUMBER(Dossiers!$D$60),Dossiers!$A$60&amp;" · "&amp;Dossiers!$B$60,"")</f>
        <v/>
      </c>
      <c r="B3068" s="18">
        <f>IF($A3068="","",Paramètres!G44)</f>
        <v/>
      </c>
      <c r="C3068" s="18">
        <f>IF($A3068="","",IF(Paramètres!H44="","",Paramètres!H44))</f>
        <v/>
      </c>
      <c r="D3068" s="18">
        <f>IF($A3068="","",IF(Paramètres!I44="","",Paramètres!I44))</f>
        <v/>
      </c>
      <c r="E3068" s="19">
        <f>IF($A3068="","",IF(Paramètres!J44&amp;Paramètres!L44&amp;Paramètres!N44="",Dossiers!$D$60,MAX(IF(Paramètres!J44="",0,IF(Paramètres!K44="",NA(),IF(LEFT(TRIM(Paramètres!K44),1)="F",INDEX($F$3029:$F$3081,MATCH(Paramètres!J44,Paramètres!$G$5:$G$57,0)),INDEX($E$3029:$E$3081,MATCH(Paramètres!J44,Paramètres!$G$5:$G$57,0)))+IF(RIGHT(TRIM(Paramètres!K44),3)="Fin",1-$H3068,IF(LEFT(TRIM(Paramètres!K44),1)="F",1,0)))),IF(Paramètres!L44="",0,IF(Paramètres!M44="",NA(),IF(LEFT(TRIM(Paramètres!M44),1)="F",INDEX($F$3029:$F$3081,MATCH(Paramètres!L44,Paramètres!$G$5:$G$57,0)),INDEX($E$3029:$E$3081,MATCH(Paramètres!L44,Paramètres!$G$5:$G$57,0)))+IF(RIGHT(TRIM(Paramètres!M44),3)="Fin",1-$H3068,IF(LEFT(TRIM(Paramètres!M44),1)="F",1,0)))),IF(Paramètres!N44="",0,IF(Paramètres!O44="",NA(),IF(LEFT(TRIM(Paramètres!O44),1)="F",INDEX($F$3029:$F$3081,MATCH(Paramètres!N44,Paramètres!$G$5:$G$57,0)),INDEX($E$3029:$E$3081,MATCH(Paramètres!N44,Paramètres!$G$5:$G$57,0)))+IF(RIGHT(TRIM(Paramètres!O44),3)="Fin",1-$H3068,IF(LEFT(TRIM(Paramètres!O44),1)="F",1,0)))))))</f>
        <v/>
      </c>
      <c r="F3068" s="19">
        <f>IF($A3068="","",E3068+$H3068-1)</f>
        <v/>
      </c>
      <c r="G3068" s="18" t="n"/>
      <c r="H3068" s="18">
        <f>IF($A3068="","",IF(I3068&lt;&gt;"",I3068,Paramètres!B44))</f>
        <v/>
      </c>
      <c r="I3068" s="18" t="n"/>
    </row>
    <row r="3069">
      <c r="A3069" s="18">
        <f>IF(ISNUMBER(Dossiers!$D$60),Dossiers!$A$60&amp;" · "&amp;Dossiers!$B$60,"")</f>
        <v/>
      </c>
      <c r="B3069" s="18">
        <f>IF($A3069="","",Paramètres!G45)</f>
        <v/>
      </c>
      <c r="C3069" s="20">
        <f>IF($A3069="","",IF(Dossiers!$G$60="","",Dossiers!$G$60))</f>
        <v/>
      </c>
      <c r="D3069" s="18">
        <f>IF($A3069="","",IF(Paramètres!I45="","",Paramètres!I45))</f>
        <v/>
      </c>
      <c r="E3069" s="19">
        <f>IF($A3069="","",IF(Paramètres!J45&amp;Paramètres!L45&amp;Paramètres!N45="",Dossiers!$D$60,MAX(IF(Paramètres!J45="",0,IF(Paramètres!K45="",NA(),IF(LEFT(TRIM(Paramètres!K45),1)="F",INDEX($F$3029:$F$3081,MATCH(Paramètres!J45,Paramètres!$G$5:$G$57,0)),INDEX($E$3029:$E$3081,MATCH(Paramètres!J45,Paramètres!$G$5:$G$57,0)))+IF(RIGHT(TRIM(Paramètres!K45),3)="Fin",1-$H3069,IF(LEFT(TRIM(Paramètres!K45),1)="F",1,0)))),IF(Paramètres!L45="",0,IF(Paramètres!M45="",NA(),IF(LEFT(TRIM(Paramètres!M45),1)="F",INDEX($F$3029:$F$3081,MATCH(Paramètres!L45,Paramètres!$G$5:$G$57,0)),INDEX($E$3029:$E$3081,MATCH(Paramètres!L45,Paramètres!$G$5:$G$57,0)))+IF(RIGHT(TRIM(Paramètres!M45),3)="Fin",1-$H3069,IF(LEFT(TRIM(Paramètres!M45),1)="F",1,0)))),IF(Paramètres!N45="",0,IF(Paramètres!O45="",NA(),IF(LEFT(TRIM(Paramètres!O45),1)="F",INDEX($F$3029:$F$3081,MATCH(Paramètres!N45,Paramètres!$G$5:$G$57,0)),INDEX($E$3029:$E$3081,MATCH(Paramètres!N45,Paramètres!$G$5:$G$57,0)))+IF(RIGHT(TRIM(Paramètres!O45),3)="Fin",1-$H3069,IF(LEFT(TRIM(Paramètres!O45),1)="F",1,0)))))))</f>
        <v/>
      </c>
      <c r="F3069" s="19">
        <f>IF($A3069="","",E3069+$H3069-1)</f>
        <v/>
      </c>
      <c r="G3069" s="18" t="n"/>
      <c r="H3069" s="18">
        <f>IF($A3069="","",IF(I3069&lt;&gt;"",I3069,Paramètres!B45))</f>
        <v/>
      </c>
      <c r="I3069" s="18" t="n"/>
    </row>
    <row r="3070">
      <c r="A3070" s="18">
        <f>IF(ISNUMBER(Dossiers!$D$60),Dossiers!$A$60&amp;" · "&amp;Dossiers!$B$60,"")</f>
        <v/>
      </c>
      <c r="B3070" s="18">
        <f>IF($A3070="","",Paramètres!G46)</f>
        <v/>
      </c>
      <c r="C3070" s="18">
        <f>IF($A3070="","",IF(Paramètres!H46="","",Paramètres!H46))</f>
        <v/>
      </c>
      <c r="D3070" s="18">
        <f>IF($A3070="","",IF(Paramètres!I46="","",Paramètres!I46))</f>
        <v/>
      </c>
      <c r="E3070" s="19">
        <f>IF($A3070="","",IF(Paramètres!J46&amp;Paramètres!L46&amp;Paramètres!N46="",Dossiers!$D$60,MAX(IF(Paramètres!J46="",0,IF(Paramètres!K46="",NA(),IF(LEFT(TRIM(Paramètres!K46),1)="F",INDEX($F$3029:$F$3081,MATCH(Paramètres!J46,Paramètres!$G$5:$G$57,0)),INDEX($E$3029:$E$3081,MATCH(Paramètres!J46,Paramètres!$G$5:$G$57,0)))+IF(RIGHT(TRIM(Paramètres!K46),3)="Fin",1-$H3070,IF(LEFT(TRIM(Paramètres!K46),1)="F",1,0)))),IF(Paramètres!L46="",0,IF(Paramètres!M46="",NA(),IF(LEFT(TRIM(Paramètres!M46),1)="F",INDEX($F$3029:$F$3081,MATCH(Paramètres!L46,Paramètres!$G$5:$G$57,0)),INDEX($E$3029:$E$3081,MATCH(Paramètres!L46,Paramètres!$G$5:$G$57,0)))+IF(RIGHT(TRIM(Paramètres!M46),3)="Fin",1-$H3070,IF(LEFT(TRIM(Paramètres!M46),1)="F",1,0)))),IF(Paramètres!N46="",0,IF(Paramètres!O46="",NA(),IF(LEFT(TRIM(Paramètres!O46),1)="F",INDEX($F$3029:$F$3081,MATCH(Paramètres!N46,Paramètres!$G$5:$G$57,0)),INDEX($E$3029:$E$3081,MATCH(Paramètres!N46,Paramètres!$G$5:$G$57,0)))+IF(RIGHT(TRIM(Paramètres!O46),3)="Fin",1-$H3070,IF(LEFT(TRIM(Paramètres!O46),1)="F",1,0)))))))</f>
        <v/>
      </c>
      <c r="F3070" s="19">
        <f>IF($A3070="","",E3070+$H3070-1)</f>
        <v/>
      </c>
      <c r="G3070" s="18" t="n"/>
      <c r="H3070" s="18">
        <f>IF($A3070="","",IF(I3070&lt;&gt;"",I3070,Paramètres!B46))</f>
        <v/>
      </c>
      <c r="I3070" s="18" t="n"/>
    </row>
    <row r="3071">
      <c r="A3071" s="18">
        <f>IF(ISNUMBER(Dossiers!$D$60),Dossiers!$A$60&amp;" · "&amp;Dossiers!$B$60,"")</f>
        <v/>
      </c>
      <c r="B3071" s="18">
        <f>IF($A3071="","",Paramètres!G47)</f>
        <v/>
      </c>
      <c r="C3071" s="18">
        <f>IF($A3071="","",IF(Paramètres!H47="","",Paramètres!H47))</f>
        <v/>
      </c>
      <c r="D3071" s="18">
        <f>IF($A3071="","",IF(Paramètres!I47="","",Paramètres!I47))</f>
        <v/>
      </c>
      <c r="E3071" s="19">
        <f>IF($A3071="","",IF(Paramètres!J47&amp;Paramètres!L47&amp;Paramètres!N47="",Dossiers!$D$60,MAX(IF(Paramètres!J47="",0,IF(Paramètres!K47="",NA(),IF(LEFT(TRIM(Paramètres!K47),1)="F",INDEX($F$3029:$F$3081,MATCH(Paramètres!J47,Paramètres!$G$5:$G$57,0)),INDEX($E$3029:$E$3081,MATCH(Paramètres!J47,Paramètres!$G$5:$G$57,0)))+IF(RIGHT(TRIM(Paramètres!K47),3)="Fin",1-$H3071,IF(LEFT(TRIM(Paramètres!K47),1)="F",1,0)))),IF(Paramètres!L47="",0,IF(Paramètres!M47="",NA(),IF(LEFT(TRIM(Paramètres!M47),1)="F",INDEX($F$3029:$F$3081,MATCH(Paramètres!L47,Paramètres!$G$5:$G$57,0)),INDEX($E$3029:$E$3081,MATCH(Paramètres!L47,Paramètres!$G$5:$G$57,0)))+IF(RIGHT(TRIM(Paramètres!M47),3)="Fin",1-$H3071,IF(LEFT(TRIM(Paramètres!M47),1)="F",1,0)))),IF(Paramètres!N47="",0,IF(Paramètres!O47="",NA(),IF(LEFT(TRIM(Paramètres!O47),1)="F",INDEX($F$3029:$F$3081,MATCH(Paramètres!N47,Paramètres!$G$5:$G$57,0)),INDEX($E$3029:$E$3081,MATCH(Paramètres!N47,Paramètres!$G$5:$G$57,0)))+IF(RIGHT(TRIM(Paramètres!O47),3)="Fin",1-$H3071,IF(LEFT(TRIM(Paramètres!O47),1)="F",1,0)))))))</f>
        <v/>
      </c>
      <c r="F3071" s="19">
        <f>IF($A3071="","",E3071+$H3071-1)</f>
        <v/>
      </c>
      <c r="G3071" s="18" t="n"/>
      <c r="H3071" s="18">
        <f>IF($A3071="","",IF(I3071&lt;&gt;"",I3071,Paramètres!B47))</f>
        <v/>
      </c>
      <c r="I3071" s="18" t="n"/>
    </row>
    <row r="3072">
      <c r="A3072" s="18">
        <f>IF(ISNUMBER(Dossiers!$D$60),Dossiers!$A$60&amp;" · "&amp;Dossiers!$B$60,"")</f>
        <v/>
      </c>
      <c r="B3072" s="18">
        <f>IF($A3072="","",Paramètres!G48)</f>
        <v/>
      </c>
      <c r="C3072" s="18">
        <f>IF($A3072="","",IF(Paramètres!H48="","",Paramètres!H48))</f>
        <v/>
      </c>
      <c r="D3072" s="18">
        <f>IF($A3072="","",IF(Paramètres!I48="","",Paramètres!I48))</f>
        <v/>
      </c>
      <c r="E3072" s="19">
        <f>IF($A3072="","",IF(Paramètres!J48&amp;Paramètres!L48&amp;Paramètres!N48="",Dossiers!$D$60,MAX(IF(Paramètres!J48="",0,IF(Paramètres!K48="",NA(),IF(LEFT(TRIM(Paramètres!K48),1)="F",INDEX($F$3029:$F$3081,MATCH(Paramètres!J48,Paramètres!$G$5:$G$57,0)),INDEX($E$3029:$E$3081,MATCH(Paramètres!J48,Paramètres!$G$5:$G$57,0)))+IF(RIGHT(TRIM(Paramètres!K48),3)="Fin",1-$H3072,IF(LEFT(TRIM(Paramètres!K48),1)="F",1,0)))),IF(Paramètres!L48="",0,IF(Paramètres!M48="",NA(),IF(LEFT(TRIM(Paramètres!M48),1)="F",INDEX($F$3029:$F$3081,MATCH(Paramètres!L48,Paramètres!$G$5:$G$57,0)),INDEX($E$3029:$E$3081,MATCH(Paramètres!L48,Paramètres!$G$5:$G$57,0)))+IF(RIGHT(TRIM(Paramètres!M48),3)="Fin",1-$H3072,IF(LEFT(TRIM(Paramètres!M48),1)="F",1,0)))),IF(Paramètres!N48="",0,IF(Paramètres!O48="",NA(),IF(LEFT(TRIM(Paramètres!O48),1)="F",INDEX($F$3029:$F$3081,MATCH(Paramètres!N48,Paramètres!$G$5:$G$57,0)),INDEX($E$3029:$E$3081,MATCH(Paramètres!N48,Paramètres!$G$5:$G$57,0)))+IF(RIGHT(TRIM(Paramètres!O48),3)="Fin",1-$H3072,IF(LEFT(TRIM(Paramètres!O48),1)="F",1,0)))))))</f>
        <v/>
      </c>
      <c r="F3072" s="19">
        <f>IF($A3072="","",E3072+$H3072-1)</f>
        <v/>
      </c>
      <c r="G3072" s="18" t="n"/>
      <c r="H3072" s="18">
        <f>IF($A3072="","",IF(I3072&lt;&gt;"",I3072,Paramètres!B48))</f>
        <v/>
      </c>
      <c r="I3072" s="18" t="n"/>
    </row>
    <row r="3073">
      <c r="A3073" s="18">
        <f>IF(ISNUMBER(Dossiers!$D$60),Dossiers!$A$60&amp;" · "&amp;Dossiers!$B$60,"")</f>
        <v/>
      </c>
      <c r="B3073" s="18">
        <f>IF($A3073="","",Paramètres!G49)</f>
        <v/>
      </c>
      <c r="C3073" s="18">
        <f>IF($A3073="","",IF(Paramètres!H49="","",Paramètres!H49))</f>
        <v/>
      </c>
      <c r="D3073" s="18">
        <f>IF($A3073="","",IF(Paramètres!I49="","",Paramètres!I49))</f>
        <v/>
      </c>
      <c r="E3073" s="19">
        <f>IF($A3073="","",IF(Paramètres!J49&amp;Paramètres!L49&amp;Paramètres!N49="",Dossiers!$D$60,MAX(IF(Paramètres!J49="",0,IF(Paramètres!K49="",NA(),IF(LEFT(TRIM(Paramètres!K49),1)="F",INDEX($F$3029:$F$3081,MATCH(Paramètres!J49,Paramètres!$G$5:$G$57,0)),INDEX($E$3029:$E$3081,MATCH(Paramètres!J49,Paramètres!$G$5:$G$57,0)))+IF(RIGHT(TRIM(Paramètres!K49),3)="Fin",1-$H3073,IF(LEFT(TRIM(Paramètres!K49),1)="F",1,0)))),IF(Paramètres!L49="",0,IF(Paramètres!M49="",NA(),IF(LEFT(TRIM(Paramètres!M49),1)="F",INDEX($F$3029:$F$3081,MATCH(Paramètres!L49,Paramètres!$G$5:$G$57,0)),INDEX($E$3029:$E$3081,MATCH(Paramètres!L49,Paramètres!$G$5:$G$57,0)))+IF(RIGHT(TRIM(Paramètres!M49),3)="Fin",1-$H3073,IF(LEFT(TRIM(Paramètres!M49),1)="F",1,0)))),IF(Paramètres!N49="",0,IF(Paramètres!O49="",NA(),IF(LEFT(TRIM(Paramètres!O49),1)="F",INDEX($F$3029:$F$3081,MATCH(Paramètres!N49,Paramètres!$G$5:$G$57,0)),INDEX($E$3029:$E$3081,MATCH(Paramètres!N49,Paramètres!$G$5:$G$57,0)))+IF(RIGHT(TRIM(Paramètres!O49),3)="Fin",1-$H3073,IF(LEFT(TRIM(Paramètres!O49),1)="F",1,0)))))))</f>
        <v/>
      </c>
      <c r="F3073" s="19">
        <f>IF($A3073="","",E3073+$H3073-1)</f>
        <v/>
      </c>
      <c r="G3073" s="18" t="n"/>
      <c r="H3073" s="18">
        <f>IF($A3073="","",IF(I3073&lt;&gt;"",I3073,Paramètres!B49))</f>
        <v/>
      </c>
      <c r="I3073" s="18" t="n"/>
    </row>
    <row r="3074">
      <c r="A3074" s="18">
        <f>IF(ISNUMBER(Dossiers!$D$60),Dossiers!$A$60&amp;" · "&amp;Dossiers!$B$60,"")</f>
        <v/>
      </c>
      <c r="B3074" s="18">
        <f>IF($A3074="","",Paramètres!G50)</f>
        <v/>
      </c>
      <c r="C3074" s="18">
        <f>IF($A3074="","",IF(Paramètres!H50="","",Paramètres!H50))</f>
        <v/>
      </c>
      <c r="D3074" s="18">
        <f>IF($A3074="","",IF(Paramètres!I50="","",Paramètres!I50))</f>
        <v/>
      </c>
      <c r="E3074" s="19">
        <f>IF($A3074="","",IF(Paramètres!J50&amp;Paramètres!L50&amp;Paramètres!N50="",Dossiers!$D$60,MAX(IF(Paramètres!J50="",0,IF(Paramètres!K50="",NA(),IF(LEFT(TRIM(Paramètres!K50),1)="F",INDEX($F$3029:$F$3081,MATCH(Paramètres!J50,Paramètres!$G$5:$G$57,0)),INDEX($E$3029:$E$3081,MATCH(Paramètres!J50,Paramètres!$G$5:$G$57,0)))+IF(RIGHT(TRIM(Paramètres!K50),3)="Fin",1-$H3074,IF(LEFT(TRIM(Paramètres!K50),1)="F",1,0)))),IF(Paramètres!L50="",0,IF(Paramètres!M50="",NA(),IF(LEFT(TRIM(Paramètres!M50),1)="F",INDEX($F$3029:$F$3081,MATCH(Paramètres!L50,Paramètres!$G$5:$G$57,0)),INDEX($E$3029:$E$3081,MATCH(Paramètres!L50,Paramètres!$G$5:$G$57,0)))+IF(RIGHT(TRIM(Paramètres!M50),3)="Fin",1-$H3074,IF(LEFT(TRIM(Paramètres!M50),1)="F",1,0)))),IF(Paramètres!N50="",0,IF(Paramètres!O50="",NA(),IF(LEFT(TRIM(Paramètres!O50),1)="F",INDEX($F$3029:$F$3081,MATCH(Paramètres!N50,Paramètres!$G$5:$G$57,0)),INDEX($E$3029:$E$3081,MATCH(Paramètres!N50,Paramètres!$G$5:$G$57,0)))+IF(RIGHT(TRIM(Paramètres!O50),3)="Fin",1-$H3074,IF(LEFT(TRIM(Paramètres!O50),1)="F",1,0)))))))</f>
        <v/>
      </c>
      <c r="F3074" s="19">
        <f>IF($A3074="","",E3074+$H3074-1)</f>
        <v/>
      </c>
      <c r="G3074" s="18" t="n"/>
      <c r="H3074" s="18">
        <f>IF($A3074="","",IF(I3074&lt;&gt;"",I3074,Paramètres!B50))</f>
        <v/>
      </c>
      <c r="I3074" s="18" t="n"/>
    </row>
    <row r="3075">
      <c r="A3075" s="18">
        <f>IF(ISNUMBER(Dossiers!$D$60),Dossiers!$A$60&amp;" · "&amp;Dossiers!$B$60,"")</f>
        <v/>
      </c>
      <c r="B3075" s="18">
        <f>IF($A3075="","",Paramètres!G51)</f>
        <v/>
      </c>
      <c r="C3075" s="18">
        <f>IF($A3075="","",IF(Paramètres!H51="","",Paramètres!H51))</f>
        <v/>
      </c>
      <c r="D3075" s="18">
        <f>IF($A3075="","",IF(Paramètres!I51="","",Paramètres!I51))</f>
        <v/>
      </c>
      <c r="E3075" s="19">
        <f>IF($A3075="","",IF(Paramètres!J51&amp;Paramètres!L51&amp;Paramètres!N51="",Dossiers!$D$60,MAX(IF(Paramètres!J51="",0,IF(Paramètres!K51="",NA(),IF(LEFT(TRIM(Paramètres!K51),1)="F",INDEX($F$3029:$F$3081,MATCH(Paramètres!J51,Paramètres!$G$5:$G$57,0)),INDEX($E$3029:$E$3081,MATCH(Paramètres!J51,Paramètres!$G$5:$G$57,0)))+IF(RIGHT(TRIM(Paramètres!K51),3)="Fin",1-$H3075,IF(LEFT(TRIM(Paramètres!K51),1)="F",1,0)))),IF(Paramètres!L51="",0,IF(Paramètres!M51="",NA(),IF(LEFT(TRIM(Paramètres!M51),1)="F",INDEX($F$3029:$F$3081,MATCH(Paramètres!L51,Paramètres!$G$5:$G$57,0)),INDEX($E$3029:$E$3081,MATCH(Paramètres!L51,Paramètres!$G$5:$G$57,0)))+IF(RIGHT(TRIM(Paramètres!M51),3)="Fin",1-$H3075,IF(LEFT(TRIM(Paramètres!M51),1)="F",1,0)))),IF(Paramètres!N51="",0,IF(Paramètres!O51="",NA(),IF(LEFT(TRIM(Paramètres!O51),1)="F",INDEX($F$3029:$F$3081,MATCH(Paramètres!N51,Paramètres!$G$5:$G$57,0)),INDEX($E$3029:$E$3081,MATCH(Paramètres!N51,Paramètres!$G$5:$G$57,0)))+IF(RIGHT(TRIM(Paramètres!O51),3)="Fin",1-$H3075,IF(LEFT(TRIM(Paramètres!O51),1)="F",1,0)))))))</f>
        <v/>
      </c>
      <c r="F3075" s="19">
        <f>IF($A3075="","",E3075+$H3075-1)</f>
        <v/>
      </c>
      <c r="G3075" s="18" t="n"/>
      <c r="H3075" s="18">
        <f>IF($A3075="","",IF(I3075&lt;&gt;"",I3075,Paramètres!B51))</f>
        <v/>
      </c>
      <c r="I3075" s="18" t="n"/>
    </row>
    <row r="3076">
      <c r="A3076" s="18">
        <f>IF(ISNUMBER(Dossiers!$D$60),Dossiers!$A$60&amp;" · "&amp;Dossiers!$B$60,"")</f>
        <v/>
      </c>
      <c r="B3076" s="18">
        <f>IF($A3076="","",Paramètres!G52)</f>
        <v/>
      </c>
      <c r="C3076" s="18">
        <f>IF($A3076="","",IF(Paramètres!H52="","",Paramètres!H52))</f>
        <v/>
      </c>
      <c r="D3076" s="18">
        <f>IF($A3076="","",IF(Paramètres!I52="","",Paramètres!I52))</f>
        <v/>
      </c>
      <c r="E3076" s="19">
        <f>IF($A3076="","",IF(Paramètres!J52&amp;Paramètres!L52&amp;Paramètres!N52="",Dossiers!$D$60,MAX(IF(Paramètres!J52="",0,IF(Paramètres!K52="",NA(),IF(LEFT(TRIM(Paramètres!K52),1)="F",INDEX($F$3029:$F$3081,MATCH(Paramètres!J52,Paramètres!$G$5:$G$57,0)),INDEX($E$3029:$E$3081,MATCH(Paramètres!J52,Paramètres!$G$5:$G$57,0)))+IF(RIGHT(TRIM(Paramètres!K52),3)="Fin",1-$H3076,IF(LEFT(TRIM(Paramètres!K52),1)="F",1,0)))),IF(Paramètres!L52="",0,IF(Paramètres!M52="",NA(),IF(LEFT(TRIM(Paramètres!M52),1)="F",INDEX($F$3029:$F$3081,MATCH(Paramètres!L52,Paramètres!$G$5:$G$57,0)),INDEX($E$3029:$E$3081,MATCH(Paramètres!L52,Paramètres!$G$5:$G$57,0)))+IF(RIGHT(TRIM(Paramètres!M52),3)="Fin",1-$H3076,IF(LEFT(TRIM(Paramètres!M52),1)="F",1,0)))),IF(Paramètres!N52="",0,IF(Paramètres!O52="",NA(),IF(LEFT(TRIM(Paramètres!O52),1)="F",INDEX($F$3029:$F$3081,MATCH(Paramètres!N52,Paramètres!$G$5:$G$57,0)),INDEX($E$3029:$E$3081,MATCH(Paramètres!N52,Paramètres!$G$5:$G$57,0)))+IF(RIGHT(TRIM(Paramètres!O52),3)="Fin",1-$H3076,IF(LEFT(TRIM(Paramètres!O52),1)="F",1,0)))))))</f>
        <v/>
      </c>
      <c r="F3076" s="19">
        <f>IF($A3076="","",E3076+$H3076-1)</f>
        <v/>
      </c>
      <c r="G3076" s="18" t="n"/>
      <c r="H3076" s="18">
        <f>IF($A3076="","",IF(I3076&lt;&gt;"",I3076,Paramètres!B52))</f>
        <v/>
      </c>
      <c r="I3076" s="18" t="n"/>
    </row>
    <row r="3077">
      <c r="A3077" s="18">
        <f>IF(ISNUMBER(Dossiers!$D$60),Dossiers!$A$60&amp;" · "&amp;Dossiers!$B$60,"")</f>
        <v/>
      </c>
      <c r="B3077" s="18">
        <f>IF($A3077="","",Paramètres!G53)</f>
        <v/>
      </c>
      <c r="C3077" s="18">
        <f>IF($A3077="","",IF(Paramètres!H53="","",Paramètres!H53))</f>
        <v/>
      </c>
      <c r="D3077" s="18">
        <f>IF($A3077="","",IF(Paramètres!I53="","",Paramètres!I53))</f>
        <v/>
      </c>
      <c r="E3077" s="19">
        <f>IF($A3077="","",IF(Paramètres!J53&amp;Paramètres!L53&amp;Paramètres!N53="",Dossiers!$D$60,MAX(IF(Paramètres!J53="",0,IF(Paramètres!K53="",NA(),IF(LEFT(TRIM(Paramètres!K53),1)="F",INDEX($F$3029:$F$3081,MATCH(Paramètres!J53,Paramètres!$G$5:$G$57,0)),INDEX($E$3029:$E$3081,MATCH(Paramètres!J53,Paramètres!$G$5:$G$57,0)))+IF(RIGHT(TRIM(Paramètres!K53),3)="Fin",1-$H3077,IF(LEFT(TRIM(Paramètres!K53),1)="F",1,0)))),IF(Paramètres!L53="",0,IF(Paramètres!M53="",NA(),IF(LEFT(TRIM(Paramètres!M53),1)="F",INDEX($F$3029:$F$3081,MATCH(Paramètres!L53,Paramètres!$G$5:$G$57,0)),INDEX($E$3029:$E$3081,MATCH(Paramètres!L53,Paramètres!$G$5:$G$57,0)))+IF(RIGHT(TRIM(Paramètres!M53),3)="Fin",1-$H3077,IF(LEFT(TRIM(Paramètres!M53),1)="F",1,0)))),IF(Paramètres!N53="",0,IF(Paramètres!O53="",NA(),IF(LEFT(TRIM(Paramètres!O53),1)="F",INDEX($F$3029:$F$3081,MATCH(Paramètres!N53,Paramètres!$G$5:$G$57,0)),INDEX($E$3029:$E$3081,MATCH(Paramètres!N53,Paramètres!$G$5:$G$57,0)))+IF(RIGHT(TRIM(Paramètres!O53),3)="Fin",1-$H3077,IF(LEFT(TRIM(Paramètres!O53),1)="F",1,0)))))))</f>
        <v/>
      </c>
      <c r="F3077" s="19">
        <f>IF($A3077="","",E3077+$H3077-1)</f>
        <v/>
      </c>
      <c r="G3077" s="18" t="n"/>
      <c r="H3077" s="18">
        <f>IF($A3077="","",IF(I3077&lt;&gt;"",I3077,Paramètres!B53))</f>
        <v/>
      </c>
      <c r="I3077" s="18" t="n"/>
    </row>
    <row r="3078">
      <c r="A3078" s="18">
        <f>IF(ISNUMBER(Dossiers!$D$60),Dossiers!$A$60&amp;" · "&amp;Dossiers!$B$60,"")</f>
        <v/>
      </c>
      <c r="B3078" s="18">
        <f>IF($A3078="","",Paramètres!G54)</f>
        <v/>
      </c>
      <c r="C3078" s="18">
        <f>IF($A3078="","",IF(Paramètres!H54="","",Paramètres!H54))</f>
        <v/>
      </c>
      <c r="D3078" s="18">
        <f>IF($A3078="","",IF(Paramètres!I54="","",Paramètres!I54))</f>
        <v/>
      </c>
      <c r="E3078" s="19">
        <f>IF($A3078="","",IF(Paramètres!J54&amp;Paramètres!L54&amp;Paramètres!N54="",Dossiers!$D$60,MAX(IF(Paramètres!J54="",0,IF(Paramètres!K54="",NA(),IF(LEFT(TRIM(Paramètres!K54),1)="F",INDEX($F$3029:$F$3081,MATCH(Paramètres!J54,Paramètres!$G$5:$G$57,0)),INDEX($E$3029:$E$3081,MATCH(Paramètres!J54,Paramètres!$G$5:$G$57,0)))+IF(RIGHT(TRIM(Paramètres!K54),3)="Fin",1-$H3078,IF(LEFT(TRIM(Paramètres!K54),1)="F",1,0)))),IF(Paramètres!L54="",0,IF(Paramètres!M54="",NA(),IF(LEFT(TRIM(Paramètres!M54),1)="F",INDEX($F$3029:$F$3081,MATCH(Paramètres!L54,Paramètres!$G$5:$G$57,0)),INDEX($E$3029:$E$3081,MATCH(Paramètres!L54,Paramètres!$G$5:$G$57,0)))+IF(RIGHT(TRIM(Paramètres!M54),3)="Fin",1-$H3078,IF(LEFT(TRIM(Paramètres!M54),1)="F",1,0)))),IF(Paramètres!N54="",0,IF(Paramètres!O54="",NA(),IF(LEFT(TRIM(Paramètres!O54),1)="F",INDEX($F$3029:$F$3081,MATCH(Paramètres!N54,Paramètres!$G$5:$G$57,0)),INDEX($E$3029:$E$3081,MATCH(Paramètres!N54,Paramètres!$G$5:$G$57,0)))+IF(RIGHT(TRIM(Paramètres!O54),3)="Fin",1-$H3078,IF(LEFT(TRIM(Paramètres!O54),1)="F",1,0)))))))</f>
        <v/>
      </c>
      <c r="F3078" s="19">
        <f>IF($A3078="","",E3078+$H3078-1)</f>
        <v/>
      </c>
      <c r="G3078" s="18" t="n"/>
      <c r="H3078" s="18">
        <f>IF($A3078="","",IF(I3078&lt;&gt;"",I3078,Paramètres!B54))</f>
        <v/>
      </c>
      <c r="I3078" s="18" t="n"/>
    </row>
    <row r="3079">
      <c r="A3079" s="18">
        <f>IF(ISNUMBER(Dossiers!$D$60),Dossiers!$A$60&amp;" · "&amp;Dossiers!$B$60,"")</f>
        <v/>
      </c>
      <c r="B3079" s="18">
        <f>IF($A3079="","",Paramètres!G55)</f>
        <v/>
      </c>
      <c r="C3079" s="18">
        <f>IF($A3079="","",IF(Paramètres!H55="","",Paramètres!H55))</f>
        <v/>
      </c>
      <c r="D3079" s="18">
        <f>IF($A3079="","",IF(Paramètres!I55="","",Paramètres!I55))</f>
        <v/>
      </c>
      <c r="E3079" s="19">
        <f>IF($A3079="","",IF(Paramètres!J55&amp;Paramètres!L55&amp;Paramètres!N55="",Dossiers!$D$60,MAX(IF(Paramètres!J55="",0,IF(Paramètres!K55="",NA(),IF(LEFT(TRIM(Paramètres!K55),1)="F",INDEX($F$3029:$F$3081,MATCH(Paramètres!J55,Paramètres!$G$5:$G$57,0)),INDEX($E$3029:$E$3081,MATCH(Paramètres!J55,Paramètres!$G$5:$G$57,0)))+IF(RIGHT(TRIM(Paramètres!K55),3)="Fin",1-$H3079,IF(LEFT(TRIM(Paramètres!K55),1)="F",1,0)))),IF(Paramètres!L55="",0,IF(Paramètres!M55="",NA(),IF(LEFT(TRIM(Paramètres!M55),1)="F",INDEX($F$3029:$F$3081,MATCH(Paramètres!L55,Paramètres!$G$5:$G$57,0)),INDEX($E$3029:$E$3081,MATCH(Paramètres!L55,Paramètres!$G$5:$G$57,0)))+IF(RIGHT(TRIM(Paramètres!M55),3)="Fin",1-$H3079,IF(LEFT(TRIM(Paramètres!M55),1)="F",1,0)))),IF(Paramètres!N55="",0,IF(Paramètres!O55="",NA(),IF(LEFT(TRIM(Paramètres!O55),1)="F",INDEX($F$3029:$F$3081,MATCH(Paramètres!N55,Paramètres!$G$5:$G$57,0)),INDEX($E$3029:$E$3081,MATCH(Paramètres!N55,Paramètres!$G$5:$G$57,0)))+IF(RIGHT(TRIM(Paramètres!O55),3)="Fin",1-$H3079,IF(LEFT(TRIM(Paramètres!O55),1)="F",1,0)))))))</f>
        <v/>
      </c>
      <c r="F3079" s="19">
        <f>IF($A3079="","",E3079+$H3079-1)</f>
        <v/>
      </c>
      <c r="G3079" s="18" t="n"/>
      <c r="H3079" s="18">
        <f>IF($A3079="","",IF(I3079&lt;&gt;"",I3079,Paramètres!B55))</f>
        <v/>
      </c>
      <c r="I3079" s="18" t="n"/>
    </row>
    <row r="3080">
      <c r="A3080" s="18">
        <f>IF(ISNUMBER(Dossiers!$D$60),Dossiers!$A$60&amp;" · "&amp;Dossiers!$B$60,"")</f>
        <v/>
      </c>
      <c r="B3080" s="18">
        <f>IF($A3080="","",Paramètres!G56)</f>
        <v/>
      </c>
      <c r="C3080" s="18">
        <f>IF($A3080="","",IF(Paramètres!H56="","",Paramètres!H56))</f>
        <v/>
      </c>
      <c r="D3080" s="18">
        <f>IF($A3080="","",IF(Paramètres!I56="","",Paramètres!I56))</f>
        <v/>
      </c>
      <c r="E3080" s="19">
        <f>IF($A3080="","",MIN(E3081:E3081))</f>
        <v/>
      </c>
      <c r="F3080" s="19">
        <f>IF($A3080="","",MAX(F3081:F3081))</f>
        <v/>
      </c>
      <c r="G3080" s="18" t="n"/>
      <c r="H3080" s="18">
        <f>IF($A3080="","",F3080-E3080+1)</f>
        <v/>
      </c>
      <c r="I3080" s="18" t="n"/>
    </row>
    <row r="3081">
      <c r="A3081" s="18">
        <f>IF(ISNUMBER(Dossiers!$D$60),Dossiers!$A$60&amp;" · "&amp;Dossiers!$B$60,"")</f>
        <v/>
      </c>
      <c r="B3081" s="18">
        <f>IF($A3081="","",Paramètres!G57)</f>
        <v/>
      </c>
      <c r="C3081" s="18">
        <f>IF($A3081="","",IF(Paramètres!H57="","",Paramètres!H57))</f>
        <v/>
      </c>
      <c r="D3081" s="18">
        <f>IF($A3081="","",IF(Paramètres!I57="","",Paramètres!I57))</f>
        <v/>
      </c>
      <c r="E3081" s="19">
        <f>IF($A3081="","",IF(Paramètres!J57&amp;Paramètres!L57&amp;Paramètres!N57="",Dossiers!$D$60,MAX(IF(Paramètres!J57="",0,IF(Paramètres!K57="",NA(),IF(LEFT(TRIM(Paramètres!K57),1)="F",INDEX($F$3029:$F$3081,MATCH(Paramètres!J57,Paramètres!$G$5:$G$57,0)),INDEX($E$3029:$E$3081,MATCH(Paramètres!J57,Paramètres!$G$5:$G$57,0)))+IF(RIGHT(TRIM(Paramètres!K57),3)="Fin",1-$H3081,IF(LEFT(TRIM(Paramètres!K57),1)="F",1,0)))),IF(Paramètres!L57="",0,IF(Paramètres!M57="",NA(),IF(LEFT(TRIM(Paramètres!M57),1)="F",INDEX($F$3029:$F$3081,MATCH(Paramètres!L57,Paramètres!$G$5:$G$57,0)),INDEX($E$3029:$E$3081,MATCH(Paramètres!L57,Paramètres!$G$5:$G$57,0)))+IF(RIGHT(TRIM(Paramètres!M57),3)="Fin",1-$H3081,IF(LEFT(TRIM(Paramètres!M57),1)="F",1,0)))),IF(Paramètres!N57="",0,IF(Paramètres!O57="",NA(),IF(LEFT(TRIM(Paramètres!O57),1)="F",INDEX($F$3029:$F$3081,MATCH(Paramètres!N57,Paramètres!$G$5:$G$57,0)),INDEX($E$3029:$E$3081,MATCH(Paramètres!N57,Paramètres!$G$5:$G$57,0)))+IF(RIGHT(TRIM(Paramètres!O57),3)="Fin",1-$H3081,IF(LEFT(TRIM(Paramètres!O57),1)="F",1,0)))))))</f>
        <v/>
      </c>
      <c r="F3081" s="19">
        <f>IF($A3081="","",E3081+$H3081-1)</f>
        <v/>
      </c>
      <c r="G3081" s="18" t="n"/>
      <c r="H3081" s="18">
        <f>IF($A3081="","",IF(I3081&lt;&gt;"",I3081,Paramètres!B57))</f>
        <v/>
      </c>
      <c r="I3081" s="18" t="n"/>
    </row>
    <row r="3082">
      <c r="A3082" s="16">
        <f>IF(ISNUMBER(Dossiers!$D$61),Dossiers!$E$61,"")</f>
        <v/>
      </c>
      <c r="B3082" s="16">
        <f>IF($A3082="","","Identifiant")</f>
        <v/>
      </c>
      <c r="C3082" s="16">
        <f>IF($A3082="","","Macro Etape")</f>
        <v/>
      </c>
      <c r="D3082" s="16">
        <f>IF($A3082="","","Etape")</f>
        <v/>
      </c>
      <c r="E3082" s="17">
        <f>IF($A3082="","","Début le")</f>
        <v/>
      </c>
      <c r="F3082" s="17">
        <f>IF($A3082="","","Fin prévue le")</f>
        <v/>
      </c>
      <c r="G3082" s="16">
        <f>IF($A3082="","","Statut")</f>
        <v/>
      </c>
      <c r="H3082" s="16">
        <f>IF($A3082="","","Durée (jours)")</f>
        <v/>
      </c>
      <c r="I3082" s="16">
        <f>IF($A3082="","","Durée particulière")</f>
        <v/>
      </c>
      <c r="J3082" s="10">
        <f>IF($A3082="","",HYPERLINK("#'Tableau de bord'!A1","↑ Tableau de bord"))</f>
        <v/>
      </c>
    </row>
    <row r="3083">
      <c r="A3083" s="18">
        <f>IF(ISNUMBER(Dossiers!$D$61),Dossiers!$A$61&amp;" · "&amp;Dossiers!$B$61,"")</f>
        <v/>
      </c>
      <c r="B3083" s="18">
        <f>IF($A3083="","",Paramètres!G5)</f>
        <v/>
      </c>
      <c r="C3083" s="18">
        <f>IF($A3083="","",IF(Paramètres!H5="","",Paramètres!H5))</f>
        <v/>
      </c>
      <c r="D3083" s="18">
        <f>IF($A3083="","",IF(Paramètres!I5="","",Paramètres!I5))</f>
        <v/>
      </c>
      <c r="E3083" s="19">
        <f>IF($A3083="","",MIN(E3084:E3087))</f>
        <v/>
      </c>
      <c r="F3083" s="19">
        <f>IF($A3083="","",MAX(F3084:F3087))</f>
        <v/>
      </c>
      <c r="G3083" s="18" t="n"/>
      <c r="H3083" s="18">
        <f>IF($A3083="","",F3083-E3083+1)</f>
        <v/>
      </c>
      <c r="I3083" s="18" t="n"/>
    </row>
    <row r="3084">
      <c r="A3084" s="18">
        <f>IF(ISNUMBER(Dossiers!$D$61),Dossiers!$A$61&amp;" · "&amp;Dossiers!$B$61,"")</f>
        <v/>
      </c>
      <c r="B3084" s="18">
        <f>IF($A3084="","",Paramètres!G6)</f>
        <v/>
      </c>
      <c r="C3084" s="18">
        <f>IF($A3084="","",IF(Paramètres!H6="","",Paramètres!H6))</f>
        <v/>
      </c>
      <c r="D3084" s="18">
        <f>IF($A3084="","",IF(Paramètres!I6="","",Paramètres!I6))</f>
        <v/>
      </c>
      <c r="E3084" s="19">
        <f>IF($A3084="","",IF(Paramètres!J6&amp;Paramètres!L6&amp;Paramètres!N6="",Dossiers!$D$61,MAX(IF(Paramètres!J6="",0,IF(Paramètres!K6="",NA(),IF(LEFT(TRIM(Paramètres!K6),1)="F",INDEX($F$3083:$F$3135,MATCH(Paramètres!J6,Paramètres!$G$5:$G$57,0)),INDEX($E$3083:$E$3135,MATCH(Paramètres!J6,Paramètres!$G$5:$G$57,0)))+IF(RIGHT(TRIM(Paramètres!K6),3)="Fin",1-$H3084,IF(LEFT(TRIM(Paramètres!K6),1)="F",1,0)))),IF(Paramètres!L6="",0,IF(Paramètres!M6="",NA(),IF(LEFT(TRIM(Paramètres!M6),1)="F",INDEX($F$3083:$F$3135,MATCH(Paramètres!L6,Paramètres!$G$5:$G$57,0)),INDEX($E$3083:$E$3135,MATCH(Paramètres!L6,Paramètres!$G$5:$G$57,0)))+IF(RIGHT(TRIM(Paramètres!M6),3)="Fin",1-$H3084,IF(LEFT(TRIM(Paramètres!M6),1)="F",1,0)))),IF(Paramètres!N6="",0,IF(Paramètres!O6="",NA(),IF(LEFT(TRIM(Paramètres!O6),1)="F",INDEX($F$3083:$F$3135,MATCH(Paramètres!N6,Paramètres!$G$5:$G$57,0)),INDEX($E$3083:$E$3135,MATCH(Paramètres!N6,Paramètres!$G$5:$G$57,0)))+IF(RIGHT(TRIM(Paramètres!O6),3)="Fin",1-$H3084,IF(LEFT(TRIM(Paramètres!O6),1)="F",1,0)))))))</f>
        <v/>
      </c>
      <c r="F3084" s="19">
        <f>IF($A3084="","",E3084+$H3084-1)</f>
        <v/>
      </c>
      <c r="G3084" s="18" t="n"/>
      <c r="H3084" s="18">
        <f>IF($A3084="","",IF(I3084&lt;&gt;"",I3084,Paramètres!B6))</f>
        <v/>
      </c>
      <c r="I3084" s="18" t="n"/>
    </row>
    <row r="3085">
      <c r="A3085" s="18">
        <f>IF(ISNUMBER(Dossiers!$D$61),Dossiers!$A$61&amp;" · "&amp;Dossiers!$B$61,"")</f>
        <v/>
      </c>
      <c r="B3085" s="18">
        <f>IF($A3085="","",Paramètres!G7)</f>
        <v/>
      </c>
      <c r="C3085" s="18">
        <f>IF($A3085="","",IF(Paramètres!H7="","",Paramètres!H7))</f>
        <v/>
      </c>
      <c r="D3085" s="18">
        <f>IF($A3085="","",IF(Paramètres!I7="","",Paramètres!I7))</f>
        <v/>
      </c>
      <c r="E3085" s="19">
        <f>IF($A3085="","",IF(Paramètres!J7&amp;Paramètres!L7&amp;Paramètres!N7="",Dossiers!$D$61,MAX(IF(Paramètres!J7="",0,IF(Paramètres!K7="",NA(),IF(LEFT(TRIM(Paramètres!K7),1)="F",INDEX($F$3083:$F$3135,MATCH(Paramètres!J7,Paramètres!$G$5:$G$57,0)),INDEX($E$3083:$E$3135,MATCH(Paramètres!J7,Paramètres!$G$5:$G$57,0)))+IF(RIGHT(TRIM(Paramètres!K7),3)="Fin",1-$H3085,IF(LEFT(TRIM(Paramètres!K7),1)="F",1,0)))),IF(Paramètres!L7="",0,IF(Paramètres!M7="",NA(),IF(LEFT(TRIM(Paramètres!M7),1)="F",INDEX($F$3083:$F$3135,MATCH(Paramètres!L7,Paramètres!$G$5:$G$57,0)),INDEX($E$3083:$E$3135,MATCH(Paramètres!L7,Paramètres!$G$5:$G$57,0)))+IF(RIGHT(TRIM(Paramètres!M7),3)="Fin",1-$H3085,IF(LEFT(TRIM(Paramètres!M7),1)="F",1,0)))),IF(Paramètres!N7="",0,IF(Paramètres!O7="",NA(),IF(LEFT(TRIM(Paramètres!O7),1)="F",INDEX($F$3083:$F$3135,MATCH(Paramètres!N7,Paramètres!$G$5:$G$57,0)),INDEX($E$3083:$E$3135,MATCH(Paramètres!N7,Paramètres!$G$5:$G$57,0)))+IF(RIGHT(TRIM(Paramètres!O7),3)="Fin",1-$H3085,IF(LEFT(TRIM(Paramètres!O7),1)="F",1,0)))))))</f>
        <v/>
      </c>
      <c r="F3085" s="19">
        <f>IF($A3085="","",E3085+$H3085-1)</f>
        <v/>
      </c>
      <c r="G3085" s="18" t="n"/>
      <c r="H3085" s="18">
        <f>IF($A3085="","",IF(I3085&lt;&gt;"",I3085,Paramètres!B7))</f>
        <v/>
      </c>
      <c r="I3085" s="18" t="n"/>
    </row>
    <row r="3086">
      <c r="A3086" s="18">
        <f>IF(ISNUMBER(Dossiers!$D$61),Dossiers!$A$61&amp;" · "&amp;Dossiers!$B$61,"")</f>
        <v/>
      </c>
      <c r="B3086" s="18">
        <f>IF($A3086="","",Paramètres!G8)</f>
        <v/>
      </c>
      <c r="C3086" s="18">
        <f>IF($A3086="","",IF(Paramètres!H8="","",Paramètres!H8))</f>
        <v/>
      </c>
      <c r="D3086" s="18">
        <f>IF($A3086="","",IF(Paramètres!I8="","",Paramètres!I8))</f>
        <v/>
      </c>
      <c r="E3086" s="19">
        <f>IF($A3086="","",IF(Paramètres!J8&amp;Paramètres!L8&amp;Paramètres!N8="",Dossiers!$D$61,MAX(IF(Paramètres!J8="",0,IF(Paramètres!K8="",NA(),IF(LEFT(TRIM(Paramètres!K8),1)="F",INDEX($F$3083:$F$3135,MATCH(Paramètres!J8,Paramètres!$G$5:$G$57,0)),INDEX($E$3083:$E$3135,MATCH(Paramètres!J8,Paramètres!$G$5:$G$57,0)))+IF(RIGHT(TRIM(Paramètres!K8),3)="Fin",1-$H3086,IF(LEFT(TRIM(Paramètres!K8),1)="F",1,0)))),IF(Paramètres!L8="",0,IF(Paramètres!M8="",NA(),IF(LEFT(TRIM(Paramètres!M8),1)="F",INDEX($F$3083:$F$3135,MATCH(Paramètres!L8,Paramètres!$G$5:$G$57,0)),INDEX($E$3083:$E$3135,MATCH(Paramètres!L8,Paramètres!$G$5:$G$57,0)))+IF(RIGHT(TRIM(Paramètres!M8),3)="Fin",1-$H3086,IF(LEFT(TRIM(Paramètres!M8),1)="F",1,0)))),IF(Paramètres!N8="",0,IF(Paramètres!O8="",NA(),IF(LEFT(TRIM(Paramètres!O8),1)="F",INDEX($F$3083:$F$3135,MATCH(Paramètres!N8,Paramètres!$G$5:$G$57,0)),INDEX($E$3083:$E$3135,MATCH(Paramètres!N8,Paramètres!$G$5:$G$57,0)))+IF(RIGHT(TRIM(Paramètres!O8),3)="Fin",1-$H3086,IF(LEFT(TRIM(Paramètres!O8),1)="F",1,0)))))))</f>
        <v/>
      </c>
      <c r="F3086" s="19">
        <f>IF($A3086="","",E3086+$H3086-1)</f>
        <v/>
      </c>
      <c r="G3086" s="18" t="n"/>
      <c r="H3086" s="18">
        <f>IF($A3086="","",IF(I3086&lt;&gt;"",I3086,Paramètres!B8))</f>
        <v/>
      </c>
      <c r="I3086" s="18" t="n"/>
    </row>
    <row r="3087">
      <c r="A3087" s="18">
        <f>IF(ISNUMBER(Dossiers!$D$61),Dossiers!$A$61&amp;" · "&amp;Dossiers!$B$61,"")</f>
        <v/>
      </c>
      <c r="B3087" s="18">
        <f>IF($A3087="","",Paramètres!G9)</f>
        <v/>
      </c>
      <c r="C3087" s="18">
        <f>IF($A3087="","",IF(Paramètres!H9="","",Paramètres!H9))</f>
        <v/>
      </c>
      <c r="D3087" s="18">
        <f>IF($A3087="","",IF(Paramètres!I9="","",Paramètres!I9))</f>
        <v/>
      </c>
      <c r="E3087" s="19">
        <f>IF($A3087="","",IF(Paramètres!J9&amp;Paramètres!L9&amp;Paramètres!N9="",Dossiers!$D$61,MAX(IF(Paramètres!J9="",0,IF(Paramètres!K9="",NA(),IF(LEFT(TRIM(Paramètres!K9),1)="F",INDEX($F$3083:$F$3135,MATCH(Paramètres!J9,Paramètres!$G$5:$G$57,0)),INDEX($E$3083:$E$3135,MATCH(Paramètres!J9,Paramètres!$G$5:$G$57,0)))+IF(RIGHT(TRIM(Paramètres!K9),3)="Fin",1-$H3087,IF(LEFT(TRIM(Paramètres!K9),1)="F",1,0)))),IF(Paramètres!L9="",0,IF(Paramètres!M9="",NA(),IF(LEFT(TRIM(Paramètres!M9),1)="F",INDEX($F$3083:$F$3135,MATCH(Paramètres!L9,Paramètres!$G$5:$G$57,0)),INDEX($E$3083:$E$3135,MATCH(Paramètres!L9,Paramètres!$G$5:$G$57,0)))+IF(RIGHT(TRIM(Paramètres!M9),3)="Fin",1-$H3087,IF(LEFT(TRIM(Paramètres!M9),1)="F",1,0)))),IF(Paramètres!N9="",0,IF(Paramètres!O9="",NA(),IF(LEFT(TRIM(Paramètres!O9),1)="F",INDEX($F$3083:$F$3135,MATCH(Paramètres!N9,Paramètres!$G$5:$G$57,0)),INDEX($E$3083:$E$3135,MATCH(Paramètres!N9,Paramètres!$G$5:$G$57,0)))+IF(RIGHT(TRIM(Paramètres!O9),3)="Fin",1-$H3087,IF(LEFT(TRIM(Paramètres!O9),1)="F",1,0)))))))</f>
        <v/>
      </c>
      <c r="F3087" s="19">
        <f>IF($A3087="","",E3087+$H3087-1)</f>
        <v/>
      </c>
      <c r="G3087" s="18" t="n"/>
      <c r="H3087" s="18">
        <f>IF($A3087="","",IF(I3087&lt;&gt;"",I3087,Paramètres!B9))</f>
        <v/>
      </c>
      <c r="I3087" s="18" t="n"/>
    </row>
    <row r="3088">
      <c r="A3088" s="18">
        <f>IF(ISNUMBER(Dossiers!$D$61),Dossiers!$A$61&amp;" · "&amp;Dossiers!$B$61,"")</f>
        <v/>
      </c>
      <c r="B3088" s="18">
        <f>IF($A3088="","",Paramètres!G10)</f>
        <v/>
      </c>
      <c r="C3088" s="18">
        <f>IF($A3088="","",IF(Paramètres!H10="","",Paramètres!H10))</f>
        <v/>
      </c>
      <c r="D3088" s="18">
        <f>IF($A3088="","",IF(Paramètres!I10="","",Paramètres!I10))</f>
        <v/>
      </c>
      <c r="E3088" s="19">
        <f>IF($A3088="","",MIN(E3089:E3092))</f>
        <v/>
      </c>
      <c r="F3088" s="19">
        <f>IF($A3088="","",MAX(F3089:F3092))</f>
        <v/>
      </c>
      <c r="G3088" s="18" t="n"/>
      <c r="H3088" s="18">
        <f>IF($A3088="","",F3088-E3088+1)</f>
        <v/>
      </c>
      <c r="I3088" s="18" t="n"/>
    </row>
    <row r="3089">
      <c r="A3089" s="18">
        <f>IF(ISNUMBER(Dossiers!$D$61),Dossiers!$A$61&amp;" · "&amp;Dossiers!$B$61,"")</f>
        <v/>
      </c>
      <c r="B3089" s="18">
        <f>IF($A3089="","",Paramètres!G11)</f>
        <v/>
      </c>
      <c r="C3089" s="18">
        <f>IF($A3089="","",IF(Paramètres!H11="","",Paramètres!H11))</f>
        <v/>
      </c>
      <c r="D3089" s="18">
        <f>IF($A3089="","",IF(Paramètres!I11="","",Paramètres!I11))</f>
        <v/>
      </c>
      <c r="E3089" s="19">
        <f>IF($A3089="","",IF(Paramètres!J11&amp;Paramètres!L11&amp;Paramètres!N11="",Dossiers!$D$61,MAX(IF(Paramètres!J11="",0,IF(Paramètres!K11="",NA(),IF(LEFT(TRIM(Paramètres!K11),1)="F",INDEX($F$3083:$F$3135,MATCH(Paramètres!J11,Paramètres!$G$5:$G$57,0)),INDEX($E$3083:$E$3135,MATCH(Paramètres!J11,Paramètres!$G$5:$G$57,0)))+IF(RIGHT(TRIM(Paramètres!K11),3)="Fin",1-$H3089,IF(LEFT(TRIM(Paramètres!K11),1)="F",1,0)))),IF(Paramètres!L11="",0,IF(Paramètres!M11="",NA(),IF(LEFT(TRIM(Paramètres!M11),1)="F",INDEX($F$3083:$F$3135,MATCH(Paramètres!L11,Paramètres!$G$5:$G$57,0)),INDEX($E$3083:$E$3135,MATCH(Paramètres!L11,Paramètres!$G$5:$G$57,0)))+IF(RIGHT(TRIM(Paramètres!M11),3)="Fin",1-$H3089,IF(LEFT(TRIM(Paramètres!M11),1)="F",1,0)))),IF(Paramètres!N11="",0,IF(Paramètres!O11="",NA(),IF(LEFT(TRIM(Paramètres!O11),1)="F",INDEX($F$3083:$F$3135,MATCH(Paramètres!N11,Paramètres!$G$5:$G$57,0)),INDEX($E$3083:$E$3135,MATCH(Paramètres!N11,Paramètres!$G$5:$G$57,0)))+IF(RIGHT(TRIM(Paramètres!O11),3)="Fin",1-$H3089,IF(LEFT(TRIM(Paramètres!O11),1)="F",1,0)))))))</f>
        <v/>
      </c>
      <c r="F3089" s="19">
        <f>IF($A3089="","",E3089+$H3089-1)</f>
        <v/>
      </c>
      <c r="G3089" s="18" t="n"/>
      <c r="H3089" s="18">
        <f>IF($A3089="","",IF(I3089&lt;&gt;"",I3089,Paramètres!B11))</f>
        <v/>
      </c>
      <c r="I3089" s="18" t="n"/>
    </row>
    <row r="3090">
      <c r="A3090" s="18">
        <f>IF(ISNUMBER(Dossiers!$D$61),Dossiers!$A$61&amp;" · "&amp;Dossiers!$B$61,"")</f>
        <v/>
      </c>
      <c r="B3090" s="18">
        <f>IF($A3090="","",Paramètres!G12)</f>
        <v/>
      </c>
      <c r="C3090" s="18">
        <f>IF($A3090="","",IF(Paramètres!H12="","",Paramètres!H12))</f>
        <v/>
      </c>
      <c r="D3090" s="18">
        <f>IF($A3090="","",IF(Paramètres!I12="","",Paramètres!I12))</f>
        <v/>
      </c>
      <c r="E3090" s="19">
        <f>IF($A3090="","",IF(Paramètres!J12&amp;Paramètres!L12&amp;Paramètres!N12="",Dossiers!$D$61,MAX(IF(Paramètres!J12="",0,IF(Paramètres!K12="",NA(),IF(LEFT(TRIM(Paramètres!K12),1)="F",INDEX($F$3083:$F$3135,MATCH(Paramètres!J12,Paramètres!$G$5:$G$57,0)),INDEX($E$3083:$E$3135,MATCH(Paramètres!J12,Paramètres!$G$5:$G$57,0)))+IF(RIGHT(TRIM(Paramètres!K12),3)="Fin",1-$H3090,IF(LEFT(TRIM(Paramètres!K12),1)="F",1,0)))),IF(Paramètres!L12="",0,IF(Paramètres!M12="",NA(),IF(LEFT(TRIM(Paramètres!M12),1)="F",INDEX($F$3083:$F$3135,MATCH(Paramètres!L12,Paramètres!$G$5:$G$57,0)),INDEX($E$3083:$E$3135,MATCH(Paramètres!L12,Paramètres!$G$5:$G$57,0)))+IF(RIGHT(TRIM(Paramètres!M12),3)="Fin",1-$H3090,IF(LEFT(TRIM(Paramètres!M12),1)="F",1,0)))),IF(Paramètres!N12="",0,IF(Paramètres!O12="",NA(),IF(LEFT(TRIM(Paramètres!O12),1)="F",INDEX($F$3083:$F$3135,MATCH(Paramètres!N12,Paramètres!$G$5:$G$57,0)),INDEX($E$3083:$E$3135,MATCH(Paramètres!N12,Paramètres!$G$5:$G$57,0)))+IF(RIGHT(TRIM(Paramètres!O12),3)="Fin",1-$H3090,IF(LEFT(TRIM(Paramètres!O12),1)="F",1,0)))))))</f>
        <v/>
      </c>
      <c r="F3090" s="19">
        <f>IF($A3090="","",E3090+$H3090-1)</f>
        <v/>
      </c>
      <c r="G3090" s="18" t="n"/>
      <c r="H3090" s="18">
        <f>IF($A3090="","",IF(I3090&lt;&gt;"",I3090,Paramètres!B12))</f>
        <v/>
      </c>
      <c r="I3090" s="18" t="n"/>
    </row>
    <row r="3091">
      <c r="A3091" s="18">
        <f>IF(ISNUMBER(Dossiers!$D$61),Dossiers!$A$61&amp;" · "&amp;Dossiers!$B$61,"")</f>
        <v/>
      </c>
      <c r="B3091" s="18">
        <f>IF($A3091="","",Paramètres!G13)</f>
        <v/>
      </c>
      <c r="C3091" s="18">
        <f>IF($A3091="","",IF(Paramètres!H13="","",Paramètres!H13))</f>
        <v/>
      </c>
      <c r="D3091" s="18">
        <f>IF($A3091="","",IF(Paramètres!I13="","",Paramètres!I13))</f>
        <v/>
      </c>
      <c r="E3091" s="19">
        <f>IF($A3091="","",IF(Paramètres!J13&amp;Paramètres!L13&amp;Paramètres!N13="",Dossiers!$D$61,MAX(IF(Paramètres!J13="",0,IF(Paramètres!K13="",NA(),IF(LEFT(TRIM(Paramètres!K13),1)="F",INDEX($F$3083:$F$3135,MATCH(Paramètres!J13,Paramètres!$G$5:$G$57,0)),INDEX($E$3083:$E$3135,MATCH(Paramètres!J13,Paramètres!$G$5:$G$57,0)))+IF(RIGHT(TRIM(Paramètres!K13),3)="Fin",1-$H3091,IF(LEFT(TRIM(Paramètres!K13),1)="F",1,0)))),IF(Paramètres!L13="",0,IF(Paramètres!M13="",NA(),IF(LEFT(TRIM(Paramètres!M13),1)="F",INDEX($F$3083:$F$3135,MATCH(Paramètres!L13,Paramètres!$G$5:$G$57,0)),INDEX($E$3083:$E$3135,MATCH(Paramètres!L13,Paramètres!$G$5:$G$57,0)))+IF(RIGHT(TRIM(Paramètres!M13),3)="Fin",1-$H3091,IF(LEFT(TRIM(Paramètres!M13),1)="F",1,0)))),IF(Paramètres!N13="",0,IF(Paramètres!O13="",NA(),IF(LEFT(TRIM(Paramètres!O13),1)="F",INDEX($F$3083:$F$3135,MATCH(Paramètres!N13,Paramètres!$G$5:$G$57,0)),INDEX($E$3083:$E$3135,MATCH(Paramètres!N13,Paramètres!$G$5:$G$57,0)))+IF(RIGHT(TRIM(Paramètres!O13),3)="Fin",1-$H3091,IF(LEFT(TRIM(Paramètres!O13),1)="F",1,0)))))))</f>
        <v/>
      </c>
      <c r="F3091" s="19">
        <f>IF($A3091="","",E3091+$H3091-1)</f>
        <v/>
      </c>
      <c r="G3091" s="18" t="n"/>
      <c r="H3091" s="18">
        <f>IF($A3091="","",IF(I3091&lt;&gt;"",I3091,Paramètres!B13))</f>
        <v/>
      </c>
      <c r="I3091" s="18" t="n"/>
    </row>
    <row r="3092">
      <c r="A3092" s="18">
        <f>IF(ISNUMBER(Dossiers!$D$61),Dossiers!$A$61&amp;" · "&amp;Dossiers!$B$61,"")</f>
        <v/>
      </c>
      <c r="B3092" s="18">
        <f>IF($A3092="","",Paramètres!G14)</f>
        <v/>
      </c>
      <c r="C3092" s="18">
        <f>IF($A3092="","",IF(Paramètres!H14="","",Paramètres!H14))</f>
        <v/>
      </c>
      <c r="D3092" s="18">
        <f>IF($A3092="","",IF(Paramètres!I14="","",Paramètres!I14))</f>
        <v/>
      </c>
      <c r="E3092" s="19">
        <f>IF($A3092="","",IF(Paramètres!J14&amp;Paramètres!L14&amp;Paramètres!N14="",Dossiers!$D$61,MAX(IF(Paramètres!J14="",0,IF(Paramètres!K14="",NA(),IF(LEFT(TRIM(Paramètres!K14),1)="F",INDEX($F$3083:$F$3135,MATCH(Paramètres!J14,Paramètres!$G$5:$G$57,0)),INDEX($E$3083:$E$3135,MATCH(Paramètres!J14,Paramètres!$G$5:$G$57,0)))+IF(RIGHT(TRIM(Paramètres!K14),3)="Fin",1-$H3092,IF(LEFT(TRIM(Paramètres!K14),1)="F",1,0)))),IF(Paramètres!L14="",0,IF(Paramètres!M14="",NA(),IF(LEFT(TRIM(Paramètres!M14),1)="F",INDEX($F$3083:$F$3135,MATCH(Paramètres!L14,Paramètres!$G$5:$G$57,0)),INDEX($E$3083:$E$3135,MATCH(Paramètres!L14,Paramètres!$G$5:$G$57,0)))+IF(RIGHT(TRIM(Paramètres!M14),3)="Fin",1-$H3092,IF(LEFT(TRIM(Paramètres!M14),1)="F",1,0)))),IF(Paramètres!N14="",0,IF(Paramètres!O14="",NA(),IF(LEFT(TRIM(Paramètres!O14),1)="F",INDEX($F$3083:$F$3135,MATCH(Paramètres!N14,Paramètres!$G$5:$G$57,0)),INDEX($E$3083:$E$3135,MATCH(Paramètres!N14,Paramètres!$G$5:$G$57,0)))+IF(RIGHT(TRIM(Paramètres!O14),3)="Fin",1-$H3092,IF(LEFT(TRIM(Paramètres!O14),1)="F",1,0)))))))</f>
        <v/>
      </c>
      <c r="F3092" s="19">
        <f>IF($A3092="","",E3092+$H3092-1)</f>
        <v/>
      </c>
      <c r="G3092" s="18" t="n"/>
      <c r="H3092" s="18">
        <f>IF($A3092="","",IF(I3092&lt;&gt;"",I3092,Paramètres!B14))</f>
        <v/>
      </c>
      <c r="I3092" s="18" t="n"/>
    </row>
    <row r="3093">
      <c r="A3093" s="18">
        <f>IF(ISNUMBER(Dossiers!$D$61),Dossiers!$A$61&amp;" · "&amp;Dossiers!$B$61,"")</f>
        <v/>
      </c>
      <c r="B3093" s="18">
        <f>IF($A3093="","",Paramètres!G15)</f>
        <v/>
      </c>
      <c r="C3093" s="18">
        <f>IF($A3093="","",IF(Paramètres!H15="","",Paramètres!H15))</f>
        <v/>
      </c>
      <c r="D3093" s="18">
        <f>IF($A3093="","",IF(Paramètres!I15="","",Paramètres!I15))</f>
        <v/>
      </c>
      <c r="E3093" s="19">
        <f>IF($A3093="","",MIN(E3094:E3109))</f>
        <v/>
      </c>
      <c r="F3093" s="19">
        <f>IF($A3093="","",MAX(F3094:F3109))</f>
        <v/>
      </c>
      <c r="G3093" s="18" t="n"/>
      <c r="H3093" s="18">
        <f>IF($A3093="","",F3093-E3093+1)</f>
        <v/>
      </c>
      <c r="I3093" s="18" t="n"/>
    </row>
    <row r="3094">
      <c r="A3094" s="18">
        <f>IF(ISNUMBER(Dossiers!$D$61),Dossiers!$A$61&amp;" · "&amp;Dossiers!$B$61,"")</f>
        <v/>
      </c>
      <c r="B3094" s="18">
        <f>IF($A3094="","",Paramètres!G16)</f>
        <v/>
      </c>
      <c r="C3094" s="18">
        <f>IF($A3094="","",IF(Paramètres!H16="","",Paramètres!H16))</f>
        <v/>
      </c>
      <c r="D3094" s="18">
        <f>IF($A3094="","",IF(Paramètres!I16="","",Paramètres!I16))</f>
        <v/>
      </c>
      <c r="E3094" s="19">
        <f>IF($A3094="","",IF(Paramètres!J16&amp;Paramètres!L16&amp;Paramètres!N16="",Dossiers!$D$61,MAX(IF(Paramètres!J16="",0,IF(Paramètres!K16="",NA(),IF(LEFT(TRIM(Paramètres!K16),1)="F",INDEX($F$3083:$F$3135,MATCH(Paramètres!J16,Paramètres!$G$5:$G$57,0)),INDEX($E$3083:$E$3135,MATCH(Paramètres!J16,Paramètres!$G$5:$G$57,0)))+IF(RIGHT(TRIM(Paramètres!K16),3)="Fin",1-$H3094,IF(LEFT(TRIM(Paramètres!K16),1)="F",1,0)))),IF(Paramètres!L16="",0,IF(Paramètres!M16="",NA(),IF(LEFT(TRIM(Paramètres!M16),1)="F",INDEX($F$3083:$F$3135,MATCH(Paramètres!L16,Paramètres!$G$5:$G$57,0)),INDEX($E$3083:$E$3135,MATCH(Paramètres!L16,Paramètres!$G$5:$G$57,0)))+IF(RIGHT(TRIM(Paramètres!M16),3)="Fin",1-$H3094,IF(LEFT(TRIM(Paramètres!M16),1)="F",1,0)))),IF(Paramètres!N16="",0,IF(Paramètres!O16="",NA(),IF(LEFT(TRIM(Paramètres!O16),1)="F",INDEX($F$3083:$F$3135,MATCH(Paramètres!N16,Paramètres!$G$5:$G$57,0)),INDEX($E$3083:$E$3135,MATCH(Paramètres!N16,Paramètres!$G$5:$G$57,0)))+IF(RIGHT(TRIM(Paramètres!O16),3)="Fin",1-$H3094,IF(LEFT(TRIM(Paramètres!O16),1)="F",1,0)))))))</f>
        <v/>
      </c>
      <c r="F3094" s="19">
        <f>IF($A3094="","",E3094+$H3094-1)</f>
        <v/>
      </c>
      <c r="G3094" s="18" t="n"/>
      <c r="H3094" s="18">
        <f>IF($A3094="","",IF(I3094&lt;&gt;"",I3094,Paramètres!B16))</f>
        <v/>
      </c>
      <c r="I3094" s="18" t="n"/>
    </row>
    <row r="3095">
      <c r="A3095" s="18">
        <f>IF(ISNUMBER(Dossiers!$D$61),Dossiers!$A$61&amp;" · "&amp;Dossiers!$B$61,"")</f>
        <v/>
      </c>
      <c r="B3095" s="18">
        <f>IF($A3095="","",Paramètres!G17)</f>
        <v/>
      </c>
      <c r="C3095" s="18">
        <f>IF($A3095="","",IF(Paramètres!H17="","",Paramètres!H17))</f>
        <v/>
      </c>
      <c r="D3095" s="18">
        <f>IF($A3095="","",IF(Paramètres!I17="","",Paramètres!I17))</f>
        <v/>
      </c>
      <c r="E3095" s="19">
        <f>IF($A3095="","",IF(Paramètres!J17&amp;Paramètres!L17&amp;Paramètres!N17="",Dossiers!$D$61,MAX(IF(Paramètres!J17="",0,IF(Paramètres!K17="",NA(),IF(LEFT(TRIM(Paramètres!K17),1)="F",INDEX($F$3083:$F$3135,MATCH(Paramètres!J17,Paramètres!$G$5:$G$57,0)),INDEX($E$3083:$E$3135,MATCH(Paramètres!J17,Paramètres!$G$5:$G$57,0)))+IF(RIGHT(TRIM(Paramètres!K17),3)="Fin",1-$H3095,IF(LEFT(TRIM(Paramètres!K17),1)="F",1,0)))),IF(Paramètres!L17="",0,IF(Paramètres!M17="",NA(),IF(LEFT(TRIM(Paramètres!M17),1)="F",INDEX($F$3083:$F$3135,MATCH(Paramètres!L17,Paramètres!$G$5:$G$57,0)),INDEX($E$3083:$E$3135,MATCH(Paramètres!L17,Paramètres!$G$5:$G$57,0)))+IF(RIGHT(TRIM(Paramètres!M17),3)="Fin",1-$H3095,IF(LEFT(TRIM(Paramètres!M17),1)="F",1,0)))),IF(Paramètres!N17="",0,IF(Paramètres!O17="",NA(),IF(LEFT(TRIM(Paramètres!O17),1)="F",INDEX($F$3083:$F$3135,MATCH(Paramètres!N17,Paramètres!$G$5:$G$57,0)),INDEX($E$3083:$E$3135,MATCH(Paramètres!N17,Paramètres!$G$5:$G$57,0)))+IF(RIGHT(TRIM(Paramètres!O17),3)="Fin",1-$H3095,IF(LEFT(TRIM(Paramètres!O17),1)="F",1,0)))))))</f>
        <v/>
      </c>
      <c r="F3095" s="19">
        <f>IF($A3095="","",E3095+$H3095-1)</f>
        <v/>
      </c>
      <c r="G3095" s="18" t="n"/>
      <c r="H3095" s="18">
        <f>IF($A3095="","",IF(I3095&lt;&gt;"",I3095,Paramètres!B17))</f>
        <v/>
      </c>
      <c r="I3095" s="18" t="n"/>
    </row>
    <row r="3096">
      <c r="A3096" s="18">
        <f>IF(ISNUMBER(Dossiers!$D$61),Dossiers!$A$61&amp;" · "&amp;Dossiers!$B$61,"")</f>
        <v/>
      </c>
      <c r="B3096" s="18">
        <f>IF($A3096="","",Paramètres!G18)</f>
        <v/>
      </c>
      <c r="C3096" s="18">
        <f>IF($A3096="","",IF(Paramètres!H18="","",Paramètres!H18))</f>
        <v/>
      </c>
      <c r="D3096" s="18">
        <f>IF($A3096="","",IF(Paramètres!I18="","",Paramètres!I18))</f>
        <v/>
      </c>
      <c r="E3096" s="19">
        <f>IF($A3096="","",IF(Paramètres!J18&amp;Paramètres!L18&amp;Paramètres!N18="",Dossiers!$D$61,MAX(IF(Paramètres!J18="",0,IF(Paramètres!K18="",NA(),IF(LEFT(TRIM(Paramètres!K18),1)="F",INDEX($F$3083:$F$3135,MATCH(Paramètres!J18,Paramètres!$G$5:$G$57,0)),INDEX($E$3083:$E$3135,MATCH(Paramètres!J18,Paramètres!$G$5:$G$57,0)))+IF(RIGHT(TRIM(Paramètres!K18),3)="Fin",1-$H3096,IF(LEFT(TRIM(Paramètres!K18),1)="F",1,0)))),IF(Paramètres!L18="",0,IF(Paramètres!M18="",NA(),IF(LEFT(TRIM(Paramètres!M18),1)="F",INDEX($F$3083:$F$3135,MATCH(Paramètres!L18,Paramètres!$G$5:$G$57,0)),INDEX($E$3083:$E$3135,MATCH(Paramètres!L18,Paramètres!$G$5:$G$57,0)))+IF(RIGHT(TRIM(Paramètres!M18),3)="Fin",1-$H3096,IF(LEFT(TRIM(Paramètres!M18),1)="F",1,0)))),IF(Paramètres!N18="",0,IF(Paramètres!O18="",NA(),IF(LEFT(TRIM(Paramètres!O18),1)="F",INDEX($F$3083:$F$3135,MATCH(Paramètres!N18,Paramètres!$G$5:$G$57,0)),INDEX($E$3083:$E$3135,MATCH(Paramètres!N18,Paramètres!$G$5:$G$57,0)))+IF(RIGHT(TRIM(Paramètres!O18),3)="Fin",1-$H3096,IF(LEFT(TRIM(Paramètres!O18),1)="F",1,0)))))))</f>
        <v/>
      </c>
      <c r="F3096" s="19">
        <f>IF($A3096="","",E3096+$H3096-1)</f>
        <v/>
      </c>
      <c r="G3096" s="18" t="n"/>
      <c r="H3096" s="18">
        <f>IF($A3096="","",IF(I3096&lt;&gt;"",I3096,Paramètres!B18))</f>
        <v/>
      </c>
      <c r="I3096" s="18" t="n"/>
    </row>
    <row r="3097">
      <c r="A3097" s="18">
        <f>IF(ISNUMBER(Dossiers!$D$61),Dossiers!$A$61&amp;" · "&amp;Dossiers!$B$61,"")</f>
        <v/>
      </c>
      <c r="B3097" s="18">
        <f>IF($A3097="","",Paramètres!G19)</f>
        <v/>
      </c>
      <c r="C3097" s="18">
        <f>IF($A3097="","",IF(Paramètres!H19="","",Paramètres!H19))</f>
        <v/>
      </c>
      <c r="D3097" s="18">
        <f>IF($A3097="","",IF(Paramètres!I19="","",Paramètres!I19))</f>
        <v/>
      </c>
      <c r="E3097" s="19">
        <f>IF($A3097="","",IF(Paramètres!J19&amp;Paramètres!L19&amp;Paramètres!N19="",Dossiers!$D$61,MAX(IF(Paramètres!J19="",0,IF(Paramètres!K19="",NA(),IF(LEFT(TRIM(Paramètres!K19),1)="F",INDEX($F$3083:$F$3135,MATCH(Paramètres!J19,Paramètres!$G$5:$G$57,0)),INDEX($E$3083:$E$3135,MATCH(Paramètres!J19,Paramètres!$G$5:$G$57,0)))+IF(RIGHT(TRIM(Paramètres!K19),3)="Fin",1-$H3097,IF(LEFT(TRIM(Paramètres!K19),1)="F",1,0)))),IF(Paramètres!L19="",0,IF(Paramètres!M19="",NA(),IF(LEFT(TRIM(Paramètres!M19),1)="F",INDEX($F$3083:$F$3135,MATCH(Paramètres!L19,Paramètres!$G$5:$G$57,0)),INDEX($E$3083:$E$3135,MATCH(Paramètres!L19,Paramètres!$G$5:$G$57,0)))+IF(RIGHT(TRIM(Paramètres!M19),3)="Fin",1-$H3097,IF(LEFT(TRIM(Paramètres!M19),1)="F",1,0)))),IF(Paramètres!N19="",0,IF(Paramètres!O19="",NA(),IF(LEFT(TRIM(Paramètres!O19),1)="F",INDEX($F$3083:$F$3135,MATCH(Paramètres!N19,Paramètres!$G$5:$G$57,0)),INDEX($E$3083:$E$3135,MATCH(Paramètres!N19,Paramètres!$G$5:$G$57,0)))+IF(RIGHT(TRIM(Paramètres!O19),3)="Fin",1-$H3097,IF(LEFT(TRIM(Paramètres!O19),1)="F",1,0)))))))</f>
        <v/>
      </c>
      <c r="F3097" s="19">
        <f>IF($A3097="","",E3097+$H3097-1)</f>
        <v/>
      </c>
      <c r="G3097" s="18" t="n"/>
      <c r="H3097" s="18">
        <f>IF($A3097="","",IF(I3097&lt;&gt;"",I3097,Paramètres!B19))</f>
        <v/>
      </c>
      <c r="I3097" s="18" t="n"/>
    </row>
    <row r="3098">
      <c r="A3098" s="18">
        <f>IF(ISNUMBER(Dossiers!$D$61),Dossiers!$A$61&amp;" · "&amp;Dossiers!$B$61,"")</f>
        <v/>
      </c>
      <c r="B3098" s="18">
        <f>IF($A3098="","",Paramètres!G20)</f>
        <v/>
      </c>
      <c r="C3098" s="18">
        <f>IF($A3098="","",IF(Paramètres!H20="","",Paramètres!H20))</f>
        <v/>
      </c>
      <c r="D3098" s="18">
        <f>IF($A3098="","",IF(Paramètres!I20="","",Paramètres!I20))</f>
        <v/>
      </c>
      <c r="E3098" s="19">
        <f>IF($A3098="","",IF(Paramètres!J20&amp;Paramètres!L20&amp;Paramètres!N20="",Dossiers!$D$61,MAX(IF(Paramètres!J20="",0,IF(Paramètres!K20="",NA(),IF(LEFT(TRIM(Paramètres!K20),1)="F",INDEX($F$3083:$F$3135,MATCH(Paramètres!J20,Paramètres!$G$5:$G$57,0)),INDEX($E$3083:$E$3135,MATCH(Paramètres!J20,Paramètres!$G$5:$G$57,0)))+IF(RIGHT(TRIM(Paramètres!K20),3)="Fin",1-$H3098,IF(LEFT(TRIM(Paramètres!K20),1)="F",1,0)))),IF(Paramètres!L20="",0,IF(Paramètres!M20="",NA(),IF(LEFT(TRIM(Paramètres!M20),1)="F",INDEX($F$3083:$F$3135,MATCH(Paramètres!L20,Paramètres!$G$5:$G$57,0)),INDEX($E$3083:$E$3135,MATCH(Paramètres!L20,Paramètres!$G$5:$G$57,0)))+IF(RIGHT(TRIM(Paramètres!M20),3)="Fin",1-$H3098,IF(LEFT(TRIM(Paramètres!M20),1)="F",1,0)))),IF(Paramètres!N20="",0,IF(Paramètres!O20="",NA(),IF(LEFT(TRIM(Paramètres!O20),1)="F",INDEX($F$3083:$F$3135,MATCH(Paramètres!N20,Paramètres!$G$5:$G$57,0)),INDEX($E$3083:$E$3135,MATCH(Paramètres!N20,Paramètres!$G$5:$G$57,0)))+IF(RIGHT(TRIM(Paramètres!O20),3)="Fin",1-$H3098,IF(LEFT(TRIM(Paramètres!O20),1)="F",1,0)))))))</f>
        <v/>
      </c>
      <c r="F3098" s="19">
        <f>IF($A3098="","",E3098+$H3098-1)</f>
        <v/>
      </c>
      <c r="G3098" s="18" t="n"/>
      <c r="H3098" s="18">
        <f>IF($A3098="","",IF(I3098&lt;&gt;"",I3098,Paramètres!B20))</f>
        <v/>
      </c>
      <c r="I3098" s="18" t="n"/>
    </row>
    <row r="3099">
      <c r="A3099" s="18">
        <f>IF(ISNUMBER(Dossiers!$D$61),Dossiers!$A$61&amp;" · "&amp;Dossiers!$B$61,"")</f>
        <v/>
      </c>
      <c r="B3099" s="18">
        <f>IF($A3099="","",Paramètres!G21)</f>
        <v/>
      </c>
      <c r="C3099" s="18">
        <f>IF($A3099="","",IF(Paramètres!H21="","",Paramètres!H21))</f>
        <v/>
      </c>
      <c r="D3099" s="18">
        <f>IF($A3099="","",IF(Paramètres!I21="","",Paramètres!I21))</f>
        <v/>
      </c>
      <c r="E3099" s="19">
        <f>IF($A3099="","",IF(Paramètres!J21&amp;Paramètres!L21&amp;Paramètres!N21="",Dossiers!$D$61,MAX(IF(Paramètres!J21="",0,IF(Paramètres!K21="",NA(),IF(LEFT(TRIM(Paramètres!K21),1)="F",INDEX($F$3083:$F$3135,MATCH(Paramètres!J21,Paramètres!$G$5:$G$57,0)),INDEX($E$3083:$E$3135,MATCH(Paramètres!J21,Paramètres!$G$5:$G$57,0)))+IF(RIGHT(TRIM(Paramètres!K21),3)="Fin",1-$H3099,IF(LEFT(TRIM(Paramètres!K21),1)="F",1,0)))),IF(Paramètres!L21="",0,IF(Paramètres!M21="",NA(),IF(LEFT(TRIM(Paramètres!M21),1)="F",INDEX($F$3083:$F$3135,MATCH(Paramètres!L21,Paramètres!$G$5:$G$57,0)),INDEX($E$3083:$E$3135,MATCH(Paramètres!L21,Paramètres!$G$5:$G$57,0)))+IF(RIGHT(TRIM(Paramètres!M21),3)="Fin",1-$H3099,IF(LEFT(TRIM(Paramètres!M21),1)="F",1,0)))),IF(Paramètres!N21="",0,IF(Paramètres!O21="",NA(),IF(LEFT(TRIM(Paramètres!O21),1)="F",INDEX($F$3083:$F$3135,MATCH(Paramètres!N21,Paramètres!$G$5:$G$57,0)),INDEX($E$3083:$E$3135,MATCH(Paramètres!N21,Paramètres!$G$5:$G$57,0)))+IF(RIGHT(TRIM(Paramètres!O21),3)="Fin",1-$H3099,IF(LEFT(TRIM(Paramètres!O21),1)="F",1,0)))))))</f>
        <v/>
      </c>
      <c r="F3099" s="19">
        <f>IF($A3099="","",E3099+$H3099-1)</f>
        <v/>
      </c>
      <c r="G3099" s="18" t="n"/>
      <c r="H3099" s="18">
        <f>IF($A3099="","",IF(I3099&lt;&gt;"",I3099,Paramètres!B21))</f>
        <v/>
      </c>
      <c r="I3099" s="18" t="n"/>
    </row>
    <row r="3100">
      <c r="A3100" s="18">
        <f>IF(ISNUMBER(Dossiers!$D$61),Dossiers!$A$61&amp;" · "&amp;Dossiers!$B$61,"")</f>
        <v/>
      </c>
      <c r="B3100" s="18">
        <f>IF($A3100="","",Paramètres!G22)</f>
        <v/>
      </c>
      <c r="C3100" s="18">
        <f>IF($A3100="","",IF(Paramètres!H22="","",Paramètres!H22))</f>
        <v/>
      </c>
      <c r="D3100" s="18">
        <f>IF($A3100="","",IF(Paramètres!I22="","",Paramètres!I22))</f>
        <v/>
      </c>
      <c r="E3100" s="19">
        <f>IF($A3100="","",IF(Paramètres!J22&amp;Paramètres!L22&amp;Paramètres!N22="",Dossiers!$D$61,MAX(IF(Paramètres!J22="",0,IF(Paramètres!K22="",NA(),IF(LEFT(TRIM(Paramètres!K22),1)="F",INDEX($F$3083:$F$3135,MATCH(Paramètres!J22,Paramètres!$G$5:$G$57,0)),INDEX($E$3083:$E$3135,MATCH(Paramètres!J22,Paramètres!$G$5:$G$57,0)))+IF(RIGHT(TRIM(Paramètres!K22),3)="Fin",1-$H3100,IF(LEFT(TRIM(Paramètres!K22),1)="F",1,0)))),IF(Paramètres!L22="",0,IF(Paramètres!M22="",NA(),IF(LEFT(TRIM(Paramètres!M22),1)="F",INDEX($F$3083:$F$3135,MATCH(Paramètres!L22,Paramètres!$G$5:$G$57,0)),INDEX($E$3083:$E$3135,MATCH(Paramètres!L22,Paramètres!$G$5:$G$57,0)))+IF(RIGHT(TRIM(Paramètres!M22),3)="Fin",1-$H3100,IF(LEFT(TRIM(Paramètres!M22),1)="F",1,0)))),IF(Paramètres!N22="",0,IF(Paramètres!O22="",NA(),IF(LEFT(TRIM(Paramètres!O22),1)="F",INDEX($F$3083:$F$3135,MATCH(Paramètres!N22,Paramètres!$G$5:$G$57,0)),INDEX($E$3083:$E$3135,MATCH(Paramètres!N22,Paramètres!$G$5:$G$57,0)))+IF(RIGHT(TRIM(Paramètres!O22),3)="Fin",1-$H3100,IF(LEFT(TRIM(Paramètres!O22),1)="F",1,0)))))))</f>
        <v/>
      </c>
      <c r="F3100" s="19">
        <f>IF($A3100="","",E3100+$H3100-1)</f>
        <v/>
      </c>
      <c r="G3100" s="18" t="n"/>
      <c r="H3100" s="18">
        <f>IF($A3100="","",IF(I3100&lt;&gt;"",I3100,Paramètres!B22))</f>
        <v/>
      </c>
      <c r="I3100" s="18" t="n"/>
    </row>
    <row r="3101">
      <c r="A3101" s="18">
        <f>IF(ISNUMBER(Dossiers!$D$61),Dossiers!$A$61&amp;" · "&amp;Dossiers!$B$61,"")</f>
        <v/>
      </c>
      <c r="B3101" s="18">
        <f>IF($A3101="","",Paramètres!G23)</f>
        <v/>
      </c>
      <c r="C3101" s="18">
        <f>IF($A3101="","",IF(Paramètres!H23="","",Paramètres!H23))</f>
        <v/>
      </c>
      <c r="D3101" s="18">
        <f>IF($A3101="","",IF(Paramètres!I23="","",Paramètres!I23))</f>
        <v/>
      </c>
      <c r="E3101" s="19">
        <f>IF($A3101="","",IF(Paramètres!J23&amp;Paramètres!L23&amp;Paramètres!N23="",Dossiers!$D$61,MAX(IF(Paramètres!J23="",0,IF(Paramètres!K23="",NA(),IF(LEFT(TRIM(Paramètres!K23),1)="F",INDEX($F$3083:$F$3135,MATCH(Paramètres!J23,Paramètres!$G$5:$G$57,0)),INDEX($E$3083:$E$3135,MATCH(Paramètres!J23,Paramètres!$G$5:$G$57,0)))+IF(RIGHT(TRIM(Paramètres!K23),3)="Fin",1-$H3101,IF(LEFT(TRIM(Paramètres!K23),1)="F",1,0)))),IF(Paramètres!L23="",0,IF(Paramètres!M23="",NA(),IF(LEFT(TRIM(Paramètres!M23),1)="F",INDEX($F$3083:$F$3135,MATCH(Paramètres!L23,Paramètres!$G$5:$G$57,0)),INDEX($E$3083:$E$3135,MATCH(Paramètres!L23,Paramètres!$G$5:$G$57,0)))+IF(RIGHT(TRIM(Paramètres!M23),3)="Fin",1-$H3101,IF(LEFT(TRIM(Paramètres!M23),1)="F",1,0)))),IF(Paramètres!N23="",0,IF(Paramètres!O23="",NA(),IF(LEFT(TRIM(Paramètres!O23),1)="F",INDEX($F$3083:$F$3135,MATCH(Paramètres!N23,Paramètres!$G$5:$G$57,0)),INDEX($E$3083:$E$3135,MATCH(Paramètres!N23,Paramètres!$G$5:$G$57,0)))+IF(RIGHT(TRIM(Paramètres!O23),3)="Fin",1-$H3101,IF(LEFT(TRIM(Paramètres!O23),1)="F",1,0)))))))</f>
        <v/>
      </c>
      <c r="F3101" s="19">
        <f>IF($A3101="","",E3101+$H3101-1)</f>
        <v/>
      </c>
      <c r="G3101" s="18" t="n"/>
      <c r="H3101" s="18">
        <f>IF($A3101="","",IF(I3101&lt;&gt;"",I3101,Paramètres!B23))</f>
        <v/>
      </c>
      <c r="I3101" s="18" t="n"/>
    </row>
    <row r="3102">
      <c r="A3102" s="18">
        <f>IF(ISNUMBER(Dossiers!$D$61),Dossiers!$A$61&amp;" · "&amp;Dossiers!$B$61,"")</f>
        <v/>
      </c>
      <c r="B3102" s="18">
        <f>IF($A3102="","",Paramètres!G24)</f>
        <v/>
      </c>
      <c r="C3102" s="18">
        <f>IF($A3102="","",IF(Paramètres!H24="","",Paramètres!H24))</f>
        <v/>
      </c>
      <c r="D3102" s="18">
        <f>IF($A3102="","",IF(Paramètres!I24="","",Paramètres!I24))</f>
        <v/>
      </c>
      <c r="E3102" s="19">
        <f>IF($A3102="","",IF(Paramètres!J24&amp;Paramètres!L24&amp;Paramètres!N24="",Dossiers!$D$61,MAX(IF(Paramètres!J24="",0,IF(Paramètres!K24="",NA(),IF(LEFT(TRIM(Paramètres!K24),1)="F",INDEX($F$3083:$F$3135,MATCH(Paramètres!J24,Paramètres!$G$5:$G$57,0)),INDEX($E$3083:$E$3135,MATCH(Paramètres!J24,Paramètres!$G$5:$G$57,0)))+IF(RIGHT(TRIM(Paramètres!K24),3)="Fin",1-$H3102,IF(LEFT(TRIM(Paramètres!K24),1)="F",1,0)))),IF(Paramètres!L24="",0,IF(Paramètres!M24="",NA(),IF(LEFT(TRIM(Paramètres!M24),1)="F",INDEX($F$3083:$F$3135,MATCH(Paramètres!L24,Paramètres!$G$5:$G$57,0)),INDEX($E$3083:$E$3135,MATCH(Paramètres!L24,Paramètres!$G$5:$G$57,0)))+IF(RIGHT(TRIM(Paramètres!M24),3)="Fin",1-$H3102,IF(LEFT(TRIM(Paramètres!M24),1)="F",1,0)))),IF(Paramètres!N24="",0,IF(Paramètres!O24="",NA(),IF(LEFT(TRIM(Paramètres!O24),1)="F",INDEX($F$3083:$F$3135,MATCH(Paramètres!N24,Paramètres!$G$5:$G$57,0)),INDEX($E$3083:$E$3135,MATCH(Paramètres!N24,Paramètres!$G$5:$G$57,0)))+IF(RIGHT(TRIM(Paramètres!O24),3)="Fin",1-$H3102,IF(LEFT(TRIM(Paramètres!O24),1)="F",1,0)))))))</f>
        <v/>
      </c>
      <c r="F3102" s="19">
        <f>IF($A3102="","",E3102+$H3102-1)</f>
        <v/>
      </c>
      <c r="G3102" s="18" t="n"/>
      <c r="H3102" s="18">
        <f>IF($A3102="","",IF(I3102&lt;&gt;"",I3102,Paramètres!B24))</f>
        <v/>
      </c>
      <c r="I3102" s="18" t="n"/>
    </row>
    <row r="3103">
      <c r="A3103" s="18">
        <f>IF(ISNUMBER(Dossiers!$D$61),Dossiers!$A$61&amp;" · "&amp;Dossiers!$B$61,"")</f>
        <v/>
      </c>
      <c r="B3103" s="18">
        <f>IF($A3103="","",Paramètres!G25)</f>
        <v/>
      </c>
      <c r="C3103" s="18">
        <f>IF($A3103="","",IF(Paramètres!H25="","",Paramètres!H25))</f>
        <v/>
      </c>
      <c r="D3103" s="18">
        <f>IF($A3103="","",IF(Paramètres!I25="","",Paramètres!I25))</f>
        <v/>
      </c>
      <c r="E3103" s="19">
        <f>IF($A3103="","",IF(Paramètres!J25&amp;Paramètres!L25&amp;Paramètres!N25="",Dossiers!$D$61,MAX(IF(Paramètres!J25="",0,IF(Paramètres!K25="",NA(),IF(LEFT(TRIM(Paramètres!K25),1)="F",INDEX($F$3083:$F$3135,MATCH(Paramètres!J25,Paramètres!$G$5:$G$57,0)),INDEX($E$3083:$E$3135,MATCH(Paramètres!J25,Paramètres!$G$5:$G$57,0)))+IF(RIGHT(TRIM(Paramètres!K25),3)="Fin",1-$H3103,IF(LEFT(TRIM(Paramètres!K25),1)="F",1,0)))),IF(Paramètres!L25="",0,IF(Paramètres!M25="",NA(),IF(LEFT(TRIM(Paramètres!M25),1)="F",INDEX($F$3083:$F$3135,MATCH(Paramètres!L25,Paramètres!$G$5:$G$57,0)),INDEX($E$3083:$E$3135,MATCH(Paramètres!L25,Paramètres!$G$5:$G$57,0)))+IF(RIGHT(TRIM(Paramètres!M25),3)="Fin",1-$H3103,IF(LEFT(TRIM(Paramètres!M25),1)="F",1,0)))),IF(Paramètres!N25="",0,IF(Paramètres!O25="",NA(),IF(LEFT(TRIM(Paramètres!O25),1)="F",INDEX($F$3083:$F$3135,MATCH(Paramètres!N25,Paramètres!$G$5:$G$57,0)),INDEX($E$3083:$E$3135,MATCH(Paramètres!N25,Paramètres!$G$5:$G$57,0)))+IF(RIGHT(TRIM(Paramètres!O25),3)="Fin",1-$H3103,IF(LEFT(TRIM(Paramètres!O25),1)="F",1,0)))))))</f>
        <v/>
      </c>
      <c r="F3103" s="19">
        <f>IF($A3103="","",E3103+$H3103-1)</f>
        <v/>
      </c>
      <c r="G3103" s="18" t="n"/>
      <c r="H3103" s="18">
        <f>IF($A3103="","",IF(I3103&lt;&gt;"",I3103,Paramètres!B25))</f>
        <v/>
      </c>
      <c r="I3103" s="18" t="n"/>
    </row>
    <row r="3104">
      <c r="A3104" s="18">
        <f>IF(ISNUMBER(Dossiers!$D$61),Dossiers!$A$61&amp;" · "&amp;Dossiers!$B$61,"")</f>
        <v/>
      </c>
      <c r="B3104" s="18">
        <f>IF($A3104="","",Paramètres!G26)</f>
        <v/>
      </c>
      <c r="C3104" s="18">
        <f>IF($A3104="","",IF(Paramètres!H26="","",Paramètres!H26))</f>
        <v/>
      </c>
      <c r="D3104" s="18">
        <f>IF($A3104="","",IF(Paramètres!I26="","",Paramètres!I26))</f>
        <v/>
      </c>
      <c r="E3104" s="19">
        <f>IF($A3104="","",IF(Paramètres!J26&amp;Paramètres!L26&amp;Paramètres!N26="",Dossiers!$D$61,MAX(IF(Paramètres!J26="",0,IF(Paramètres!K26="",NA(),IF(LEFT(TRIM(Paramètres!K26),1)="F",INDEX($F$3083:$F$3135,MATCH(Paramètres!J26,Paramètres!$G$5:$G$57,0)),INDEX($E$3083:$E$3135,MATCH(Paramètres!J26,Paramètres!$G$5:$G$57,0)))+IF(RIGHT(TRIM(Paramètres!K26),3)="Fin",1-$H3104,IF(LEFT(TRIM(Paramètres!K26),1)="F",1,0)))),IF(Paramètres!L26="",0,IF(Paramètres!M26="",NA(),IF(LEFT(TRIM(Paramètres!M26),1)="F",INDEX($F$3083:$F$3135,MATCH(Paramètres!L26,Paramètres!$G$5:$G$57,0)),INDEX($E$3083:$E$3135,MATCH(Paramètres!L26,Paramètres!$G$5:$G$57,0)))+IF(RIGHT(TRIM(Paramètres!M26),3)="Fin",1-$H3104,IF(LEFT(TRIM(Paramètres!M26),1)="F",1,0)))),IF(Paramètres!N26="",0,IF(Paramètres!O26="",NA(),IF(LEFT(TRIM(Paramètres!O26),1)="F",INDEX($F$3083:$F$3135,MATCH(Paramètres!N26,Paramètres!$G$5:$G$57,0)),INDEX($E$3083:$E$3135,MATCH(Paramètres!N26,Paramètres!$G$5:$G$57,0)))+IF(RIGHT(TRIM(Paramètres!O26),3)="Fin",1-$H3104,IF(LEFT(TRIM(Paramètres!O26),1)="F",1,0)))))))</f>
        <v/>
      </c>
      <c r="F3104" s="19">
        <f>IF($A3104="","",E3104+$H3104-1)</f>
        <v/>
      </c>
      <c r="G3104" s="18" t="n"/>
      <c r="H3104" s="18">
        <f>IF($A3104="","",IF(I3104&lt;&gt;"",I3104,Paramètres!B26))</f>
        <v/>
      </c>
      <c r="I3104" s="18" t="n"/>
    </row>
    <row r="3105">
      <c r="A3105" s="18">
        <f>IF(ISNUMBER(Dossiers!$D$61),Dossiers!$A$61&amp;" · "&amp;Dossiers!$B$61,"")</f>
        <v/>
      </c>
      <c r="B3105" s="18">
        <f>IF($A3105="","",Paramètres!G27)</f>
        <v/>
      </c>
      <c r="C3105" s="18">
        <f>IF($A3105="","",IF(Paramètres!H27="","",Paramètres!H27))</f>
        <v/>
      </c>
      <c r="D3105" s="18">
        <f>IF($A3105="","",IF(Paramètres!I27="","",Paramètres!I27))</f>
        <v/>
      </c>
      <c r="E3105" s="19">
        <f>IF($A3105="","",IF(Paramètres!J27&amp;Paramètres!L27&amp;Paramètres!N27="",Dossiers!$D$61,MAX(IF(Paramètres!J27="",0,IF(Paramètres!K27="",NA(),IF(LEFT(TRIM(Paramètres!K27),1)="F",INDEX($F$3083:$F$3135,MATCH(Paramètres!J27,Paramètres!$G$5:$G$57,0)),INDEX($E$3083:$E$3135,MATCH(Paramètres!J27,Paramètres!$G$5:$G$57,0)))+IF(RIGHT(TRIM(Paramètres!K27),3)="Fin",1-$H3105,IF(LEFT(TRIM(Paramètres!K27),1)="F",1,0)))),IF(Paramètres!L27="",0,IF(Paramètres!M27="",NA(),IF(LEFT(TRIM(Paramètres!M27),1)="F",INDEX($F$3083:$F$3135,MATCH(Paramètres!L27,Paramètres!$G$5:$G$57,0)),INDEX($E$3083:$E$3135,MATCH(Paramètres!L27,Paramètres!$G$5:$G$57,0)))+IF(RIGHT(TRIM(Paramètres!M27),3)="Fin",1-$H3105,IF(LEFT(TRIM(Paramètres!M27),1)="F",1,0)))),IF(Paramètres!N27="",0,IF(Paramètres!O27="",NA(),IF(LEFT(TRIM(Paramètres!O27),1)="F",INDEX($F$3083:$F$3135,MATCH(Paramètres!N27,Paramètres!$G$5:$G$57,0)),INDEX($E$3083:$E$3135,MATCH(Paramètres!N27,Paramètres!$G$5:$G$57,0)))+IF(RIGHT(TRIM(Paramètres!O27),3)="Fin",1-$H3105,IF(LEFT(TRIM(Paramètres!O27),1)="F",1,0)))))))</f>
        <v/>
      </c>
      <c r="F3105" s="19">
        <f>IF($A3105="","",E3105+$H3105-1)</f>
        <v/>
      </c>
      <c r="G3105" s="18" t="n"/>
      <c r="H3105" s="18">
        <f>IF($A3105="","",IF(I3105&lt;&gt;"",I3105,Paramètres!B27))</f>
        <v/>
      </c>
      <c r="I3105" s="18" t="n"/>
    </row>
    <row r="3106">
      <c r="A3106" s="18">
        <f>IF(ISNUMBER(Dossiers!$D$61),Dossiers!$A$61&amp;" · "&amp;Dossiers!$B$61,"")</f>
        <v/>
      </c>
      <c r="B3106" s="18">
        <f>IF($A3106="","",Paramètres!G28)</f>
        <v/>
      </c>
      <c r="C3106" s="18">
        <f>IF($A3106="","",IF(Paramètres!H28="","",Paramètres!H28))</f>
        <v/>
      </c>
      <c r="D3106" s="18">
        <f>IF($A3106="","",IF(Paramètres!I28="","",Paramètres!I28))</f>
        <v/>
      </c>
      <c r="E3106" s="19">
        <f>IF($A3106="","",IF(Paramètres!J28&amp;Paramètres!L28&amp;Paramètres!N28="",Dossiers!$D$61,MAX(IF(Paramètres!J28="",0,IF(Paramètres!K28="",NA(),IF(LEFT(TRIM(Paramètres!K28),1)="F",INDEX($F$3083:$F$3135,MATCH(Paramètres!J28,Paramètres!$G$5:$G$57,0)),INDEX($E$3083:$E$3135,MATCH(Paramètres!J28,Paramètres!$G$5:$G$57,0)))+IF(RIGHT(TRIM(Paramètres!K28),3)="Fin",1-$H3106,IF(LEFT(TRIM(Paramètres!K28),1)="F",1,0)))),IF(Paramètres!L28="",0,IF(Paramètres!M28="",NA(),IF(LEFT(TRIM(Paramètres!M28),1)="F",INDEX($F$3083:$F$3135,MATCH(Paramètres!L28,Paramètres!$G$5:$G$57,0)),INDEX($E$3083:$E$3135,MATCH(Paramètres!L28,Paramètres!$G$5:$G$57,0)))+IF(RIGHT(TRIM(Paramètres!M28),3)="Fin",1-$H3106,IF(LEFT(TRIM(Paramètres!M28),1)="F",1,0)))),IF(Paramètres!N28="",0,IF(Paramètres!O28="",NA(),IF(LEFT(TRIM(Paramètres!O28),1)="F",INDEX($F$3083:$F$3135,MATCH(Paramètres!N28,Paramètres!$G$5:$G$57,0)),INDEX($E$3083:$E$3135,MATCH(Paramètres!N28,Paramètres!$G$5:$G$57,0)))+IF(RIGHT(TRIM(Paramètres!O28),3)="Fin",1-$H3106,IF(LEFT(TRIM(Paramètres!O28),1)="F",1,0)))))))</f>
        <v/>
      </c>
      <c r="F3106" s="19">
        <f>IF($A3106="","",E3106+$H3106-1)</f>
        <v/>
      </c>
      <c r="G3106" s="18" t="n"/>
      <c r="H3106" s="18">
        <f>IF($A3106="","",IF(I3106&lt;&gt;"",I3106,Paramètres!B28))</f>
        <v/>
      </c>
      <c r="I3106" s="18" t="n"/>
    </row>
    <row r="3107">
      <c r="A3107" s="18">
        <f>IF(ISNUMBER(Dossiers!$D$61),Dossiers!$A$61&amp;" · "&amp;Dossiers!$B$61,"")</f>
        <v/>
      </c>
      <c r="B3107" s="18">
        <f>IF($A3107="","",Paramètres!G29)</f>
        <v/>
      </c>
      <c r="C3107" s="18">
        <f>IF($A3107="","",IF(Paramètres!H29="","",Paramètres!H29))</f>
        <v/>
      </c>
      <c r="D3107" s="18">
        <f>IF($A3107="","",IF(Paramètres!I29="","",Paramètres!I29))</f>
        <v/>
      </c>
      <c r="E3107" s="19">
        <f>IF($A3107="","",IF(Paramètres!J29&amp;Paramètres!L29&amp;Paramètres!N29="",Dossiers!$D$61,MAX(IF(Paramètres!J29="",0,IF(Paramètres!K29="",NA(),IF(LEFT(TRIM(Paramètres!K29),1)="F",INDEX($F$3083:$F$3135,MATCH(Paramètres!J29,Paramètres!$G$5:$G$57,0)),INDEX($E$3083:$E$3135,MATCH(Paramètres!J29,Paramètres!$G$5:$G$57,0)))+IF(RIGHT(TRIM(Paramètres!K29),3)="Fin",1-$H3107,IF(LEFT(TRIM(Paramètres!K29),1)="F",1,0)))),IF(Paramètres!L29="",0,IF(Paramètres!M29="",NA(),IF(LEFT(TRIM(Paramètres!M29),1)="F",INDEX($F$3083:$F$3135,MATCH(Paramètres!L29,Paramètres!$G$5:$G$57,0)),INDEX($E$3083:$E$3135,MATCH(Paramètres!L29,Paramètres!$G$5:$G$57,0)))+IF(RIGHT(TRIM(Paramètres!M29),3)="Fin",1-$H3107,IF(LEFT(TRIM(Paramètres!M29),1)="F",1,0)))),IF(Paramètres!N29="",0,IF(Paramètres!O29="",NA(),IF(LEFT(TRIM(Paramètres!O29),1)="F",INDEX($F$3083:$F$3135,MATCH(Paramètres!N29,Paramètres!$G$5:$G$57,0)),INDEX($E$3083:$E$3135,MATCH(Paramètres!N29,Paramètres!$G$5:$G$57,0)))+IF(RIGHT(TRIM(Paramètres!O29),3)="Fin",1-$H3107,IF(LEFT(TRIM(Paramètres!O29),1)="F",1,0)))))))</f>
        <v/>
      </c>
      <c r="F3107" s="19">
        <f>IF($A3107="","",E3107+$H3107-1)</f>
        <v/>
      </c>
      <c r="G3107" s="18" t="n"/>
      <c r="H3107" s="18">
        <f>IF($A3107="","",IF(I3107&lt;&gt;"",I3107,Paramètres!B29))</f>
        <v/>
      </c>
      <c r="I3107" s="18" t="n"/>
    </row>
    <row r="3108">
      <c r="A3108" s="18">
        <f>IF(ISNUMBER(Dossiers!$D$61),Dossiers!$A$61&amp;" · "&amp;Dossiers!$B$61,"")</f>
        <v/>
      </c>
      <c r="B3108" s="18">
        <f>IF($A3108="","",Paramètres!G30)</f>
        <v/>
      </c>
      <c r="C3108" s="18">
        <f>IF($A3108="","",IF(Paramètres!H30="","",Paramètres!H30))</f>
        <v/>
      </c>
      <c r="D3108" s="18">
        <f>IF($A3108="","",IF(Paramètres!I30="","",Paramètres!I30))</f>
        <v/>
      </c>
      <c r="E3108" s="19">
        <f>IF($A3108="","",IF(Paramètres!J30&amp;Paramètres!L30&amp;Paramètres!N30="",Dossiers!$D$61,MAX(IF(Paramètres!J30="",0,IF(Paramètres!K30="",NA(),IF(LEFT(TRIM(Paramètres!K30),1)="F",INDEX($F$3083:$F$3135,MATCH(Paramètres!J30,Paramètres!$G$5:$G$57,0)),INDEX($E$3083:$E$3135,MATCH(Paramètres!J30,Paramètres!$G$5:$G$57,0)))+IF(RIGHT(TRIM(Paramètres!K30),3)="Fin",1-$H3108,IF(LEFT(TRIM(Paramètres!K30),1)="F",1,0)))),IF(Paramètres!L30="",0,IF(Paramètres!M30="",NA(),IF(LEFT(TRIM(Paramètres!M30),1)="F",INDEX($F$3083:$F$3135,MATCH(Paramètres!L30,Paramètres!$G$5:$G$57,0)),INDEX($E$3083:$E$3135,MATCH(Paramètres!L30,Paramètres!$G$5:$G$57,0)))+IF(RIGHT(TRIM(Paramètres!M30),3)="Fin",1-$H3108,IF(LEFT(TRIM(Paramètres!M30),1)="F",1,0)))),IF(Paramètres!N30="",0,IF(Paramètres!O30="",NA(),IF(LEFT(TRIM(Paramètres!O30),1)="F",INDEX($F$3083:$F$3135,MATCH(Paramètres!N30,Paramètres!$G$5:$G$57,0)),INDEX($E$3083:$E$3135,MATCH(Paramètres!N30,Paramètres!$G$5:$G$57,0)))+IF(RIGHT(TRIM(Paramètres!O30),3)="Fin",1-$H3108,IF(LEFT(TRIM(Paramètres!O30),1)="F",1,0)))))))</f>
        <v/>
      </c>
      <c r="F3108" s="19">
        <f>IF($A3108="","",E3108+$H3108-1)</f>
        <v/>
      </c>
      <c r="G3108" s="18" t="n"/>
      <c r="H3108" s="18">
        <f>IF($A3108="","",IF(I3108&lt;&gt;"",I3108,Paramètres!B30))</f>
        <v/>
      </c>
      <c r="I3108" s="18" t="n"/>
    </row>
    <row r="3109">
      <c r="A3109" s="18">
        <f>IF(ISNUMBER(Dossiers!$D$61),Dossiers!$A$61&amp;" · "&amp;Dossiers!$B$61,"")</f>
        <v/>
      </c>
      <c r="B3109" s="18">
        <f>IF($A3109="","",Paramètres!G31)</f>
        <v/>
      </c>
      <c r="C3109" s="20">
        <f>IF($A3109="","",IF(Dossiers!$F$61="","",Dossiers!$F$61))</f>
        <v/>
      </c>
      <c r="D3109" s="18">
        <f>IF($A3109="","",IF(Paramètres!I31="","",Paramètres!I31))</f>
        <v/>
      </c>
      <c r="E3109" s="19">
        <f>IF($A3109="","",IF(Paramètres!J31&amp;Paramètres!L31&amp;Paramètres!N31="",Dossiers!$D$61,MAX(IF(Paramètres!J31="",0,IF(Paramètres!K31="",NA(),IF(LEFT(TRIM(Paramètres!K31),1)="F",INDEX($F$3083:$F$3135,MATCH(Paramètres!J31,Paramètres!$G$5:$G$57,0)),INDEX($E$3083:$E$3135,MATCH(Paramètres!J31,Paramètres!$G$5:$G$57,0)))+IF(RIGHT(TRIM(Paramètres!K31),3)="Fin",1-$H3109,IF(LEFT(TRIM(Paramètres!K31),1)="F",1,0)))),IF(Paramètres!L31="",0,IF(Paramètres!M31="",NA(),IF(LEFT(TRIM(Paramètres!M31),1)="F",INDEX($F$3083:$F$3135,MATCH(Paramètres!L31,Paramètres!$G$5:$G$57,0)),INDEX($E$3083:$E$3135,MATCH(Paramètres!L31,Paramètres!$G$5:$G$57,0)))+IF(RIGHT(TRIM(Paramètres!M31),3)="Fin",1-$H3109,IF(LEFT(TRIM(Paramètres!M31),1)="F",1,0)))),IF(Paramètres!N31="",0,IF(Paramètres!O31="",NA(),IF(LEFT(TRIM(Paramètres!O31),1)="F",INDEX($F$3083:$F$3135,MATCH(Paramètres!N31,Paramètres!$G$5:$G$57,0)),INDEX($E$3083:$E$3135,MATCH(Paramètres!N31,Paramètres!$G$5:$G$57,0)))+IF(RIGHT(TRIM(Paramètres!O31),3)="Fin",1-$H3109,IF(LEFT(TRIM(Paramètres!O31),1)="F",1,0)))))))</f>
        <v/>
      </c>
      <c r="F3109" s="19">
        <f>IF($A3109="","",E3109+$H3109-1)</f>
        <v/>
      </c>
      <c r="G3109" s="18" t="n"/>
      <c r="H3109" s="18">
        <f>IF($A3109="","",IF(I3109&lt;&gt;"",I3109,Paramètres!B31))</f>
        <v/>
      </c>
      <c r="I3109" s="18" t="n"/>
    </row>
    <row r="3110">
      <c r="A3110" s="18">
        <f>IF(ISNUMBER(Dossiers!$D$61),Dossiers!$A$61&amp;" · "&amp;Dossiers!$B$61,"")</f>
        <v/>
      </c>
      <c r="B3110" s="18">
        <f>IF($A3110="","",Paramètres!G32)</f>
        <v/>
      </c>
      <c r="C3110" s="18">
        <f>IF($A3110="","",IF(Paramètres!H32="","",Paramètres!H32))</f>
        <v/>
      </c>
      <c r="D3110" s="18">
        <f>IF($A3110="","",IF(Paramètres!I32="","",Paramètres!I32))</f>
        <v/>
      </c>
      <c r="E3110" s="19">
        <f>IF($A3110="","",MIN(E3111:E3114))</f>
        <v/>
      </c>
      <c r="F3110" s="19">
        <f>IF($A3110="","",MAX(F3111:F3114))</f>
        <v/>
      </c>
      <c r="G3110" s="18" t="n"/>
      <c r="H3110" s="18">
        <f>IF($A3110="","",F3110-E3110+1)</f>
        <v/>
      </c>
      <c r="I3110" s="18" t="n"/>
    </row>
    <row r="3111">
      <c r="A3111" s="18">
        <f>IF(ISNUMBER(Dossiers!$D$61),Dossiers!$A$61&amp;" · "&amp;Dossiers!$B$61,"")</f>
        <v/>
      </c>
      <c r="B3111" s="18">
        <f>IF($A3111="","",Paramètres!G33)</f>
        <v/>
      </c>
      <c r="C3111" s="18">
        <f>IF($A3111="","",IF(Paramètres!H33="","",Paramètres!H33))</f>
        <v/>
      </c>
      <c r="D3111" s="18">
        <f>IF($A3111="","",IF(Paramètres!I33="","",Paramètres!I33))</f>
        <v/>
      </c>
      <c r="E3111" s="19">
        <f>IF($A3111="","",IF(Paramètres!J33&amp;Paramètres!L33&amp;Paramètres!N33="",Dossiers!$D$61,MAX(IF(Paramètres!J33="",0,IF(Paramètres!K33="",NA(),IF(LEFT(TRIM(Paramètres!K33),1)="F",INDEX($F$3083:$F$3135,MATCH(Paramètres!J33,Paramètres!$G$5:$G$57,0)),INDEX($E$3083:$E$3135,MATCH(Paramètres!J33,Paramètres!$G$5:$G$57,0)))+IF(RIGHT(TRIM(Paramètres!K33),3)="Fin",1-$H3111,IF(LEFT(TRIM(Paramètres!K33),1)="F",1,0)))),IF(Paramètres!L33="",0,IF(Paramètres!M33="",NA(),IF(LEFT(TRIM(Paramètres!M33),1)="F",INDEX($F$3083:$F$3135,MATCH(Paramètres!L33,Paramètres!$G$5:$G$57,0)),INDEX($E$3083:$E$3135,MATCH(Paramètres!L33,Paramètres!$G$5:$G$57,0)))+IF(RIGHT(TRIM(Paramètres!M33),3)="Fin",1-$H3111,IF(LEFT(TRIM(Paramètres!M33),1)="F",1,0)))),IF(Paramètres!N33="",0,IF(Paramètres!O33="",NA(),IF(LEFT(TRIM(Paramètres!O33),1)="F",INDEX($F$3083:$F$3135,MATCH(Paramètres!N33,Paramètres!$G$5:$G$57,0)),INDEX($E$3083:$E$3135,MATCH(Paramètres!N33,Paramètres!$G$5:$G$57,0)))+IF(RIGHT(TRIM(Paramètres!O33),3)="Fin",1-$H3111,IF(LEFT(TRIM(Paramètres!O33),1)="F",1,0)))))))</f>
        <v/>
      </c>
      <c r="F3111" s="19">
        <f>IF($A3111="","",E3111+$H3111-1)</f>
        <v/>
      </c>
      <c r="G3111" s="18" t="n"/>
      <c r="H3111" s="18">
        <f>IF($A3111="","",IF(I3111&lt;&gt;"",I3111,Paramètres!B33))</f>
        <v/>
      </c>
      <c r="I3111" s="18" t="n"/>
    </row>
    <row r="3112">
      <c r="A3112" s="18">
        <f>IF(ISNUMBER(Dossiers!$D$61),Dossiers!$A$61&amp;" · "&amp;Dossiers!$B$61,"")</f>
        <v/>
      </c>
      <c r="B3112" s="18">
        <f>IF($A3112="","",Paramètres!G34)</f>
        <v/>
      </c>
      <c r="C3112" s="18">
        <f>IF($A3112="","",IF(Paramètres!H34="","",Paramètres!H34))</f>
        <v/>
      </c>
      <c r="D3112" s="18">
        <f>IF($A3112="","",IF(Paramètres!I34="","",Paramètres!I34))</f>
        <v/>
      </c>
      <c r="E3112" s="19">
        <f>IF($A3112="","",IF(Paramètres!J34&amp;Paramètres!L34&amp;Paramètres!N34="",Dossiers!$D$61,MAX(IF(Paramètres!J34="",0,IF(Paramètres!K34="",NA(),IF(LEFT(TRIM(Paramètres!K34),1)="F",INDEX($F$3083:$F$3135,MATCH(Paramètres!J34,Paramètres!$G$5:$G$57,0)),INDEX($E$3083:$E$3135,MATCH(Paramètres!J34,Paramètres!$G$5:$G$57,0)))+IF(RIGHT(TRIM(Paramètres!K34),3)="Fin",1-$H3112,IF(LEFT(TRIM(Paramètres!K34),1)="F",1,0)))),IF(Paramètres!L34="",0,IF(Paramètres!M34="",NA(),IF(LEFT(TRIM(Paramètres!M34),1)="F",INDEX($F$3083:$F$3135,MATCH(Paramètres!L34,Paramètres!$G$5:$G$57,0)),INDEX($E$3083:$E$3135,MATCH(Paramètres!L34,Paramètres!$G$5:$G$57,0)))+IF(RIGHT(TRIM(Paramètres!M34),3)="Fin",1-$H3112,IF(LEFT(TRIM(Paramètres!M34),1)="F",1,0)))),IF(Paramètres!N34="",0,IF(Paramètres!O34="",NA(),IF(LEFT(TRIM(Paramètres!O34),1)="F",INDEX($F$3083:$F$3135,MATCH(Paramètres!N34,Paramètres!$G$5:$G$57,0)),INDEX($E$3083:$E$3135,MATCH(Paramètres!N34,Paramètres!$G$5:$G$57,0)))+IF(RIGHT(TRIM(Paramètres!O34),3)="Fin",1-$H3112,IF(LEFT(TRIM(Paramètres!O34),1)="F",1,0)))))))</f>
        <v/>
      </c>
      <c r="F3112" s="19">
        <f>IF($A3112="","",E3112+$H3112-1)</f>
        <v/>
      </c>
      <c r="G3112" s="18" t="n"/>
      <c r="H3112" s="18">
        <f>IF($A3112="","",IF(I3112&lt;&gt;"",I3112,Paramètres!B34))</f>
        <v/>
      </c>
      <c r="I3112" s="18" t="n"/>
    </row>
    <row r="3113">
      <c r="A3113" s="18">
        <f>IF(ISNUMBER(Dossiers!$D$61),Dossiers!$A$61&amp;" · "&amp;Dossiers!$B$61,"")</f>
        <v/>
      </c>
      <c r="B3113" s="18">
        <f>IF($A3113="","",Paramètres!G35)</f>
        <v/>
      </c>
      <c r="C3113" s="18">
        <f>IF($A3113="","",IF(Paramètres!H35="","",Paramètres!H35))</f>
        <v/>
      </c>
      <c r="D3113" s="18">
        <f>IF($A3113="","",IF(Paramètres!I35="","",Paramètres!I35))</f>
        <v/>
      </c>
      <c r="E3113" s="19">
        <f>IF($A3113="","",IF(Paramètres!J35&amp;Paramètres!L35&amp;Paramètres!N35="",Dossiers!$D$61,MAX(IF(Paramètres!J35="",0,IF(Paramètres!K35="",NA(),IF(LEFT(TRIM(Paramètres!K35),1)="F",INDEX($F$3083:$F$3135,MATCH(Paramètres!J35,Paramètres!$G$5:$G$57,0)),INDEX($E$3083:$E$3135,MATCH(Paramètres!J35,Paramètres!$G$5:$G$57,0)))+IF(RIGHT(TRIM(Paramètres!K35),3)="Fin",1-$H3113,IF(LEFT(TRIM(Paramètres!K35),1)="F",1,0)))),IF(Paramètres!L35="",0,IF(Paramètres!M35="",NA(),IF(LEFT(TRIM(Paramètres!M35),1)="F",INDEX($F$3083:$F$3135,MATCH(Paramètres!L35,Paramètres!$G$5:$G$57,0)),INDEX($E$3083:$E$3135,MATCH(Paramètres!L35,Paramètres!$G$5:$G$57,0)))+IF(RIGHT(TRIM(Paramètres!M35),3)="Fin",1-$H3113,IF(LEFT(TRIM(Paramètres!M35),1)="F",1,0)))),IF(Paramètres!N35="",0,IF(Paramètres!O35="",NA(),IF(LEFT(TRIM(Paramètres!O35),1)="F",INDEX($F$3083:$F$3135,MATCH(Paramètres!N35,Paramètres!$G$5:$G$57,0)),INDEX($E$3083:$E$3135,MATCH(Paramètres!N35,Paramètres!$G$5:$G$57,0)))+IF(RIGHT(TRIM(Paramètres!O35),3)="Fin",1-$H3113,IF(LEFT(TRIM(Paramètres!O35),1)="F",1,0)))))))</f>
        <v/>
      </c>
      <c r="F3113" s="19">
        <f>IF($A3113="","",E3113+$H3113-1)</f>
        <v/>
      </c>
      <c r="G3113" s="18" t="n"/>
      <c r="H3113" s="18">
        <f>IF($A3113="","",IF(I3113&lt;&gt;"",I3113,Paramètres!B35))</f>
        <v/>
      </c>
      <c r="I3113" s="18" t="n"/>
    </row>
    <row r="3114">
      <c r="A3114" s="18">
        <f>IF(ISNUMBER(Dossiers!$D$61),Dossiers!$A$61&amp;" · "&amp;Dossiers!$B$61,"")</f>
        <v/>
      </c>
      <c r="B3114" s="18">
        <f>IF($A3114="","",Paramètres!G36)</f>
        <v/>
      </c>
      <c r="C3114" s="18">
        <f>IF($A3114="","",IF(Paramètres!H36="","",Paramètres!H36))</f>
        <v/>
      </c>
      <c r="D3114" s="18">
        <f>IF($A3114="","",IF(Paramètres!I36="","",Paramètres!I36))</f>
        <v/>
      </c>
      <c r="E3114" s="19">
        <f>IF($A3114="","",IF(Paramètres!J36&amp;Paramètres!L36&amp;Paramètres!N36="",Dossiers!$D$61,MAX(IF(Paramètres!J36="",0,IF(Paramètres!K36="",NA(),IF(LEFT(TRIM(Paramètres!K36),1)="F",INDEX($F$3083:$F$3135,MATCH(Paramètres!J36,Paramètres!$G$5:$G$57,0)),INDEX($E$3083:$E$3135,MATCH(Paramètres!J36,Paramètres!$G$5:$G$57,0)))+IF(RIGHT(TRIM(Paramètres!K36),3)="Fin",1-$H3114,IF(LEFT(TRIM(Paramètres!K36),1)="F",1,0)))),IF(Paramètres!L36="",0,IF(Paramètres!M36="",NA(),IF(LEFT(TRIM(Paramètres!M36),1)="F",INDEX($F$3083:$F$3135,MATCH(Paramètres!L36,Paramètres!$G$5:$G$57,0)),INDEX($E$3083:$E$3135,MATCH(Paramètres!L36,Paramètres!$G$5:$G$57,0)))+IF(RIGHT(TRIM(Paramètres!M36),3)="Fin",1-$H3114,IF(LEFT(TRIM(Paramètres!M36),1)="F",1,0)))),IF(Paramètres!N36="",0,IF(Paramètres!O36="",NA(),IF(LEFT(TRIM(Paramètres!O36),1)="F",INDEX($F$3083:$F$3135,MATCH(Paramètres!N36,Paramètres!$G$5:$G$57,0)),INDEX($E$3083:$E$3135,MATCH(Paramètres!N36,Paramètres!$G$5:$G$57,0)))+IF(RIGHT(TRIM(Paramètres!O36),3)="Fin",1-$H3114,IF(LEFT(TRIM(Paramètres!O36),1)="F",1,0)))))))</f>
        <v/>
      </c>
      <c r="F3114" s="19">
        <f>IF($A3114="","",E3114+$H3114-1)</f>
        <v/>
      </c>
      <c r="G3114" s="18" t="n"/>
      <c r="H3114" s="18">
        <f>IF($A3114="","",IF(I3114&lt;&gt;"",I3114,Paramètres!B36))</f>
        <v/>
      </c>
      <c r="I3114" s="18" t="n"/>
    </row>
    <row r="3115">
      <c r="A3115" s="18">
        <f>IF(ISNUMBER(Dossiers!$D$61),Dossiers!$A$61&amp;" · "&amp;Dossiers!$B$61,"")</f>
        <v/>
      </c>
      <c r="B3115" s="18">
        <f>IF($A3115="","",Paramètres!G37)</f>
        <v/>
      </c>
      <c r="C3115" s="18">
        <f>IF($A3115="","",IF(Paramètres!H37="","",Paramètres!H37))</f>
        <v/>
      </c>
      <c r="D3115" s="18">
        <f>IF($A3115="","",IF(Paramètres!I37="","",Paramètres!I37))</f>
        <v/>
      </c>
      <c r="E3115" s="19">
        <f>IF($A3115="","",MIN(E3116:E3133))</f>
        <v/>
      </c>
      <c r="F3115" s="19">
        <f>IF($A3115="","",MAX(F3116:F3133))</f>
        <v/>
      </c>
      <c r="G3115" s="18" t="n"/>
      <c r="H3115" s="18">
        <f>IF($A3115="","",F3115-E3115+1)</f>
        <v/>
      </c>
      <c r="I3115" s="18" t="n"/>
    </row>
    <row r="3116">
      <c r="A3116" s="18">
        <f>IF(ISNUMBER(Dossiers!$D$61),Dossiers!$A$61&amp;" · "&amp;Dossiers!$B$61,"")</f>
        <v/>
      </c>
      <c r="B3116" s="18">
        <f>IF($A3116="","",Paramètres!G38)</f>
        <v/>
      </c>
      <c r="C3116" s="18">
        <f>IF($A3116="","",IF(Paramètres!H38="","",Paramètres!H38))</f>
        <v/>
      </c>
      <c r="D3116" s="18">
        <f>IF($A3116="","",IF(Paramètres!I38="","",Paramètres!I38))</f>
        <v/>
      </c>
      <c r="E3116" s="19">
        <f>IF($A3116="","",IF(Paramètres!J38&amp;Paramètres!L38&amp;Paramètres!N38="",Dossiers!$D$61,MAX(IF(Paramètres!J38="",0,IF(Paramètres!K38="",NA(),IF(LEFT(TRIM(Paramètres!K38),1)="F",INDEX($F$3083:$F$3135,MATCH(Paramètres!J38,Paramètres!$G$5:$G$57,0)),INDEX($E$3083:$E$3135,MATCH(Paramètres!J38,Paramètres!$G$5:$G$57,0)))+IF(RIGHT(TRIM(Paramètres!K38),3)="Fin",1-$H3116,IF(LEFT(TRIM(Paramètres!K38),1)="F",1,0)))),IF(Paramètres!L38="",0,IF(Paramètres!M38="",NA(),IF(LEFT(TRIM(Paramètres!M38),1)="F",INDEX($F$3083:$F$3135,MATCH(Paramètres!L38,Paramètres!$G$5:$G$57,0)),INDEX($E$3083:$E$3135,MATCH(Paramètres!L38,Paramètres!$G$5:$G$57,0)))+IF(RIGHT(TRIM(Paramètres!M38),3)="Fin",1-$H3116,IF(LEFT(TRIM(Paramètres!M38),1)="F",1,0)))),IF(Paramètres!N38="",0,IF(Paramètres!O38="",NA(),IF(LEFT(TRIM(Paramètres!O38),1)="F",INDEX($F$3083:$F$3135,MATCH(Paramètres!N38,Paramètres!$G$5:$G$57,0)),INDEX($E$3083:$E$3135,MATCH(Paramètres!N38,Paramètres!$G$5:$G$57,0)))+IF(RIGHT(TRIM(Paramètres!O38),3)="Fin",1-$H3116,IF(LEFT(TRIM(Paramètres!O38),1)="F",1,0)))))))</f>
        <v/>
      </c>
      <c r="F3116" s="19">
        <f>IF($A3116="","",E3116+$H3116-1)</f>
        <v/>
      </c>
      <c r="G3116" s="18" t="n"/>
      <c r="H3116" s="18">
        <f>IF($A3116="","",IF(I3116&lt;&gt;"",I3116,Paramètres!B38))</f>
        <v/>
      </c>
      <c r="I3116" s="18" t="n"/>
    </row>
    <row r="3117">
      <c r="A3117" s="18">
        <f>IF(ISNUMBER(Dossiers!$D$61),Dossiers!$A$61&amp;" · "&amp;Dossiers!$B$61,"")</f>
        <v/>
      </c>
      <c r="B3117" s="18">
        <f>IF($A3117="","",Paramètres!G39)</f>
        <v/>
      </c>
      <c r="C3117" s="18">
        <f>IF($A3117="","",IF(Paramètres!H39="","",Paramètres!H39))</f>
        <v/>
      </c>
      <c r="D3117" s="18">
        <f>IF($A3117="","",IF(Paramètres!I39="","",Paramètres!I39))</f>
        <v/>
      </c>
      <c r="E3117" s="19">
        <f>IF($A3117="","",IF(Paramètres!J39&amp;Paramètres!L39&amp;Paramètres!N39="",Dossiers!$D$61,MAX(IF(Paramètres!J39="",0,IF(Paramètres!K39="",NA(),IF(LEFT(TRIM(Paramètres!K39),1)="F",INDEX($F$3083:$F$3135,MATCH(Paramètres!J39,Paramètres!$G$5:$G$57,0)),INDEX($E$3083:$E$3135,MATCH(Paramètres!J39,Paramètres!$G$5:$G$57,0)))+IF(RIGHT(TRIM(Paramètres!K39),3)="Fin",1-$H3117,IF(LEFT(TRIM(Paramètres!K39),1)="F",1,0)))),IF(Paramètres!L39="",0,IF(Paramètres!M39="",NA(),IF(LEFT(TRIM(Paramètres!M39),1)="F",INDEX($F$3083:$F$3135,MATCH(Paramètres!L39,Paramètres!$G$5:$G$57,0)),INDEX($E$3083:$E$3135,MATCH(Paramètres!L39,Paramètres!$G$5:$G$57,0)))+IF(RIGHT(TRIM(Paramètres!M39),3)="Fin",1-$H3117,IF(LEFT(TRIM(Paramètres!M39),1)="F",1,0)))),IF(Paramètres!N39="",0,IF(Paramètres!O39="",NA(),IF(LEFT(TRIM(Paramètres!O39),1)="F",INDEX($F$3083:$F$3135,MATCH(Paramètres!N39,Paramètres!$G$5:$G$57,0)),INDEX($E$3083:$E$3135,MATCH(Paramètres!N39,Paramètres!$G$5:$G$57,0)))+IF(RIGHT(TRIM(Paramètres!O39),3)="Fin",1-$H3117,IF(LEFT(TRIM(Paramètres!O39),1)="F",1,0)))))))</f>
        <v/>
      </c>
      <c r="F3117" s="19">
        <f>IF($A3117="","",E3117+$H3117-1)</f>
        <v/>
      </c>
      <c r="G3117" s="18" t="n"/>
      <c r="H3117" s="18">
        <f>IF($A3117="","",IF(I3117&lt;&gt;"",I3117,Paramètres!B39))</f>
        <v/>
      </c>
      <c r="I3117" s="18" t="n"/>
    </row>
    <row r="3118">
      <c r="A3118" s="18">
        <f>IF(ISNUMBER(Dossiers!$D$61),Dossiers!$A$61&amp;" · "&amp;Dossiers!$B$61,"")</f>
        <v/>
      </c>
      <c r="B3118" s="18">
        <f>IF($A3118="","",Paramètres!G40)</f>
        <v/>
      </c>
      <c r="C3118" s="18">
        <f>IF($A3118="","",IF(Paramètres!H40="","",Paramètres!H40))</f>
        <v/>
      </c>
      <c r="D3118" s="18">
        <f>IF($A3118="","",IF(Paramètres!I40="","",Paramètres!I40))</f>
        <v/>
      </c>
      <c r="E3118" s="19">
        <f>IF($A3118="","",IF(Paramètres!J40&amp;Paramètres!L40&amp;Paramètres!N40="",Dossiers!$D$61,MAX(IF(Paramètres!J40="",0,IF(Paramètres!K40="",NA(),IF(LEFT(TRIM(Paramètres!K40),1)="F",INDEX($F$3083:$F$3135,MATCH(Paramètres!J40,Paramètres!$G$5:$G$57,0)),INDEX($E$3083:$E$3135,MATCH(Paramètres!J40,Paramètres!$G$5:$G$57,0)))+IF(RIGHT(TRIM(Paramètres!K40),3)="Fin",1-$H3118,IF(LEFT(TRIM(Paramètres!K40),1)="F",1,0)))),IF(Paramètres!L40="",0,IF(Paramètres!M40="",NA(),IF(LEFT(TRIM(Paramètres!M40),1)="F",INDEX($F$3083:$F$3135,MATCH(Paramètres!L40,Paramètres!$G$5:$G$57,0)),INDEX($E$3083:$E$3135,MATCH(Paramètres!L40,Paramètres!$G$5:$G$57,0)))+IF(RIGHT(TRIM(Paramètres!M40),3)="Fin",1-$H3118,IF(LEFT(TRIM(Paramètres!M40),1)="F",1,0)))),IF(Paramètres!N40="",0,IF(Paramètres!O40="",NA(),IF(LEFT(TRIM(Paramètres!O40),1)="F",INDEX($F$3083:$F$3135,MATCH(Paramètres!N40,Paramètres!$G$5:$G$57,0)),INDEX($E$3083:$E$3135,MATCH(Paramètres!N40,Paramètres!$G$5:$G$57,0)))+IF(RIGHT(TRIM(Paramètres!O40),3)="Fin",1-$H3118,IF(LEFT(TRIM(Paramètres!O40),1)="F",1,0)))))))</f>
        <v/>
      </c>
      <c r="F3118" s="19">
        <f>IF($A3118="","",E3118+$H3118-1)</f>
        <v/>
      </c>
      <c r="G3118" s="18" t="n"/>
      <c r="H3118" s="18">
        <f>IF($A3118="","",IF(I3118&lt;&gt;"",I3118,Paramètres!B40))</f>
        <v/>
      </c>
      <c r="I3118" s="18" t="n"/>
    </row>
    <row r="3119">
      <c r="A3119" s="18">
        <f>IF(ISNUMBER(Dossiers!$D$61),Dossiers!$A$61&amp;" · "&amp;Dossiers!$B$61,"")</f>
        <v/>
      </c>
      <c r="B3119" s="18">
        <f>IF($A3119="","",Paramètres!G41)</f>
        <v/>
      </c>
      <c r="C3119" s="18">
        <f>IF($A3119="","",IF(Paramètres!H41="","",Paramètres!H41))</f>
        <v/>
      </c>
      <c r="D3119" s="18">
        <f>IF($A3119="","",IF(Paramètres!I41="","",Paramètres!I41))</f>
        <v/>
      </c>
      <c r="E3119" s="19">
        <f>IF($A3119="","",IF(Paramètres!J41&amp;Paramètres!L41&amp;Paramètres!N41="",Dossiers!$D$61,MAX(IF(Paramètres!J41="",0,IF(Paramètres!K41="",NA(),IF(LEFT(TRIM(Paramètres!K41),1)="F",INDEX($F$3083:$F$3135,MATCH(Paramètres!J41,Paramètres!$G$5:$G$57,0)),INDEX($E$3083:$E$3135,MATCH(Paramètres!J41,Paramètres!$G$5:$G$57,0)))+IF(RIGHT(TRIM(Paramètres!K41),3)="Fin",1-$H3119,IF(LEFT(TRIM(Paramètres!K41),1)="F",1,0)))),IF(Paramètres!L41="",0,IF(Paramètres!M41="",NA(),IF(LEFT(TRIM(Paramètres!M41),1)="F",INDEX($F$3083:$F$3135,MATCH(Paramètres!L41,Paramètres!$G$5:$G$57,0)),INDEX($E$3083:$E$3135,MATCH(Paramètres!L41,Paramètres!$G$5:$G$57,0)))+IF(RIGHT(TRIM(Paramètres!M41),3)="Fin",1-$H3119,IF(LEFT(TRIM(Paramètres!M41),1)="F",1,0)))),IF(Paramètres!N41="",0,IF(Paramètres!O41="",NA(),IF(LEFT(TRIM(Paramètres!O41),1)="F",INDEX($F$3083:$F$3135,MATCH(Paramètres!N41,Paramètres!$G$5:$G$57,0)),INDEX($E$3083:$E$3135,MATCH(Paramètres!N41,Paramètres!$G$5:$G$57,0)))+IF(RIGHT(TRIM(Paramètres!O41),3)="Fin",1-$H3119,IF(LEFT(TRIM(Paramètres!O41),1)="F",1,0)))))))</f>
        <v/>
      </c>
      <c r="F3119" s="19">
        <f>IF($A3119="","",E3119+$H3119-1)</f>
        <v/>
      </c>
      <c r="G3119" s="18" t="n"/>
      <c r="H3119" s="18">
        <f>IF($A3119="","",IF(I3119&lt;&gt;"",I3119,Paramètres!B41))</f>
        <v/>
      </c>
      <c r="I3119" s="18" t="n"/>
    </row>
    <row r="3120">
      <c r="A3120" s="18">
        <f>IF(ISNUMBER(Dossiers!$D$61),Dossiers!$A$61&amp;" · "&amp;Dossiers!$B$61,"")</f>
        <v/>
      </c>
      <c r="B3120" s="18">
        <f>IF($A3120="","",Paramètres!G42)</f>
        <v/>
      </c>
      <c r="C3120" s="18">
        <f>IF($A3120="","",IF(Paramètres!H42="","",Paramètres!H42))</f>
        <v/>
      </c>
      <c r="D3120" s="18">
        <f>IF($A3120="","",IF(Paramètres!I42="","",Paramètres!I42))</f>
        <v/>
      </c>
      <c r="E3120" s="19">
        <f>IF($A3120="","",IF(Paramètres!J42&amp;Paramètres!L42&amp;Paramètres!N42="",Dossiers!$D$61,MAX(IF(Paramètres!J42="",0,IF(Paramètres!K42="",NA(),IF(LEFT(TRIM(Paramètres!K42),1)="F",INDEX($F$3083:$F$3135,MATCH(Paramètres!J42,Paramètres!$G$5:$G$57,0)),INDEX($E$3083:$E$3135,MATCH(Paramètres!J42,Paramètres!$G$5:$G$57,0)))+IF(RIGHT(TRIM(Paramètres!K42),3)="Fin",1-$H3120,IF(LEFT(TRIM(Paramètres!K42),1)="F",1,0)))),IF(Paramètres!L42="",0,IF(Paramètres!M42="",NA(),IF(LEFT(TRIM(Paramètres!M42),1)="F",INDEX($F$3083:$F$3135,MATCH(Paramètres!L42,Paramètres!$G$5:$G$57,0)),INDEX($E$3083:$E$3135,MATCH(Paramètres!L42,Paramètres!$G$5:$G$57,0)))+IF(RIGHT(TRIM(Paramètres!M42),3)="Fin",1-$H3120,IF(LEFT(TRIM(Paramètres!M42),1)="F",1,0)))),IF(Paramètres!N42="",0,IF(Paramètres!O42="",NA(),IF(LEFT(TRIM(Paramètres!O42),1)="F",INDEX($F$3083:$F$3135,MATCH(Paramètres!N42,Paramètres!$G$5:$G$57,0)),INDEX($E$3083:$E$3135,MATCH(Paramètres!N42,Paramètres!$G$5:$G$57,0)))+IF(RIGHT(TRIM(Paramètres!O42),3)="Fin",1-$H3120,IF(LEFT(TRIM(Paramètres!O42),1)="F",1,0)))))))</f>
        <v/>
      </c>
      <c r="F3120" s="19">
        <f>IF($A3120="","",E3120+$H3120-1)</f>
        <v/>
      </c>
      <c r="G3120" s="18" t="n"/>
      <c r="H3120" s="18">
        <f>IF($A3120="","",IF(I3120&lt;&gt;"",I3120,Paramètres!B42))</f>
        <v/>
      </c>
      <c r="I3120" s="18" t="n"/>
    </row>
    <row r="3121">
      <c r="A3121" s="18">
        <f>IF(ISNUMBER(Dossiers!$D$61),Dossiers!$A$61&amp;" · "&amp;Dossiers!$B$61,"")</f>
        <v/>
      </c>
      <c r="B3121" s="18">
        <f>IF($A3121="","",Paramètres!G43)</f>
        <v/>
      </c>
      <c r="C3121" s="18">
        <f>IF($A3121="","",IF(Paramètres!H43="","",Paramètres!H43))</f>
        <v/>
      </c>
      <c r="D3121" s="18">
        <f>IF($A3121="","",IF(Paramètres!I43="","",Paramètres!I43))</f>
        <v/>
      </c>
      <c r="E3121" s="19">
        <f>IF($A3121="","",IF(Paramètres!J43&amp;Paramètres!L43&amp;Paramètres!N43="",Dossiers!$D$61,MAX(IF(Paramètres!J43="",0,IF(Paramètres!K43="",NA(),IF(LEFT(TRIM(Paramètres!K43),1)="F",INDEX($F$3083:$F$3135,MATCH(Paramètres!J43,Paramètres!$G$5:$G$57,0)),INDEX($E$3083:$E$3135,MATCH(Paramètres!J43,Paramètres!$G$5:$G$57,0)))+IF(RIGHT(TRIM(Paramètres!K43),3)="Fin",1-$H3121,IF(LEFT(TRIM(Paramètres!K43),1)="F",1,0)))),IF(Paramètres!L43="",0,IF(Paramètres!M43="",NA(),IF(LEFT(TRIM(Paramètres!M43),1)="F",INDEX($F$3083:$F$3135,MATCH(Paramètres!L43,Paramètres!$G$5:$G$57,0)),INDEX($E$3083:$E$3135,MATCH(Paramètres!L43,Paramètres!$G$5:$G$57,0)))+IF(RIGHT(TRIM(Paramètres!M43),3)="Fin",1-$H3121,IF(LEFT(TRIM(Paramètres!M43),1)="F",1,0)))),IF(Paramètres!N43="",0,IF(Paramètres!O43="",NA(),IF(LEFT(TRIM(Paramètres!O43),1)="F",INDEX($F$3083:$F$3135,MATCH(Paramètres!N43,Paramètres!$G$5:$G$57,0)),INDEX($E$3083:$E$3135,MATCH(Paramètres!N43,Paramètres!$G$5:$G$57,0)))+IF(RIGHT(TRIM(Paramètres!O43),3)="Fin",1-$H3121,IF(LEFT(TRIM(Paramètres!O43),1)="F",1,0)))))))</f>
        <v/>
      </c>
      <c r="F3121" s="19">
        <f>IF($A3121="","",E3121+$H3121-1)</f>
        <v/>
      </c>
      <c r="G3121" s="18" t="n"/>
      <c r="H3121" s="18">
        <f>IF($A3121="","",IF(I3121&lt;&gt;"",I3121,Paramètres!B43))</f>
        <v/>
      </c>
      <c r="I3121" s="18" t="n"/>
    </row>
    <row r="3122">
      <c r="A3122" s="18">
        <f>IF(ISNUMBER(Dossiers!$D$61),Dossiers!$A$61&amp;" · "&amp;Dossiers!$B$61,"")</f>
        <v/>
      </c>
      <c r="B3122" s="18">
        <f>IF($A3122="","",Paramètres!G44)</f>
        <v/>
      </c>
      <c r="C3122" s="18">
        <f>IF($A3122="","",IF(Paramètres!H44="","",Paramètres!H44))</f>
        <v/>
      </c>
      <c r="D3122" s="18">
        <f>IF($A3122="","",IF(Paramètres!I44="","",Paramètres!I44))</f>
        <v/>
      </c>
      <c r="E3122" s="19">
        <f>IF($A3122="","",IF(Paramètres!J44&amp;Paramètres!L44&amp;Paramètres!N44="",Dossiers!$D$61,MAX(IF(Paramètres!J44="",0,IF(Paramètres!K44="",NA(),IF(LEFT(TRIM(Paramètres!K44),1)="F",INDEX($F$3083:$F$3135,MATCH(Paramètres!J44,Paramètres!$G$5:$G$57,0)),INDEX($E$3083:$E$3135,MATCH(Paramètres!J44,Paramètres!$G$5:$G$57,0)))+IF(RIGHT(TRIM(Paramètres!K44),3)="Fin",1-$H3122,IF(LEFT(TRIM(Paramètres!K44),1)="F",1,0)))),IF(Paramètres!L44="",0,IF(Paramètres!M44="",NA(),IF(LEFT(TRIM(Paramètres!M44),1)="F",INDEX($F$3083:$F$3135,MATCH(Paramètres!L44,Paramètres!$G$5:$G$57,0)),INDEX($E$3083:$E$3135,MATCH(Paramètres!L44,Paramètres!$G$5:$G$57,0)))+IF(RIGHT(TRIM(Paramètres!M44),3)="Fin",1-$H3122,IF(LEFT(TRIM(Paramètres!M44),1)="F",1,0)))),IF(Paramètres!N44="",0,IF(Paramètres!O44="",NA(),IF(LEFT(TRIM(Paramètres!O44),1)="F",INDEX($F$3083:$F$3135,MATCH(Paramètres!N44,Paramètres!$G$5:$G$57,0)),INDEX($E$3083:$E$3135,MATCH(Paramètres!N44,Paramètres!$G$5:$G$57,0)))+IF(RIGHT(TRIM(Paramètres!O44),3)="Fin",1-$H3122,IF(LEFT(TRIM(Paramètres!O44),1)="F",1,0)))))))</f>
        <v/>
      </c>
      <c r="F3122" s="19">
        <f>IF($A3122="","",E3122+$H3122-1)</f>
        <v/>
      </c>
      <c r="G3122" s="18" t="n"/>
      <c r="H3122" s="18">
        <f>IF($A3122="","",IF(I3122&lt;&gt;"",I3122,Paramètres!B44))</f>
        <v/>
      </c>
      <c r="I3122" s="18" t="n"/>
    </row>
    <row r="3123">
      <c r="A3123" s="18">
        <f>IF(ISNUMBER(Dossiers!$D$61),Dossiers!$A$61&amp;" · "&amp;Dossiers!$B$61,"")</f>
        <v/>
      </c>
      <c r="B3123" s="18">
        <f>IF($A3123="","",Paramètres!G45)</f>
        <v/>
      </c>
      <c r="C3123" s="20">
        <f>IF($A3123="","",IF(Dossiers!$G$61="","",Dossiers!$G$61))</f>
        <v/>
      </c>
      <c r="D3123" s="18">
        <f>IF($A3123="","",IF(Paramètres!I45="","",Paramètres!I45))</f>
        <v/>
      </c>
      <c r="E3123" s="19">
        <f>IF($A3123="","",IF(Paramètres!J45&amp;Paramètres!L45&amp;Paramètres!N45="",Dossiers!$D$61,MAX(IF(Paramètres!J45="",0,IF(Paramètres!K45="",NA(),IF(LEFT(TRIM(Paramètres!K45),1)="F",INDEX($F$3083:$F$3135,MATCH(Paramètres!J45,Paramètres!$G$5:$G$57,0)),INDEX($E$3083:$E$3135,MATCH(Paramètres!J45,Paramètres!$G$5:$G$57,0)))+IF(RIGHT(TRIM(Paramètres!K45),3)="Fin",1-$H3123,IF(LEFT(TRIM(Paramètres!K45),1)="F",1,0)))),IF(Paramètres!L45="",0,IF(Paramètres!M45="",NA(),IF(LEFT(TRIM(Paramètres!M45),1)="F",INDEX($F$3083:$F$3135,MATCH(Paramètres!L45,Paramètres!$G$5:$G$57,0)),INDEX($E$3083:$E$3135,MATCH(Paramètres!L45,Paramètres!$G$5:$G$57,0)))+IF(RIGHT(TRIM(Paramètres!M45),3)="Fin",1-$H3123,IF(LEFT(TRIM(Paramètres!M45),1)="F",1,0)))),IF(Paramètres!N45="",0,IF(Paramètres!O45="",NA(),IF(LEFT(TRIM(Paramètres!O45),1)="F",INDEX($F$3083:$F$3135,MATCH(Paramètres!N45,Paramètres!$G$5:$G$57,0)),INDEX($E$3083:$E$3135,MATCH(Paramètres!N45,Paramètres!$G$5:$G$57,0)))+IF(RIGHT(TRIM(Paramètres!O45),3)="Fin",1-$H3123,IF(LEFT(TRIM(Paramètres!O45),1)="F",1,0)))))))</f>
        <v/>
      </c>
      <c r="F3123" s="19">
        <f>IF($A3123="","",E3123+$H3123-1)</f>
        <v/>
      </c>
      <c r="G3123" s="18" t="n"/>
      <c r="H3123" s="18">
        <f>IF($A3123="","",IF(I3123&lt;&gt;"",I3123,Paramètres!B45))</f>
        <v/>
      </c>
      <c r="I3123" s="18" t="n"/>
    </row>
    <row r="3124">
      <c r="A3124" s="18">
        <f>IF(ISNUMBER(Dossiers!$D$61),Dossiers!$A$61&amp;" · "&amp;Dossiers!$B$61,"")</f>
        <v/>
      </c>
      <c r="B3124" s="18">
        <f>IF($A3124="","",Paramètres!G46)</f>
        <v/>
      </c>
      <c r="C3124" s="18">
        <f>IF($A3124="","",IF(Paramètres!H46="","",Paramètres!H46))</f>
        <v/>
      </c>
      <c r="D3124" s="18">
        <f>IF($A3124="","",IF(Paramètres!I46="","",Paramètres!I46))</f>
        <v/>
      </c>
      <c r="E3124" s="19">
        <f>IF($A3124="","",IF(Paramètres!J46&amp;Paramètres!L46&amp;Paramètres!N46="",Dossiers!$D$61,MAX(IF(Paramètres!J46="",0,IF(Paramètres!K46="",NA(),IF(LEFT(TRIM(Paramètres!K46),1)="F",INDEX($F$3083:$F$3135,MATCH(Paramètres!J46,Paramètres!$G$5:$G$57,0)),INDEX($E$3083:$E$3135,MATCH(Paramètres!J46,Paramètres!$G$5:$G$57,0)))+IF(RIGHT(TRIM(Paramètres!K46),3)="Fin",1-$H3124,IF(LEFT(TRIM(Paramètres!K46),1)="F",1,0)))),IF(Paramètres!L46="",0,IF(Paramètres!M46="",NA(),IF(LEFT(TRIM(Paramètres!M46),1)="F",INDEX($F$3083:$F$3135,MATCH(Paramètres!L46,Paramètres!$G$5:$G$57,0)),INDEX($E$3083:$E$3135,MATCH(Paramètres!L46,Paramètres!$G$5:$G$57,0)))+IF(RIGHT(TRIM(Paramètres!M46),3)="Fin",1-$H3124,IF(LEFT(TRIM(Paramètres!M46),1)="F",1,0)))),IF(Paramètres!N46="",0,IF(Paramètres!O46="",NA(),IF(LEFT(TRIM(Paramètres!O46),1)="F",INDEX($F$3083:$F$3135,MATCH(Paramètres!N46,Paramètres!$G$5:$G$57,0)),INDEX($E$3083:$E$3135,MATCH(Paramètres!N46,Paramètres!$G$5:$G$57,0)))+IF(RIGHT(TRIM(Paramètres!O46),3)="Fin",1-$H3124,IF(LEFT(TRIM(Paramètres!O46),1)="F",1,0)))))))</f>
        <v/>
      </c>
      <c r="F3124" s="19">
        <f>IF($A3124="","",E3124+$H3124-1)</f>
        <v/>
      </c>
      <c r="G3124" s="18" t="n"/>
      <c r="H3124" s="18">
        <f>IF($A3124="","",IF(I3124&lt;&gt;"",I3124,Paramètres!B46))</f>
        <v/>
      </c>
      <c r="I3124" s="18" t="n"/>
    </row>
    <row r="3125">
      <c r="A3125" s="18">
        <f>IF(ISNUMBER(Dossiers!$D$61),Dossiers!$A$61&amp;" · "&amp;Dossiers!$B$61,"")</f>
        <v/>
      </c>
      <c r="B3125" s="18">
        <f>IF($A3125="","",Paramètres!G47)</f>
        <v/>
      </c>
      <c r="C3125" s="18">
        <f>IF($A3125="","",IF(Paramètres!H47="","",Paramètres!H47))</f>
        <v/>
      </c>
      <c r="D3125" s="18">
        <f>IF($A3125="","",IF(Paramètres!I47="","",Paramètres!I47))</f>
        <v/>
      </c>
      <c r="E3125" s="19">
        <f>IF($A3125="","",IF(Paramètres!J47&amp;Paramètres!L47&amp;Paramètres!N47="",Dossiers!$D$61,MAX(IF(Paramètres!J47="",0,IF(Paramètres!K47="",NA(),IF(LEFT(TRIM(Paramètres!K47),1)="F",INDEX($F$3083:$F$3135,MATCH(Paramètres!J47,Paramètres!$G$5:$G$57,0)),INDEX($E$3083:$E$3135,MATCH(Paramètres!J47,Paramètres!$G$5:$G$57,0)))+IF(RIGHT(TRIM(Paramètres!K47),3)="Fin",1-$H3125,IF(LEFT(TRIM(Paramètres!K47),1)="F",1,0)))),IF(Paramètres!L47="",0,IF(Paramètres!M47="",NA(),IF(LEFT(TRIM(Paramètres!M47),1)="F",INDEX($F$3083:$F$3135,MATCH(Paramètres!L47,Paramètres!$G$5:$G$57,0)),INDEX($E$3083:$E$3135,MATCH(Paramètres!L47,Paramètres!$G$5:$G$57,0)))+IF(RIGHT(TRIM(Paramètres!M47),3)="Fin",1-$H3125,IF(LEFT(TRIM(Paramètres!M47),1)="F",1,0)))),IF(Paramètres!N47="",0,IF(Paramètres!O47="",NA(),IF(LEFT(TRIM(Paramètres!O47),1)="F",INDEX($F$3083:$F$3135,MATCH(Paramètres!N47,Paramètres!$G$5:$G$57,0)),INDEX($E$3083:$E$3135,MATCH(Paramètres!N47,Paramètres!$G$5:$G$57,0)))+IF(RIGHT(TRIM(Paramètres!O47),3)="Fin",1-$H3125,IF(LEFT(TRIM(Paramètres!O47),1)="F",1,0)))))))</f>
        <v/>
      </c>
      <c r="F3125" s="19">
        <f>IF($A3125="","",E3125+$H3125-1)</f>
        <v/>
      </c>
      <c r="G3125" s="18" t="n"/>
      <c r="H3125" s="18">
        <f>IF($A3125="","",IF(I3125&lt;&gt;"",I3125,Paramètres!B47))</f>
        <v/>
      </c>
      <c r="I3125" s="18" t="n"/>
    </row>
    <row r="3126">
      <c r="A3126" s="18">
        <f>IF(ISNUMBER(Dossiers!$D$61),Dossiers!$A$61&amp;" · "&amp;Dossiers!$B$61,"")</f>
        <v/>
      </c>
      <c r="B3126" s="18">
        <f>IF($A3126="","",Paramètres!G48)</f>
        <v/>
      </c>
      <c r="C3126" s="18">
        <f>IF($A3126="","",IF(Paramètres!H48="","",Paramètres!H48))</f>
        <v/>
      </c>
      <c r="D3126" s="18">
        <f>IF($A3126="","",IF(Paramètres!I48="","",Paramètres!I48))</f>
        <v/>
      </c>
      <c r="E3126" s="19">
        <f>IF($A3126="","",IF(Paramètres!J48&amp;Paramètres!L48&amp;Paramètres!N48="",Dossiers!$D$61,MAX(IF(Paramètres!J48="",0,IF(Paramètres!K48="",NA(),IF(LEFT(TRIM(Paramètres!K48),1)="F",INDEX($F$3083:$F$3135,MATCH(Paramètres!J48,Paramètres!$G$5:$G$57,0)),INDEX($E$3083:$E$3135,MATCH(Paramètres!J48,Paramètres!$G$5:$G$57,0)))+IF(RIGHT(TRIM(Paramètres!K48),3)="Fin",1-$H3126,IF(LEFT(TRIM(Paramètres!K48),1)="F",1,0)))),IF(Paramètres!L48="",0,IF(Paramètres!M48="",NA(),IF(LEFT(TRIM(Paramètres!M48),1)="F",INDEX($F$3083:$F$3135,MATCH(Paramètres!L48,Paramètres!$G$5:$G$57,0)),INDEX($E$3083:$E$3135,MATCH(Paramètres!L48,Paramètres!$G$5:$G$57,0)))+IF(RIGHT(TRIM(Paramètres!M48),3)="Fin",1-$H3126,IF(LEFT(TRIM(Paramètres!M48),1)="F",1,0)))),IF(Paramètres!N48="",0,IF(Paramètres!O48="",NA(),IF(LEFT(TRIM(Paramètres!O48),1)="F",INDEX($F$3083:$F$3135,MATCH(Paramètres!N48,Paramètres!$G$5:$G$57,0)),INDEX($E$3083:$E$3135,MATCH(Paramètres!N48,Paramètres!$G$5:$G$57,0)))+IF(RIGHT(TRIM(Paramètres!O48),3)="Fin",1-$H3126,IF(LEFT(TRIM(Paramètres!O48),1)="F",1,0)))))))</f>
        <v/>
      </c>
      <c r="F3126" s="19">
        <f>IF($A3126="","",E3126+$H3126-1)</f>
        <v/>
      </c>
      <c r="G3126" s="18" t="n"/>
      <c r="H3126" s="18">
        <f>IF($A3126="","",IF(I3126&lt;&gt;"",I3126,Paramètres!B48))</f>
        <v/>
      </c>
      <c r="I3126" s="18" t="n"/>
    </row>
    <row r="3127">
      <c r="A3127" s="18">
        <f>IF(ISNUMBER(Dossiers!$D$61),Dossiers!$A$61&amp;" · "&amp;Dossiers!$B$61,"")</f>
        <v/>
      </c>
      <c r="B3127" s="18">
        <f>IF($A3127="","",Paramètres!G49)</f>
        <v/>
      </c>
      <c r="C3127" s="18">
        <f>IF($A3127="","",IF(Paramètres!H49="","",Paramètres!H49))</f>
        <v/>
      </c>
      <c r="D3127" s="18">
        <f>IF($A3127="","",IF(Paramètres!I49="","",Paramètres!I49))</f>
        <v/>
      </c>
      <c r="E3127" s="19">
        <f>IF($A3127="","",IF(Paramètres!J49&amp;Paramètres!L49&amp;Paramètres!N49="",Dossiers!$D$61,MAX(IF(Paramètres!J49="",0,IF(Paramètres!K49="",NA(),IF(LEFT(TRIM(Paramètres!K49),1)="F",INDEX($F$3083:$F$3135,MATCH(Paramètres!J49,Paramètres!$G$5:$G$57,0)),INDEX($E$3083:$E$3135,MATCH(Paramètres!J49,Paramètres!$G$5:$G$57,0)))+IF(RIGHT(TRIM(Paramètres!K49),3)="Fin",1-$H3127,IF(LEFT(TRIM(Paramètres!K49),1)="F",1,0)))),IF(Paramètres!L49="",0,IF(Paramètres!M49="",NA(),IF(LEFT(TRIM(Paramètres!M49),1)="F",INDEX($F$3083:$F$3135,MATCH(Paramètres!L49,Paramètres!$G$5:$G$57,0)),INDEX($E$3083:$E$3135,MATCH(Paramètres!L49,Paramètres!$G$5:$G$57,0)))+IF(RIGHT(TRIM(Paramètres!M49),3)="Fin",1-$H3127,IF(LEFT(TRIM(Paramètres!M49),1)="F",1,0)))),IF(Paramètres!N49="",0,IF(Paramètres!O49="",NA(),IF(LEFT(TRIM(Paramètres!O49),1)="F",INDEX($F$3083:$F$3135,MATCH(Paramètres!N49,Paramètres!$G$5:$G$57,0)),INDEX($E$3083:$E$3135,MATCH(Paramètres!N49,Paramètres!$G$5:$G$57,0)))+IF(RIGHT(TRIM(Paramètres!O49),3)="Fin",1-$H3127,IF(LEFT(TRIM(Paramètres!O49),1)="F",1,0)))))))</f>
        <v/>
      </c>
      <c r="F3127" s="19">
        <f>IF($A3127="","",E3127+$H3127-1)</f>
        <v/>
      </c>
      <c r="G3127" s="18" t="n"/>
      <c r="H3127" s="18">
        <f>IF($A3127="","",IF(I3127&lt;&gt;"",I3127,Paramètres!B49))</f>
        <v/>
      </c>
      <c r="I3127" s="18" t="n"/>
    </row>
    <row r="3128">
      <c r="A3128" s="18">
        <f>IF(ISNUMBER(Dossiers!$D$61),Dossiers!$A$61&amp;" · "&amp;Dossiers!$B$61,"")</f>
        <v/>
      </c>
      <c r="B3128" s="18">
        <f>IF($A3128="","",Paramètres!G50)</f>
        <v/>
      </c>
      <c r="C3128" s="18">
        <f>IF($A3128="","",IF(Paramètres!H50="","",Paramètres!H50))</f>
        <v/>
      </c>
      <c r="D3128" s="18">
        <f>IF($A3128="","",IF(Paramètres!I50="","",Paramètres!I50))</f>
        <v/>
      </c>
      <c r="E3128" s="19">
        <f>IF($A3128="","",IF(Paramètres!J50&amp;Paramètres!L50&amp;Paramètres!N50="",Dossiers!$D$61,MAX(IF(Paramètres!J50="",0,IF(Paramètres!K50="",NA(),IF(LEFT(TRIM(Paramètres!K50),1)="F",INDEX($F$3083:$F$3135,MATCH(Paramètres!J50,Paramètres!$G$5:$G$57,0)),INDEX($E$3083:$E$3135,MATCH(Paramètres!J50,Paramètres!$G$5:$G$57,0)))+IF(RIGHT(TRIM(Paramètres!K50),3)="Fin",1-$H3128,IF(LEFT(TRIM(Paramètres!K50),1)="F",1,0)))),IF(Paramètres!L50="",0,IF(Paramètres!M50="",NA(),IF(LEFT(TRIM(Paramètres!M50),1)="F",INDEX($F$3083:$F$3135,MATCH(Paramètres!L50,Paramètres!$G$5:$G$57,0)),INDEX($E$3083:$E$3135,MATCH(Paramètres!L50,Paramètres!$G$5:$G$57,0)))+IF(RIGHT(TRIM(Paramètres!M50),3)="Fin",1-$H3128,IF(LEFT(TRIM(Paramètres!M50),1)="F",1,0)))),IF(Paramètres!N50="",0,IF(Paramètres!O50="",NA(),IF(LEFT(TRIM(Paramètres!O50),1)="F",INDEX($F$3083:$F$3135,MATCH(Paramètres!N50,Paramètres!$G$5:$G$57,0)),INDEX($E$3083:$E$3135,MATCH(Paramètres!N50,Paramètres!$G$5:$G$57,0)))+IF(RIGHT(TRIM(Paramètres!O50),3)="Fin",1-$H3128,IF(LEFT(TRIM(Paramètres!O50),1)="F",1,0)))))))</f>
        <v/>
      </c>
      <c r="F3128" s="19">
        <f>IF($A3128="","",E3128+$H3128-1)</f>
        <v/>
      </c>
      <c r="G3128" s="18" t="n"/>
      <c r="H3128" s="18">
        <f>IF($A3128="","",IF(I3128&lt;&gt;"",I3128,Paramètres!B50))</f>
        <v/>
      </c>
      <c r="I3128" s="18" t="n"/>
    </row>
    <row r="3129">
      <c r="A3129" s="18">
        <f>IF(ISNUMBER(Dossiers!$D$61),Dossiers!$A$61&amp;" · "&amp;Dossiers!$B$61,"")</f>
        <v/>
      </c>
      <c r="B3129" s="18">
        <f>IF($A3129="","",Paramètres!G51)</f>
        <v/>
      </c>
      <c r="C3129" s="18">
        <f>IF($A3129="","",IF(Paramètres!H51="","",Paramètres!H51))</f>
        <v/>
      </c>
      <c r="D3129" s="18">
        <f>IF($A3129="","",IF(Paramètres!I51="","",Paramètres!I51))</f>
        <v/>
      </c>
      <c r="E3129" s="19">
        <f>IF($A3129="","",IF(Paramètres!J51&amp;Paramètres!L51&amp;Paramètres!N51="",Dossiers!$D$61,MAX(IF(Paramètres!J51="",0,IF(Paramètres!K51="",NA(),IF(LEFT(TRIM(Paramètres!K51),1)="F",INDEX($F$3083:$F$3135,MATCH(Paramètres!J51,Paramètres!$G$5:$G$57,0)),INDEX($E$3083:$E$3135,MATCH(Paramètres!J51,Paramètres!$G$5:$G$57,0)))+IF(RIGHT(TRIM(Paramètres!K51),3)="Fin",1-$H3129,IF(LEFT(TRIM(Paramètres!K51),1)="F",1,0)))),IF(Paramètres!L51="",0,IF(Paramètres!M51="",NA(),IF(LEFT(TRIM(Paramètres!M51),1)="F",INDEX($F$3083:$F$3135,MATCH(Paramètres!L51,Paramètres!$G$5:$G$57,0)),INDEX($E$3083:$E$3135,MATCH(Paramètres!L51,Paramètres!$G$5:$G$57,0)))+IF(RIGHT(TRIM(Paramètres!M51),3)="Fin",1-$H3129,IF(LEFT(TRIM(Paramètres!M51),1)="F",1,0)))),IF(Paramètres!N51="",0,IF(Paramètres!O51="",NA(),IF(LEFT(TRIM(Paramètres!O51),1)="F",INDEX($F$3083:$F$3135,MATCH(Paramètres!N51,Paramètres!$G$5:$G$57,0)),INDEX($E$3083:$E$3135,MATCH(Paramètres!N51,Paramètres!$G$5:$G$57,0)))+IF(RIGHT(TRIM(Paramètres!O51),3)="Fin",1-$H3129,IF(LEFT(TRIM(Paramètres!O51),1)="F",1,0)))))))</f>
        <v/>
      </c>
      <c r="F3129" s="19">
        <f>IF($A3129="","",E3129+$H3129-1)</f>
        <v/>
      </c>
      <c r="G3129" s="18" t="n"/>
      <c r="H3129" s="18">
        <f>IF($A3129="","",IF(I3129&lt;&gt;"",I3129,Paramètres!B51))</f>
        <v/>
      </c>
      <c r="I3129" s="18" t="n"/>
    </row>
    <row r="3130">
      <c r="A3130" s="18">
        <f>IF(ISNUMBER(Dossiers!$D$61),Dossiers!$A$61&amp;" · "&amp;Dossiers!$B$61,"")</f>
        <v/>
      </c>
      <c r="B3130" s="18">
        <f>IF($A3130="","",Paramètres!G52)</f>
        <v/>
      </c>
      <c r="C3130" s="18">
        <f>IF($A3130="","",IF(Paramètres!H52="","",Paramètres!H52))</f>
        <v/>
      </c>
      <c r="D3130" s="18">
        <f>IF($A3130="","",IF(Paramètres!I52="","",Paramètres!I52))</f>
        <v/>
      </c>
      <c r="E3130" s="19">
        <f>IF($A3130="","",IF(Paramètres!J52&amp;Paramètres!L52&amp;Paramètres!N52="",Dossiers!$D$61,MAX(IF(Paramètres!J52="",0,IF(Paramètres!K52="",NA(),IF(LEFT(TRIM(Paramètres!K52),1)="F",INDEX($F$3083:$F$3135,MATCH(Paramètres!J52,Paramètres!$G$5:$G$57,0)),INDEX($E$3083:$E$3135,MATCH(Paramètres!J52,Paramètres!$G$5:$G$57,0)))+IF(RIGHT(TRIM(Paramètres!K52),3)="Fin",1-$H3130,IF(LEFT(TRIM(Paramètres!K52),1)="F",1,0)))),IF(Paramètres!L52="",0,IF(Paramètres!M52="",NA(),IF(LEFT(TRIM(Paramètres!M52),1)="F",INDEX($F$3083:$F$3135,MATCH(Paramètres!L52,Paramètres!$G$5:$G$57,0)),INDEX($E$3083:$E$3135,MATCH(Paramètres!L52,Paramètres!$G$5:$G$57,0)))+IF(RIGHT(TRIM(Paramètres!M52),3)="Fin",1-$H3130,IF(LEFT(TRIM(Paramètres!M52),1)="F",1,0)))),IF(Paramètres!N52="",0,IF(Paramètres!O52="",NA(),IF(LEFT(TRIM(Paramètres!O52),1)="F",INDEX($F$3083:$F$3135,MATCH(Paramètres!N52,Paramètres!$G$5:$G$57,0)),INDEX($E$3083:$E$3135,MATCH(Paramètres!N52,Paramètres!$G$5:$G$57,0)))+IF(RIGHT(TRIM(Paramètres!O52),3)="Fin",1-$H3130,IF(LEFT(TRIM(Paramètres!O52),1)="F",1,0)))))))</f>
        <v/>
      </c>
      <c r="F3130" s="19">
        <f>IF($A3130="","",E3130+$H3130-1)</f>
        <v/>
      </c>
      <c r="G3130" s="18" t="n"/>
      <c r="H3130" s="18">
        <f>IF($A3130="","",IF(I3130&lt;&gt;"",I3130,Paramètres!B52))</f>
        <v/>
      </c>
      <c r="I3130" s="18" t="n"/>
    </row>
    <row r="3131">
      <c r="A3131" s="18">
        <f>IF(ISNUMBER(Dossiers!$D$61),Dossiers!$A$61&amp;" · "&amp;Dossiers!$B$61,"")</f>
        <v/>
      </c>
      <c r="B3131" s="18">
        <f>IF($A3131="","",Paramètres!G53)</f>
        <v/>
      </c>
      <c r="C3131" s="18">
        <f>IF($A3131="","",IF(Paramètres!H53="","",Paramètres!H53))</f>
        <v/>
      </c>
      <c r="D3131" s="18">
        <f>IF($A3131="","",IF(Paramètres!I53="","",Paramètres!I53))</f>
        <v/>
      </c>
      <c r="E3131" s="19">
        <f>IF($A3131="","",IF(Paramètres!J53&amp;Paramètres!L53&amp;Paramètres!N53="",Dossiers!$D$61,MAX(IF(Paramètres!J53="",0,IF(Paramètres!K53="",NA(),IF(LEFT(TRIM(Paramètres!K53),1)="F",INDEX($F$3083:$F$3135,MATCH(Paramètres!J53,Paramètres!$G$5:$G$57,0)),INDEX($E$3083:$E$3135,MATCH(Paramètres!J53,Paramètres!$G$5:$G$57,0)))+IF(RIGHT(TRIM(Paramètres!K53),3)="Fin",1-$H3131,IF(LEFT(TRIM(Paramètres!K53),1)="F",1,0)))),IF(Paramètres!L53="",0,IF(Paramètres!M53="",NA(),IF(LEFT(TRIM(Paramètres!M53),1)="F",INDEX($F$3083:$F$3135,MATCH(Paramètres!L53,Paramètres!$G$5:$G$57,0)),INDEX($E$3083:$E$3135,MATCH(Paramètres!L53,Paramètres!$G$5:$G$57,0)))+IF(RIGHT(TRIM(Paramètres!M53),3)="Fin",1-$H3131,IF(LEFT(TRIM(Paramètres!M53),1)="F",1,0)))),IF(Paramètres!N53="",0,IF(Paramètres!O53="",NA(),IF(LEFT(TRIM(Paramètres!O53),1)="F",INDEX($F$3083:$F$3135,MATCH(Paramètres!N53,Paramètres!$G$5:$G$57,0)),INDEX($E$3083:$E$3135,MATCH(Paramètres!N53,Paramètres!$G$5:$G$57,0)))+IF(RIGHT(TRIM(Paramètres!O53),3)="Fin",1-$H3131,IF(LEFT(TRIM(Paramètres!O53),1)="F",1,0)))))))</f>
        <v/>
      </c>
      <c r="F3131" s="19">
        <f>IF($A3131="","",E3131+$H3131-1)</f>
        <v/>
      </c>
      <c r="G3131" s="18" t="n"/>
      <c r="H3131" s="18">
        <f>IF($A3131="","",IF(I3131&lt;&gt;"",I3131,Paramètres!B53))</f>
        <v/>
      </c>
      <c r="I3131" s="18" t="n"/>
    </row>
    <row r="3132">
      <c r="A3132" s="18">
        <f>IF(ISNUMBER(Dossiers!$D$61),Dossiers!$A$61&amp;" · "&amp;Dossiers!$B$61,"")</f>
        <v/>
      </c>
      <c r="B3132" s="18">
        <f>IF($A3132="","",Paramètres!G54)</f>
        <v/>
      </c>
      <c r="C3132" s="18">
        <f>IF($A3132="","",IF(Paramètres!H54="","",Paramètres!H54))</f>
        <v/>
      </c>
      <c r="D3132" s="18">
        <f>IF($A3132="","",IF(Paramètres!I54="","",Paramètres!I54))</f>
        <v/>
      </c>
      <c r="E3132" s="19">
        <f>IF($A3132="","",IF(Paramètres!J54&amp;Paramètres!L54&amp;Paramètres!N54="",Dossiers!$D$61,MAX(IF(Paramètres!J54="",0,IF(Paramètres!K54="",NA(),IF(LEFT(TRIM(Paramètres!K54),1)="F",INDEX($F$3083:$F$3135,MATCH(Paramètres!J54,Paramètres!$G$5:$G$57,0)),INDEX($E$3083:$E$3135,MATCH(Paramètres!J54,Paramètres!$G$5:$G$57,0)))+IF(RIGHT(TRIM(Paramètres!K54),3)="Fin",1-$H3132,IF(LEFT(TRIM(Paramètres!K54),1)="F",1,0)))),IF(Paramètres!L54="",0,IF(Paramètres!M54="",NA(),IF(LEFT(TRIM(Paramètres!M54),1)="F",INDEX($F$3083:$F$3135,MATCH(Paramètres!L54,Paramètres!$G$5:$G$57,0)),INDEX($E$3083:$E$3135,MATCH(Paramètres!L54,Paramètres!$G$5:$G$57,0)))+IF(RIGHT(TRIM(Paramètres!M54),3)="Fin",1-$H3132,IF(LEFT(TRIM(Paramètres!M54),1)="F",1,0)))),IF(Paramètres!N54="",0,IF(Paramètres!O54="",NA(),IF(LEFT(TRIM(Paramètres!O54),1)="F",INDEX($F$3083:$F$3135,MATCH(Paramètres!N54,Paramètres!$G$5:$G$57,0)),INDEX($E$3083:$E$3135,MATCH(Paramètres!N54,Paramètres!$G$5:$G$57,0)))+IF(RIGHT(TRIM(Paramètres!O54),3)="Fin",1-$H3132,IF(LEFT(TRIM(Paramètres!O54),1)="F",1,0)))))))</f>
        <v/>
      </c>
      <c r="F3132" s="19">
        <f>IF($A3132="","",E3132+$H3132-1)</f>
        <v/>
      </c>
      <c r="G3132" s="18" t="n"/>
      <c r="H3132" s="18">
        <f>IF($A3132="","",IF(I3132&lt;&gt;"",I3132,Paramètres!B54))</f>
        <v/>
      </c>
      <c r="I3132" s="18" t="n"/>
    </row>
    <row r="3133">
      <c r="A3133" s="18">
        <f>IF(ISNUMBER(Dossiers!$D$61),Dossiers!$A$61&amp;" · "&amp;Dossiers!$B$61,"")</f>
        <v/>
      </c>
      <c r="B3133" s="18">
        <f>IF($A3133="","",Paramètres!G55)</f>
        <v/>
      </c>
      <c r="C3133" s="18">
        <f>IF($A3133="","",IF(Paramètres!H55="","",Paramètres!H55))</f>
        <v/>
      </c>
      <c r="D3133" s="18">
        <f>IF($A3133="","",IF(Paramètres!I55="","",Paramètres!I55))</f>
        <v/>
      </c>
      <c r="E3133" s="19">
        <f>IF($A3133="","",IF(Paramètres!J55&amp;Paramètres!L55&amp;Paramètres!N55="",Dossiers!$D$61,MAX(IF(Paramètres!J55="",0,IF(Paramètres!K55="",NA(),IF(LEFT(TRIM(Paramètres!K55),1)="F",INDEX($F$3083:$F$3135,MATCH(Paramètres!J55,Paramètres!$G$5:$G$57,0)),INDEX($E$3083:$E$3135,MATCH(Paramètres!J55,Paramètres!$G$5:$G$57,0)))+IF(RIGHT(TRIM(Paramètres!K55),3)="Fin",1-$H3133,IF(LEFT(TRIM(Paramètres!K55),1)="F",1,0)))),IF(Paramètres!L55="",0,IF(Paramètres!M55="",NA(),IF(LEFT(TRIM(Paramètres!M55),1)="F",INDEX($F$3083:$F$3135,MATCH(Paramètres!L55,Paramètres!$G$5:$G$57,0)),INDEX($E$3083:$E$3135,MATCH(Paramètres!L55,Paramètres!$G$5:$G$57,0)))+IF(RIGHT(TRIM(Paramètres!M55),3)="Fin",1-$H3133,IF(LEFT(TRIM(Paramètres!M55),1)="F",1,0)))),IF(Paramètres!N55="",0,IF(Paramètres!O55="",NA(),IF(LEFT(TRIM(Paramètres!O55),1)="F",INDEX($F$3083:$F$3135,MATCH(Paramètres!N55,Paramètres!$G$5:$G$57,0)),INDEX($E$3083:$E$3135,MATCH(Paramètres!N55,Paramètres!$G$5:$G$57,0)))+IF(RIGHT(TRIM(Paramètres!O55),3)="Fin",1-$H3133,IF(LEFT(TRIM(Paramètres!O55),1)="F",1,0)))))))</f>
        <v/>
      </c>
      <c r="F3133" s="19">
        <f>IF($A3133="","",E3133+$H3133-1)</f>
        <v/>
      </c>
      <c r="G3133" s="18" t="n"/>
      <c r="H3133" s="18">
        <f>IF($A3133="","",IF(I3133&lt;&gt;"",I3133,Paramètres!B55))</f>
        <v/>
      </c>
      <c r="I3133" s="18" t="n"/>
    </row>
    <row r="3134">
      <c r="A3134" s="18">
        <f>IF(ISNUMBER(Dossiers!$D$61),Dossiers!$A$61&amp;" · "&amp;Dossiers!$B$61,"")</f>
        <v/>
      </c>
      <c r="B3134" s="18">
        <f>IF($A3134="","",Paramètres!G56)</f>
        <v/>
      </c>
      <c r="C3134" s="18">
        <f>IF($A3134="","",IF(Paramètres!H56="","",Paramètres!H56))</f>
        <v/>
      </c>
      <c r="D3134" s="18">
        <f>IF($A3134="","",IF(Paramètres!I56="","",Paramètres!I56))</f>
        <v/>
      </c>
      <c r="E3134" s="19">
        <f>IF($A3134="","",MIN(E3135:E3135))</f>
        <v/>
      </c>
      <c r="F3134" s="19">
        <f>IF($A3134="","",MAX(F3135:F3135))</f>
        <v/>
      </c>
      <c r="G3134" s="18" t="n"/>
      <c r="H3134" s="18">
        <f>IF($A3134="","",F3134-E3134+1)</f>
        <v/>
      </c>
      <c r="I3134" s="18" t="n"/>
    </row>
    <row r="3135">
      <c r="A3135" s="18">
        <f>IF(ISNUMBER(Dossiers!$D$61),Dossiers!$A$61&amp;" · "&amp;Dossiers!$B$61,"")</f>
        <v/>
      </c>
      <c r="B3135" s="18">
        <f>IF($A3135="","",Paramètres!G57)</f>
        <v/>
      </c>
      <c r="C3135" s="18">
        <f>IF($A3135="","",IF(Paramètres!H57="","",Paramètres!H57))</f>
        <v/>
      </c>
      <c r="D3135" s="18">
        <f>IF($A3135="","",IF(Paramètres!I57="","",Paramètres!I57))</f>
        <v/>
      </c>
      <c r="E3135" s="19">
        <f>IF($A3135="","",IF(Paramètres!J57&amp;Paramètres!L57&amp;Paramètres!N57="",Dossiers!$D$61,MAX(IF(Paramètres!J57="",0,IF(Paramètres!K57="",NA(),IF(LEFT(TRIM(Paramètres!K57),1)="F",INDEX($F$3083:$F$3135,MATCH(Paramètres!J57,Paramètres!$G$5:$G$57,0)),INDEX($E$3083:$E$3135,MATCH(Paramètres!J57,Paramètres!$G$5:$G$57,0)))+IF(RIGHT(TRIM(Paramètres!K57),3)="Fin",1-$H3135,IF(LEFT(TRIM(Paramètres!K57),1)="F",1,0)))),IF(Paramètres!L57="",0,IF(Paramètres!M57="",NA(),IF(LEFT(TRIM(Paramètres!M57),1)="F",INDEX($F$3083:$F$3135,MATCH(Paramètres!L57,Paramètres!$G$5:$G$57,0)),INDEX($E$3083:$E$3135,MATCH(Paramètres!L57,Paramètres!$G$5:$G$57,0)))+IF(RIGHT(TRIM(Paramètres!M57),3)="Fin",1-$H3135,IF(LEFT(TRIM(Paramètres!M57),1)="F",1,0)))),IF(Paramètres!N57="",0,IF(Paramètres!O57="",NA(),IF(LEFT(TRIM(Paramètres!O57),1)="F",INDEX($F$3083:$F$3135,MATCH(Paramètres!N57,Paramètres!$G$5:$G$57,0)),INDEX($E$3083:$E$3135,MATCH(Paramètres!N57,Paramètres!$G$5:$G$57,0)))+IF(RIGHT(TRIM(Paramètres!O57),3)="Fin",1-$H3135,IF(LEFT(TRIM(Paramètres!O57),1)="F",1,0)))))))</f>
        <v/>
      </c>
      <c r="F3135" s="19">
        <f>IF($A3135="","",E3135+$H3135-1)</f>
        <v/>
      </c>
      <c r="G3135" s="18" t="n"/>
      <c r="H3135" s="18">
        <f>IF($A3135="","",IF(I3135&lt;&gt;"",I3135,Paramètres!B57))</f>
        <v/>
      </c>
      <c r="I3135" s="18" t="n"/>
    </row>
    <row r="3136">
      <c r="A3136" s="16">
        <f>IF(ISNUMBER(Dossiers!$D$62),Dossiers!$E$62,"")</f>
        <v/>
      </c>
      <c r="B3136" s="16">
        <f>IF($A3136="","","Identifiant")</f>
        <v/>
      </c>
      <c r="C3136" s="16">
        <f>IF($A3136="","","Macro Etape")</f>
        <v/>
      </c>
      <c r="D3136" s="16">
        <f>IF($A3136="","","Etape")</f>
        <v/>
      </c>
      <c r="E3136" s="17">
        <f>IF($A3136="","","Début le")</f>
        <v/>
      </c>
      <c r="F3136" s="17">
        <f>IF($A3136="","","Fin prévue le")</f>
        <v/>
      </c>
      <c r="G3136" s="16">
        <f>IF($A3136="","","Statut")</f>
        <v/>
      </c>
      <c r="H3136" s="16">
        <f>IF($A3136="","","Durée (jours)")</f>
        <v/>
      </c>
      <c r="I3136" s="16">
        <f>IF($A3136="","","Durée particulière")</f>
        <v/>
      </c>
      <c r="J3136" s="10">
        <f>IF($A3136="","",HYPERLINK("#'Tableau de bord'!A1","↑ Tableau de bord"))</f>
        <v/>
      </c>
    </row>
    <row r="3137">
      <c r="A3137" s="18">
        <f>IF(ISNUMBER(Dossiers!$D$62),Dossiers!$A$62&amp;" · "&amp;Dossiers!$B$62,"")</f>
        <v/>
      </c>
      <c r="B3137" s="18">
        <f>IF($A3137="","",Paramètres!G5)</f>
        <v/>
      </c>
      <c r="C3137" s="18">
        <f>IF($A3137="","",IF(Paramètres!H5="","",Paramètres!H5))</f>
        <v/>
      </c>
      <c r="D3137" s="18">
        <f>IF($A3137="","",IF(Paramètres!I5="","",Paramètres!I5))</f>
        <v/>
      </c>
      <c r="E3137" s="19">
        <f>IF($A3137="","",MIN(E3138:E3141))</f>
        <v/>
      </c>
      <c r="F3137" s="19">
        <f>IF($A3137="","",MAX(F3138:F3141))</f>
        <v/>
      </c>
      <c r="G3137" s="18" t="n"/>
      <c r="H3137" s="18">
        <f>IF($A3137="","",F3137-E3137+1)</f>
        <v/>
      </c>
      <c r="I3137" s="18" t="n"/>
    </row>
    <row r="3138">
      <c r="A3138" s="18">
        <f>IF(ISNUMBER(Dossiers!$D$62),Dossiers!$A$62&amp;" · "&amp;Dossiers!$B$62,"")</f>
        <v/>
      </c>
      <c r="B3138" s="18">
        <f>IF($A3138="","",Paramètres!G6)</f>
        <v/>
      </c>
      <c r="C3138" s="18">
        <f>IF($A3138="","",IF(Paramètres!H6="","",Paramètres!H6))</f>
        <v/>
      </c>
      <c r="D3138" s="18">
        <f>IF($A3138="","",IF(Paramètres!I6="","",Paramètres!I6))</f>
        <v/>
      </c>
      <c r="E3138" s="19">
        <f>IF($A3138="","",IF(Paramètres!J6&amp;Paramètres!L6&amp;Paramètres!N6="",Dossiers!$D$62,MAX(IF(Paramètres!J6="",0,IF(Paramètres!K6="",NA(),IF(LEFT(TRIM(Paramètres!K6),1)="F",INDEX($F$3137:$F$3189,MATCH(Paramètres!J6,Paramètres!$G$5:$G$57,0)),INDEX($E$3137:$E$3189,MATCH(Paramètres!J6,Paramètres!$G$5:$G$57,0)))+IF(RIGHT(TRIM(Paramètres!K6),3)="Fin",1-$H3138,IF(LEFT(TRIM(Paramètres!K6),1)="F",1,0)))),IF(Paramètres!L6="",0,IF(Paramètres!M6="",NA(),IF(LEFT(TRIM(Paramètres!M6),1)="F",INDEX($F$3137:$F$3189,MATCH(Paramètres!L6,Paramètres!$G$5:$G$57,0)),INDEX($E$3137:$E$3189,MATCH(Paramètres!L6,Paramètres!$G$5:$G$57,0)))+IF(RIGHT(TRIM(Paramètres!M6),3)="Fin",1-$H3138,IF(LEFT(TRIM(Paramètres!M6),1)="F",1,0)))),IF(Paramètres!N6="",0,IF(Paramètres!O6="",NA(),IF(LEFT(TRIM(Paramètres!O6),1)="F",INDEX($F$3137:$F$3189,MATCH(Paramètres!N6,Paramètres!$G$5:$G$57,0)),INDEX($E$3137:$E$3189,MATCH(Paramètres!N6,Paramètres!$G$5:$G$57,0)))+IF(RIGHT(TRIM(Paramètres!O6),3)="Fin",1-$H3138,IF(LEFT(TRIM(Paramètres!O6),1)="F",1,0)))))))</f>
        <v/>
      </c>
      <c r="F3138" s="19">
        <f>IF($A3138="","",E3138+$H3138-1)</f>
        <v/>
      </c>
      <c r="G3138" s="18" t="n"/>
      <c r="H3138" s="18">
        <f>IF($A3138="","",IF(I3138&lt;&gt;"",I3138,Paramètres!B6))</f>
        <v/>
      </c>
      <c r="I3138" s="18" t="n"/>
    </row>
    <row r="3139">
      <c r="A3139" s="18">
        <f>IF(ISNUMBER(Dossiers!$D$62),Dossiers!$A$62&amp;" · "&amp;Dossiers!$B$62,"")</f>
        <v/>
      </c>
      <c r="B3139" s="18">
        <f>IF($A3139="","",Paramètres!G7)</f>
        <v/>
      </c>
      <c r="C3139" s="18">
        <f>IF($A3139="","",IF(Paramètres!H7="","",Paramètres!H7))</f>
        <v/>
      </c>
      <c r="D3139" s="18">
        <f>IF($A3139="","",IF(Paramètres!I7="","",Paramètres!I7))</f>
        <v/>
      </c>
      <c r="E3139" s="19">
        <f>IF($A3139="","",IF(Paramètres!J7&amp;Paramètres!L7&amp;Paramètres!N7="",Dossiers!$D$62,MAX(IF(Paramètres!J7="",0,IF(Paramètres!K7="",NA(),IF(LEFT(TRIM(Paramètres!K7),1)="F",INDEX($F$3137:$F$3189,MATCH(Paramètres!J7,Paramètres!$G$5:$G$57,0)),INDEX($E$3137:$E$3189,MATCH(Paramètres!J7,Paramètres!$G$5:$G$57,0)))+IF(RIGHT(TRIM(Paramètres!K7),3)="Fin",1-$H3139,IF(LEFT(TRIM(Paramètres!K7),1)="F",1,0)))),IF(Paramètres!L7="",0,IF(Paramètres!M7="",NA(),IF(LEFT(TRIM(Paramètres!M7),1)="F",INDEX($F$3137:$F$3189,MATCH(Paramètres!L7,Paramètres!$G$5:$G$57,0)),INDEX($E$3137:$E$3189,MATCH(Paramètres!L7,Paramètres!$G$5:$G$57,0)))+IF(RIGHT(TRIM(Paramètres!M7),3)="Fin",1-$H3139,IF(LEFT(TRIM(Paramètres!M7),1)="F",1,0)))),IF(Paramètres!N7="",0,IF(Paramètres!O7="",NA(),IF(LEFT(TRIM(Paramètres!O7),1)="F",INDEX($F$3137:$F$3189,MATCH(Paramètres!N7,Paramètres!$G$5:$G$57,0)),INDEX($E$3137:$E$3189,MATCH(Paramètres!N7,Paramètres!$G$5:$G$57,0)))+IF(RIGHT(TRIM(Paramètres!O7),3)="Fin",1-$H3139,IF(LEFT(TRIM(Paramètres!O7),1)="F",1,0)))))))</f>
        <v/>
      </c>
      <c r="F3139" s="19">
        <f>IF($A3139="","",E3139+$H3139-1)</f>
        <v/>
      </c>
      <c r="G3139" s="18" t="n"/>
      <c r="H3139" s="18">
        <f>IF($A3139="","",IF(I3139&lt;&gt;"",I3139,Paramètres!B7))</f>
        <v/>
      </c>
      <c r="I3139" s="18" t="n"/>
    </row>
    <row r="3140">
      <c r="A3140" s="18">
        <f>IF(ISNUMBER(Dossiers!$D$62),Dossiers!$A$62&amp;" · "&amp;Dossiers!$B$62,"")</f>
        <v/>
      </c>
      <c r="B3140" s="18">
        <f>IF($A3140="","",Paramètres!G8)</f>
        <v/>
      </c>
      <c r="C3140" s="18">
        <f>IF($A3140="","",IF(Paramètres!H8="","",Paramètres!H8))</f>
        <v/>
      </c>
      <c r="D3140" s="18">
        <f>IF($A3140="","",IF(Paramètres!I8="","",Paramètres!I8))</f>
        <v/>
      </c>
      <c r="E3140" s="19">
        <f>IF($A3140="","",IF(Paramètres!J8&amp;Paramètres!L8&amp;Paramètres!N8="",Dossiers!$D$62,MAX(IF(Paramètres!J8="",0,IF(Paramètres!K8="",NA(),IF(LEFT(TRIM(Paramètres!K8),1)="F",INDEX($F$3137:$F$3189,MATCH(Paramètres!J8,Paramètres!$G$5:$G$57,0)),INDEX($E$3137:$E$3189,MATCH(Paramètres!J8,Paramètres!$G$5:$G$57,0)))+IF(RIGHT(TRIM(Paramètres!K8),3)="Fin",1-$H3140,IF(LEFT(TRIM(Paramètres!K8),1)="F",1,0)))),IF(Paramètres!L8="",0,IF(Paramètres!M8="",NA(),IF(LEFT(TRIM(Paramètres!M8),1)="F",INDEX($F$3137:$F$3189,MATCH(Paramètres!L8,Paramètres!$G$5:$G$57,0)),INDEX($E$3137:$E$3189,MATCH(Paramètres!L8,Paramètres!$G$5:$G$57,0)))+IF(RIGHT(TRIM(Paramètres!M8),3)="Fin",1-$H3140,IF(LEFT(TRIM(Paramètres!M8),1)="F",1,0)))),IF(Paramètres!N8="",0,IF(Paramètres!O8="",NA(),IF(LEFT(TRIM(Paramètres!O8),1)="F",INDEX($F$3137:$F$3189,MATCH(Paramètres!N8,Paramètres!$G$5:$G$57,0)),INDEX($E$3137:$E$3189,MATCH(Paramètres!N8,Paramètres!$G$5:$G$57,0)))+IF(RIGHT(TRIM(Paramètres!O8),3)="Fin",1-$H3140,IF(LEFT(TRIM(Paramètres!O8),1)="F",1,0)))))))</f>
        <v/>
      </c>
      <c r="F3140" s="19">
        <f>IF($A3140="","",E3140+$H3140-1)</f>
        <v/>
      </c>
      <c r="G3140" s="18" t="n"/>
      <c r="H3140" s="18">
        <f>IF($A3140="","",IF(I3140&lt;&gt;"",I3140,Paramètres!B8))</f>
        <v/>
      </c>
      <c r="I3140" s="18" t="n"/>
    </row>
    <row r="3141">
      <c r="A3141" s="18">
        <f>IF(ISNUMBER(Dossiers!$D$62),Dossiers!$A$62&amp;" · "&amp;Dossiers!$B$62,"")</f>
        <v/>
      </c>
      <c r="B3141" s="18">
        <f>IF($A3141="","",Paramètres!G9)</f>
        <v/>
      </c>
      <c r="C3141" s="18">
        <f>IF($A3141="","",IF(Paramètres!H9="","",Paramètres!H9))</f>
        <v/>
      </c>
      <c r="D3141" s="18">
        <f>IF($A3141="","",IF(Paramètres!I9="","",Paramètres!I9))</f>
        <v/>
      </c>
      <c r="E3141" s="19">
        <f>IF($A3141="","",IF(Paramètres!J9&amp;Paramètres!L9&amp;Paramètres!N9="",Dossiers!$D$62,MAX(IF(Paramètres!J9="",0,IF(Paramètres!K9="",NA(),IF(LEFT(TRIM(Paramètres!K9),1)="F",INDEX($F$3137:$F$3189,MATCH(Paramètres!J9,Paramètres!$G$5:$G$57,0)),INDEX($E$3137:$E$3189,MATCH(Paramètres!J9,Paramètres!$G$5:$G$57,0)))+IF(RIGHT(TRIM(Paramètres!K9),3)="Fin",1-$H3141,IF(LEFT(TRIM(Paramètres!K9),1)="F",1,0)))),IF(Paramètres!L9="",0,IF(Paramètres!M9="",NA(),IF(LEFT(TRIM(Paramètres!M9),1)="F",INDEX($F$3137:$F$3189,MATCH(Paramètres!L9,Paramètres!$G$5:$G$57,0)),INDEX($E$3137:$E$3189,MATCH(Paramètres!L9,Paramètres!$G$5:$G$57,0)))+IF(RIGHT(TRIM(Paramètres!M9),3)="Fin",1-$H3141,IF(LEFT(TRIM(Paramètres!M9),1)="F",1,0)))),IF(Paramètres!N9="",0,IF(Paramètres!O9="",NA(),IF(LEFT(TRIM(Paramètres!O9),1)="F",INDEX($F$3137:$F$3189,MATCH(Paramètres!N9,Paramètres!$G$5:$G$57,0)),INDEX($E$3137:$E$3189,MATCH(Paramètres!N9,Paramètres!$G$5:$G$57,0)))+IF(RIGHT(TRIM(Paramètres!O9),3)="Fin",1-$H3141,IF(LEFT(TRIM(Paramètres!O9),1)="F",1,0)))))))</f>
        <v/>
      </c>
      <c r="F3141" s="19">
        <f>IF($A3141="","",E3141+$H3141-1)</f>
        <v/>
      </c>
      <c r="G3141" s="18" t="n"/>
      <c r="H3141" s="18">
        <f>IF($A3141="","",IF(I3141&lt;&gt;"",I3141,Paramètres!B9))</f>
        <v/>
      </c>
      <c r="I3141" s="18" t="n"/>
    </row>
    <row r="3142">
      <c r="A3142" s="18">
        <f>IF(ISNUMBER(Dossiers!$D$62),Dossiers!$A$62&amp;" · "&amp;Dossiers!$B$62,"")</f>
        <v/>
      </c>
      <c r="B3142" s="18">
        <f>IF($A3142="","",Paramètres!G10)</f>
        <v/>
      </c>
      <c r="C3142" s="18">
        <f>IF($A3142="","",IF(Paramètres!H10="","",Paramètres!H10))</f>
        <v/>
      </c>
      <c r="D3142" s="18">
        <f>IF($A3142="","",IF(Paramètres!I10="","",Paramètres!I10))</f>
        <v/>
      </c>
      <c r="E3142" s="19">
        <f>IF($A3142="","",MIN(E3143:E3146))</f>
        <v/>
      </c>
      <c r="F3142" s="19">
        <f>IF($A3142="","",MAX(F3143:F3146))</f>
        <v/>
      </c>
      <c r="G3142" s="18" t="n"/>
      <c r="H3142" s="18">
        <f>IF($A3142="","",F3142-E3142+1)</f>
        <v/>
      </c>
      <c r="I3142" s="18" t="n"/>
    </row>
    <row r="3143">
      <c r="A3143" s="18">
        <f>IF(ISNUMBER(Dossiers!$D$62),Dossiers!$A$62&amp;" · "&amp;Dossiers!$B$62,"")</f>
        <v/>
      </c>
      <c r="B3143" s="18">
        <f>IF($A3143="","",Paramètres!G11)</f>
        <v/>
      </c>
      <c r="C3143" s="18">
        <f>IF($A3143="","",IF(Paramètres!H11="","",Paramètres!H11))</f>
        <v/>
      </c>
      <c r="D3143" s="18">
        <f>IF($A3143="","",IF(Paramètres!I11="","",Paramètres!I11))</f>
        <v/>
      </c>
      <c r="E3143" s="19">
        <f>IF($A3143="","",IF(Paramètres!J11&amp;Paramètres!L11&amp;Paramètres!N11="",Dossiers!$D$62,MAX(IF(Paramètres!J11="",0,IF(Paramètres!K11="",NA(),IF(LEFT(TRIM(Paramètres!K11),1)="F",INDEX($F$3137:$F$3189,MATCH(Paramètres!J11,Paramètres!$G$5:$G$57,0)),INDEX($E$3137:$E$3189,MATCH(Paramètres!J11,Paramètres!$G$5:$G$57,0)))+IF(RIGHT(TRIM(Paramètres!K11),3)="Fin",1-$H3143,IF(LEFT(TRIM(Paramètres!K11),1)="F",1,0)))),IF(Paramètres!L11="",0,IF(Paramètres!M11="",NA(),IF(LEFT(TRIM(Paramètres!M11),1)="F",INDEX($F$3137:$F$3189,MATCH(Paramètres!L11,Paramètres!$G$5:$G$57,0)),INDEX($E$3137:$E$3189,MATCH(Paramètres!L11,Paramètres!$G$5:$G$57,0)))+IF(RIGHT(TRIM(Paramètres!M11),3)="Fin",1-$H3143,IF(LEFT(TRIM(Paramètres!M11),1)="F",1,0)))),IF(Paramètres!N11="",0,IF(Paramètres!O11="",NA(),IF(LEFT(TRIM(Paramètres!O11),1)="F",INDEX($F$3137:$F$3189,MATCH(Paramètres!N11,Paramètres!$G$5:$G$57,0)),INDEX($E$3137:$E$3189,MATCH(Paramètres!N11,Paramètres!$G$5:$G$57,0)))+IF(RIGHT(TRIM(Paramètres!O11),3)="Fin",1-$H3143,IF(LEFT(TRIM(Paramètres!O11),1)="F",1,0)))))))</f>
        <v/>
      </c>
      <c r="F3143" s="19">
        <f>IF($A3143="","",E3143+$H3143-1)</f>
        <v/>
      </c>
      <c r="G3143" s="18" t="n"/>
      <c r="H3143" s="18">
        <f>IF($A3143="","",IF(I3143&lt;&gt;"",I3143,Paramètres!B11))</f>
        <v/>
      </c>
      <c r="I3143" s="18" t="n"/>
    </row>
    <row r="3144">
      <c r="A3144" s="18">
        <f>IF(ISNUMBER(Dossiers!$D$62),Dossiers!$A$62&amp;" · "&amp;Dossiers!$B$62,"")</f>
        <v/>
      </c>
      <c r="B3144" s="18">
        <f>IF($A3144="","",Paramètres!G12)</f>
        <v/>
      </c>
      <c r="C3144" s="18">
        <f>IF($A3144="","",IF(Paramètres!H12="","",Paramètres!H12))</f>
        <v/>
      </c>
      <c r="D3144" s="18">
        <f>IF($A3144="","",IF(Paramètres!I12="","",Paramètres!I12))</f>
        <v/>
      </c>
      <c r="E3144" s="19">
        <f>IF($A3144="","",IF(Paramètres!J12&amp;Paramètres!L12&amp;Paramètres!N12="",Dossiers!$D$62,MAX(IF(Paramètres!J12="",0,IF(Paramètres!K12="",NA(),IF(LEFT(TRIM(Paramètres!K12),1)="F",INDEX($F$3137:$F$3189,MATCH(Paramètres!J12,Paramètres!$G$5:$G$57,0)),INDEX($E$3137:$E$3189,MATCH(Paramètres!J12,Paramètres!$G$5:$G$57,0)))+IF(RIGHT(TRIM(Paramètres!K12),3)="Fin",1-$H3144,IF(LEFT(TRIM(Paramètres!K12),1)="F",1,0)))),IF(Paramètres!L12="",0,IF(Paramètres!M12="",NA(),IF(LEFT(TRIM(Paramètres!M12),1)="F",INDEX($F$3137:$F$3189,MATCH(Paramètres!L12,Paramètres!$G$5:$G$57,0)),INDEX($E$3137:$E$3189,MATCH(Paramètres!L12,Paramètres!$G$5:$G$57,0)))+IF(RIGHT(TRIM(Paramètres!M12),3)="Fin",1-$H3144,IF(LEFT(TRIM(Paramètres!M12),1)="F",1,0)))),IF(Paramètres!N12="",0,IF(Paramètres!O12="",NA(),IF(LEFT(TRIM(Paramètres!O12),1)="F",INDEX($F$3137:$F$3189,MATCH(Paramètres!N12,Paramètres!$G$5:$G$57,0)),INDEX($E$3137:$E$3189,MATCH(Paramètres!N12,Paramètres!$G$5:$G$57,0)))+IF(RIGHT(TRIM(Paramètres!O12),3)="Fin",1-$H3144,IF(LEFT(TRIM(Paramètres!O12),1)="F",1,0)))))))</f>
        <v/>
      </c>
      <c r="F3144" s="19">
        <f>IF($A3144="","",E3144+$H3144-1)</f>
        <v/>
      </c>
      <c r="G3144" s="18" t="n"/>
      <c r="H3144" s="18">
        <f>IF($A3144="","",IF(I3144&lt;&gt;"",I3144,Paramètres!B12))</f>
        <v/>
      </c>
      <c r="I3144" s="18" t="n"/>
    </row>
    <row r="3145">
      <c r="A3145" s="18">
        <f>IF(ISNUMBER(Dossiers!$D$62),Dossiers!$A$62&amp;" · "&amp;Dossiers!$B$62,"")</f>
        <v/>
      </c>
      <c r="B3145" s="18">
        <f>IF($A3145="","",Paramètres!G13)</f>
        <v/>
      </c>
      <c r="C3145" s="18">
        <f>IF($A3145="","",IF(Paramètres!H13="","",Paramètres!H13))</f>
        <v/>
      </c>
      <c r="D3145" s="18">
        <f>IF($A3145="","",IF(Paramètres!I13="","",Paramètres!I13))</f>
        <v/>
      </c>
      <c r="E3145" s="19">
        <f>IF($A3145="","",IF(Paramètres!J13&amp;Paramètres!L13&amp;Paramètres!N13="",Dossiers!$D$62,MAX(IF(Paramètres!J13="",0,IF(Paramètres!K13="",NA(),IF(LEFT(TRIM(Paramètres!K13),1)="F",INDEX($F$3137:$F$3189,MATCH(Paramètres!J13,Paramètres!$G$5:$G$57,0)),INDEX($E$3137:$E$3189,MATCH(Paramètres!J13,Paramètres!$G$5:$G$57,0)))+IF(RIGHT(TRIM(Paramètres!K13),3)="Fin",1-$H3145,IF(LEFT(TRIM(Paramètres!K13),1)="F",1,0)))),IF(Paramètres!L13="",0,IF(Paramètres!M13="",NA(),IF(LEFT(TRIM(Paramètres!M13),1)="F",INDEX($F$3137:$F$3189,MATCH(Paramètres!L13,Paramètres!$G$5:$G$57,0)),INDEX($E$3137:$E$3189,MATCH(Paramètres!L13,Paramètres!$G$5:$G$57,0)))+IF(RIGHT(TRIM(Paramètres!M13),3)="Fin",1-$H3145,IF(LEFT(TRIM(Paramètres!M13),1)="F",1,0)))),IF(Paramètres!N13="",0,IF(Paramètres!O13="",NA(),IF(LEFT(TRIM(Paramètres!O13),1)="F",INDEX($F$3137:$F$3189,MATCH(Paramètres!N13,Paramètres!$G$5:$G$57,0)),INDEX($E$3137:$E$3189,MATCH(Paramètres!N13,Paramètres!$G$5:$G$57,0)))+IF(RIGHT(TRIM(Paramètres!O13),3)="Fin",1-$H3145,IF(LEFT(TRIM(Paramètres!O13),1)="F",1,0)))))))</f>
        <v/>
      </c>
      <c r="F3145" s="19">
        <f>IF($A3145="","",E3145+$H3145-1)</f>
        <v/>
      </c>
      <c r="G3145" s="18" t="n"/>
      <c r="H3145" s="18">
        <f>IF($A3145="","",IF(I3145&lt;&gt;"",I3145,Paramètres!B13))</f>
        <v/>
      </c>
      <c r="I3145" s="18" t="n"/>
    </row>
    <row r="3146">
      <c r="A3146" s="18">
        <f>IF(ISNUMBER(Dossiers!$D$62),Dossiers!$A$62&amp;" · "&amp;Dossiers!$B$62,"")</f>
        <v/>
      </c>
      <c r="B3146" s="18">
        <f>IF($A3146="","",Paramètres!G14)</f>
        <v/>
      </c>
      <c r="C3146" s="18">
        <f>IF($A3146="","",IF(Paramètres!H14="","",Paramètres!H14))</f>
        <v/>
      </c>
      <c r="D3146" s="18">
        <f>IF($A3146="","",IF(Paramètres!I14="","",Paramètres!I14))</f>
        <v/>
      </c>
      <c r="E3146" s="19">
        <f>IF($A3146="","",IF(Paramètres!J14&amp;Paramètres!L14&amp;Paramètres!N14="",Dossiers!$D$62,MAX(IF(Paramètres!J14="",0,IF(Paramètres!K14="",NA(),IF(LEFT(TRIM(Paramètres!K14),1)="F",INDEX($F$3137:$F$3189,MATCH(Paramètres!J14,Paramètres!$G$5:$G$57,0)),INDEX($E$3137:$E$3189,MATCH(Paramètres!J14,Paramètres!$G$5:$G$57,0)))+IF(RIGHT(TRIM(Paramètres!K14),3)="Fin",1-$H3146,IF(LEFT(TRIM(Paramètres!K14),1)="F",1,0)))),IF(Paramètres!L14="",0,IF(Paramètres!M14="",NA(),IF(LEFT(TRIM(Paramètres!M14),1)="F",INDEX($F$3137:$F$3189,MATCH(Paramètres!L14,Paramètres!$G$5:$G$57,0)),INDEX($E$3137:$E$3189,MATCH(Paramètres!L14,Paramètres!$G$5:$G$57,0)))+IF(RIGHT(TRIM(Paramètres!M14),3)="Fin",1-$H3146,IF(LEFT(TRIM(Paramètres!M14),1)="F",1,0)))),IF(Paramètres!N14="",0,IF(Paramètres!O14="",NA(),IF(LEFT(TRIM(Paramètres!O14),1)="F",INDEX($F$3137:$F$3189,MATCH(Paramètres!N14,Paramètres!$G$5:$G$57,0)),INDEX($E$3137:$E$3189,MATCH(Paramètres!N14,Paramètres!$G$5:$G$57,0)))+IF(RIGHT(TRIM(Paramètres!O14),3)="Fin",1-$H3146,IF(LEFT(TRIM(Paramètres!O14),1)="F",1,0)))))))</f>
        <v/>
      </c>
      <c r="F3146" s="19">
        <f>IF($A3146="","",E3146+$H3146-1)</f>
        <v/>
      </c>
      <c r="G3146" s="18" t="n"/>
      <c r="H3146" s="18">
        <f>IF($A3146="","",IF(I3146&lt;&gt;"",I3146,Paramètres!B14))</f>
        <v/>
      </c>
      <c r="I3146" s="18" t="n"/>
    </row>
    <row r="3147">
      <c r="A3147" s="18">
        <f>IF(ISNUMBER(Dossiers!$D$62),Dossiers!$A$62&amp;" · "&amp;Dossiers!$B$62,"")</f>
        <v/>
      </c>
      <c r="B3147" s="18">
        <f>IF($A3147="","",Paramètres!G15)</f>
        <v/>
      </c>
      <c r="C3147" s="18">
        <f>IF($A3147="","",IF(Paramètres!H15="","",Paramètres!H15))</f>
        <v/>
      </c>
      <c r="D3147" s="18">
        <f>IF($A3147="","",IF(Paramètres!I15="","",Paramètres!I15))</f>
        <v/>
      </c>
      <c r="E3147" s="19">
        <f>IF($A3147="","",MIN(E3148:E3163))</f>
        <v/>
      </c>
      <c r="F3147" s="19">
        <f>IF($A3147="","",MAX(F3148:F3163))</f>
        <v/>
      </c>
      <c r="G3147" s="18" t="n"/>
      <c r="H3147" s="18">
        <f>IF($A3147="","",F3147-E3147+1)</f>
        <v/>
      </c>
      <c r="I3147" s="18" t="n"/>
    </row>
    <row r="3148">
      <c r="A3148" s="18">
        <f>IF(ISNUMBER(Dossiers!$D$62),Dossiers!$A$62&amp;" · "&amp;Dossiers!$B$62,"")</f>
        <v/>
      </c>
      <c r="B3148" s="18">
        <f>IF($A3148="","",Paramètres!G16)</f>
        <v/>
      </c>
      <c r="C3148" s="18">
        <f>IF($A3148="","",IF(Paramètres!H16="","",Paramètres!H16))</f>
        <v/>
      </c>
      <c r="D3148" s="18">
        <f>IF($A3148="","",IF(Paramètres!I16="","",Paramètres!I16))</f>
        <v/>
      </c>
      <c r="E3148" s="19">
        <f>IF($A3148="","",IF(Paramètres!J16&amp;Paramètres!L16&amp;Paramètres!N16="",Dossiers!$D$62,MAX(IF(Paramètres!J16="",0,IF(Paramètres!K16="",NA(),IF(LEFT(TRIM(Paramètres!K16),1)="F",INDEX($F$3137:$F$3189,MATCH(Paramètres!J16,Paramètres!$G$5:$G$57,0)),INDEX($E$3137:$E$3189,MATCH(Paramètres!J16,Paramètres!$G$5:$G$57,0)))+IF(RIGHT(TRIM(Paramètres!K16),3)="Fin",1-$H3148,IF(LEFT(TRIM(Paramètres!K16),1)="F",1,0)))),IF(Paramètres!L16="",0,IF(Paramètres!M16="",NA(),IF(LEFT(TRIM(Paramètres!M16),1)="F",INDEX($F$3137:$F$3189,MATCH(Paramètres!L16,Paramètres!$G$5:$G$57,0)),INDEX($E$3137:$E$3189,MATCH(Paramètres!L16,Paramètres!$G$5:$G$57,0)))+IF(RIGHT(TRIM(Paramètres!M16),3)="Fin",1-$H3148,IF(LEFT(TRIM(Paramètres!M16),1)="F",1,0)))),IF(Paramètres!N16="",0,IF(Paramètres!O16="",NA(),IF(LEFT(TRIM(Paramètres!O16),1)="F",INDEX($F$3137:$F$3189,MATCH(Paramètres!N16,Paramètres!$G$5:$G$57,0)),INDEX($E$3137:$E$3189,MATCH(Paramètres!N16,Paramètres!$G$5:$G$57,0)))+IF(RIGHT(TRIM(Paramètres!O16),3)="Fin",1-$H3148,IF(LEFT(TRIM(Paramètres!O16),1)="F",1,0)))))))</f>
        <v/>
      </c>
      <c r="F3148" s="19">
        <f>IF($A3148="","",E3148+$H3148-1)</f>
        <v/>
      </c>
      <c r="G3148" s="18" t="n"/>
      <c r="H3148" s="18">
        <f>IF($A3148="","",IF(I3148&lt;&gt;"",I3148,Paramètres!B16))</f>
        <v/>
      </c>
      <c r="I3148" s="18" t="n"/>
    </row>
    <row r="3149">
      <c r="A3149" s="18">
        <f>IF(ISNUMBER(Dossiers!$D$62),Dossiers!$A$62&amp;" · "&amp;Dossiers!$B$62,"")</f>
        <v/>
      </c>
      <c r="B3149" s="18">
        <f>IF($A3149="","",Paramètres!G17)</f>
        <v/>
      </c>
      <c r="C3149" s="18">
        <f>IF($A3149="","",IF(Paramètres!H17="","",Paramètres!H17))</f>
        <v/>
      </c>
      <c r="D3149" s="18">
        <f>IF($A3149="","",IF(Paramètres!I17="","",Paramètres!I17))</f>
        <v/>
      </c>
      <c r="E3149" s="19">
        <f>IF($A3149="","",IF(Paramètres!J17&amp;Paramètres!L17&amp;Paramètres!N17="",Dossiers!$D$62,MAX(IF(Paramètres!J17="",0,IF(Paramètres!K17="",NA(),IF(LEFT(TRIM(Paramètres!K17),1)="F",INDEX($F$3137:$F$3189,MATCH(Paramètres!J17,Paramètres!$G$5:$G$57,0)),INDEX($E$3137:$E$3189,MATCH(Paramètres!J17,Paramètres!$G$5:$G$57,0)))+IF(RIGHT(TRIM(Paramètres!K17),3)="Fin",1-$H3149,IF(LEFT(TRIM(Paramètres!K17),1)="F",1,0)))),IF(Paramètres!L17="",0,IF(Paramètres!M17="",NA(),IF(LEFT(TRIM(Paramètres!M17),1)="F",INDEX($F$3137:$F$3189,MATCH(Paramètres!L17,Paramètres!$G$5:$G$57,0)),INDEX($E$3137:$E$3189,MATCH(Paramètres!L17,Paramètres!$G$5:$G$57,0)))+IF(RIGHT(TRIM(Paramètres!M17),3)="Fin",1-$H3149,IF(LEFT(TRIM(Paramètres!M17),1)="F",1,0)))),IF(Paramètres!N17="",0,IF(Paramètres!O17="",NA(),IF(LEFT(TRIM(Paramètres!O17),1)="F",INDEX($F$3137:$F$3189,MATCH(Paramètres!N17,Paramètres!$G$5:$G$57,0)),INDEX($E$3137:$E$3189,MATCH(Paramètres!N17,Paramètres!$G$5:$G$57,0)))+IF(RIGHT(TRIM(Paramètres!O17),3)="Fin",1-$H3149,IF(LEFT(TRIM(Paramètres!O17),1)="F",1,0)))))))</f>
        <v/>
      </c>
      <c r="F3149" s="19">
        <f>IF($A3149="","",E3149+$H3149-1)</f>
        <v/>
      </c>
      <c r="G3149" s="18" t="n"/>
      <c r="H3149" s="18">
        <f>IF($A3149="","",IF(I3149&lt;&gt;"",I3149,Paramètres!B17))</f>
        <v/>
      </c>
      <c r="I3149" s="18" t="n"/>
    </row>
    <row r="3150">
      <c r="A3150" s="18">
        <f>IF(ISNUMBER(Dossiers!$D$62),Dossiers!$A$62&amp;" · "&amp;Dossiers!$B$62,"")</f>
        <v/>
      </c>
      <c r="B3150" s="18">
        <f>IF($A3150="","",Paramètres!G18)</f>
        <v/>
      </c>
      <c r="C3150" s="18">
        <f>IF($A3150="","",IF(Paramètres!H18="","",Paramètres!H18))</f>
        <v/>
      </c>
      <c r="D3150" s="18">
        <f>IF($A3150="","",IF(Paramètres!I18="","",Paramètres!I18))</f>
        <v/>
      </c>
      <c r="E3150" s="19">
        <f>IF($A3150="","",IF(Paramètres!J18&amp;Paramètres!L18&amp;Paramètres!N18="",Dossiers!$D$62,MAX(IF(Paramètres!J18="",0,IF(Paramètres!K18="",NA(),IF(LEFT(TRIM(Paramètres!K18),1)="F",INDEX($F$3137:$F$3189,MATCH(Paramètres!J18,Paramètres!$G$5:$G$57,0)),INDEX($E$3137:$E$3189,MATCH(Paramètres!J18,Paramètres!$G$5:$G$57,0)))+IF(RIGHT(TRIM(Paramètres!K18),3)="Fin",1-$H3150,IF(LEFT(TRIM(Paramètres!K18),1)="F",1,0)))),IF(Paramètres!L18="",0,IF(Paramètres!M18="",NA(),IF(LEFT(TRIM(Paramètres!M18),1)="F",INDEX($F$3137:$F$3189,MATCH(Paramètres!L18,Paramètres!$G$5:$G$57,0)),INDEX($E$3137:$E$3189,MATCH(Paramètres!L18,Paramètres!$G$5:$G$57,0)))+IF(RIGHT(TRIM(Paramètres!M18),3)="Fin",1-$H3150,IF(LEFT(TRIM(Paramètres!M18),1)="F",1,0)))),IF(Paramètres!N18="",0,IF(Paramètres!O18="",NA(),IF(LEFT(TRIM(Paramètres!O18),1)="F",INDEX($F$3137:$F$3189,MATCH(Paramètres!N18,Paramètres!$G$5:$G$57,0)),INDEX($E$3137:$E$3189,MATCH(Paramètres!N18,Paramètres!$G$5:$G$57,0)))+IF(RIGHT(TRIM(Paramètres!O18),3)="Fin",1-$H3150,IF(LEFT(TRIM(Paramètres!O18),1)="F",1,0)))))))</f>
        <v/>
      </c>
      <c r="F3150" s="19">
        <f>IF($A3150="","",E3150+$H3150-1)</f>
        <v/>
      </c>
      <c r="G3150" s="18" t="n"/>
      <c r="H3150" s="18">
        <f>IF($A3150="","",IF(I3150&lt;&gt;"",I3150,Paramètres!B18))</f>
        <v/>
      </c>
      <c r="I3150" s="18" t="n"/>
    </row>
    <row r="3151">
      <c r="A3151" s="18">
        <f>IF(ISNUMBER(Dossiers!$D$62),Dossiers!$A$62&amp;" · "&amp;Dossiers!$B$62,"")</f>
        <v/>
      </c>
      <c r="B3151" s="18">
        <f>IF($A3151="","",Paramètres!G19)</f>
        <v/>
      </c>
      <c r="C3151" s="18">
        <f>IF($A3151="","",IF(Paramètres!H19="","",Paramètres!H19))</f>
        <v/>
      </c>
      <c r="D3151" s="18">
        <f>IF($A3151="","",IF(Paramètres!I19="","",Paramètres!I19))</f>
        <v/>
      </c>
      <c r="E3151" s="19">
        <f>IF($A3151="","",IF(Paramètres!J19&amp;Paramètres!L19&amp;Paramètres!N19="",Dossiers!$D$62,MAX(IF(Paramètres!J19="",0,IF(Paramètres!K19="",NA(),IF(LEFT(TRIM(Paramètres!K19),1)="F",INDEX($F$3137:$F$3189,MATCH(Paramètres!J19,Paramètres!$G$5:$G$57,0)),INDEX($E$3137:$E$3189,MATCH(Paramètres!J19,Paramètres!$G$5:$G$57,0)))+IF(RIGHT(TRIM(Paramètres!K19),3)="Fin",1-$H3151,IF(LEFT(TRIM(Paramètres!K19),1)="F",1,0)))),IF(Paramètres!L19="",0,IF(Paramètres!M19="",NA(),IF(LEFT(TRIM(Paramètres!M19),1)="F",INDEX($F$3137:$F$3189,MATCH(Paramètres!L19,Paramètres!$G$5:$G$57,0)),INDEX($E$3137:$E$3189,MATCH(Paramètres!L19,Paramètres!$G$5:$G$57,0)))+IF(RIGHT(TRIM(Paramètres!M19),3)="Fin",1-$H3151,IF(LEFT(TRIM(Paramètres!M19),1)="F",1,0)))),IF(Paramètres!N19="",0,IF(Paramètres!O19="",NA(),IF(LEFT(TRIM(Paramètres!O19),1)="F",INDEX($F$3137:$F$3189,MATCH(Paramètres!N19,Paramètres!$G$5:$G$57,0)),INDEX($E$3137:$E$3189,MATCH(Paramètres!N19,Paramètres!$G$5:$G$57,0)))+IF(RIGHT(TRIM(Paramètres!O19),3)="Fin",1-$H3151,IF(LEFT(TRIM(Paramètres!O19),1)="F",1,0)))))))</f>
        <v/>
      </c>
      <c r="F3151" s="19">
        <f>IF($A3151="","",E3151+$H3151-1)</f>
        <v/>
      </c>
      <c r="G3151" s="18" t="n"/>
      <c r="H3151" s="18">
        <f>IF($A3151="","",IF(I3151&lt;&gt;"",I3151,Paramètres!B19))</f>
        <v/>
      </c>
      <c r="I3151" s="18" t="n"/>
    </row>
    <row r="3152">
      <c r="A3152" s="18">
        <f>IF(ISNUMBER(Dossiers!$D$62),Dossiers!$A$62&amp;" · "&amp;Dossiers!$B$62,"")</f>
        <v/>
      </c>
      <c r="B3152" s="18">
        <f>IF($A3152="","",Paramètres!G20)</f>
        <v/>
      </c>
      <c r="C3152" s="18">
        <f>IF($A3152="","",IF(Paramètres!H20="","",Paramètres!H20))</f>
        <v/>
      </c>
      <c r="D3152" s="18">
        <f>IF($A3152="","",IF(Paramètres!I20="","",Paramètres!I20))</f>
        <v/>
      </c>
      <c r="E3152" s="19">
        <f>IF($A3152="","",IF(Paramètres!J20&amp;Paramètres!L20&amp;Paramètres!N20="",Dossiers!$D$62,MAX(IF(Paramètres!J20="",0,IF(Paramètres!K20="",NA(),IF(LEFT(TRIM(Paramètres!K20),1)="F",INDEX($F$3137:$F$3189,MATCH(Paramètres!J20,Paramètres!$G$5:$G$57,0)),INDEX($E$3137:$E$3189,MATCH(Paramètres!J20,Paramètres!$G$5:$G$57,0)))+IF(RIGHT(TRIM(Paramètres!K20),3)="Fin",1-$H3152,IF(LEFT(TRIM(Paramètres!K20),1)="F",1,0)))),IF(Paramètres!L20="",0,IF(Paramètres!M20="",NA(),IF(LEFT(TRIM(Paramètres!M20),1)="F",INDEX($F$3137:$F$3189,MATCH(Paramètres!L20,Paramètres!$G$5:$G$57,0)),INDEX($E$3137:$E$3189,MATCH(Paramètres!L20,Paramètres!$G$5:$G$57,0)))+IF(RIGHT(TRIM(Paramètres!M20),3)="Fin",1-$H3152,IF(LEFT(TRIM(Paramètres!M20),1)="F",1,0)))),IF(Paramètres!N20="",0,IF(Paramètres!O20="",NA(),IF(LEFT(TRIM(Paramètres!O20),1)="F",INDEX($F$3137:$F$3189,MATCH(Paramètres!N20,Paramètres!$G$5:$G$57,0)),INDEX($E$3137:$E$3189,MATCH(Paramètres!N20,Paramètres!$G$5:$G$57,0)))+IF(RIGHT(TRIM(Paramètres!O20),3)="Fin",1-$H3152,IF(LEFT(TRIM(Paramètres!O20),1)="F",1,0)))))))</f>
        <v/>
      </c>
      <c r="F3152" s="19">
        <f>IF($A3152="","",E3152+$H3152-1)</f>
        <v/>
      </c>
      <c r="G3152" s="18" t="n"/>
      <c r="H3152" s="18">
        <f>IF($A3152="","",IF(I3152&lt;&gt;"",I3152,Paramètres!B20))</f>
        <v/>
      </c>
      <c r="I3152" s="18" t="n"/>
    </row>
    <row r="3153">
      <c r="A3153" s="18">
        <f>IF(ISNUMBER(Dossiers!$D$62),Dossiers!$A$62&amp;" · "&amp;Dossiers!$B$62,"")</f>
        <v/>
      </c>
      <c r="B3153" s="18">
        <f>IF($A3153="","",Paramètres!G21)</f>
        <v/>
      </c>
      <c r="C3153" s="18">
        <f>IF($A3153="","",IF(Paramètres!H21="","",Paramètres!H21))</f>
        <v/>
      </c>
      <c r="D3153" s="18">
        <f>IF($A3153="","",IF(Paramètres!I21="","",Paramètres!I21))</f>
        <v/>
      </c>
      <c r="E3153" s="19">
        <f>IF($A3153="","",IF(Paramètres!J21&amp;Paramètres!L21&amp;Paramètres!N21="",Dossiers!$D$62,MAX(IF(Paramètres!J21="",0,IF(Paramètres!K21="",NA(),IF(LEFT(TRIM(Paramètres!K21),1)="F",INDEX($F$3137:$F$3189,MATCH(Paramètres!J21,Paramètres!$G$5:$G$57,0)),INDEX($E$3137:$E$3189,MATCH(Paramètres!J21,Paramètres!$G$5:$G$57,0)))+IF(RIGHT(TRIM(Paramètres!K21),3)="Fin",1-$H3153,IF(LEFT(TRIM(Paramètres!K21),1)="F",1,0)))),IF(Paramètres!L21="",0,IF(Paramètres!M21="",NA(),IF(LEFT(TRIM(Paramètres!M21),1)="F",INDEX($F$3137:$F$3189,MATCH(Paramètres!L21,Paramètres!$G$5:$G$57,0)),INDEX($E$3137:$E$3189,MATCH(Paramètres!L21,Paramètres!$G$5:$G$57,0)))+IF(RIGHT(TRIM(Paramètres!M21),3)="Fin",1-$H3153,IF(LEFT(TRIM(Paramètres!M21),1)="F",1,0)))),IF(Paramètres!N21="",0,IF(Paramètres!O21="",NA(),IF(LEFT(TRIM(Paramètres!O21),1)="F",INDEX($F$3137:$F$3189,MATCH(Paramètres!N21,Paramètres!$G$5:$G$57,0)),INDEX($E$3137:$E$3189,MATCH(Paramètres!N21,Paramètres!$G$5:$G$57,0)))+IF(RIGHT(TRIM(Paramètres!O21),3)="Fin",1-$H3153,IF(LEFT(TRIM(Paramètres!O21),1)="F",1,0)))))))</f>
        <v/>
      </c>
      <c r="F3153" s="19">
        <f>IF($A3153="","",E3153+$H3153-1)</f>
        <v/>
      </c>
      <c r="G3153" s="18" t="n"/>
      <c r="H3153" s="18">
        <f>IF($A3153="","",IF(I3153&lt;&gt;"",I3153,Paramètres!B21))</f>
        <v/>
      </c>
      <c r="I3153" s="18" t="n"/>
    </row>
    <row r="3154">
      <c r="A3154" s="18">
        <f>IF(ISNUMBER(Dossiers!$D$62),Dossiers!$A$62&amp;" · "&amp;Dossiers!$B$62,"")</f>
        <v/>
      </c>
      <c r="B3154" s="18">
        <f>IF($A3154="","",Paramètres!G22)</f>
        <v/>
      </c>
      <c r="C3154" s="18">
        <f>IF($A3154="","",IF(Paramètres!H22="","",Paramètres!H22))</f>
        <v/>
      </c>
      <c r="D3154" s="18">
        <f>IF($A3154="","",IF(Paramètres!I22="","",Paramètres!I22))</f>
        <v/>
      </c>
      <c r="E3154" s="19">
        <f>IF($A3154="","",IF(Paramètres!J22&amp;Paramètres!L22&amp;Paramètres!N22="",Dossiers!$D$62,MAX(IF(Paramètres!J22="",0,IF(Paramètres!K22="",NA(),IF(LEFT(TRIM(Paramètres!K22),1)="F",INDEX($F$3137:$F$3189,MATCH(Paramètres!J22,Paramètres!$G$5:$G$57,0)),INDEX($E$3137:$E$3189,MATCH(Paramètres!J22,Paramètres!$G$5:$G$57,0)))+IF(RIGHT(TRIM(Paramètres!K22),3)="Fin",1-$H3154,IF(LEFT(TRIM(Paramètres!K22),1)="F",1,0)))),IF(Paramètres!L22="",0,IF(Paramètres!M22="",NA(),IF(LEFT(TRIM(Paramètres!M22),1)="F",INDEX($F$3137:$F$3189,MATCH(Paramètres!L22,Paramètres!$G$5:$G$57,0)),INDEX($E$3137:$E$3189,MATCH(Paramètres!L22,Paramètres!$G$5:$G$57,0)))+IF(RIGHT(TRIM(Paramètres!M22),3)="Fin",1-$H3154,IF(LEFT(TRIM(Paramètres!M22),1)="F",1,0)))),IF(Paramètres!N22="",0,IF(Paramètres!O22="",NA(),IF(LEFT(TRIM(Paramètres!O22),1)="F",INDEX($F$3137:$F$3189,MATCH(Paramètres!N22,Paramètres!$G$5:$G$57,0)),INDEX($E$3137:$E$3189,MATCH(Paramètres!N22,Paramètres!$G$5:$G$57,0)))+IF(RIGHT(TRIM(Paramètres!O22),3)="Fin",1-$H3154,IF(LEFT(TRIM(Paramètres!O22),1)="F",1,0)))))))</f>
        <v/>
      </c>
      <c r="F3154" s="19">
        <f>IF($A3154="","",E3154+$H3154-1)</f>
        <v/>
      </c>
      <c r="G3154" s="18" t="n"/>
      <c r="H3154" s="18">
        <f>IF($A3154="","",IF(I3154&lt;&gt;"",I3154,Paramètres!B22))</f>
        <v/>
      </c>
      <c r="I3154" s="18" t="n"/>
    </row>
    <row r="3155">
      <c r="A3155" s="18">
        <f>IF(ISNUMBER(Dossiers!$D$62),Dossiers!$A$62&amp;" · "&amp;Dossiers!$B$62,"")</f>
        <v/>
      </c>
      <c r="B3155" s="18">
        <f>IF($A3155="","",Paramètres!G23)</f>
        <v/>
      </c>
      <c r="C3155" s="18">
        <f>IF($A3155="","",IF(Paramètres!H23="","",Paramètres!H23))</f>
        <v/>
      </c>
      <c r="D3155" s="18">
        <f>IF($A3155="","",IF(Paramètres!I23="","",Paramètres!I23))</f>
        <v/>
      </c>
      <c r="E3155" s="19">
        <f>IF($A3155="","",IF(Paramètres!J23&amp;Paramètres!L23&amp;Paramètres!N23="",Dossiers!$D$62,MAX(IF(Paramètres!J23="",0,IF(Paramètres!K23="",NA(),IF(LEFT(TRIM(Paramètres!K23),1)="F",INDEX($F$3137:$F$3189,MATCH(Paramètres!J23,Paramètres!$G$5:$G$57,0)),INDEX($E$3137:$E$3189,MATCH(Paramètres!J23,Paramètres!$G$5:$G$57,0)))+IF(RIGHT(TRIM(Paramètres!K23),3)="Fin",1-$H3155,IF(LEFT(TRIM(Paramètres!K23),1)="F",1,0)))),IF(Paramètres!L23="",0,IF(Paramètres!M23="",NA(),IF(LEFT(TRIM(Paramètres!M23),1)="F",INDEX($F$3137:$F$3189,MATCH(Paramètres!L23,Paramètres!$G$5:$G$57,0)),INDEX($E$3137:$E$3189,MATCH(Paramètres!L23,Paramètres!$G$5:$G$57,0)))+IF(RIGHT(TRIM(Paramètres!M23),3)="Fin",1-$H3155,IF(LEFT(TRIM(Paramètres!M23),1)="F",1,0)))),IF(Paramètres!N23="",0,IF(Paramètres!O23="",NA(),IF(LEFT(TRIM(Paramètres!O23),1)="F",INDEX($F$3137:$F$3189,MATCH(Paramètres!N23,Paramètres!$G$5:$G$57,0)),INDEX($E$3137:$E$3189,MATCH(Paramètres!N23,Paramètres!$G$5:$G$57,0)))+IF(RIGHT(TRIM(Paramètres!O23),3)="Fin",1-$H3155,IF(LEFT(TRIM(Paramètres!O23),1)="F",1,0)))))))</f>
        <v/>
      </c>
      <c r="F3155" s="19">
        <f>IF($A3155="","",E3155+$H3155-1)</f>
        <v/>
      </c>
      <c r="G3155" s="18" t="n"/>
      <c r="H3155" s="18">
        <f>IF($A3155="","",IF(I3155&lt;&gt;"",I3155,Paramètres!B23))</f>
        <v/>
      </c>
      <c r="I3155" s="18" t="n"/>
    </row>
    <row r="3156">
      <c r="A3156" s="18">
        <f>IF(ISNUMBER(Dossiers!$D$62),Dossiers!$A$62&amp;" · "&amp;Dossiers!$B$62,"")</f>
        <v/>
      </c>
      <c r="B3156" s="18">
        <f>IF($A3156="","",Paramètres!G24)</f>
        <v/>
      </c>
      <c r="C3156" s="18">
        <f>IF($A3156="","",IF(Paramètres!H24="","",Paramètres!H24))</f>
        <v/>
      </c>
      <c r="D3156" s="18">
        <f>IF($A3156="","",IF(Paramètres!I24="","",Paramètres!I24))</f>
        <v/>
      </c>
      <c r="E3156" s="19">
        <f>IF($A3156="","",IF(Paramètres!J24&amp;Paramètres!L24&amp;Paramètres!N24="",Dossiers!$D$62,MAX(IF(Paramètres!J24="",0,IF(Paramètres!K24="",NA(),IF(LEFT(TRIM(Paramètres!K24),1)="F",INDEX($F$3137:$F$3189,MATCH(Paramètres!J24,Paramètres!$G$5:$G$57,0)),INDEX($E$3137:$E$3189,MATCH(Paramètres!J24,Paramètres!$G$5:$G$57,0)))+IF(RIGHT(TRIM(Paramètres!K24),3)="Fin",1-$H3156,IF(LEFT(TRIM(Paramètres!K24),1)="F",1,0)))),IF(Paramètres!L24="",0,IF(Paramètres!M24="",NA(),IF(LEFT(TRIM(Paramètres!M24),1)="F",INDEX($F$3137:$F$3189,MATCH(Paramètres!L24,Paramètres!$G$5:$G$57,0)),INDEX($E$3137:$E$3189,MATCH(Paramètres!L24,Paramètres!$G$5:$G$57,0)))+IF(RIGHT(TRIM(Paramètres!M24),3)="Fin",1-$H3156,IF(LEFT(TRIM(Paramètres!M24),1)="F",1,0)))),IF(Paramètres!N24="",0,IF(Paramètres!O24="",NA(),IF(LEFT(TRIM(Paramètres!O24),1)="F",INDEX($F$3137:$F$3189,MATCH(Paramètres!N24,Paramètres!$G$5:$G$57,0)),INDEX($E$3137:$E$3189,MATCH(Paramètres!N24,Paramètres!$G$5:$G$57,0)))+IF(RIGHT(TRIM(Paramètres!O24),3)="Fin",1-$H3156,IF(LEFT(TRIM(Paramètres!O24),1)="F",1,0)))))))</f>
        <v/>
      </c>
      <c r="F3156" s="19">
        <f>IF($A3156="","",E3156+$H3156-1)</f>
        <v/>
      </c>
      <c r="G3156" s="18" t="n"/>
      <c r="H3156" s="18">
        <f>IF($A3156="","",IF(I3156&lt;&gt;"",I3156,Paramètres!B24))</f>
        <v/>
      </c>
      <c r="I3156" s="18" t="n"/>
    </row>
    <row r="3157">
      <c r="A3157" s="18">
        <f>IF(ISNUMBER(Dossiers!$D$62),Dossiers!$A$62&amp;" · "&amp;Dossiers!$B$62,"")</f>
        <v/>
      </c>
      <c r="B3157" s="18">
        <f>IF($A3157="","",Paramètres!G25)</f>
        <v/>
      </c>
      <c r="C3157" s="18">
        <f>IF($A3157="","",IF(Paramètres!H25="","",Paramètres!H25))</f>
        <v/>
      </c>
      <c r="D3157" s="18">
        <f>IF($A3157="","",IF(Paramètres!I25="","",Paramètres!I25))</f>
        <v/>
      </c>
      <c r="E3157" s="19">
        <f>IF($A3157="","",IF(Paramètres!J25&amp;Paramètres!L25&amp;Paramètres!N25="",Dossiers!$D$62,MAX(IF(Paramètres!J25="",0,IF(Paramètres!K25="",NA(),IF(LEFT(TRIM(Paramètres!K25),1)="F",INDEX($F$3137:$F$3189,MATCH(Paramètres!J25,Paramètres!$G$5:$G$57,0)),INDEX($E$3137:$E$3189,MATCH(Paramètres!J25,Paramètres!$G$5:$G$57,0)))+IF(RIGHT(TRIM(Paramètres!K25),3)="Fin",1-$H3157,IF(LEFT(TRIM(Paramètres!K25),1)="F",1,0)))),IF(Paramètres!L25="",0,IF(Paramètres!M25="",NA(),IF(LEFT(TRIM(Paramètres!M25),1)="F",INDEX($F$3137:$F$3189,MATCH(Paramètres!L25,Paramètres!$G$5:$G$57,0)),INDEX($E$3137:$E$3189,MATCH(Paramètres!L25,Paramètres!$G$5:$G$57,0)))+IF(RIGHT(TRIM(Paramètres!M25),3)="Fin",1-$H3157,IF(LEFT(TRIM(Paramètres!M25),1)="F",1,0)))),IF(Paramètres!N25="",0,IF(Paramètres!O25="",NA(),IF(LEFT(TRIM(Paramètres!O25),1)="F",INDEX($F$3137:$F$3189,MATCH(Paramètres!N25,Paramètres!$G$5:$G$57,0)),INDEX($E$3137:$E$3189,MATCH(Paramètres!N25,Paramètres!$G$5:$G$57,0)))+IF(RIGHT(TRIM(Paramètres!O25),3)="Fin",1-$H3157,IF(LEFT(TRIM(Paramètres!O25),1)="F",1,0)))))))</f>
        <v/>
      </c>
      <c r="F3157" s="19">
        <f>IF($A3157="","",E3157+$H3157-1)</f>
        <v/>
      </c>
      <c r="G3157" s="18" t="n"/>
      <c r="H3157" s="18">
        <f>IF($A3157="","",IF(I3157&lt;&gt;"",I3157,Paramètres!B25))</f>
        <v/>
      </c>
      <c r="I3157" s="18" t="n"/>
    </row>
    <row r="3158">
      <c r="A3158" s="18">
        <f>IF(ISNUMBER(Dossiers!$D$62),Dossiers!$A$62&amp;" · "&amp;Dossiers!$B$62,"")</f>
        <v/>
      </c>
      <c r="B3158" s="18">
        <f>IF($A3158="","",Paramètres!G26)</f>
        <v/>
      </c>
      <c r="C3158" s="18">
        <f>IF($A3158="","",IF(Paramètres!H26="","",Paramètres!H26))</f>
        <v/>
      </c>
      <c r="D3158" s="18">
        <f>IF($A3158="","",IF(Paramètres!I26="","",Paramètres!I26))</f>
        <v/>
      </c>
      <c r="E3158" s="19">
        <f>IF($A3158="","",IF(Paramètres!J26&amp;Paramètres!L26&amp;Paramètres!N26="",Dossiers!$D$62,MAX(IF(Paramètres!J26="",0,IF(Paramètres!K26="",NA(),IF(LEFT(TRIM(Paramètres!K26),1)="F",INDEX($F$3137:$F$3189,MATCH(Paramètres!J26,Paramètres!$G$5:$G$57,0)),INDEX($E$3137:$E$3189,MATCH(Paramètres!J26,Paramètres!$G$5:$G$57,0)))+IF(RIGHT(TRIM(Paramètres!K26),3)="Fin",1-$H3158,IF(LEFT(TRIM(Paramètres!K26),1)="F",1,0)))),IF(Paramètres!L26="",0,IF(Paramètres!M26="",NA(),IF(LEFT(TRIM(Paramètres!M26),1)="F",INDEX($F$3137:$F$3189,MATCH(Paramètres!L26,Paramètres!$G$5:$G$57,0)),INDEX($E$3137:$E$3189,MATCH(Paramètres!L26,Paramètres!$G$5:$G$57,0)))+IF(RIGHT(TRIM(Paramètres!M26),3)="Fin",1-$H3158,IF(LEFT(TRIM(Paramètres!M26),1)="F",1,0)))),IF(Paramètres!N26="",0,IF(Paramètres!O26="",NA(),IF(LEFT(TRIM(Paramètres!O26),1)="F",INDEX($F$3137:$F$3189,MATCH(Paramètres!N26,Paramètres!$G$5:$G$57,0)),INDEX($E$3137:$E$3189,MATCH(Paramètres!N26,Paramètres!$G$5:$G$57,0)))+IF(RIGHT(TRIM(Paramètres!O26),3)="Fin",1-$H3158,IF(LEFT(TRIM(Paramètres!O26),1)="F",1,0)))))))</f>
        <v/>
      </c>
      <c r="F3158" s="19">
        <f>IF($A3158="","",E3158+$H3158-1)</f>
        <v/>
      </c>
      <c r="G3158" s="18" t="n"/>
      <c r="H3158" s="18">
        <f>IF($A3158="","",IF(I3158&lt;&gt;"",I3158,Paramètres!B26))</f>
        <v/>
      </c>
      <c r="I3158" s="18" t="n"/>
    </row>
    <row r="3159">
      <c r="A3159" s="18">
        <f>IF(ISNUMBER(Dossiers!$D$62),Dossiers!$A$62&amp;" · "&amp;Dossiers!$B$62,"")</f>
        <v/>
      </c>
      <c r="B3159" s="18">
        <f>IF($A3159="","",Paramètres!G27)</f>
        <v/>
      </c>
      <c r="C3159" s="18">
        <f>IF($A3159="","",IF(Paramètres!H27="","",Paramètres!H27))</f>
        <v/>
      </c>
      <c r="D3159" s="18">
        <f>IF($A3159="","",IF(Paramètres!I27="","",Paramètres!I27))</f>
        <v/>
      </c>
      <c r="E3159" s="19">
        <f>IF($A3159="","",IF(Paramètres!J27&amp;Paramètres!L27&amp;Paramètres!N27="",Dossiers!$D$62,MAX(IF(Paramètres!J27="",0,IF(Paramètres!K27="",NA(),IF(LEFT(TRIM(Paramètres!K27),1)="F",INDEX($F$3137:$F$3189,MATCH(Paramètres!J27,Paramètres!$G$5:$G$57,0)),INDEX($E$3137:$E$3189,MATCH(Paramètres!J27,Paramètres!$G$5:$G$57,0)))+IF(RIGHT(TRIM(Paramètres!K27),3)="Fin",1-$H3159,IF(LEFT(TRIM(Paramètres!K27),1)="F",1,0)))),IF(Paramètres!L27="",0,IF(Paramètres!M27="",NA(),IF(LEFT(TRIM(Paramètres!M27),1)="F",INDEX($F$3137:$F$3189,MATCH(Paramètres!L27,Paramètres!$G$5:$G$57,0)),INDEX($E$3137:$E$3189,MATCH(Paramètres!L27,Paramètres!$G$5:$G$57,0)))+IF(RIGHT(TRIM(Paramètres!M27),3)="Fin",1-$H3159,IF(LEFT(TRIM(Paramètres!M27),1)="F",1,0)))),IF(Paramètres!N27="",0,IF(Paramètres!O27="",NA(),IF(LEFT(TRIM(Paramètres!O27),1)="F",INDEX($F$3137:$F$3189,MATCH(Paramètres!N27,Paramètres!$G$5:$G$57,0)),INDEX($E$3137:$E$3189,MATCH(Paramètres!N27,Paramètres!$G$5:$G$57,0)))+IF(RIGHT(TRIM(Paramètres!O27),3)="Fin",1-$H3159,IF(LEFT(TRIM(Paramètres!O27),1)="F",1,0)))))))</f>
        <v/>
      </c>
      <c r="F3159" s="19">
        <f>IF($A3159="","",E3159+$H3159-1)</f>
        <v/>
      </c>
      <c r="G3159" s="18" t="n"/>
      <c r="H3159" s="18">
        <f>IF($A3159="","",IF(I3159&lt;&gt;"",I3159,Paramètres!B27))</f>
        <v/>
      </c>
      <c r="I3159" s="18" t="n"/>
    </row>
    <row r="3160">
      <c r="A3160" s="18">
        <f>IF(ISNUMBER(Dossiers!$D$62),Dossiers!$A$62&amp;" · "&amp;Dossiers!$B$62,"")</f>
        <v/>
      </c>
      <c r="B3160" s="18">
        <f>IF($A3160="","",Paramètres!G28)</f>
        <v/>
      </c>
      <c r="C3160" s="18">
        <f>IF($A3160="","",IF(Paramètres!H28="","",Paramètres!H28))</f>
        <v/>
      </c>
      <c r="D3160" s="18">
        <f>IF($A3160="","",IF(Paramètres!I28="","",Paramètres!I28))</f>
        <v/>
      </c>
      <c r="E3160" s="19">
        <f>IF($A3160="","",IF(Paramètres!J28&amp;Paramètres!L28&amp;Paramètres!N28="",Dossiers!$D$62,MAX(IF(Paramètres!J28="",0,IF(Paramètres!K28="",NA(),IF(LEFT(TRIM(Paramètres!K28),1)="F",INDEX($F$3137:$F$3189,MATCH(Paramètres!J28,Paramètres!$G$5:$G$57,0)),INDEX($E$3137:$E$3189,MATCH(Paramètres!J28,Paramètres!$G$5:$G$57,0)))+IF(RIGHT(TRIM(Paramètres!K28),3)="Fin",1-$H3160,IF(LEFT(TRIM(Paramètres!K28),1)="F",1,0)))),IF(Paramètres!L28="",0,IF(Paramètres!M28="",NA(),IF(LEFT(TRIM(Paramètres!M28),1)="F",INDEX($F$3137:$F$3189,MATCH(Paramètres!L28,Paramètres!$G$5:$G$57,0)),INDEX($E$3137:$E$3189,MATCH(Paramètres!L28,Paramètres!$G$5:$G$57,0)))+IF(RIGHT(TRIM(Paramètres!M28),3)="Fin",1-$H3160,IF(LEFT(TRIM(Paramètres!M28),1)="F",1,0)))),IF(Paramètres!N28="",0,IF(Paramètres!O28="",NA(),IF(LEFT(TRIM(Paramètres!O28),1)="F",INDEX($F$3137:$F$3189,MATCH(Paramètres!N28,Paramètres!$G$5:$G$57,0)),INDEX($E$3137:$E$3189,MATCH(Paramètres!N28,Paramètres!$G$5:$G$57,0)))+IF(RIGHT(TRIM(Paramètres!O28),3)="Fin",1-$H3160,IF(LEFT(TRIM(Paramètres!O28),1)="F",1,0)))))))</f>
        <v/>
      </c>
      <c r="F3160" s="19">
        <f>IF($A3160="","",E3160+$H3160-1)</f>
        <v/>
      </c>
      <c r="G3160" s="18" t="n"/>
      <c r="H3160" s="18">
        <f>IF($A3160="","",IF(I3160&lt;&gt;"",I3160,Paramètres!B28))</f>
        <v/>
      </c>
      <c r="I3160" s="18" t="n"/>
    </row>
    <row r="3161">
      <c r="A3161" s="18">
        <f>IF(ISNUMBER(Dossiers!$D$62),Dossiers!$A$62&amp;" · "&amp;Dossiers!$B$62,"")</f>
        <v/>
      </c>
      <c r="B3161" s="18">
        <f>IF($A3161="","",Paramètres!G29)</f>
        <v/>
      </c>
      <c r="C3161" s="18">
        <f>IF($A3161="","",IF(Paramètres!H29="","",Paramètres!H29))</f>
        <v/>
      </c>
      <c r="D3161" s="18">
        <f>IF($A3161="","",IF(Paramètres!I29="","",Paramètres!I29))</f>
        <v/>
      </c>
      <c r="E3161" s="19">
        <f>IF($A3161="","",IF(Paramètres!J29&amp;Paramètres!L29&amp;Paramètres!N29="",Dossiers!$D$62,MAX(IF(Paramètres!J29="",0,IF(Paramètres!K29="",NA(),IF(LEFT(TRIM(Paramètres!K29),1)="F",INDEX($F$3137:$F$3189,MATCH(Paramètres!J29,Paramètres!$G$5:$G$57,0)),INDEX($E$3137:$E$3189,MATCH(Paramètres!J29,Paramètres!$G$5:$G$57,0)))+IF(RIGHT(TRIM(Paramètres!K29),3)="Fin",1-$H3161,IF(LEFT(TRIM(Paramètres!K29),1)="F",1,0)))),IF(Paramètres!L29="",0,IF(Paramètres!M29="",NA(),IF(LEFT(TRIM(Paramètres!M29),1)="F",INDEX($F$3137:$F$3189,MATCH(Paramètres!L29,Paramètres!$G$5:$G$57,0)),INDEX($E$3137:$E$3189,MATCH(Paramètres!L29,Paramètres!$G$5:$G$57,0)))+IF(RIGHT(TRIM(Paramètres!M29),3)="Fin",1-$H3161,IF(LEFT(TRIM(Paramètres!M29),1)="F",1,0)))),IF(Paramètres!N29="",0,IF(Paramètres!O29="",NA(),IF(LEFT(TRIM(Paramètres!O29),1)="F",INDEX($F$3137:$F$3189,MATCH(Paramètres!N29,Paramètres!$G$5:$G$57,0)),INDEX($E$3137:$E$3189,MATCH(Paramètres!N29,Paramètres!$G$5:$G$57,0)))+IF(RIGHT(TRIM(Paramètres!O29),3)="Fin",1-$H3161,IF(LEFT(TRIM(Paramètres!O29),1)="F",1,0)))))))</f>
        <v/>
      </c>
      <c r="F3161" s="19">
        <f>IF($A3161="","",E3161+$H3161-1)</f>
        <v/>
      </c>
      <c r="G3161" s="18" t="n"/>
      <c r="H3161" s="18">
        <f>IF($A3161="","",IF(I3161&lt;&gt;"",I3161,Paramètres!B29))</f>
        <v/>
      </c>
      <c r="I3161" s="18" t="n"/>
    </row>
    <row r="3162">
      <c r="A3162" s="18">
        <f>IF(ISNUMBER(Dossiers!$D$62),Dossiers!$A$62&amp;" · "&amp;Dossiers!$B$62,"")</f>
        <v/>
      </c>
      <c r="B3162" s="18">
        <f>IF($A3162="","",Paramètres!G30)</f>
        <v/>
      </c>
      <c r="C3162" s="18">
        <f>IF($A3162="","",IF(Paramètres!H30="","",Paramètres!H30))</f>
        <v/>
      </c>
      <c r="D3162" s="18">
        <f>IF($A3162="","",IF(Paramètres!I30="","",Paramètres!I30))</f>
        <v/>
      </c>
      <c r="E3162" s="19">
        <f>IF($A3162="","",IF(Paramètres!J30&amp;Paramètres!L30&amp;Paramètres!N30="",Dossiers!$D$62,MAX(IF(Paramètres!J30="",0,IF(Paramètres!K30="",NA(),IF(LEFT(TRIM(Paramètres!K30),1)="F",INDEX($F$3137:$F$3189,MATCH(Paramètres!J30,Paramètres!$G$5:$G$57,0)),INDEX($E$3137:$E$3189,MATCH(Paramètres!J30,Paramètres!$G$5:$G$57,0)))+IF(RIGHT(TRIM(Paramètres!K30),3)="Fin",1-$H3162,IF(LEFT(TRIM(Paramètres!K30),1)="F",1,0)))),IF(Paramètres!L30="",0,IF(Paramètres!M30="",NA(),IF(LEFT(TRIM(Paramètres!M30),1)="F",INDEX($F$3137:$F$3189,MATCH(Paramètres!L30,Paramètres!$G$5:$G$57,0)),INDEX($E$3137:$E$3189,MATCH(Paramètres!L30,Paramètres!$G$5:$G$57,0)))+IF(RIGHT(TRIM(Paramètres!M30),3)="Fin",1-$H3162,IF(LEFT(TRIM(Paramètres!M30),1)="F",1,0)))),IF(Paramètres!N30="",0,IF(Paramètres!O30="",NA(),IF(LEFT(TRIM(Paramètres!O30),1)="F",INDEX($F$3137:$F$3189,MATCH(Paramètres!N30,Paramètres!$G$5:$G$57,0)),INDEX($E$3137:$E$3189,MATCH(Paramètres!N30,Paramètres!$G$5:$G$57,0)))+IF(RIGHT(TRIM(Paramètres!O30),3)="Fin",1-$H3162,IF(LEFT(TRIM(Paramètres!O30),1)="F",1,0)))))))</f>
        <v/>
      </c>
      <c r="F3162" s="19">
        <f>IF($A3162="","",E3162+$H3162-1)</f>
        <v/>
      </c>
      <c r="G3162" s="18" t="n"/>
      <c r="H3162" s="18">
        <f>IF($A3162="","",IF(I3162&lt;&gt;"",I3162,Paramètres!B30))</f>
        <v/>
      </c>
      <c r="I3162" s="18" t="n"/>
    </row>
    <row r="3163">
      <c r="A3163" s="18">
        <f>IF(ISNUMBER(Dossiers!$D$62),Dossiers!$A$62&amp;" · "&amp;Dossiers!$B$62,"")</f>
        <v/>
      </c>
      <c r="B3163" s="18">
        <f>IF($A3163="","",Paramètres!G31)</f>
        <v/>
      </c>
      <c r="C3163" s="20">
        <f>IF($A3163="","",IF(Dossiers!$F$62="","",Dossiers!$F$62))</f>
        <v/>
      </c>
      <c r="D3163" s="18">
        <f>IF($A3163="","",IF(Paramètres!I31="","",Paramètres!I31))</f>
        <v/>
      </c>
      <c r="E3163" s="19">
        <f>IF($A3163="","",IF(Paramètres!J31&amp;Paramètres!L31&amp;Paramètres!N31="",Dossiers!$D$62,MAX(IF(Paramètres!J31="",0,IF(Paramètres!K31="",NA(),IF(LEFT(TRIM(Paramètres!K31),1)="F",INDEX($F$3137:$F$3189,MATCH(Paramètres!J31,Paramètres!$G$5:$G$57,0)),INDEX($E$3137:$E$3189,MATCH(Paramètres!J31,Paramètres!$G$5:$G$57,0)))+IF(RIGHT(TRIM(Paramètres!K31),3)="Fin",1-$H3163,IF(LEFT(TRIM(Paramètres!K31),1)="F",1,0)))),IF(Paramètres!L31="",0,IF(Paramètres!M31="",NA(),IF(LEFT(TRIM(Paramètres!M31),1)="F",INDEX($F$3137:$F$3189,MATCH(Paramètres!L31,Paramètres!$G$5:$G$57,0)),INDEX($E$3137:$E$3189,MATCH(Paramètres!L31,Paramètres!$G$5:$G$57,0)))+IF(RIGHT(TRIM(Paramètres!M31),3)="Fin",1-$H3163,IF(LEFT(TRIM(Paramètres!M31),1)="F",1,0)))),IF(Paramètres!N31="",0,IF(Paramètres!O31="",NA(),IF(LEFT(TRIM(Paramètres!O31),1)="F",INDEX($F$3137:$F$3189,MATCH(Paramètres!N31,Paramètres!$G$5:$G$57,0)),INDEX($E$3137:$E$3189,MATCH(Paramètres!N31,Paramètres!$G$5:$G$57,0)))+IF(RIGHT(TRIM(Paramètres!O31),3)="Fin",1-$H3163,IF(LEFT(TRIM(Paramètres!O31),1)="F",1,0)))))))</f>
        <v/>
      </c>
      <c r="F3163" s="19">
        <f>IF($A3163="","",E3163+$H3163-1)</f>
        <v/>
      </c>
      <c r="G3163" s="18" t="n"/>
      <c r="H3163" s="18">
        <f>IF($A3163="","",IF(I3163&lt;&gt;"",I3163,Paramètres!B31))</f>
        <v/>
      </c>
      <c r="I3163" s="18" t="n"/>
    </row>
    <row r="3164">
      <c r="A3164" s="18">
        <f>IF(ISNUMBER(Dossiers!$D$62),Dossiers!$A$62&amp;" · "&amp;Dossiers!$B$62,"")</f>
        <v/>
      </c>
      <c r="B3164" s="18">
        <f>IF($A3164="","",Paramètres!G32)</f>
        <v/>
      </c>
      <c r="C3164" s="18">
        <f>IF($A3164="","",IF(Paramètres!H32="","",Paramètres!H32))</f>
        <v/>
      </c>
      <c r="D3164" s="18">
        <f>IF($A3164="","",IF(Paramètres!I32="","",Paramètres!I32))</f>
        <v/>
      </c>
      <c r="E3164" s="19">
        <f>IF($A3164="","",MIN(E3165:E3168))</f>
        <v/>
      </c>
      <c r="F3164" s="19">
        <f>IF($A3164="","",MAX(F3165:F3168))</f>
        <v/>
      </c>
      <c r="G3164" s="18" t="n"/>
      <c r="H3164" s="18">
        <f>IF($A3164="","",F3164-E3164+1)</f>
        <v/>
      </c>
      <c r="I3164" s="18" t="n"/>
    </row>
    <row r="3165">
      <c r="A3165" s="18">
        <f>IF(ISNUMBER(Dossiers!$D$62),Dossiers!$A$62&amp;" · "&amp;Dossiers!$B$62,"")</f>
        <v/>
      </c>
      <c r="B3165" s="18">
        <f>IF($A3165="","",Paramètres!G33)</f>
        <v/>
      </c>
      <c r="C3165" s="18">
        <f>IF($A3165="","",IF(Paramètres!H33="","",Paramètres!H33))</f>
        <v/>
      </c>
      <c r="D3165" s="18">
        <f>IF($A3165="","",IF(Paramètres!I33="","",Paramètres!I33))</f>
        <v/>
      </c>
      <c r="E3165" s="19">
        <f>IF($A3165="","",IF(Paramètres!J33&amp;Paramètres!L33&amp;Paramètres!N33="",Dossiers!$D$62,MAX(IF(Paramètres!J33="",0,IF(Paramètres!K33="",NA(),IF(LEFT(TRIM(Paramètres!K33),1)="F",INDEX($F$3137:$F$3189,MATCH(Paramètres!J33,Paramètres!$G$5:$G$57,0)),INDEX($E$3137:$E$3189,MATCH(Paramètres!J33,Paramètres!$G$5:$G$57,0)))+IF(RIGHT(TRIM(Paramètres!K33),3)="Fin",1-$H3165,IF(LEFT(TRIM(Paramètres!K33),1)="F",1,0)))),IF(Paramètres!L33="",0,IF(Paramètres!M33="",NA(),IF(LEFT(TRIM(Paramètres!M33),1)="F",INDEX($F$3137:$F$3189,MATCH(Paramètres!L33,Paramètres!$G$5:$G$57,0)),INDEX($E$3137:$E$3189,MATCH(Paramètres!L33,Paramètres!$G$5:$G$57,0)))+IF(RIGHT(TRIM(Paramètres!M33),3)="Fin",1-$H3165,IF(LEFT(TRIM(Paramètres!M33),1)="F",1,0)))),IF(Paramètres!N33="",0,IF(Paramètres!O33="",NA(),IF(LEFT(TRIM(Paramètres!O33),1)="F",INDEX($F$3137:$F$3189,MATCH(Paramètres!N33,Paramètres!$G$5:$G$57,0)),INDEX($E$3137:$E$3189,MATCH(Paramètres!N33,Paramètres!$G$5:$G$57,0)))+IF(RIGHT(TRIM(Paramètres!O33),3)="Fin",1-$H3165,IF(LEFT(TRIM(Paramètres!O33),1)="F",1,0)))))))</f>
        <v/>
      </c>
      <c r="F3165" s="19">
        <f>IF($A3165="","",E3165+$H3165-1)</f>
        <v/>
      </c>
      <c r="G3165" s="18" t="n"/>
      <c r="H3165" s="18">
        <f>IF($A3165="","",IF(I3165&lt;&gt;"",I3165,Paramètres!B33))</f>
        <v/>
      </c>
      <c r="I3165" s="18" t="n"/>
    </row>
    <row r="3166">
      <c r="A3166" s="18">
        <f>IF(ISNUMBER(Dossiers!$D$62),Dossiers!$A$62&amp;" · "&amp;Dossiers!$B$62,"")</f>
        <v/>
      </c>
      <c r="B3166" s="18">
        <f>IF($A3166="","",Paramètres!G34)</f>
        <v/>
      </c>
      <c r="C3166" s="18">
        <f>IF($A3166="","",IF(Paramètres!H34="","",Paramètres!H34))</f>
        <v/>
      </c>
      <c r="D3166" s="18">
        <f>IF($A3166="","",IF(Paramètres!I34="","",Paramètres!I34))</f>
        <v/>
      </c>
      <c r="E3166" s="19">
        <f>IF($A3166="","",IF(Paramètres!J34&amp;Paramètres!L34&amp;Paramètres!N34="",Dossiers!$D$62,MAX(IF(Paramètres!J34="",0,IF(Paramètres!K34="",NA(),IF(LEFT(TRIM(Paramètres!K34),1)="F",INDEX($F$3137:$F$3189,MATCH(Paramètres!J34,Paramètres!$G$5:$G$57,0)),INDEX($E$3137:$E$3189,MATCH(Paramètres!J34,Paramètres!$G$5:$G$57,0)))+IF(RIGHT(TRIM(Paramètres!K34),3)="Fin",1-$H3166,IF(LEFT(TRIM(Paramètres!K34),1)="F",1,0)))),IF(Paramètres!L34="",0,IF(Paramètres!M34="",NA(),IF(LEFT(TRIM(Paramètres!M34),1)="F",INDEX($F$3137:$F$3189,MATCH(Paramètres!L34,Paramètres!$G$5:$G$57,0)),INDEX($E$3137:$E$3189,MATCH(Paramètres!L34,Paramètres!$G$5:$G$57,0)))+IF(RIGHT(TRIM(Paramètres!M34),3)="Fin",1-$H3166,IF(LEFT(TRIM(Paramètres!M34),1)="F",1,0)))),IF(Paramètres!N34="",0,IF(Paramètres!O34="",NA(),IF(LEFT(TRIM(Paramètres!O34),1)="F",INDEX($F$3137:$F$3189,MATCH(Paramètres!N34,Paramètres!$G$5:$G$57,0)),INDEX($E$3137:$E$3189,MATCH(Paramètres!N34,Paramètres!$G$5:$G$57,0)))+IF(RIGHT(TRIM(Paramètres!O34),3)="Fin",1-$H3166,IF(LEFT(TRIM(Paramètres!O34),1)="F",1,0)))))))</f>
        <v/>
      </c>
      <c r="F3166" s="19">
        <f>IF($A3166="","",E3166+$H3166-1)</f>
        <v/>
      </c>
      <c r="G3166" s="18" t="n"/>
      <c r="H3166" s="18">
        <f>IF($A3166="","",IF(I3166&lt;&gt;"",I3166,Paramètres!B34))</f>
        <v/>
      </c>
      <c r="I3166" s="18" t="n"/>
    </row>
    <row r="3167">
      <c r="A3167" s="18">
        <f>IF(ISNUMBER(Dossiers!$D$62),Dossiers!$A$62&amp;" · "&amp;Dossiers!$B$62,"")</f>
        <v/>
      </c>
      <c r="B3167" s="18">
        <f>IF($A3167="","",Paramètres!G35)</f>
        <v/>
      </c>
      <c r="C3167" s="18">
        <f>IF($A3167="","",IF(Paramètres!H35="","",Paramètres!H35))</f>
        <v/>
      </c>
      <c r="D3167" s="18">
        <f>IF($A3167="","",IF(Paramètres!I35="","",Paramètres!I35))</f>
        <v/>
      </c>
      <c r="E3167" s="19">
        <f>IF($A3167="","",IF(Paramètres!J35&amp;Paramètres!L35&amp;Paramètres!N35="",Dossiers!$D$62,MAX(IF(Paramètres!J35="",0,IF(Paramètres!K35="",NA(),IF(LEFT(TRIM(Paramètres!K35),1)="F",INDEX($F$3137:$F$3189,MATCH(Paramètres!J35,Paramètres!$G$5:$G$57,0)),INDEX($E$3137:$E$3189,MATCH(Paramètres!J35,Paramètres!$G$5:$G$57,0)))+IF(RIGHT(TRIM(Paramètres!K35),3)="Fin",1-$H3167,IF(LEFT(TRIM(Paramètres!K35),1)="F",1,0)))),IF(Paramètres!L35="",0,IF(Paramètres!M35="",NA(),IF(LEFT(TRIM(Paramètres!M35),1)="F",INDEX($F$3137:$F$3189,MATCH(Paramètres!L35,Paramètres!$G$5:$G$57,0)),INDEX($E$3137:$E$3189,MATCH(Paramètres!L35,Paramètres!$G$5:$G$57,0)))+IF(RIGHT(TRIM(Paramètres!M35),3)="Fin",1-$H3167,IF(LEFT(TRIM(Paramètres!M35),1)="F",1,0)))),IF(Paramètres!N35="",0,IF(Paramètres!O35="",NA(),IF(LEFT(TRIM(Paramètres!O35),1)="F",INDEX($F$3137:$F$3189,MATCH(Paramètres!N35,Paramètres!$G$5:$G$57,0)),INDEX($E$3137:$E$3189,MATCH(Paramètres!N35,Paramètres!$G$5:$G$57,0)))+IF(RIGHT(TRIM(Paramètres!O35),3)="Fin",1-$H3167,IF(LEFT(TRIM(Paramètres!O35),1)="F",1,0)))))))</f>
        <v/>
      </c>
      <c r="F3167" s="19">
        <f>IF($A3167="","",E3167+$H3167-1)</f>
        <v/>
      </c>
      <c r="G3167" s="18" t="n"/>
      <c r="H3167" s="18">
        <f>IF($A3167="","",IF(I3167&lt;&gt;"",I3167,Paramètres!B35))</f>
        <v/>
      </c>
      <c r="I3167" s="18" t="n"/>
    </row>
    <row r="3168">
      <c r="A3168" s="18">
        <f>IF(ISNUMBER(Dossiers!$D$62),Dossiers!$A$62&amp;" · "&amp;Dossiers!$B$62,"")</f>
        <v/>
      </c>
      <c r="B3168" s="18">
        <f>IF($A3168="","",Paramètres!G36)</f>
        <v/>
      </c>
      <c r="C3168" s="18">
        <f>IF($A3168="","",IF(Paramètres!H36="","",Paramètres!H36))</f>
        <v/>
      </c>
      <c r="D3168" s="18">
        <f>IF($A3168="","",IF(Paramètres!I36="","",Paramètres!I36))</f>
        <v/>
      </c>
      <c r="E3168" s="19">
        <f>IF($A3168="","",IF(Paramètres!J36&amp;Paramètres!L36&amp;Paramètres!N36="",Dossiers!$D$62,MAX(IF(Paramètres!J36="",0,IF(Paramètres!K36="",NA(),IF(LEFT(TRIM(Paramètres!K36),1)="F",INDEX($F$3137:$F$3189,MATCH(Paramètres!J36,Paramètres!$G$5:$G$57,0)),INDEX($E$3137:$E$3189,MATCH(Paramètres!J36,Paramètres!$G$5:$G$57,0)))+IF(RIGHT(TRIM(Paramètres!K36),3)="Fin",1-$H3168,IF(LEFT(TRIM(Paramètres!K36),1)="F",1,0)))),IF(Paramètres!L36="",0,IF(Paramètres!M36="",NA(),IF(LEFT(TRIM(Paramètres!M36),1)="F",INDEX($F$3137:$F$3189,MATCH(Paramètres!L36,Paramètres!$G$5:$G$57,0)),INDEX($E$3137:$E$3189,MATCH(Paramètres!L36,Paramètres!$G$5:$G$57,0)))+IF(RIGHT(TRIM(Paramètres!M36),3)="Fin",1-$H3168,IF(LEFT(TRIM(Paramètres!M36),1)="F",1,0)))),IF(Paramètres!N36="",0,IF(Paramètres!O36="",NA(),IF(LEFT(TRIM(Paramètres!O36),1)="F",INDEX($F$3137:$F$3189,MATCH(Paramètres!N36,Paramètres!$G$5:$G$57,0)),INDEX($E$3137:$E$3189,MATCH(Paramètres!N36,Paramètres!$G$5:$G$57,0)))+IF(RIGHT(TRIM(Paramètres!O36),3)="Fin",1-$H3168,IF(LEFT(TRIM(Paramètres!O36),1)="F",1,0)))))))</f>
        <v/>
      </c>
      <c r="F3168" s="19">
        <f>IF($A3168="","",E3168+$H3168-1)</f>
        <v/>
      </c>
      <c r="G3168" s="18" t="n"/>
      <c r="H3168" s="18">
        <f>IF($A3168="","",IF(I3168&lt;&gt;"",I3168,Paramètres!B36))</f>
        <v/>
      </c>
      <c r="I3168" s="18" t="n"/>
    </row>
    <row r="3169">
      <c r="A3169" s="18">
        <f>IF(ISNUMBER(Dossiers!$D$62),Dossiers!$A$62&amp;" · "&amp;Dossiers!$B$62,"")</f>
        <v/>
      </c>
      <c r="B3169" s="18">
        <f>IF($A3169="","",Paramètres!G37)</f>
        <v/>
      </c>
      <c r="C3169" s="18">
        <f>IF($A3169="","",IF(Paramètres!H37="","",Paramètres!H37))</f>
        <v/>
      </c>
      <c r="D3169" s="18">
        <f>IF($A3169="","",IF(Paramètres!I37="","",Paramètres!I37))</f>
        <v/>
      </c>
      <c r="E3169" s="19">
        <f>IF($A3169="","",MIN(E3170:E3187))</f>
        <v/>
      </c>
      <c r="F3169" s="19">
        <f>IF($A3169="","",MAX(F3170:F3187))</f>
        <v/>
      </c>
      <c r="G3169" s="18" t="n"/>
      <c r="H3169" s="18">
        <f>IF($A3169="","",F3169-E3169+1)</f>
        <v/>
      </c>
      <c r="I3169" s="18" t="n"/>
    </row>
    <row r="3170">
      <c r="A3170" s="18">
        <f>IF(ISNUMBER(Dossiers!$D$62),Dossiers!$A$62&amp;" · "&amp;Dossiers!$B$62,"")</f>
        <v/>
      </c>
      <c r="B3170" s="18">
        <f>IF($A3170="","",Paramètres!G38)</f>
        <v/>
      </c>
      <c r="C3170" s="18">
        <f>IF($A3170="","",IF(Paramètres!H38="","",Paramètres!H38))</f>
        <v/>
      </c>
      <c r="D3170" s="18">
        <f>IF($A3170="","",IF(Paramètres!I38="","",Paramètres!I38))</f>
        <v/>
      </c>
      <c r="E3170" s="19">
        <f>IF($A3170="","",IF(Paramètres!J38&amp;Paramètres!L38&amp;Paramètres!N38="",Dossiers!$D$62,MAX(IF(Paramètres!J38="",0,IF(Paramètres!K38="",NA(),IF(LEFT(TRIM(Paramètres!K38),1)="F",INDEX($F$3137:$F$3189,MATCH(Paramètres!J38,Paramètres!$G$5:$G$57,0)),INDEX($E$3137:$E$3189,MATCH(Paramètres!J38,Paramètres!$G$5:$G$57,0)))+IF(RIGHT(TRIM(Paramètres!K38),3)="Fin",1-$H3170,IF(LEFT(TRIM(Paramètres!K38),1)="F",1,0)))),IF(Paramètres!L38="",0,IF(Paramètres!M38="",NA(),IF(LEFT(TRIM(Paramètres!M38),1)="F",INDEX($F$3137:$F$3189,MATCH(Paramètres!L38,Paramètres!$G$5:$G$57,0)),INDEX($E$3137:$E$3189,MATCH(Paramètres!L38,Paramètres!$G$5:$G$57,0)))+IF(RIGHT(TRIM(Paramètres!M38),3)="Fin",1-$H3170,IF(LEFT(TRIM(Paramètres!M38),1)="F",1,0)))),IF(Paramètres!N38="",0,IF(Paramètres!O38="",NA(),IF(LEFT(TRIM(Paramètres!O38),1)="F",INDEX($F$3137:$F$3189,MATCH(Paramètres!N38,Paramètres!$G$5:$G$57,0)),INDEX($E$3137:$E$3189,MATCH(Paramètres!N38,Paramètres!$G$5:$G$57,0)))+IF(RIGHT(TRIM(Paramètres!O38),3)="Fin",1-$H3170,IF(LEFT(TRIM(Paramètres!O38),1)="F",1,0)))))))</f>
        <v/>
      </c>
      <c r="F3170" s="19">
        <f>IF($A3170="","",E3170+$H3170-1)</f>
        <v/>
      </c>
      <c r="G3170" s="18" t="n"/>
      <c r="H3170" s="18">
        <f>IF($A3170="","",IF(I3170&lt;&gt;"",I3170,Paramètres!B38))</f>
        <v/>
      </c>
      <c r="I3170" s="18" t="n"/>
    </row>
    <row r="3171">
      <c r="A3171" s="18">
        <f>IF(ISNUMBER(Dossiers!$D$62),Dossiers!$A$62&amp;" · "&amp;Dossiers!$B$62,"")</f>
        <v/>
      </c>
      <c r="B3171" s="18">
        <f>IF($A3171="","",Paramètres!G39)</f>
        <v/>
      </c>
      <c r="C3171" s="18">
        <f>IF($A3171="","",IF(Paramètres!H39="","",Paramètres!H39))</f>
        <v/>
      </c>
      <c r="D3171" s="18">
        <f>IF($A3171="","",IF(Paramètres!I39="","",Paramètres!I39))</f>
        <v/>
      </c>
      <c r="E3171" s="19">
        <f>IF($A3171="","",IF(Paramètres!J39&amp;Paramètres!L39&amp;Paramètres!N39="",Dossiers!$D$62,MAX(IF(Paramètres!J39="",0,IF(Paramètres!K39="",NA(),IF(LEFT(TRIM(Paramètres!K39),1)="F",INDEX($F$3137:$F$3189,MATCH(Paramètres!J39,Paramètres!$G$5:$G$57,0)),INDEX($E$3137:$E$3189,MATCH(Paramètres!J39,Paramètres!$G$5:$G$57,0)))+IF(RIGHT(TRIM(Paramètres!K39),3)="Fin",1-$H3171,IF(LEFT(TRIM(Paramètres!K39),1)="F",1,0)))),IF(Paramètres!L39="",0,IF(Paramètres!M39="",NA(),IF(LEFT(TRIM(Paramètres!M39),1)="F",INDEX($F$3137:$F$3189,MATCH(Paramètres!L39,Paramètres!$G$5:$G$57,0)),INDEX($E$3137:$E$3189,MATCH(Paramètres!L39,Paramètres!$G$5:$G$57,0)))+IF(RIGHT(TRIM(Paramètres!M39),3)="Fin",1-$H3171,IF(LEFT(TRIM(Paramètres!M39),1)="F",1,0)))),IF(Paramètres!N39="",0,IF(Paramètres!O39="",NA(),IF(LEFT(TRIM(Paramètres!O39),1)="F",INDEX($F$3137:$F$3189,MATCH(Paramètres!N39,Paramètres!$G$5:$G$57,0)),INDEX($E$3137:$E$3189,MATCH(Paramètres!N39,Paramètres!$G$5:$G$57,0)))+IF(RIGHT(TRIM(Paramètres!O39),3)="Fin",1-$H3171,IF(LEFT(TRIM(Paramètres!O39),1)="F",1,0)))))))</f>
        <v/>
      </c>
      <c r="F3171" s="19">
        <f>IF($A3171="","",E3171+$H3171-1)</f>
        <v/>
      </c>
      <c r="G3171" s="18" t="n"/>
      <c r="H3171" s="18">
        <f>IF($A3171="","",IF(I3171&lt;&gt;"",I3171,Paramètres!B39))</f>
        <v/>
      </c>
      <c r="I3171" s="18" t="n"/>
    </row>
    <row r="3172">
      <c r="A3172" s="18">
        <f>IF(ISNUMBER(Dossiers!$D$62),Dossiers!$A$62&amp;" · "&amp;Dossiers!$B$62,"")</f>
        <v/>
      </c>
      <c r="B3172" s="18">
        <f>IF($A3172="","",Paramètres!G40)</f>
        <v/>
      </c>
      <c r="C3172" s="18">
        <f>IF($A3172="","",IF(Paramètres!H40="","",Paramètres!H40))</f>
        <v/>
      </c>
      <c r="D3172" s="18">
        <f>IF($A3172="","",IF(Paramètres!I40="","",Paramètres!I40))</f>
        <v/>
      </c>
      <c r="E3172" s="19">
        <f>IF($A3172="","",IF(Paramètres!J40&amp;Paramètres!L40&amp;Paramètres!N40="",Dossiers!$D$62,MAX(IF(Paramètres!J40="",0,IF(Paramètres!K40="",NA(),IF(LEFT(TRIM(Paramètres!K40),1)="F",INDEX($F$3137:$F$3189,MATCH(Paramètres!J40,Paramètres!$G$5:$G$57,0)),INDEX($E$3137:$E$3189,MATCH(Paramètres!J40,Paramètres!$G$5:$G$57,0)))+IF(RIGHT(TRIM(Paramètres!K40),3)="Fin",1-$H3172,IF(LEFT(TRIM(Paramètres!K40),1)="F",1,0)))),IF(Paramètres!L40="",0,IF(Paramètres!M40="",NA(),IF(LEFT(TRIM(Paramètres!M40),1)="F",INDEX($F$3137:$F$3189,MATCH(Paramètres!L40,Paramètres!$G$5:$G$57,0)),INDEX($E$3137:$E$3189,MATCH(Paramètres!L40,Paramètres!$G$5:$G$57,0)))+IF(RIGHT(TRIM(Paramètres!M40),3)="Fin",1-$H3172,IF(LEFT(TRIM(Paramètres!M40),1)="F",1,0)))),IF(Paramètres!N40="",0,IF(Paramètres!O40="",NA(),IF(LEFT(TRIM(Paramètres!O40),1)="F",INDEX($F$3137:$F$3189,MATCH(Paramètres!N40,Paramètres!$G$5:$G$57,0)),INDEX($E$3137:$E$3189,MATCH(Paramètres!N40,Paramètres!$G$5:$G$57,0)))+IF(RIGHT(TRIM(Paramètres!O40),3)="Fin",1-$H3172,IF(LEFT(TRIM(Paramètres!O40),1)="F",1,0)))))))</f>
        <v/>
      </c>
      <c r="F3172" s="19">
        <f>IF($A3172="","",E3172+$H3172-1)</f>
        <v/>
      </c>
      <c r="G3172" s="18" t="n"/>
      <c r="H3172" s="18">
        <f>IF($A3172="","",IF(I3172&lt;&gt;"",I3172,Paramètres!B40))</f>
        <v/>
      </c>
      <c r="I3172" s="18" t="n"/>
    </row>
    <row r="3173">
      <c r="A3173" s="18">
        <f>IF(ISNUMBER(Dossiers!$D$62),Dossiers!$A$62&amp;" · "&amp;Dossiers!$B$62,"")</f>
        <v/>
      </c>
      <c r="B3173" s="18">
        <f>IF($A3173="","",Paramètres!G41)</f>
        <v/>
      </c>
      <c r="C3173" s="18">
        <f>IF($A3173="","",IF(Paramètres!H41="","",Paramètres!H41))</f>
        <v/>
      </c>
      <c r="D3173" s="18">
        <f>IF($A3173="","",IF(Paramètres!I41="","",Paramètres!I41))</f>
        <v/>
      </c>
      <c r="E3173" s="19">
        <f>IF($A3173="","",IF(Paramètres!J41&amp;Paramètres!L41&amp;Paramètres!N41="",Dossiers!$D$62,MAX(IF(Paramètres!J41="",0,IF(Paramètres!K41="",NA(),IF(LEFT(TRIM(Paramètres!K41),1)="F",INDEX($F$3137:$F$3189,MATCH(Paramètres!J41,Paramètres!$G$5:$G$57,0)),INDEX($E$3137:$E$3189,MATCH(Paramètres!J41,Paramètres!$G$5:$G$57,0)))+IF(RIGHT(TRIM(Paramètres!K41),3)="Fin",1-$H3173,IF(LEFT(TRIM(Paramètres!K41),1)="F",1,0)))),IF(Paramètres!L41="",0,IF(Paramètres!M41="",NA(),IF(LEFT(TRIM(Paramètres!M41),1)="F",INDEX($F$3137:$F$3189,MATCH(Paramètres!L41,Paramètres!$G$5:$G$57,0)),INDEX($E$3137:$E$3189,MATCH(Paramètres!L41,Paramètres!$G$5:$G$57,0)))+IF(RIGHT(TRIM(Paramètres!M41),3)="Fin",1-$H3173,IF(LEFT(TRIM(Paramètres!M41),1)="F",1,0)))),IF(Paramètres!N41="",0,IF(Paramètres!O41="",NA(),IF(LEFT(TRIM(Paramètres!O41),1)="F",INDEX($F$3137:$F$3189,MATCH(Paramètres!N41,Paramètres!$G$5:$G$57,0)),INDEX($E$3137:$E$3189,MATCH(Paramètres!N41,Paramètres!$G$5:$G$57,0)))+IF(RIGHT(TRIM(Paramètres!O41),3)="Fin",1-$H3173,IF(LEFT(TRIM(Paramètres!O41),1)="F",1,0)))))))</f>
        <v/>
      </c>
      <c r="F3173" s="19">
        <f>IF($A3173="","",E3173+$H3173-1)</f>
        <v/>
      </c>
      <c r="G3173" s="18" t="n"/>
      <c r="H3173" s="18">
        <f>IF($A3173="","",IF(I3173&lt;&gt;"",I3173,Paramètres!B41))</f>
        <v/>
      </c>
      <c r="I3173" s="18" t="n"/>
    </row>
    <row r="3174">
      <c r="A3174" s="18">
        <f>IF(ISNUMBER(Dossiers!$D$62),Dossiers!$A$62&amp;" · "&amp;Dossiers!$B$62,"")</f>
        <v/>
      </c>
      <c r="B3174" s="18">
        <f>IF($A3174="","",Paramètres!G42)</f>
        <v/>
      </c>
      <c r="C3174" s="18">
        <f>IF($A3174="","",IF(Paramètres!H42="","",Paramètres!H42))</f>
        <v/>
      </c>
      <c r="D3174" s="18">
        <f>IF($A3174="","",IF(Paramètres!I42="","",Paramètres!I42))</f>
        <v/>
      </c>
      <c r="E3174" s="19">
        <f>IF($A3174="","",IF(Paramètres!J42&amp;Paramètres!L42&amp;Paramètres!N42="",Dossiers!$D$62,MAX(IF(Paramètres!J42="",0,IF(Paramètres!K42="",NA(),IF(LEFT(TRIM(Paramètres!K42),1)="F",INDEX($F$3137:$F$3189,MATCH(Paramètres!J42,Paramètres!$G$5:$G$57,0)),INDEX($E$3137:$E$3189,MATCH(Paramètres!J42,Paramètres!$G$5:$G$57,0)))+IF(RIGHT(TRIM(Paramètres!K42),3)="Fin",1-$H3174,IF(LEFT(TRIM(Paramètres!K42),1)="F",1,0)))),IF(Paramètres!L42="",0,IF(Paramètres!M42="",NA(),IF(LEFT(TRIM(Paramètres!M42),1)="F",INDEX($F$3137:$F$3189,MATCH(Paramètres!L42,Paramètres!$G$5:$G$57,0)),INDEX($E$3137:$E$3189,MATCH(Paramètres!L42,Paramètres!$G$5:$G$57,0)))+IF(RIGHT(TRIM(Paramètres!M42),3)="Fin",1-$H3174,IF(LEFT(TRIM(Paramètres!M42),1)="F",1,0)))),IF(Paramètres!N42="",0,IF(Paramètres!O42="",NA(),IF(LEFT(TRIM(Paramètres!O42),1)="F",INDEX($F$3137:$F$3189,MATCH(Paramètres!N42,Paramètres!$G$5:$G$57,0)),INDEX($E$3137:$E$3189,MATCH(Paramètres!N42,Paramètres!$G$5:$G$57,0)))+IF(RIGHT(TRIM(Paramètres!O42),3)="Fin",1-$H3174,IF(LEFT(TRIM(Paramètres!O42),1)="F",1,0)))))))</f>
        <v/>
      </c>
      <c r="F3174" s="19">
        <f>IF($A3174="","",E3174+$H3174-1)</f>
        <v/>
      </c>
      <c r="G3174" s="18" t="n"/>
      <c r="H3174" s="18">
        <f>IF($A3174="","",IF(I3174&lt;&gt;"",I3174,Paramètres!B42))</f>
        <v/>
      </c>
      <c r="I3174" s="18" t="n"/>
    </row>
    <row r="3175">
      <c r="A3175" s="18">
        <f>IF(ISNUMBER(Dossiers!$D$62),Dossiers!$A$62&amp;" · "&amp;Dossiers!$B$62,"")</f>
        <v/>
      </c>
      <c r="B3175" s="18">
        <f>IF($A3175="","",Paramètres!G43)</f>
        <v/>
      </c>
      <c r="C3175" s="18">
        <f>IF($A3175="","",IF(Paramètres!H43="","",Paramètres!H43))</f>
        <v/>
      </c>
      <c r="D3175" s="18">
        <f>IF($A3175="","",IF(Paramètres!I43="","",Paramètres!I43))</f>
        <v/>
      </c>
      <c r="E3175" s="19">
        <f>IF($A3175="","",IF(Paramètres!J43&amp;Paramètres!L43&amp;Paramètres!N43="",Dossiers!$D$62,MAX(IF(Paramètres!J43="",0,IF(Paramètres!K43="",NA(),IF(LEFT(TRIM(Paramètres!K43),1)="F",INDEX($F$3137:$F$3189,MATCH(Paramètres!J43,Paramètres!$G$5:$G$57,0)),INDEX($E$3137:$E$3189,MATCH(Paramètres!J43,Paramètres!$G$5:$G$57,0)))+IF(RIGHT(TRIM(Paramètres!K43),3)="Fin",1-$H3175,IF(LEFT(TRIM(Paramètres!K43),1)="F",1,0)))),IF(Paramètres!L43="",0,IF(Paramètres!M43="",NA(),IF(LEFT(TRIM(Paramètres!M43),1)="F",INDEX($F$3137:$F$3189,MATCH(Paramètres!L43,Paramètres!$G$5:$G$57,0)),INDEX($E$3137:$E$3189,MATCH(Paramètres!L43,Paramètres!$G$5:$G$57,0)))+IF(RIGHT(TRIM(Paramètres!M43),3)="Fin",1-$H3175,IF(LEFT(TRIM(Paramètres!M43),1)="F",1,0)))),IF(Paramètres!N43="",0,IF(Paramètres!O43="",NA(),IF(LEFT(TRIM(Paramètres!O43),1)="F",INDEX($F$3137:$F$3189,MATCH(Paramètres!N43,Paramètres!$G$5:$G$57,0)),INDEX($E$3137:$E$3189,MATCH(Paramètres!N43,Paramètres!$G$5:$G$57,0)))+IF(RIGHT(TRIM(Paramètres!O43),3)="Fin",1-$H3175,IF(LEFT(TRIM(Paramètres!O43),1)="F",1,0)))))))</f>
        <v/>
      </c>
      <c r="F3175" s="19">
        <f>IF($A3175="","",E3175+$H3175-1)</f>
        <v/>
      </c>
      <c r="G3175" s="18" t="n"/>
      <c r="H3175" s="18">
        <f>IF($A3175="","",IF(I3175&lt;&gt;"",I3175,Paramètres!B43))</f>
        <v/>
      </c>
      <c r="I3175" s="18" t="n"/>
    </row>
    <row r="3176">
      <c r="A3176" s="18">
        <f>IF(ISNUMBER(Dossiers!$D$62),Dossiers!$A$62&amp;" · "&amp;Dossiers!$B$62,"")</f>
        <v/>
      </c>
      <c r="B3176" s="18">
        <f>IF($A3176="","",Paramètres!G44)</f>
        <v/>
      </c>
      <c r="C3176" s="18">
        <f>IF($A3176="","",IF(Paramètres!H44="","",Paramètres!H44))</f>
        <v/>
      </c>
      <c r="D3176" s="18">
        <f>IF($A3176="","",IF(Paramètres!I44="","",Paramètres!I44))</f>
        <v/>
      </c>
      <c r="E3176" s="19">
        <f>IF($A3176="","",IF(Paramètres!J44&amp;Paramètres!L44&amp;Paramètres!N44="",Dossiers!$D$62,MAX(IF(Paramètres!J44="",0,IF(Paramètres!K44="",NA(),IF(LEFT(TRIM(Paramètres!K44),1)="F",INDEX($F$3137:$F$3189,MATCH(Paramètres!J44,Paramètres!$G$5:$G$57,0)),INDEX($E$3137:$E$3189,MATCH(Paramètres!J44,Paramètres!$G$5:$G$57,0)))+IF(RIGHT(TRIM(Paramètres!K44),3)="Fin",1-$H3176,IF(LEFT(TRIM(Paramètres!K44),1)="F",1,0)))),IF(Paramètres!L44="",0,IF(Paramètres!M44="",NA(),IF(LEFT(TRIM(Paramètres!M44),1)="F",INDEX($F$3137:$F$3189,MATCH(Paramètres!L44,Paramètres!$G$5:$G$57,0)),INDEX($E$3137:$E$3189,MATCH(Paramètres!L44,Paramètres!$G$5:$G$57,0)))+IF(RIGHT(TRIM(Paramètres!M44),3)="Fin",1-$H3176,IF(LEFT(TRIM(Paramètres!M44),1)="F",1,0)))),IF(Paramètres!N44="",0,IF(Paramètres!O44="",NA(),IF(LEFT(TRIM(Paramètres!O44),1)="F",INDEX($F$3137:$F$3189,MATCH(Paramètres!N44,Paramètres!$G$5:$G$57,0)),INDEX($E$3137:$E$3189,MATCH(Paramètres!N44,Paramètres!$G$5:$G$57,0)))+IF(RIGHT(TRIM(Paramètres!O44),3)="Fin",1-$H3176,IF(LEFT(TRIM(Paramètres!O44),1)="F",1,0)))))))</f>
        <v/>
      </c>
      <c r="F3176" s="19">
        <f>IF($A3176="","",E3176+$H3176-1)</f>
        <v/>
      </c>
      <c r="G3176" s="18" t="n"/>
      <c r="H3176" s="18">
        <f>IF($A3176="","",IF(I3176&lt;&gt;"",I3176,Paramètres!B44))</f>
        <v/>
      </c>
      <c r="I3176" s="18" t="n"/>
    </row>
    <row r="3177">
      <c r="A3177" s="18">
        <f>IF(ISNUMBER(Dossiers!$D$62),Dossiers!$A$62&amp;" · "&amp;Dossiers!$B$62,"")</f>
        <v/>
      </c>
      <c r="B3177" s="18">
        <f>IF($A3177="","",Paramètres!G45)</f>
        <v/>
      </c>
      <c r="C3177" s="20">
        <f>IF($A3177="","",IF(Dossiers!$G$62="","",Dossiers!$G$62))</f>
        <v/>
      </c>
      <c r="D3177" s="18">
        <f>IF($A3177="","",IF(Paramètres!I45="","",Paramètres!I45))</f>
        <v/>
      </c>
      <c r="E3177" s="19">
        <f>IF($A3177="","",IF(Paramètres!J45&amp;Paramètres!L45&amp;Paramètres!N45="",Dossiers!$D$62,MAX(IF(Paramètres!J45="",0,IF(Paramètres!K45="",NA(),IF(LEFT(TRIM(Paramètres!K45),1)="F",INDEX($F$3137:$F$3189,MATCH(Paramètres!J45,Paramètres!$G$5:$G$57,0)),INDEX($E$3137:$E$3189,MATCH(Paramètres!J45,Paramètres!$G$5:$G$57,0)))+IF(RIGHT(TRIM(Paramètres!K45),3)="Fin",1-$H3177,IF(LEFT(TRIM(Paramètres!K45),1)="F",1,0)))),IF(Paramètres!L45="",0,IF(Paramètres!M45="",NA(),IF(LEFT(TRIM(Paramètres!M45),1)="F",INDEX($F$3137:$F$3189,MATCH(Paramètres!L45,Paramètres!$G$5:$G$57,0)),INDEX($E$3137:$E$3189,MATCH(Paramètres!L45,Paramètres!$G$5:$G$57,0)))+IF(RIGHT(TRIM(Paramètres!M45),3)="Fin",1-$H3177,IF(LEFT(TRIM(Paramètres!M45),1)="F",1,0)))),IF(Paramètres!N45="",0,IF(Paramètres!O45="",NA(),IF(LEFT(TRIM(Paramètres!O45),1)="F",INDEX($F$3137:$F$3189,MATCH(Paramètres!N45,Paramètres!$G$5:$G$57,0)),INDEX($E$3137:$E$3189,MATCH(Paramètres!N45,Paramètres!$G$5:$G$57,0)))+IF(RIGHT(TRIM(Paramètres!O45),3)="Fin",1-$H3177,IF(LEFT(TRIM(Paramètres!O45),1)="F",1,0)))))))</f>
        <v/>
      </c>
      <c r="F3177" s="19">
        <f>IF($A3177="","",E3177+$H3177-1)</f>
        <v/>
      </c>
      <c r="G3177" s="18" t="n"/>
      <c r="H3177" s="18">
        <f>IF($A3177="","",IF(I3177&lt;&gt;"",I3177,Paramètres!B45))</f>
        <v/>
      </c>
      <c r="I3177" s="18" t="n"/>
    </row>
    <row r="3178">
      <c r="A3178" s="18">
        <f>IF(ISNUMBER(Dossiers!$D$62),Dossiers!$A$62&amp;" · "&amp;Dossiers!$B$62,"")</f>
        <v/>
      </c>
      <c r="B3178" s="18">
        <f>IF($A3178="","",Paramètres!G46)</f>
        <v/>
      </c>
      <c r="C3178" s="18">
        <f>IF($A3178="","",IF(Paramètres!H46="","",Paramètres!H46))</f>
        <v/>
      </c>
      <c r="D3178" s="18">
        <f>IF($A3178="","",IF(Paramètres!I46="","",Paramètres!I46))</f>
        <v/>
      </c>
      <c r="E3178" s="19">
        <f>IF($A3178="","",IF(Paramètres!J46&amp;Paramètres!L46&amp;Paramètres!N46="",Dossiers!$D$62,MAX(IF(Paramètres!J46="",0,IF(Paramètres!K46="",NA(),IF(LEFT(TRIM(Paramètres!K46),1)="F",INDEX($F$3137:$F$3189,MATCH(Paramètres!J46,Paramètres!$G$5:$G$57,0)),INDEX($E$3137:$E$3189,MATCH(Paramètres!J46,Paramètres!$G$5:$G$57,0)))+IF(RIGHT(TRIM(Paramètres!K46),3)="Fin",1-$H3178,IF(LEFT(TRIM(Paramètres!K46),1)="F",1,0)))),IF(Paramètres!L46="",0,IF(Paramètres!M46="",NA(),IF(LEFT(TRIM(Paramètres!M46),1)="F",INDEX($F$3137:$F$3189,MATCH(Paramètres!L46,Paramètres!$G$5:$G$57,0)),INDEX($E$3137:$E$3189,MATCH(Paramètres!L46,Paramètres!$G$5:$G$57,0)))+IF(RIGHT(TRIM(Paramètres!M46),3)="Fin",1-$H3178,IF(LEFT(TRIM(Paramètres!M46),1)="F",1,0)))),IF(Paramètres!N46="",0,IF(Paramètres!O46="",NA(),IF(LEFT(TRIM(Paramètres!O46),1)="F",INDEX($F$3137:$F$3189,MATCH(Paramètres!N46,Paramètres!$G$5:$G$57,0)),INDEX($E$3137:$E$3189,MATCH(Paramètres!N46,Paramètres!$G$5:$G$57,0)))+IF(RIGHT(TRIM(Paramètres!O46),3)="Fin",1-$H3178,IF(LEFT(TRIM(Paramètres!O46),1)="F",1,0)))))))</f>
        <v/>
      </c>
      <c r="F3178" s="19">
        <f>IF($A3178="","",E3178+$H3178-1)</f>
        <v/>
      </c>
      <c r="G3178" s="18" t="n"/>
      <c r="H3178" s="18">
        <f>IF($A3178="","",IF(I3178&lt;&gt;"",I3178,Paramètres!B46))</f>
        <v/>
      </c>
      <c r="I3178" s="18" t="n"/>
    </row>
    <row r="3179">
      <c r="A3179" s="18">
        <f>IF(ISNUMBER(Dossiers!$D$62),Dossiers!$A$62&amp;" · "&amp;Dossiers!$B$62,"")</f>
        <v/>
      </c>
      <c r="B3179" s="18">
        <f>IF($A3179="","",Paramètres!G47)</f>
        <v/>
      </c>
      <c r="C3179" s="18">
        <f>IF($A3179="","",IF(Paramètres!H47="","",Paramètres!H47))</f>
        <v/>
      </c>
      <c r="D3179" s="18">
        <f>IF($A3179="","",IF(Paramètres!I47="","",Paramètres!I47))</f>
        <v/>
      </c>
      <c r="E3179" s="19">
        <f>IF($A3179="","",IF(Paramètres!J47&amp;Paramètres!L47&amp;Paramètres!N47="",Dossiers!$D$62,MAX(IF(Paramètres!J47="",0,IF(Paramètres!K47="",NA(),IF(LEFT(TRIM(Paramètres!K47),1)="F",INDEX($F$3137:$F$3189,MATCH(Paramètres!J47,Paramètres!$G$5:$G$57,0)),INDEX($E$3137:$E$3189,MATCH(Paramètres!J47,Paramètres!$G$5:$G$57,0)))+IF(RIGHT(TRIM(Paramètres!K47),3)="Fin",1-$H3179,IF(LEFT(TRIM(Paramètres!K47),1)="F",1,0)))),IF(Paramètres!L47="",0,IF(Paramètres!M47="",NA(),IF(LEFT(TRIM(Paramètres!M47),1)="F",INDEX($F$3137:$F$3189,MATCH(Paramètres!L47,Paramètres!$G$5:$G$57,0)),INDEX($E$3137:$E$3189,MATCH(Paramètres!L47,Paramètres!$G$5:$G$57,0)))+IF(RIGHT(TRIM(Paramètres!M47),3)="Fin",1-$H3179,IF(LEFT(TRIM(Paramètres!M47),1)="F",1,0)))),IF(Paramètres!N47="",0,IF(Paramètres!O47="",NA(),IF(LEFT(TRIM(Paramètres!O47),1)="F",INDEX($F$3137:$F$3189,MATCH(Paramètres!N47,Paramètres!$G$5:$G$57,0)),INDEX($E$3137:$E$3189,MATCH(Paramètres!N47,Paramètres!$G$5:$G$57,0)))+IF(RIGHT(TRIM(Paramètres!O47),3)="Fin",1-$H3179,IF(LEFT(TRIM(Paramètres!O47),1)="F",1,0)))))))</f>
        <v/>
      </c>
      <c r="F3179" s="19">
        <f>IF($A3179="","",E3179+$H3179-1)</f>
        <v/>
      </c>
      <c r="G3179" s="18" t="n"/>
      <c r="H3179" s="18">
        <f>IF($A3179="","",IF(I3179&lt;&gt;"",I3179,Paramètres!B47))</f>
        <v/>
      </c>
      <c r="I3179" s="18" t="n"/>
    </row>
    <row r="3180">
      <c r="A3180" s="18">
        <f>IF(ISNUMBER(Dossiers!$D$62),Dossiers!$A$62&amp;" · "&amp;Dossiers!$B$62,"")</f>
        <v/>
      </c>
      <c r="B3180" s="18">
        <f>IF($A3180="","",Paramètres!G48)</f>
        <v/>
      </c>
      <c r="C3180" s="18">
        <f>IF($A3180="","",IF(Paramètres!H48="","",Paramètres!H48))</f>
        <v/>
      </c>
      <c r="D3180" s="18">
        <f>IF($A3180="","",IF(Paramètres!I48="","",Paramètres!I48))</f>
        <v/>
      </c>
      <c r="E3180" s="19">
        <f>IF($A3180="","",IF(Paramètres!J48&amp;Paramètres!L48&amp;Paramètres!N48="",Dossiers!$D$62,MAX(IF(Paramètres!J48="",0,IF(Paramètres!K48="",NA(),IF(LEFT(TRIM(Paramètres!K48),1)="F",INDEX($F$3137:$F$3189,MATCH(Paramètres!J48,Paramètres!$G$5:$G$57,0)),INDEX($E$3137:$E$3189,MATCH(Paramètres!J48,Paramètres!$G$5:$G$57,0)))+IF(RIGHT(TRIM(Paramètres!K48),3)="Fin",1-$H3180,IF(LEFT(TRIM(Paramètres!K48),1)="F",1,0)))),IF(Paramètres!L48="",0,IF(Paramètres!M48="",NA(),IF(LEFT(TRIM(Paramètres!M48),1)="F",INDEX($F$3137:$F$3189,MATCH(Paramètres!L48,Paramètres!$G$5:$G$57,0)),INDEX($E$3137:$E$3189,MATCH(Paramètres!L48,Paramètres!$G$5:$G$57,0)))+IF(RIGHT(TRIM(Paramètres!M48),3)="Fin",1-$H3180,IF(LEFT(TRIM(Paramètres!M48),1)="F",1,0)))),IF(Paramètres!N48="",0,IF(Paramètres!O48="",NA(),IF(LEFT(TRIM(Paramètres!O48),1)="F",INDEX($F$3137:$F$3189,MATCH(Paramètres!N48,Paramètres!$G$5:$G$57,0)),INDEX($E$3137:$E$3189,MATCH(Paramètres!N48,Paramètres!$G$5:$G$57,0)))+IF(RIGHT(TRIM(Paramètres!O48),3)="Fin",1-$H3180,IF(LEFT(TRIM(Paramètres!O48),1)="F",1,0)))))))</f>
        <v/>
      </c>
      <c r="F3180" s="19">
        <f>IF($A3180="","",E3180+$H3180-1)</f>
        <v/>
      </c>
      <c r="G3180" s="18" t="n"/>
      <c r="H3180" s="18">
        <f>IF($A3180="","",IF(I3180&lt;&gt;"",I3180,Paramètres!B48))</f>
        <v/>
      </c>
      <c r="I3180" s="18" t="n"/>
    </row>
    <row r="3181">
      <c r="A3181" s="18">
        <f>IF(ISNUMBER(Dossiers!$D$62),Dossiers!$A$62&amp;" · "&amp;Dossiers!$B$62,"")</f>
        <v/>
      </c>
      <c r="B3181" s="18">
        <f>IF($A3181="","",Paramètres!G49)</f>
        <v/>
      </c>
      <c r="C3181" s="18">
        <f>IF($A3181="","",IF(Paramètres!H49="","",Paramètres!H49))</f>
        <v/>
      </c>
      <c r="D3181" s="18">
        <f>IF($A3181="","",IF(Paramètres!I49="","",Paramètres!I49))</f>
        <v/>
      </c>
      <c r="E3181" s="19">
        <f>IF($A3181="","",IF(Paramètres!J49&amp;Paramètres!L49&amp;Paramètres!N49="",Dossiers!$D$62,MAX(IF(Paramètres!J49="",0,IF(Paramètres!K49="",NA(),IF(LEFT(TRIM(Paramètres!K49),1)="F",INDEX($F$3137:$F$3189,MATCH(Paramètres!J49,Paramètres!$G$5:$G$57,0)),INDEX($E$3137:$E$3189,MATCH(Paramètres!J49,Paramètres!$G$5:$G$57,0)))+IF(RIGHT(TRIM(Paramètres!K49),3)="Fin",1-$H3181,IF(LEFT(TRIM(Paramètres!K49),1)="F",1,0)))),IF(Paramètres!L49="",0,IF(Paramètres!M49="",NA(),IF(LEFT(TRIM(Paramètres!M49),1)="F",INDEX($F$3137:$F$3189,MATCH(Paramètres!L49,Paramètres!$G$5:$G$57,0)),INDEX($E$3137:$E$3189,MATCH(Paramètres!L49,Paramètres!$G$5:$G$57,0)))+IF(RIGHT(TRIM(Paramètres!M49),3)="Fin",1-$H3181,IF(LEFT(TRIM(Paramètres!M49),1)="F",1,0)))),IF(Paramètres!N49="",0,IF(Paramètres!O49="",NA(),IF(LEFT(TRIM(Paramètres!O49),1)="F",INDEX($F$3137:$F$3189,MATCH(Paramètres!N49,Paramètres!$G$5:$G$57,0)),INDEX($E$3137:$E$3189,MATCH(Paramètres!N49,Paramètres!$G$5:$G$57,0)))+IF(RIGHT(TRIM(Paramètres!O49),3)="Fin",1-$H3181,IF(LEFT(TRIM(Paramètres!O49),1)="F",1,0)))))))</f>
        <v/>
      </c>
      <c r="F3181" s="19">
        <f>IF($A3181="","",E3181+$H3181-1)</f>
        <v/>
      </c>
      <c r="G3181" s="18" t="n"/>
      <c r="H3181" s="18">
        <f>IF($A3181="","",IF(I3181&lt;&gt;"",I3181,Paramètres!B49))</f>
        <v/>
      </c>
      <c r="I3181" s="18" t="n"/>
    </row>
    <row r="3182">
      <c r="A3182" s="18">
        <f>IF(ISNUMBER(Dossiers!$D$62),Dossiers!$A$62&amp;" · "&amp;Dossiers!$B$62,"")</f>
        <v/>
      </c>
      <c r="B3182" s="18">
        <f>IF($A3182="","",Paramètres!G50)</f>
        <v/>
      </c>
      <c r="C3182" s="18">
        <f>IF($A3182="","",IF(Paramètres!H50="","",Paramètres!H50))</f>
        <v/>
      </c>
      <c r="D3182" s="18">
        <f>IF($A3182="","",IF(Paramètres!I50="","",Paramètres!I50))</f>
        <v/>
      </c>
      <c r="E3182" s="19">
        <f>IF($A3182="","",IF(Paramètres!J50&amp;Paramètres!L50&amp;Paramètres!N50="",Dossiers!$D$62,MAX(IF(Paramètres!J50="",0,IF(Paramètres!K50="",NA(),IF(LEFT(TRIM(Paramètres!K50),1)="F",INDEX($F$3137:$F$3189,MATCH(Paramètres!J50,Paramètres!$G$5:$G$57,0)),INDEX($E$3137:$E$3189,MATCH(Paramètres!J50,Paramètres!$G$5:$G$57,0)))+IF(RIGHT(TRIM(Paramètres!K50),3)="Fin",1-$H3182,IF(LEFT(TRIM(Paramètres!K50),1)="F",1,0)))),IF(Paramètres!L50="",0,IF(Paramètres!M50="",NA(),IF(LEFT(TRIM(Paramètres!M50),1)="F",INDEX($F$3137:$F$3189,MATCH(Paramètres!L50,Paramètres!$G$5:$G$57,0)),INDEX($E$3137:$E$3189,MATCH(Paramètres!L50,Paramètres!$G$5:$G$57,0)))+IF(RIGHT(TRIM(Paramètres!M50),3)="Fin",1-$H3182,IF(LEFT(TRIM(Paramètres!M50),1)="F",1,0)))),IF(Paramètres!N50="",0,IF(Paramètres!O50="",NA(),IF(LEFT(TRIM(Paramètres!O50),1)="F",INDEX($F$3137:$F$3189,MATCH(Paramètres!N50,Paramètres!$G$5:$G$57,0)),INDEX($E$3137:$E$3189,MATCH(Paramètres!N50,Paramètres!$G$5:$G$57,0)))+IF(RIGHT(TRIM(Paramètres!O50),3)="Fin",1-$H3182,IF(LEFT(TRIM(Paramètres!O50),1)="F",1,0)))))))</f>
        <v/>
      </c>
      <c r="F3182" s="19">
        <f>IF($A3182="","",E3182+$H3182-1)</f>
        <v/>
      </c>
      <c r="G3182" s="18" t="n"/>
      <c r="H3182" s="18">
        <f>IF($A3182="","",IF(I3182&lt;&gt;"",I3182,Paramètres!B50))</f>
        <v/>
      </c>
      <c r="I3182" s="18" t="n"/>
    </row>
    <row r="3183">
      <c r="A3183" s="18">
        <f>IF(ISNUMBER(Dossiers!$D$62),Dossiers!$A$62&amp;" · "&amp;Dossiers!$B$62,"")</f>
        <v/>
      </c>
      <c r="B3183" s="18">
        <f>IF($A3183="","",Paramètres!G51)</f>
        <v/>
      </c>
      <c r="C3183" s="18">
        <f>IF($A3183="","",IF(Paramètres!H51="","",Paramètres!H51))</f>
        <v/>
      </c>
      <c r="D3183" s="18">
        <f>IF($A3183="","",IF(Paramètres!I51="","",Paramètres!I51))</f>
        <v/>
      </c>
      <c r="E3183" s="19">
        <f>IF($A3183="","",IF(Paramètres!J51&amp;Paramètres!L51&amp;Paramètres!N51="",Dossiers!$D$62,MAX(IF(Paramètres!J51="",0,IF(Paramètres!K51="",NA(),IF(LEFT(TRIM(Paramètres!K51),1)="F",INDEX($F$3137:$F$3189,MATCH(Paramètres!J51,Paramètres!$G$5:$G$57,0)),INDEX($E$3137:$E$3189,MATCH(Paramètres!J51,Paramètres!$G$5:$G$57,0)))+IF(RIGHT(TRIM(Paramètres!K51),3)="Fin",1-$H3183,IF(LEFT(TRIM(Paramètres!K51),1)="F",1,0)))),IF(Paramètres!L51="",0,IF(Paramètres!M51="",NA(),IF(LEFT(TRIM(Paramètres!M51),1)="F",INDEX($F$3137:$F$3189,MATCH(Paramètres!L51,Paramètres!$G$5:$G$57,0)),INDEX($E$3137:$E$3189,MATCH(Paramètres!L51,Paramètres!$G$5:$G$57,0)))+IF(RIGHT(TRIM(Paramètres!M51),3)="Fin",1-$H3183,IF(LEFT(TRIM(Paramètres!M51),1)="F",1,0)))),IF(Paramètres!N51="",0,IF(Paramètres!O51="",NA(),IF(LEFT(TRIM(Paramètres!O51),1)="F",INDEX($F$3137:$F$3189,MATCH(Paramètres!N51,Paramètres!$G$5:$G$57,0)),INDEX($E$3137:$E$3189,MATCH(Paramètres!N51,Paramètres!$G$5:$G$57,0)))+IF(RIGHT(TRIM(Paramètres!O51),3)="Fin",1-$H3183,IF(LEFT(TRIM(Paramètres!O51),1)="F",1,0)))))))</f>
        <v/>
      </c>
      <c r="F3183" s="19">
        <f>IF($A3183="","",E3183+$H3183-1)</f>
        <v/>
      </c>
      <c r="G3183" s="18" t="n"/>
      <c r="H3183" s="18">
        <f>IF($A3183="","",IF(I3183&lt;&gt;"",I3183,Paramètres!B51))</f>
        <v/>
      </c>
      <c r="I3183" s="18" t="n"/>
    </row>
    <row r="3184">
      <c r="A3184" s="18">
        <f>IF(ISNUMBER(Dossiers!$D$62),Dossiers!$A$62&amp;" · "&amp;Dossiers!$B$62,"")</f>
        <v/>
      </c>
      <c r="B3184" s="18">
        <f>IF($A3184="","",Paramètres!G52)</f>
        <v/>
      </c>
      <c r="C3184" s="18">
        <f>IF($A3184="","",IF(Paramètres!H52="","",Paramètres!H52))</f>
        <v/>
      </c>
      <c r="D3184" s="18">
        <f>IF($A3184="","",IF(Paramètres!I52="","",Paramètres!I52))</f>
        <v/>
      </c>
      <c r="E3184" s="19">
        <f>IF($A3184="","",IF(Paramètres!J52&amp;Paramètres!L52&amp;Paramètres!N52="",Dossiers!$D$62,MAX(IF(Paramètres!J52="",0,IF(Paramètres!K52="",NA(),IF(LEFT(TRIM(Paramètres!K52),1)="F",INDEX($F$3137:$F$3189,MATCH(Paramètres!J52,Paramètres!$G$5:$G$57,0)),INDEX($E$3137:$E$3189,MATCH(Paramètres!J52,Paramètres!$G$5:$G$57,0)))+IF(RIGHT(TRIM(Paramètres!K52),3)="Fin",1-$H3184,IF(LEFT(TRIM(Paramètres!K52),1)="F",1,0)))),IF(Paramètres!L52="",0,IF(Paramètres!M52="",NA(),IF(LEFT(TRIM(Paramètres!M52),1)="F",INDEX($F$3137:$F$3189,MATCH(Paramètres!L52,Paramètres!$G$5:$G$57,0)),INDEX($E$3137:$E$3189,MATCH(Paramètres!L52,Paramètres!$G$5:$G$57,0)))+IF(RIGHT(TRIM(Paramètres!M52),3)="Fin",1-$H3184,IF(LEFT(TRIM(Paramètres!M52),1)="F",1,0)))),IF(Paramètres!N52="",0,IF(Paramètres!O52="",NA(),IF(LEFT(TRIM(Paramètres!O52),1)="F",INDEX($F$3137:$F$3189,MATCH(Paramètres!N52,Paramètres!$G$5:$G$57,0)),INDEX($E$3137:$E$3189,MATCH(Paramètres!N52,Paramètres!$G$5:$G$57,0)))+IF(RIGHT(TRIM(Paramètres!O52),3)="Fin",1-$H3184,IF(LEFT(TRIM(Paramètres!O52),1)="F",1,0)))))))</f>
        <v/>
      </c>
      <c r="F3184" s="19">
        <f>IF($A3184="","",E3184+$H3184-1)</f>
        <v/>
      </c>
      <c r="G3184" s="18" t="n"/>
      <c r="H3184" s="18">
        <f>IF($A3184="","",IF(I3184&lt;&gt;"",I3184,Paramètres!B52))</f>
        <v/>
      </c>
      <c r="I3184" s="18" t="n"/>
    </row>
    <row r="3185">
      <c r="A3185" s="18">
        <f>IF(ISNUMBER(Dossiers!$D$62),Dossiers!$A$62&amp;" · "&amp;Dossiers!$B$62,"")</f>
        <v/>
      </c>
      <c r="B3185" s="18">
        <f>IF($A3185="","",Paramètres!G53)</f>
        <v/>
      </c>
      <c r="C3185" s="18">
        <f>IF($A3185="","",IF(Paramètres!H53="","",Paramètres!H53))</f>
        <v/>
      </c>
      <c r="D3185" s="18">
        <f>IF($A3185="","",IF(Paramètres!I53="","",Paramètres!I53))</f>
        <v/>
      </c>
      <c r="E3185" s="19">
        <f>IF($A3185="","",IF(Paramètres!J53&amp;Paramètres!L53&amp;Paramètres!N53="",Dossiers!$D$62,MAX(IF(Paramètres!J53="",0,IF(Paramètres!K53="",NA(),IF(LEFT(TRIM(Paramètres!K53),1)="F",INDEX($F$3137:$F$3189,MATCH(Paramètres!J53,Paramètres!$G$5:$G$57,0)),INDEX($E$3137:$E$3189,MATCH(Paramètres!J53,Paramètres!$G$5:$G$57,0)))+IF(RIGHT(TRIM(Paramètres!K53),3)="Fin",1-$H3185,IF(LEFT(TRIM(Paramètres!K53),1)="F",1,0)))),IF(Paramètres!L53="",0,IF(Paramètres!M53="",NA(),IF(LEFT(TRIM(Paramètres!M53),1)="F",INDEX($F$3137:$F$3189,MATCH(Paramètres!L53,Paramètres!$G$5:$G$57,0)),INDEX($E$3137:$E$3189,MATCH(Paramètres!L53,Paramètres!$G$5:$G$57,0)))+IF(RIGHT(TRIM(Paramètres!M53),3)="Fin",1-$H3185,IF(LEFT(TRIM(Paramètres!M53),1)="F",1,0)))),IF(Paramètres!N53="",0,IF(Paramètres!O53="",NA(),IF(LEFT(TRIM(Paramètres!O53),1)="F",INDEX($F$3137:$F$3189,MATCH(Paramètres!N53,Paramètres!$G$5:$G$57,0)),INDEX($E$3137:$E$3189,MATCH(Paramètres!N53,Paramètres!$G$5:$G$57,0)))+IF(RIGHT(TRIM(Paramètres!O53),3)="Fin",1-$H3185,IF(LEFT(TRIM(Paramètres!O53),1)="F",1,0)))))))</f>
        <v/>
      </c>
      <c r="F3185" s="19">
        <f>IF($A3185="","",E3185+$H3185-1)</f>
        <v/>
      </c>
      <c r="G3185" s="18" t="n"/>
      <c r="H3185" s="18">
        <f>IF($A3185="","",IF(I3185&lt;&gt;"",I3185,Paramètres!B53))</f>
        <v/>
      </c>
      <c r="I3185" s="18" t="n"/>
    </row>
    <row r="3186">
      <c r="A3186" s="18">
        <f>IF(ISNUMBER(Dossiers!$D$62),Dossiers!$A$62&amp;" · "&amp;Dossiers!$B$62,"")</f>
        <v/>
      </c>
      <c r="B3186" s="18">
        <f>IF($A3186="","",Paramètres!G54)</f>
        <v/>
      </c>
      <c r="C3186" s="18">
        <f>IF($A3186="","",IF(Paramètres!H54="","",Paramètres!H54))</f>
        <v/>
      </c>
      <c r="D3186" s="18">
        <f>IF($A3186="","",IF(Paramètres!I54="","",Paramètres!I54))</f>
        <v/>
      </c>
      <c r="E3186" s="19">
        <f>IF($A3186="","",IF(Paramètres!J54&amp;Paramètres!L54&amp;Paramètres!N54="",Dossiers!$D$62,MAX(IF(Paramètres!J54="",0,IF(Paramètres!K54="",NA(),IF(LEFT(TRIM(Paramètres!K54),1)="F",INDEX($F$3137:$F$3189,MATCH(Paramètres!J54,Paramètres!$G$5:$G$57,0)),INDEX($E$3137:$E$3189,MATCH(Paramètres!J54,Paramètres!$G$5:$G$57,0)))+IF(RIGHT(TRIM(Paramètres!K54),3)="Fin",1-$H3186,IF(LEFT(TRIM(Paramètres!K54),1)="F",1,0)))),IF(Paramètres!L54="",0,IF(Paramètres!M54="",NA(),IF(LEFT(TRIM(Paramètres!M54),1)="F",INDEX($F$3137:$F$3189,MATCH(Paramètres!L54,Paramètres!$G$5:$G$57,0)),INDEX($E$3137:$E$3189,MATCH(Paramètres!L54,Paramètres!$G$5:$G$57,0)))+IF(RIGHT(TRIM(Paramètres!M54),3)="Fin",1-$H3186,IF(LEFT(TRIM(Paramètres!M54),1)="F",1,0)))),IF(Paramètres!N54="",0,IF(Paramètres!O54="",NA(),IF(LEFT(TRIM(Paramètres!O54),1)="F",INDEX($F$3137:$F$3189,MATCH(Paramètres!N54,Paramètres!$G$5:$G$57,0)),INDEX($E$3137:$E$3189,MATCH(Paramètres!N54,Paramètres!$G$5:$G$57,0)))+IF(RIGHT(TRIM(Paramètres!O54),3)="Fin",1-$H3186,IF(LEFT(TRIM(Paramètres!O54),1)="F",1,0)))))))</f>
        <v/>
      </c>
      <c r="F3186" s="19">
        <f>IF($A3186="","",E3186+$H3186-1)</f>
        <v/>
      </c>
      <c r="G3186" s="18" t="n"/>
      <c r="H3186" s="18">
        <f>IF($A3186="","",IF(I3186&lt;&gt;"",I3186,Paramètres!B54))</f>
        <v/>
      </c>
      <c r="I3186" s="18" t="n"/>
    </row>
    <row r="3187">
      <c r="A3187" s="18">
        <f>IF(ISNUMBER(Dossiers!$D$62),Dossiers!$A$62&amp;" · "&amp;Dossiers!$B$62,"")</f>
        <v/>
      </c>
      <c r="B3187" s="18">
        <f>IF($A3187="","",Paramètres!G55)</f>
        <v/>
      </c>
      <c r="C3187" s="18">
        <f>IF($A3187="","",IF(Paramètres!H55="","",Paramètres!H55))</f>
        <v/>
      </c>
      <c r="D3187" s="18">
        <f>IF($A3187="","",IF(Paramètres!I55="","",Paramètres!I55))</f>
        <v/>
      </c>
      <c r="E3187" s="19">
        <f>IF($A3187="","",IF(Paramètres!J55&amp;Paramètres!L55&amp;Paramètres!N55="",Dossiers!$D$62,MAX(IF(Paramètres!J55="",0,IF(Paramètres!K55="",NA(),IF(LEFT(TRIM(Paramètres!K55),1)="F",INDEX($F$3137:$F$3189,MATCH(Paramètres!J55,Paramètres!$G$5:$G$57,0)),INDEX($E$3137:$E$3189,MATCH(Paramètres!J55,Paramètres!$G$5:$G$57,0)))+IF(RIGHT(TRIM(Paramètres!K55),3)="Fin",1-$H3187,IF(LEFT(TRIM(Paramètres!K55),1)="F",1,0)))),IF(Paramètres!L55="",0,IF(Paramètres!M55="",NA(),IF(LEFT(TRIM(Paramètres!M55),1)="F",INDEX($F$3137:$F$3189,MATCH(Paramètres!L55,Paramètres!$G$5:$G$57,0)),INDEX($E$3137:$E$3189,MATCH(Paramètres!L55,Paramètres!$G$5:$G$57,0)))+IF(RIGHT(TRIM(Paramètres!M55),3)="Fin",1-$H3187,IF(LEFT(TRIM(Paramètres!M55),1)="F",1,0)))),IF(Paramètres!N55="",0,IF(Paramètres!O55="",NA(),IF(LEFT(TRIM(Paramètres!O55),1)="F",INDEX($F$3137:$F$3189,MATCH(Paramètres!N55,Paramètres!$G$5:$G$57,0)),INDEX($E$3137:$E$3189,MATCH(Paramètres!N55,Paramètres!$G$5:$G$57,0)))+IF(RIGHT(TRIM(Paramètres!O55),3)="Fin",1-$H3187,IF(LEFT(TRIM(Paramètres!O55),1)="F",1,0)))))))</f>
        <v/>
      </c>
      <c r="F3187" s="19">
        <f>IF($A3187="","",E3187+$H3187-1)</f>
        <v/>
      </c>
      <c r="G3187" s="18" t="n"/>
      <c r="H3187" s="18">
        <f>IF($A3187="","",IF(I3187&lt;&gt;"",I3187,Paramètres!B55))</f>
        <v/>
      </c>
      <c r="I3187" s="18" t="n"/>
    </row>
    <row r="3188">
      <c r="A3188" s="18">
        <f>IF(ISNUMBER(Dossiers!$D$62),Dossiers!$A$62&amp;" · "&amp;Dossiers!$B$62,"")</f>
        <v/>
      </c>
      <c r="B3188" s="18">
        <f>IF($A3188="","",Paramètres!G56)</f>
        <v/>
      </c>
      <c r="C3188" s="18">
        <f>IF($A3188="","",IF(Paramètres!H56="","",Paramètres!H56))</f>
        <v/>
      </c>
      <c r="D3188" s="18">
        <f>IF($A3188="","",IF(Paramètres!I56="","",Paramètres!I56))</f>
        <v/>
      </c>
      <c r="E3188" s="19">
        <f>IF($A3188="","",MIN(E3189:E3189))</f>
        <v/>
      </c>
      <c r="F3188" s="19">
        <f>IF($A3188="","",MAX(F3189:F3189))</f>
        <v/>
      </c>
      <c r="G3188" s="18" t="n"/>
      <c r="H3188" s="18">
        <f>IF($A3188="","",F3188-E3188+1)</f>
        <v/>
      </c>
      <c r="I3188" s="18" t="n"/>
    </row>
    <row r="3189">
      <c r="A3189" s="18">
        <f>IF(ISNUMBER(Dossiers!$D$62),Dossiers!$A$62&amp;" · "&amp;Dossiers!$B$62,"")</f>
        <v/>
      </c>
      <c r="B3189" s="18">
        <f>IF($A3189="","",Paramètres!G57)</f>
        <v/>
      </c>
      <c r="C3189" s="18">
        <f>IF($A3189="","",IF(Paramètres!H57="","",Paramètres!H57))</f>
        <v/>
      </c>
      <c r="D3189" s="18">
        <f>IF($A3189="","",IF(Paramètres!I57="","",Paramètres!I57))</f>
        <v/>
      </c>
      <c r="E3189" s="19">
        <f>IF($A3189="","",IF(Paramètres!J57&amp;Paramètres!L57&amp;Paramètres!N57="",Dossiers!$D$62,MAX(IF(Paramètres!J57="",0,IF(Paramètres!K57="",NA(),IF(LEFT(TRIM(Paramètres!K57),1)="F",INDEX($F$3137:$F$3189,MATCH(Paramètres!J57,Paramètres!$G$5:$G$57,0)),INDEX($E$3137:$E$3189,MATCH(Paramètres!J57,Paramètres!$G$5:$G$57,0)))+IF(RIGHT(TRIM(Paramètres!K57),3)="Fin",1-$H3189,IF(LEFT(TRIM(Paramètres!K57),1)="F",1,0)))),IF(Paramètres!L57="",0,IF(Paramètres!M57="",NA(),IF(LEFT(TRIM(Paramètres!M57),1)="F",INDEX($F$3137:$F$3189,MATCH(Paramètres!L57,Paramètres!$G$5:$G$57,0)),INDEX($E$3137:$E$3189,MATCH(Paramètres!L57,Paramètres!$G$5:$G$57,0)))+IF(RIGHT(TRIM(Paramètres!M57),3)="Fin",1-$H3189,IF(LEFT(TRIM(Paramètres!M57),1)="F",1,0)))),IF(Paramètres!N57="",0,IF(Paramètres!O57="",NA(),IF(LEFT(TRIM(Paramètres!O57),1)="F",INDEX($F$3137:$F$3189,MATCH(Paramètres!N57,Paramètres!$G$5:$G$57,0)),INDEX($E$3137:$E$3189,MATCH(Paramètres!N57,Paramètres!$G$5:$G$57,0)))+IF(RIGHT(TRIM(Paramètres!O57),3)="Fin",1-$H3189,IF(LEFT(TRIM(Paramètres!O57),1)="F",1,0)))))))</f>
        <v/>
      </c>
      <c r="F3189" s="19">
        <f>IF($A3189="","",E3189+$H3189-1)</f>
        <v/>
      </c>
      <c r="G3189" s="18" t="n"/>
      <c r="H3189" s="18">
        <f>IF($A3189="","",IF(I3189&lt;&gt;"",I3189,Paramètres!B57))</f>
        <v/>
      </c>
      <c r="I3189" s="18" t="n"/>
    </row>
    <row r="3190">
      <c r="A3190" s="16">
        <f>IF(ISNUMBER(Dossiers!$D$63),Dossiers!$E$63,"")</f>
        <v/>
      </c>
      <c r="B3190" s="16">
        <f>IF($A3190="","","Identifiant")</f>
        <v/>
      </c>
      <c r="C3190" s="16">
        <f>IF($A3190="","","Macro Etape")</f>
        <v/>
      </c>
      <c r="D3190" s="16">
        <f>IF($A3190="","","Etape")</f>
        <v/>
      </c>
      <c r="E3190" s="17">
        <f>IF($A3190="","","Début le")</f>
        <v/>
      </c>
      <c r="F3190" s="17">
        <f>IF($A3190="","","Fin prévue le")</f>
        <v/>
      </c>
      <c r="G3190" s="16">
        <f>IF($A3190="","","Statut")</f>
        <v/>
      </c>
      <c r="H3190" s="16">
        <f>IF($A3190="","","Durée (jours)")</f>
        <v/>
      </c>
      <c r="I3190" s="16">
        <f>IF($A3190="","","Durée particulière")</f>
        <v/>
      </c>
      <c r="J3190" s="10">
        <f>IF($A3190="","",HYPERLINK("#'Tableau de bord'!A1","↑ Tableau de bord"))</f>
        <v/>
      </c>
    </row>
    <row r="3191">
      <c r="A3191" s="18">
        <f>IF(ISNUMBER(Dossiers!$D$63),Dossiers!$A$63&amp;" · "&amp;Dossiers!$B$63,"")</f>
        <v/>
      </c>
      <c r="B3191" s="18">
        <f>IF($A3191="","",Paramètres!G5)</f>
        <v/>
      </c>
      <c r="C3191" s="18">
        <f>IF($A3191="","",IF(Paramètres!H5="","",Paramètres!H5))</f>
        <v/>
      </c>
      <c r="D3191" s="18">
        <f>IF($A3191="","",IF(Paramètres!I5="","",Paramètres!I5))</f>
        <v/>
      </c>
      <c r="E3191" s="19">
        <f>IF($A3191="","",MIN(E3192:E3195))</f>
        <v/>
      </c>
      <c r="F3191" s="19">
        <f>IF($A3191="","",MAX(F3192:F3195))</f>
        <v/>
      </c>
      <c r="G3191" s="18" t="n"/>
      <c r="H3191" s="18">
        <f>IF($A3191="","",F3191-E3191+1)</f>
        <v/>
      </c>
      <c r="I3191" s="18" t="n"/>
    </row>
    <row r="3192">
      <c r="A3192" s="18">
        <f>IF(ISNUMBER(Dossiers!$D$63),Dossiers!$A$63&amp;" · "&amp;Dossiers!$B$63,"")</f>
        <v/>
      </c>
      <c r="B3192" s="18">
        <f>IF($A3192="","",Paramètres!G6)</f>
        <v/>
      </c>
      <c r="C3192" s="18">
        <f>IF($A3192="","",IF(Paramètres!H6="","",Paramètres!H6))</f>
        <v/>
      </c>
      <c r="D3192" s="18">
        <f>IF($A3192="","",IF(Paramètres!I6="","",Paramètres!I6))</f>
        <v/>
      </c>
      <c r="E3192" s="19">
        <f>IF($A3192="","",IF(Paramètres!J6&amp;Paramètres!L6&amp;Paramètres!N6="",Dossiers!$D$63,MAX(IF(Paramètres!J6="",0,IF(Paramètres!K6="",NA(),IF(LEFT(TRIM(Paramètres!K6),1)="F",INDEX($F$3191:$F$3243,MATCH(Paramètres!J6,Paramètres!$G$5:$G$57,0)),INDEX($E$3191:$E$3243,MATCH(Paramètres!J6,Paramètres!$G$5:$G$57,0)))+IF(RIGHT(TRIM(Paramètres!K6),3)="Fin",1-$H3192,IF(LEFT(TRIM(Paramètres!K6),1)="F",1,0)))),IF(Paramètres!L6="",0,IF(Paramètres!M6="",NA(),IF(LEFT(TRIM(Paramètres!M6),1)="F",INDEX($F$3191:$F$3243,MATCH(Paramètres!L6,Paramètres!$G$5:$G$57,0)),INDEX($E$3191:$E$3243,MATCH(Paramètres!L6,Paramètres!$G$5:$G$57,0)))+IF(RIGHT(TRIM(Paramètres!M6),3)="Fin",1-$H3192,IF(LEFT(TRIM(Paramètres!M6),1)="F",1,0)))),IF(Paramètres!N6="",0,IF(Paramètres!O6="",NA(),IF(LEFT(TRIM(Paramètres!O6),1)="F",INDEX($F$3191:$F$3243,MATCH(Paramètres!N6,Paramètres!$G$5:$G$57,0)),INDEX($E$3191:$E$3243,MATCH(Paramètres!N6,Paramètres!$G$5:$G$57,0)))+IF(RIGHT(TRIM(Paramètres!O6),3)="Fin",1-$H3192,IF(LEFT(TRIM(Paramètres!O6),1)="F",1,0)))))))</f>
        <v/>
      </c>
      <c r="F3192" s="19">
        <f>IF($A3192="","",E3192+$H3192-1)</f>
        <v/>
      </c>
      <c r="G3192" s="18" t="n"/>
      <c r="H3192" s="18">
        <f>IF($A3192="","",IF(I3192&lt;&gt;"",I3192,Paramètres!B6))</f>
        <v/>
      </c>
      <c r="I3192" s="18" t="n"/>
    </row>
    <row r="3193">
      <c r="A3193" s="18">
        <f>IF(ISNUMBER(Dossiers!$D$63),Dossiers!$A$63&amp;" · "&amp;Dossiers!$B$63,"")</f>
        <v/>
      </c>
      <c r="B3193" s="18">
        <f>IF($A3193="","",Paramètres!G7)</f>
        <v/>
      </c>
      <c r="C3193" s="18">
        <f>IF($A3193="","",IF(Paramètres!H7="","",Paramètres!H7))</f>
        <v/>
      </c>
      <c r="D3193" s="18">
        <f>IF($A3193="","",IF(Paramètres!I7="","",Paramètres!I7))</f>
        <v/>
      </c>
      <c r="E3193" s="19">
        <f>IF($A3193="","",IF(Paramètres!J7&amp;Paramètres!L7&amp;Paramètres!N7="",Dossiers!$D$63,MAX(IF(Paramètres!J7="",0,IF(Paramètres!K7="",NA(),IF(LEFT(TRIM(Paramètres!K7),1)="F",INDEX($F$3191:$F$3243,MATCH(Paramètres!J7,Paramètres!$G$5:$G$57,0)),INDEX($E$3191:$E$3243,MATCH(Paramètres!J7,Paramètres!$G$5:$G$57,0)))+IF(RIGHT(TRIM(Paramètres!K7),3)="Fin",1-$H3193,IF(LEFT(TRIM(Paramètres!K7),1)="F",1,0)))),IF(Paramètres!L7="",0,IF(Paramètres!M7="",NA(),IF(LEFT(TRIM(Paramètres!M7),1)="F",INDEX($F$3191:$F$3243,MATCH(Paramètres!L7,Paramètres!$G$5:$G$57,0)),INDEX($E$3191:$E$3243,MATCH(Paramètres!L7,Paramètres!$G$5:$G$57,0)))+IF(RIGHT(TRIM(Paramètres!M7),3)="Fin",1-$H3193,IF(LEFT(TRIM(Paramètres!M7),1)="F",1,0)))),IF(Paramètres!N7="",0,IF(Paramètres!O7="",NA(),IF(LEFT(TRIM(Paramètres!O7),1)="F",INDEX($F$3191:$F$3243,MATCH(Paramètres!N7,Paramètres!$G$5:$G$57,0)),INDEX($E$3191:$E$3243,MATCH(Paramètres!N7,Paramètres!$G$5:$G$57,0)))+IF(RIGHT(TRIM(Paramètres!O7),3)="Fin",1-$H3193,IF(LEFT(TRIM(Paramètres!O7),1)="F",1,0)))))))</f>
        <v/>
      </c>
      <c r="F3193" s="19">
        <f>IF($A3193="","",E3193+$H3193-1)</f>
        <v/>
      </c>
      <c r="G3193" s="18" t="n"/>
      <c r="H3193" s="18">
        <f>IF($A3193="","",IF(I3193&lt;&gt;"",I3193,Paramètres!B7))</f>
        <v/>
      </c>
      <c r="I3193" s="18" t="n"/>
    </row>
    <row r="3194">
      <c r="A3194" s="18">
        <f>IF(ISNUMBER(Dossiers!$D$63),Dossiers!$A$63&amp;" · "&amp;Dossiers!$B$63,"")</f>
        <v/>
      </c>
      <c r="B3194" s="18">
        <f>IF($A3194="","",Paramètres!G8)</f>
        <v/>
      </c>
      <c r="C3194" s="18">
        <f>IF($A3194="","",IF(Paramètres!H8="","",Paramètres!H8))</f>
        <v/>
      </c>
      <c r="D3194" s="18">
        <f>IF($A3194="","",IF(Paramètres!I8="","",Paramètres!I8))</f>
        <v/>
      </c>
      <c r="E3194" s="19">
        <f>IF($A3194="","",IF(Paramètres!J8&amp;Paramètres!L8&amp;Paramètres!N8="",Dossiers!$D$63,MAX(IF(Paramètres!J8="",0,IF(Paramètres!K8="",NA(),IF(LEFT(TRIM(Paramètres!K8),1)="F",INDEX($F$3191:$F$3243,MATCH(Paramètres!J8,Paramètres!$G$5:$G$57,0)),INDEX($E$3191:$E$3243,MATCH(Paramètres!J8,Paramètres!$G$5:$G$57,0)))+IF(RIGHT(TRIM(Paramètres!K8),3)="Fin",1-$H3194,IF(LEFT(TRIM(Paramètres!K8),1)="F",1,0)))),IF(Paramètres!L8="",0,IF(Paramètres!M8="",NA(),IF(LEFT(TRIM(Paramètres!M8),1)="F",INDEX($F$3191:$F$3243,MATCH(Paramètres!L8,Paramètres!$G$5:$G$57,0)),INDEX($E$3191:$E$3243,MATCH(Paramètres!L8,Paramètres!$G$5:$G$57,0)))+IF(RIGHT(TRIM(Paramètres!M8),3)="Fin",1-$H3194,IF(LEFT(TRIM(Paramètres!M8),1)="F",1,0)))),IF(Paramètres!N8="",0,IF(Paramètres!O8="",NA(),IF(LEFT(TRIM(Paramètres!O8),1)="F",INDEX($F$3191:$F$3243,MATCH(Paramètres!N8,Paramètres!$G$5:$G$57,0)),INDEX($E$3191:$E$3243,MATCH(Paramètres!N8,Paramètres!$G$5:$G$57,0)))+IF(RIGHT(TRIM(Paramètres!O8),3)="Fin",1-$H3194,IF(LEFT(TRIM(Paramètres!O8),1)="F",1,0)))))))</f>
        <v/>
      </c>
      <c r="F3194" s="19">
        <f>IF($A3194="","",E3194+$H3194-1)</f>
        <v/>
      </c>
      <c r="G3194" s="18" t="n"/>
      <c r="H3194" s="18">
        <f>IF($A3194="","",IF(I3194&lt;&gt;"",I3194,Paramètres!B8))</f>
        <v/>
      </c>
      <c r="I3194" s="18" t="n"/>
    </row>
    <row r="3195">
      <c r="A3195" s="18">
        <f>IF(ISNUMBER(Dossiers!$D$63),Dossiers!$A$63&amp;" · "&amp;Dossiers!$B$63,"")</f>
        <v/>
      </c>
      <c r="B3195" s="18">
        <f>IF($A3195="","",Paramètres!G9)</f>
        <v/>
      </c>
      <c r="C3195" s="18">
        <f>IF($A3195="","",IF(Paramètres!H9="","",Paramètres!H9))</f>
        <v/>
      </c>
      <c r="D3195" s="18">
        <f>IF($A3195="","",IF(Paramètres!I9="","",Paramètres!I9))</f>
        <v/>
      </c>
      <c r="E3195" s="19">
        <f>IF($A3195="","",IF(Paramètres!J9&amp;Paramètres!L9&amp;Paramètres!N9="",Dossiers!$D$63,MAX(IF(Paramètres!J9="",0,IF(Paramètres!K9="",NA(),IF(LEFT(TRIM(Paramètres!K9),1)="F",INDEX($F$3191:$F$3243,MATCH(Paramètres!J9,Paramètres!$G$5:$G$57,0)),INDEX($E$3191:$E$3243,MATCH(Paramètres!J9,Paramètres!$G$5:$G$57,0)))+IF(RIGHT(TRIM(Paramètres!K9),3)="Fin",1-$H3195,IF(LEFT(TRIM(Paramètres!K9),1)="F",1,0)))),IF(Paramètres!L9="",0,IF(Paramètres!M9="",NA(),IF(LEFT(TRIM(Paramètres!M9),1)="F",INDEX($F$3191:$F$3243,MATCH(Paramètres!L9,Paramètres!$G$5:$G$57,0)),INDEX($E$3191:$E$3243,MATCH(Paramètres!L9,Paramètres!$G$5:$G$57,0)))+IF(RIGHT(TRIM(Paramètres!M9),3)="Fin",1-$H3195,IF(LEFT(TRIM(Paramètres!M9),1)="F",1,0)))),IF(Paramètres!N9="",0,IF(Paramètres!O9="",NA(),IF(LEFT(TRIM(Paramètres!O9),1)="F",INDEX($F$3191:$F$3243,MATCH(Paramètres!N9,Paramètres!$G$5:$G$57,0)),INDEX($E$3191:$E$3243,MATCH(Paramètres!N9,Paramètres!$G$5:$G$57,0)))+IF(RIGHT(TRIM(Paramètres!O9),3)="Fin",1-$H3195,IF(LEFT(TRIM(Paramètres!O9),1)="F",1,0)))))))</f>
        <v/>
      </c>
      <c r="F3195" s="19">
        <f>IF($A3195="","",E3195+$H3195-1)</f>
        <v/>
      </c>
      <c r="G3195" s="18" t="n"/>
      <c r="H3195" s="18">
        <f>IF($A3195="","",IF(I3195&lt;&gt;"",I3195,Paramètres!B9))</f>
        <v/>
      </c>
      <c r="I3195" s="18" t="n"/>
    </row>
    <row r="3196">
      <c r="A3196" s="18">
        <f>IF(ISNUMBER(Dossiers!$D$63),Dossiers!$A$63&amp;" · "&amp;Dossiers!$B$63,"")</f>
        <v/>
      </c>
      <c r="B3196" s="18">
        <f>IF($A3196="","",Paramètres!G10)</f>
        <v/>
      </c>
      <c r="C3196" s="18">
        <f>IF($A3196="","",IF(Paramètres!H10="","",Paramètres!H10))</f>
        <v/>
      </c>
      <c r="D3196" s="18">
        <f>IF($A3196="","",IF(Paramètres!I10="","",Paramètres!I10))</f>
        <v/>
      </c>
      <c r="E3196" s="19">
        <f>IF($A3196="","",MIN(E3197:E3200))</f>
        <v/>
      </c>
      <c r="F3196" s="19">
        <f>IF($A3196="","",MAX(F3197:F3200))</f>
        <v/>
      </c>
      <c r="G3196" s="18" t="n"/>
      <c r="H3196" s="18">
        <f>IF($A3196="","",F3196-E3196+1)</f>
        <v/>
      </c>
      <c r="I3196" s="18" t="n"/>
    </row>
    <row r="3197">
      <c r="A3197" s="18">
        <f>IF(ISNUMBER(Dossiers!$D$63),Dossiers!$A$63&amp;" · "&amp;Dossiers!$B$63,"")</f>
        <v/>
      </c>
      <c r="B3197" s="18">
        <f>IF($A3197="","",Paramètres!G11)</f>
        <v/>
      </c>
      <c r="C3197" s="18">
        <f>IF($A3197="","",IF(Paramètres!H11="","",Paramètres!H11))</f>
        <v/>
      </c>
      <c r="D3197" s="18">
        <f>IF($A3197="","",IF(Paramètres!I11="","",Paramètres!I11))</f>
        <v/>
      </c>
      <c r="E3197" s="19">
        <f>IF($A3197="","",IF(Paramètres!J11&amp;Paramètres!L11&amp;Paramètres!N11="",Dossiers!$D$63,MAX(IF(Paramètres!J11="",0,IF(Paramètres!K11="",NA(),IF(LEFT(TRIM(Paramètres!K11),1)="F",INDEX($F$3191:$F$3243,MATCH(Paramètres!J11,Paramètres!$G$5:$G$57,0)),INDEX($E$3191:$E$3243,MATCH(Paramètres!J11,Paramètres!$G$5:$G$57,0)))+IF(RIGHT(TRIM(Paramètres!K11),3)="Fin",1-$H3197,IF(LEFT(TRIM(Paramètres!K11),1)="F",1,0)))),IF(Paramètres!L11="",0,IF(Paramètres!M11="",NA(),IF(LEFT(TRIM(Paramètres!M11),1)="F",INDEX($F$3191:$F$3243,MATCH(Paramètres!L11,Paramètres!$G$5:$G$57,0)),INDEX($E$3191:$E$3243,MATCH(Paramètres!L11,Paramètres!$G$5:$G$57,0)))+IF(RIGHT(TRIM(Paramètres!M11),3)="Fin",1-$H3197,IF(LEFT(TRIM(Paramètres!M11),1)="F",1,0)))),IF(Paramètres!N11="",0,IF(Paramètres!O11="",NA(),IF(LEFT(TRIM(Paramètres!O11),1)="F",INDEX($F$3191:$F$3243,MATCH(Paramètres!N11,Paramètres!$G$5:$G$57,0)),INDEX($E$3191:$E$3243,MATCH(Paramètres!N11,Paramètres!$G$5:$G$57,0)))+IF(RIGHT(TRIM(Paramètres!O11),3)="Fin",1-$H3197,IF(LEFT(TRIM(Paramètres!O11),1)="F",1,0)))))))</f>
        <v/>
      </c>
      <c r="F3197" s="19">
        <f>IF($A3197="","",E3197+$H3197-1)</f>
        <v/>
      </c>
      <c r="G3197" s="18" t="n"/>
      <c r="H3197" s="18">
        <f>IF($A3197="","",IF(I3197&lt;&gt;"",I3197,Paramètres!B11))</f>
        <v/>
      </c>
      <c r="I3197" s="18" t="n"/>
    </row>
    <row r="3198">
      <c r="A3198" s="18">
        <f>IF(ISNUMBER(Dossiers!$D$63),Dossiers!$A$63&amp;" · "&amp;Dossiers!$B$63,"")</f>
        <v/>
      </c>
      <c r="B3198" s="18">
        <f>IF($A3198="","",Paramètres!G12)</f>
        <v/>
      </c>
      <c r="C3198" s="18">
        <f>IF($A3198="","",IF(Paramètres!H12="","",Paramètres!H12))</f>
        <v/>
      </c>
      <c r="D3198" s="18">
        <f>IF($A3198="","",IF(Paramètres!I12="","",Paramètres!I12))</f>
        <v/>
      </c>
      <c r="E3198" s="19">
        <f>IF($A3198="","",IF(Paramètres!J12&amp;Paramètres!L12&amp;Paramètres!N12="",Dossiers!$D$63,MAX(IF(Paramètres!J12="",0,IF(Paramètres!K12="",NA(),IF(LEFT(TRIM(Paramètres!K12),1)="F",INDEX($F$3191:$F$3243,MATCH(Paramètres!J12,Paramètres!$G$5:$G$57,0)),INDEX($E$3191:$E$3243,MATCH(Paramètres!J12,Paramètres!$G$5:$G$57,0)))+IF(RIGHT(TRIM(Paramètres!K12),3)="Fin",1-$H3198,IF(LEFT(TRIM(Paramètres!K12),1)="F",1,0)))),IF(Paramètres!L12="",0,IF(Paramètres!M12="",NA(),IF(LEFT(TRIM(Paramètres!M12),1)="F",INDEX($F$3191:$F$3243,MATCH(Paramètres!L12,Paramètres!$G$5:$G$57,0)),INDEX($E$3191:$E$3243,MATCH(Paramètres!L12,Paramètres!$G$5:$G$57,0)))+IF(RIGHT(TRIM(Paramètres!M12),3)="Fin",1-$H3198,IF(LEFT(TRIM(Paramètres!M12),1)="F",1,0)))),IF(Paramètres!N12="",0,IF(Paramètres!O12="",NA(),IF(LEFT(TRIM(Paramètres!O12),1)="F",INDEX($F$3191:$F$3243,MATCH(Paramètres!N12,Paramètres!$G$5:$G$57,0)),INDEX($E$3191:$E$3243,MATCH(Paramètres!N12,Paramètres!$G$5:$G$57,0)))+IF(RIGHT(TRIM(Paramètres!O12),3)="Fin",1-$H3198,IF(LEFT(TRIM(Paramètres!O12),1)="F",1,0)))))))</f>
        <v/>
      </c>
      <c r="F3198" s="19">
        <f>IF($A3198="","",E3198+$H3198-1)</f>
        <v/>
      </c>
      <c r="G3198" s="18" t="n"/>
      <c r="H3198" s="18">
        <f>IF($A3198="","",IF(I3198&lt;&gt;"",I3198,Paramètres!B12))</f>
        <v/>
      </c>
      <c r="I3198" s="18" t="n"/>
    </row>
    <row r="3199">
      <c r="A3199" s="18">
        <f>IF(ISNUMBER(Dossiers!$D$63),Dossiers!$A$63&amp;" · "&amp;Dossiers!$B$63,"")</f>
        <v/>
      </c>
      <c r="B3199" s="18">
        <f>IF($A3199="","",Paramètres!G13)</f>
        <v/>
      </c>
      <c r="C3199" s="18">
        <f>IF($A3199="","",IF(Paramètres!H13="","",Paramètres!H13))</f>
        <v/>
      </c>
      <c r="D3199" s="18">
        <f>IF($A3199="","",IF(Paramètres!I13="","",Paramètres!I13))</f>
        <v/>
      </c>
      <c r="E3199" s="19">
        <f>IF($A3199="","",IF(Paramètres!J13&amp;Paramètres!L13&amp;Paramètres!N13="",Dossiers!$D$63,MAX(IF(Paramètres!J13="",0,IF(Paramètres!K13="",NA(),IF(LEFT(TRIM(Paramètres!K13),1)="F",INDEX($F$3191:$F$3243,MATCH(Paramètres!J13,Paramètres!$G$5:$G$57,0)),INDEX($E$3191:$E$3243,MATCH(Paramètres!J13,Paramètres!$G$5:$G$57,0)))+IF(RIGHT(TRIM(Paramètres!K13),3)="Fin",1-$H3199,IF(LEFT(TRIM(Paramètres!K13),1)="F",1,0)))),IF(Paramètres!L13="",0,IF(Paramètres!M13="",NA(),IF(LEFT(TRIM(Paramètres!M13),1)="F",INDEX($F$3191:$F$3243,MATCH(Paramètres!L13,Paramètres!$G$5:$G$57,0)),INDEX($E$3191:$E$3243,MATCH(Paramètres!L13,Paramètres!$G$5:$G$57,0)))+IF(RIGHT(TRIM(Paramètres!M13),3)="Fin",1-$H3199,IF(LEFT(TRIM(Paramètres!M13),1)="F",1,0)))),IF(Paramètres!N13="",0,IF(Paramètres!O13="",NA(),IF(LEFT(TRIM(Paramètres!O13),1)="F",INDEX($F$3191:$F$3243,MATCH(Paramètres!N13,Paramètres!$G$5:$G$57,0)),INDEX($E$3191:$E$3243,MATCH(Paramètres!N13,Paramètres!$G$5:$G$57,0)))+IF(RIGHT(TRIM(Paramètres!O13),3)="Fin",1-$H3199,IF(LEFT(TRIM(Paramètres!O13),1)="F",1,0)))))))</f>
        <v/>
      </c>
      <c r="F3199" s="19">
        <f>IF($A3199="","",E3199+$H3199-1)</f>
        <v/>
      </c>
      <c r="G3199" s="18" t="n"/>
      <c r="H3199" s="18">
        <f>IF($A3199="","",IF(I3199&lt;&gt;"",I3199,Paramètres!B13))</f>
        <v/>
      </c>
      <c r="I3199" s="18" t="n"/>
    </row>
    <row r="3200">
      <c r="A3200" s="18">
        <f>IF(ISNUMBER(Dossiers!$D$63),Dossiers!$A$63&amp;" · "&amp;Dossiers!$B$63,"")</f>
        <v/>
      </c>
      <c r="B3200" s="18">
        <f>IF($A3200="","",Paramètres!G14)</f>
        <v/>
      </c>
      <c r="C3200" s="18">
        <f>IF($A3200="","",IF(Paramètres!H14="","",Paramètres!H14))</f>
        <v/>
      </c>
      <c r="D3200" s="18">
        <f>IF($A3200="","",IF(Paramètres!I14="","",Paramètres!I14))</f>
        <v/>
      </c>
      <c r="E3200" s="19">
        <f>IF($A3200="","",IF(Paramètres!J14&amp;Paramètres!L14&amp;Paramètres!N14="",Dossiers!$D$63,MAX(IF(Paramètres!J14="",0,IF(Paramètres!K14="",NA(),IF(LEFT(TRIM(Paramètres!K14),1)="F",INDEX($F$3191:$F$3243,MATCH(Paramètres!J14,Paramètres!$G$5:$G$57,0)),INDEX($E$3191:$E$3243,MATCH(Paramètres!J14,Paramètres!$G$5:$G$57,0)))+IF(RIGHT(TRIM(Paramètres!K14),3)="Fin",1-$H3200,IF(LEFT(TRIM(Paramètres!K14),1)="F",1,0)))),IF(Paramètres!L14="",0,IF(Paramètres!M14="",NA(),IF(LEFT(TRIM(Paramètres!M14),1)="F",INDEX($F$3191:$F$3243,MATCH(Paramètres!L14,Paramètres!$G$5:$G$57,0)),INDEX($E$3191:$E$3243,MATCH(Paramètres!L14,Paramètres!$G$5:$G$57,0)))+IF(RIGHT(TRIM(Paramètres!M14),3)="Fin",1-$H3200,IF(LEFT(TRIM(Paramètres!M14),1)="F",1,0)))),IF(Paramètres!N14="",0,IF(Paramètres!O14="",NA(),IF(LEFT(TRIM(Paramètres!O14),1)="F",INDEX($F$3191:$F$3243,MATCH(Paramètres!N14,Paramètres!$G$5:$G$57,0)),INDEX($E$3191:$E$3243,MATCH(Paramètres!N14,Paramètres!$G$5:$G$57,0)))+IF(RIGHT(TRIM(Paramètres!O14),3)="Fin",1-$H3200,IF(LEFT(TRIM(Paramètres!O14),1)="F",1,0)))))))</f>
        <v/>
      </c>
      <c r="F3200" s="19">
        <f>IF($A3200="","",E3200+$H3200-1)</f>
        <v/>
      </c>
      <c r="G3200" s="18" t="n"/>
      <c r="H3200" s="18">
        <f>IF($A3200="","",IF(I3200&lt;&gt;"",I3200,Paramètres!B14))</f>
        <v/>
      </c>
      <c r="I3200" s="18" t="n"/>
    </row>
    <row r="3201">
      <c r="A3201" s="18">
        <f>IF(ISNUMBER(Dossiers!$D$63),Dossiers!$A$63&amp;" · "&amp;Dossiers!$B$63,"")</f>
        <v/>
      </c>
      <c r="B3201" s="18">
        <f>IF($A3201="","",Paramètres!G15)</f>
        <v/>
      </c>
      <c r="C3201" s="18">
        <f>IF($A3201="","",IF(Paramètres!H15="","",Paramètres!H15))</f>
        <v/>
      </c>
      <c r="D3201" s="18">
        <f>IF($A3201="","",IF(Paramètres!I15="","",Paramètres!I15))</f>
        <v/>
      </c>
      <c r="E3201" s="19">
        <f>IF($A3201="","",MIN(E3202:E3217))</f>
        <v/>
      </c>
      <c r="F3201" s="19">
        <f>IF($A3201="","",MAX(F3202:F3217))</f>
        <v/>
      </c>
      <c r="G3201" s="18" t="n"/>
      <c r="H3201" s="18">
        <f>IF($A3201="","",F3201-E3201+1)</f>
        <v/>
      </c>
      <c r="I3201" s="18" t="n"/>
    </row>
    <row r="3202">
      <c r="A3202" s="18">
        <f>IF(ISNUMBER(Dossiers!$D$63),Dossiers!$A$63&amp;" · "&amp;Dossiers!$B$63,"")</f>
        <v/>
      </c>
      <c r="B3202" s="18">
        <f>IF($A3202="","",Paramètres!G16)</f>
        <v/>
      </c>
      <c r="C3202" s="18">
        <f>IF($A3202="","",IF(Paramètres!H16="","",Paramètres!H16))</f>
        <v/>
      </c>
      <c r="D3202" s="18">
        <f>IF($A3202="","",IF(Paramètres!I16="","",Paramètres!I16))</f>
        <v/>
      </c>
      <c r="E3202" s="19">
        <f>IF($A3202="","",IF(Paramètres!J16&amp;Paramètres!L16&amp;Paramètres!N16="",Dossiers!$D$63,MAX(IF(Paramètres!J16="",0,IF(Paramètres!K16="",NA(),IF(LEFT(TRIM(Paramètres!K16),1)="F",INDEX($F$3191:$F$3243,MATCH(Paramètres!J16,Paramètres!$G$5:$G$57,0)),INDEX($E$3191:$E$3243,MATCH(Paramètres!J16,Paramètres!$G$5:$G$57,0)))+IF(RIGHT(TRIM(Paramètres!K16),3)="Fin",1-$H3202,IF(LEFT(TRIM(Paramètres!K16),1)="F",1,0)))),IF(Paramètres!L16="",0,IF(Paramètres!M16="",NA(),IF(LEFT(TRIM(Paramètres!M16),1)="F",INDEX($F$3191:$F$3243,MATCH(Paramètres!L16,Paramètres!$G$5:$G$57,0)),INDEX($E$3191:$E$3243,MATCH(Paramètres!L16,Paramètres!$G$5:$G$57,0)))+IF(RIGHT(TRIM(Paramètres!M16),3)="Fin",1-$H3202,IF(LEFT(TRIM(Paramètres!M16),1)="F",1,0)))),IF(Paramètres!N16="",0,IF(Paramètres!O16="",NA(),IF(LEFT(TRIM(Paramètres!O16),1)="F",INDEX($F$3191:$F$3243,MATCH(Paramètres!N16,Paramètres!$G$5:$G$57,0)),INDEX($E$3191:$E$3243,MATCH(Paramètres!N16,Paramètres!$G$5:$G$57,0)))+IF(RIGHT(TRIM(Paramètres!O16),3)="Fin",1-$H3202,IF(LEFT(TRIM(Paramètres!O16),1)="F",1,0)))))))</f>
        <v/>
      </c>
      <c r="F3202" s="19">
        <f>IF($A3202="","",E3202+$H3202-1)</f>
        <v/>
      </c>
      <c r="G3202" s="18" t="n"/>
      <c r="H3202" s="18">
        <f>IF($A3202="","",IF(I3202&lt;&gt;"",I3202,Paramètres!B16))</f>
        <v/>
      </c>
      <c r="I3202" s="18" t="n"/>
    </row>
    <row r="3203">
      <c r="A3203" s="18">
        <f>IF(ISNUMBER(Dossiers!$D$63),Dossiers!$A$63&amp;" · "&amp;Dossiers!$B$63,"")</f>
        <v/>
      </c>
      <c r="B3203" s="18">
        <f>IF($A3203="","",Paramètres!G17)</f>
        <v/>
      </c>
      <c r="C3203" s="18">
        <f>IF($A3203="","",IF(Paramètres!H17="","",Paramètres!H17))</f>
        <v/>
      </c>
      <c r="D3203" s="18">
        <f>IF($A3203="","",IF(Paramètres!I17="","",Paramètres!I17))</f>
        <v/>
      </c>
      <c r="E3203" s="19">
        <f>IF($A3203="","",IF(Paramètres!J17&amp;Paramètres!L17&amp;Paramètres!N17="",Dossiers!$D$63,MAX(IF(Paramètres!J17="",0,IF(Paramètres!K17="",NA(),IF(LEFT(TRIM(Paramètres!K17),1)="F",INDEX($F$3191:$F$3243,MATCH(Paramètres!J17,Paramètres!$G$5:$G$57,0)),INDEX($E$3191:$E$3243,MATCH(Paramètres!J17,Paramètres!$G$5:$G$57,0)))+IF(RIGHT(TRIM(Paramètres!K17),3)="Fin",1-$H3203,IF(LEFT(TRIM(Paramètres!K17),1)="F",1,0)))),IF(Paramètres!L17="",0,IF(Paramètres!M17="",NA(),IF(LEFT(TRIM(Paramètres!M17),1)="F",INDEX($F$3191:$F$3243,MATCH(Paramètres!L17,Paramètres!$G$5:$G$57,0)),INDEX($E$3191:$E$3243,MATCH(Paramètres!L17,Paramètres!$G$5:$G$57,0)))+IF(RIGHT(TRIM(Paramètres!M17),3)="Fin",1-$H3203,IF(LEFT(TRIM(Paramètres!M17),1)="F",1,0)))),IF(Paramètres!N17="",0,IF(Paramètres!O17="",NA(),IF(LEFT(TRIM(Paramètres!O17),1)="F",INDEX($F$3191:$F$3243,MATCH(Paramètres!N17,Paramètres!$G$5:$G$57,0)),INDEX($E$3191:$E$3243,MATCH(Paramètres!N17,Paramètres!$G$5:$G$57,0)))+IF(RIGHT(TRIM(Paramètres!O17),3)="Fin",1-$H3203,IF(LEFT(TRIM(Paramètres!O17),1)="F",1,0)))))))</f>
        <v/>
      </c>
      <c r="F3203" s="19">
        <f>IF($A3203="","",E3203+$H3203-1)</f>
        <v/>
      </c>
      <c r="G3203" s="18" t="n"/>
      <c r="H3203" s="18">
        <f>IF($A3203="","",IF(I3203&lt;&gt;"",I3203,Paramètres!B17))</f>
        <v/>
      </c>
      <c r="I3203" s="18" t="n"/>
    </row>
    <row r="3204">
      <c r="A3204" s="18">
        <f>IF(ISNUMBER(Dossiers!$D$63),Dossiers!$A$63&amp;" · "&amp;Dossiers!$B$63,"")</f>
        <v/>
      </c>
      <c r="B3204" s="18">
        <f>IF($A3204="","",Paramètres!G18)</f>
        <v/>
      </c>
      <c r="C3204" s="18">
        <f>IF($A3204="","",IF(Paramètres!H18="","",Paramètres!H18))</f>
        <v/>
      </c>
      <c r="D3204" s="18">
        <f>IF($A3204="","",IF(Paramètres!I18="","",Paramètres!I18))</f>
        <v/>
      </c>
      <c r="E3204" s="19">
        <f>IF($A3204="","",IF(Paramètres!J18&amp;Paramètres!L18&amp;Paramètres!N18="",Dossiers!$D$63,MAX(IF(Paramètres!J18="",0,IF(Paramètres!K18="",NA(),IF(LEFT(TRIM(Paramètres!K18),1)="F",INDEX($F$3191:$F$3243,MATCH(Paramètres!J18,Paramètres!$G$5:$G$57,0)),INDEX($E$3191:$E$3243,MATCH(Paramètres!J18,Paramètres!$G$5:$G$57,0)))+IF(RIGHT(TRIM(Paramètres!K18),3)="Fin",1-$H3204,IF(LEFT(TRIM(Paramètres!K18),1)="F",1,0)))),IF(Paramètres!L18="",0,IF(Paramètres!M18="",NA(),IF(LEFT(TRIM(Paramètres!M18),1)="F",INDEX($F$3191:$F$3243,MATCH(Paramètres!L18,Paramètres!$G$5:$G$57,0)),INDEX($E$3191:$E$3243,MATCH(Paramètres!L18,Paramètres!$G$5:$G$57,0)))+IF(RIGHT(TRIM(Paramètres!M18),3)="Fin",1-$H3204,IF(LEFT(TRIM(Paramètres!M18),1)="F",1,0)))),IF(Paramètres!N18="",0,IF(Paramètres!O18="",NA(),IF(LEFT(TRIM(Paramètres!O18),1)="F",INDEX($F$3191:$F$3243,MATCH(Paramètres!N18,Paramètres!$G$5:$G$57,0)),INDEX($E$3191:$E$3243,MATCH(Paramètres!N18,Paramètres!$G$5:$G$57,0)))+IF(RIGHT(TRIM(Paramètres!O18),3)="Fin",1-$H3204,IF(LEFT(TRIM(Paramètres!O18),1)="F",1,0)))))))</f>
        <v/>
      </c>
      <c r="F3204" s="19">
        <f>IF($A3204="","",E3204+$H3204-1)</f>
        <v/>
      </c>
      <c r="G3204" s="18" t="n"/>
      <c r="H3204" s="18">
        <f>IF($A3204="","",IF(I3204&lt;&gt;"",I3204,Paramètres!B18))</f>
        <v/>
      </c>
      <c r="I3204" s="18" t="n"/>
    </row>
    <row r="3205">
      <c r="A3205" s="18">
        <f>IF(ISNUMBER(Dossiers!$D$63),Dossiers!$A$63&amp;" · "&amp;Dossiers!$B$63,"")</f>
        <v/>
      </c>
      <c r="B3205" s="18">
        <f>IF($A3205="","",Paramètres!G19)</f>
        <v/>
      </c>
      <c r="C3205" s="18">
        <f>IF($A3205="","",IF(Paramètres!H19="","",Paramètres!H19))</f>
        <v/>
      </c>
      <c r="D3205" s="18">
        <f>IF($A3205="","",IF(Paramètres!I19="","",Paramètres!I19))</f>
        <v/>
      </c>
      <c r="E3205" s="19">
        <f>IF($A3205="","",IF(Paramètres!J19&amp;Paramètres!L19&amp;Paramètres!N19="",Dossiers!$D$63,MAX(IF(Paramètres!J19="",0,IF(Paramètres!K19="",NA(),IF(LEFT(TRIM(Paramètres!K19),1)="F",INDEX($F$3191:$F$3243,MATCH(Paramètres!J19,Paramètres!$G$5:$G$57,0)),INDEX($E$3191:$E$3243,MATCH(Paramètres!J19,Paramètres!$G$5:$G$57,0)))+IF(RIGHT(TRIM(Paramètres!K19),3)="Fin",1-$H3205,IF(LEFT(TRIM(Paramètres!K19),1)="F",1,0)))),IF(Paramètres!L19="",0,IF(Paramètres!M19="",NA(),IF(LEFT(TRIM(Paramètres!M19),1)="F",INDEX($F$3191:$F$3243,MATCH(Paramètres!L19,Paramètres!$G$5:$G$57,0)),INDEX($E$3191:$E$3243,MATCH(Paramètres!L19,Paramètres!$G$5:$G$57,0)))+IF(RIGHT(TRIM(Paramètres!M19),3)="Fin",1-$H3205,IF(LEFT(TRIM(Paramètres!M19),1)="F",1,0)))),IF(Paramètres!N19="",0,IF(Paramètres!O19="",NA(),IF(LEFT(TRIM(Paramètres!O19),1)="F",INDEX($F$3191:$F$3243,MATCH(Paramètres!N19,Paramètres!$G$5:$G$57,0)),INDEX($E$3191:$E$3243,MATCH(Paramètres!N19,Paramètres!$G$5:$G$57,0)))+IF(RIGHT(TRIM(Paramètres!O19),3)="Fin",1-$H3205,IF(LEFT(TRIM(Paramètres!O19),1)="F",1,0)))))))</f>
        <v/>
      </c>
      <c r="F3205" s="19">
        <f>IF($A3205="","",E3205+$H3205-1)</f>
        <v/>
      </c>
      <c r="G3205" s="18" t="n"/>
      <c r="H3205" s="18">
        <f>IF($A3205="","",IF(I3205&lt;&gt;"",I3205,Paramètres!B19))</f>
        <v/>
      </c>
      <c r="I3205" s="18" t="n"/>
    </row>
    <row r="3206">
      <c r="A3206" s="18">
        <f>IF(ISNUMBER(Dossiers!$D$63),Dossiers!$A$63&amp;" · "&amp;Dossiers!$B$63,"")</f>
        <v/>
      </c>
      <c r="B3206" s="18">
        <f>IF($A3206="","",Paramètres!G20)</f>
        <v/>
      </c>
      <c r="C3206" s="18">
        <f>IF($A3206="","",IF(Paramètres!H20="","",Paramètres!H20))</f>
        <v/>
      </c>
      <c r="D3206" s="18">
        <f>IF($A3206="","",IF(Paramètres!I20="","",Paramètres!I20))</f>
        <v/>
      </c>
      <c r="E3206" s="19">
        <f>IF($A3206="","",IF(Paramètres!J20&amp;Paramètres!L20&amp;Paramètres!N20="",Dossiers!$D$63,MAX(IF(Paramètres!J20="",0,IF(Paramètres!K20="",NA(),IF(LEFT(TRIM(Paramètres!K20),1)="F",INDEX($F$3191:$F$3243,MATCH(Paramètres!J20,Paramètres!$G$5:$G$57,0)),INDEX($E$3191:$E$3243,MATCH(Paramètres!J20,Paramètres!$G$5:$G$57,0)))+IF(RIGHT(TRIM(Paramètres!K20),3)="Fin",1-$H3206,IF(LEFT(TRIM(Paramètres!K20),1)="F",1,0)))),IF(Paramètres!L20="",0,IF(Paramètres!M20="",NA(),IF(LEFT(TRIM(Paramètres!M20),1)="F",INDEX($F$3191:$F$3243,MATCH(Paramètres!L20,Paramètres!$G$5:$G$57,0)),INDEX($E$3191:$E$3243,MATCH(Paramètres!L20,Paramètres!$G$5:$G$57,0)))+IF(RIGHT(TRIM(Paramètres!M20),3)="Fin",1-$H3206,IF(LEFT(TRIM(Paramètres!M20),1)="F",1,0)))),IF(Paramètres!N20="",0,IF(Paramètres!O20="",NA(),IF(LEFT(TRIM(Paramètres!O20),1)="F",INDEX($F$3191:$F$3243,MATCH(Paramètres!N20,Paramètres!$G$5:$G$57,0)),INDEX($E$3191:$E$3243,MATCH(Paramètres!N20,Paramètres!$G$5:$G$57,0)))+IF(RIGHT(TRIM(Paramètres!O20),3)="Fin",1-$H3206,IF(LEFT(TRIM(Paramètres!O20),1)="F",1,0)))))))</f>
        <v/>
      </c>
      <c r="F3206" s="19">
        <f>IF($A3206="","",E3206+$H3206-1)</f>
        <v/>
      </c>
      <c r="G3206" s="18" t="n"/>
      <c r="H3206" s="18">
        <f>IF($A3206="","",IF(I3206&lt;&gt;"",I3206,Paramètres!B20))</f>
        <v/>
      </c>
      <c r="I3206" s="18" t="n"/>
    </row>
    <row r="3207">
      <c r="A3207" s="18">
        <f>IF(ISNUMBER(Dossiers!$D$63),Dossiers!$A$63&amp;" · "&amp;Dossiers!$B$63,"")</f>
        <v/>
      </c>
      <c r="B3207" s="18">
        <f>IF($A3207="","",Paramètres!G21)</f>
        <v/>
      </c>
      <c r="C3207" s="18">
        <f>IF($A3207="","",IF(Paramètres!H21="","",Paramètres!H21))</f>
        <v/>
      </c>
      <c r="D3207" s="18">
        <f>IF($A3207="","",IF(Paramètres!I21="","",Paramètres!I21))</f>
        <v/>
      </c>
      <c r="E3207" s="19">
        <f>IF($A3207="","",IF(Paramètres!J21&amp;Paramètres!L21&amp;Paramètres!N21="",Dossiers!$D$63,MAX(IF(Paramètres!J21="",0,IF(Paramètres!K21="",NA(),IF(LEFT(TRIM(Paramètres!K21),1)="F",INDEX($F$3191:$F$3243,MATCH(Paramètres!J21,Paramètres!$G$5:$G$57,0)),INDEX($E$3191:$E$3243,MATCH(Paramètres!J21,Paramètres!$G$5:$G$57,0)))+IF(RIGHT(TRIM(Paramètres!K21),3)="Fin",1-$H3207,IF(LEFT(TRIM(Paramètres!K21),1)="F",1,0)))),IF(Paramètres!L21="",0,IF(Paramètres!M21="",NA(),IF(LEFT(TRIM(Paramètres!M21),1)="F",INDEX($F$3191:$F$3243,MATCH(Paramètres!L21,Paramètres!$G$5:$G$57,0)),INDEX($E$3191:$E$3243,MATCH(Paramètres!L21,Paramètres!$G$5:$G$57,0)))+IF(RIGHT(TRIM(Paramètres!M21),3)="Fin",1-$H3207,IF(LEFT(TRIM(Paramètres!M21),1)="F",1,0)))),IF(Paramètres!N21="",0,IF(Paramètres!O21="",NA(),IF(LEFT(TRIM(Paramètres!O21),1)="F",INDEX($F$3191:$F$3243,MATCH(Paramètres!N21,Paramètres!$G$5:$G$57,0)),INDEX($E$3191:$E$3243,MATCH(Paramètres!N21,Paramètres!$G$5:$G$57,0)))+IF(RIGHT(TRIM(Paramètres!O21),3)="Fin",1-$H3207,IF(LEFT(TRIM(Paramètres!O21),1)="F",1,0)))))))</f>
        <v/>
      </c>
      <c r="F3207" s="19">
        <f>IF($A3207="","",E3207+$H3207-1)</f>
        <v/>
      </c>
      <c r="G3207" s="18" t="n"/>
      <c r="H3207" s="18">
        <f>IF($A3207="","",IF(I3207&lt;&gt;"",I3207,Paramètres!B21))</f>
        <v/>
      </c>
      <c r="I3207" s="18" t="n"/>
    </row>
    <row r="3208">
      <c r="A3208" s="18">
        <f>IF(ISNUMBER(Dossiers!$D$63),Dossiers!$A$63&amp;" · "&amp;Dossiers!$B$63,"")</f>
        <v/>
      </c>
      <c r="B3208" s="18">
        <f>IF($A3208="","",Paramètres!G22)</f>
        <v/>
      </c>
      <c r="C3208" s="18">
        <f>IF($A3208="","",IF(Paramètres!H22="","",Paramètres!H22))</f>
        <v/>
      </c>
      <c r="D3208" s="18">
        <f>IF($A3208="","",IF(Paramètres!I22="","",Paramètres!I22))</f>
        <v/>
      </c>
      <c r="E3208" s="19">
        <f>IF($A3208="","",IF(Paramètres!J22&amp;Paramètres!L22&amp;Paramètres!N22="",Dossiers!$D$63,MAX(IF(Paramètres!J22="",0,IF(Paramètres!K22="",NA(),IF(LEFT(TRIM(Paramètres!K22),1)="F",INDEX($F$3191:$F$3243,MATCH(Paramètres!J22,Paramètres!$G$5:$G$57,0)),INDEX($E$3191:$E$3243,MATCH(Paramètres!J22,Paramètres!$G$5:$G$57,0)))+IF(RIGHT(TRIM(Paramètres!K22),3)="Fin",1-$H3208,IF(LEFT(TRIM(Paramètres!K22),1)="F",1,0)))),IF(Paramètres!L22="",0,IF(Paramètres!M22="",NA(),IF(LEFT(TRIM(Paramètres!M22),1)="F",INDEX($F$3191:$F$3243,MATCH(Paramètres!L22,Paramètres!$G$5:$G$57,0)),INDEX($E$3191:$E$3243,MATCH(Paramètres!L22,Paramètres!$G$5:$G$57,0)))+IF(RIGHT(TRIM(Paramètres!M22),3)="Fin",1-$H3208,IF(LEFT(TRIM(Paramètres!M22),1)="F",1,0)))),IF(Paramètres!N22="",0,IF(Paramètres!O22="",NA(),IF(LEFT(TRIM(Paramètres!O22),1)="F",INDEX($F$3191:$F$3243,MATCH(Paramètres!N22,Paramètres!$G$5:$G$57,0)),INDEX($E$3191:$E$3243,MATCH(Paramètres!N22,Paramètres!$G$5:$G$57,0)))+IF(RIGHT(TRIM(Paramètres!O22),3)="Fin",1-$H3208,IF(LEFT(TRIM(Paramètres!O22),1)="F",1,0)))))))</f>
        <v/>
      </c>
      <c r="F3208" s="19">
        <f>IF($A3208="","",E3208+$H3208-1)</f>
        <v/>
      </c>
      <c r="G3208" s="18" t="n"/>
      <c r="H3208" s="18">
        <f>IF($A3208="","",IF(I3208&lt;&gt;"",I3208,Paramètres!B22))</f>
        <v/>
      </c>
      <c r="I3208" s="18" t="n"/>
    </row>
    <row r="3209">
      <c r="A3209" s="18">
        <f>IF(ISNUMBER(Dossiers!$D$63),Dossiers!$A$63&amp;" · "&amp;Dossiers!$B$63,"")</f>
        <v/>
      </c>
      <c r="B3209" s="18">
        <f>IF($A3209="","",Paramètres!G23)</f>
        <v/>
      </c>
      <c r="C3209" s="18">
        <f>IF($A3209="","",IF(Paramètres!H23="","",Paramètres!H23))</f>
        <v/>
      </c>
      <c r="D3209" s="18">
        <f>IF($A3209="","",IF(Paramètres!I23="","",Paramètres!I23))</f>
        <v/>
      </c>
      <c r="E3209" s="19">
        <f>IF($A3209="","",IF(Paramètres!J23&amp;Paramètres!L23&amp;Paramètres!N23="",Dossiers!$D$63,MAX(IF(Paramètres!J23="",0,IF(Paramètres!K23="",NA(),IF(LEFT(TRIM(Paramètres!K23),1)="F",INDEX($F$3191:$F$3243,MATCH(Paramètres!J23,Paramètres!$G$5:$G$57,0)),INDEX($E$3191:$E$3243,MATCH(Paramètres!J23,Paramètres!$G$5:$G$57,0)))+IF(RIGHT(TRIM(Paramètres!K23),3)="Fin",1-$H3209,IF(LEFT(TRIM(Paramètres!K23),1)="F",1,0)))),IF(Paramètres!L23="",0,IF(Paramètres!M23="",NA(),IF(LEFT(TRIM(Paramètres!M23),1)="F",INDEX($F$3191:$F$3243,MATCH(Paramètres!L23,Paramètres!$G$5:$G$57,0)),INDEX($E$3191:$E$3243,MATCH(Paramètres!L23,Paramètres!$G$5:$G$57,0)))+IF(RIGHT(TRIM(Paramètres!M23),3)="Fin",1-$H3209,IF(LEFT(TRIM(Paramètres!M23),1)="F",1,0)))),IF(Paramètres!N23="",0,IF(Paramètres!O23="",NA(),IF(LEFT(TRIM(Paramètres!O23),1)="F",INDEX($F$3191:$F$3243,MATCH(Paramètres!N23,Paramètres!$G$5:$G$57,0)),INDEX($E$3191:$E$3243,MATCH(Paramètres!N23,Paramètres!$G$5:$G$57,0)))+IF(RIGHT(TRIM(Paramètres!O23),3)="Fin",1-$H3209,IF(LEFT(TRIM(Paramètres!O23),1)="F",1,0)))))))</f>
        <v/>
      </c>
      <c r="F3209" s="19">
        <f>IF($A3209="","",E3209+$H3209-1)</f>
        <v/>
      </c>
      <c r="G3209" s="18" t="n"/>
      <c r="H3209" s="18">
        <f>IF($A3209="","",IF(I3209&lt;&gt;"",I3209,Paramètres!B23))</f>
        <v/>
      </c>
      <c r="I3209" s="18" t="n"/>
    </row>
    <row r="3210">
      <c r="A3210" s="18">
        <f>IF(ISNUMBER(Dossiers!$D$63),Dossiers!$A$63&amp;" · "&amp;Dossiers!$B$63,"")</f>
        <v/>
      </c>
      <c r="B3210" s="18">
        <f>IF($A3210="","",Paramètres!G24)</f>
        <v/>
      </c>
      <c r="C3210" s="18">
        <f>IF($A3210="","",IF(Paramètres!H24="","",Paramètres!H24))</f>
        <v/>
      </c>
      <c r="D3210" s="18">
        <f>IF($A3210="","",IF(Paramètres!I24="","",Paramètres!I24))</f>
        <v/>
      </c>
      <c r="E3210" s="19">
        <f>IF($A3210="","",IF(Paramètres!J24&amp;Paramètres!L24&amp;Paramètres!N24="",Dossiers!$D$63,MAX(IF(Paramètres!J24="",0,IF(Paramètres!K24="",NA(),IF(LEFT(TRIM(Paramètres!K24),1)="F",INDEX($F$3191:$F$3243,MATCH(Paramètres!J24,Paramètres!$G$5:$G$57,0)),INDEX($E$3191:$E$3243,MATCH(Paramètres!J24,Paramètres!$G$5:$G$57,0)))+IF(RIGHT(TRIM(Paramètres!K24),3)="Fin",1-$H3210,IF(LEFT(TRIM(Paramètres!K24),1)="F",1,0)))),IF(Paramètres!L24="",0,IF(Paramètres!M24="",NA(),IF(LEFT(TRIM(Paramètres!M24),1)="F",INDEX($F$3191:$F$3243,MATCH(Paramètres!L24,Paramètres!$G$5:$G$57,0)),INDEX($E$3191:$E$3243,MATCH(Paramètres!L24,Paramètres!$G$5:$G$57,0)))+IF(RIGHT(TRIM(Paramètres!M24),3)="Fin",1-$H3210,IF(LEFT(TRIM(Paramètres!M24),1)="F",1,0)))),IF(Paramètres!N24="",0,IF(Paramètres!O24="",NA(),IF(LEFT(TRIM(Paramètres!O24),1)="F",INDEX($F$3191:$F$3243,MATCH(Paramètres!N24,Paramètres!$G$5:$G$57,0)),INDEX($E$3191:$E$3243,MATCH(Paramètres!N24,Paramètres!$G$5:$G$57,0)))+IF(RIGHT(TRIM(Paramètres!O24),3)="Fin",1-$H3210,IF(LEFT(TRIM(Paramètres!O24),1)="F",1,0)))))))</f>
        <v/>
      </c>
      <c r="F3210" s="19">
        <f>IF($A3210="","",E3210+$H3210-1)</f>
        <v/>
      </c>
      <c r="G3210" s="18" t="n"/>
      <c r="H3210" s="18">
        <f>IF($A3210="","",IF(I3210&lt;&gt;"",I3210,Paramètres!B24))</f>
        <v/>
      </c>
      <c r="I3210" s="18" t="n"/>
    </row>
    <row r="3211">
      <c r="A3211" s="18">
        <f>IF(ISNUMBER(Dossiers!$D$63),Dossiers!$A$63&amp;" · "&amp;Dossiers!$B$63,"")</f>
        <v/>
      </c>
      <c r="B3211" s="18">
        <f>IF($A3211="","",Paramètres!G25)</f>
        <v/>
      </c>
      <c r="C3211" s="18">
        <f>IF($A3211="","",IF(Paramètres!H25="","",Paramètres!H25))</f>
        <v/>
      </c>
      <c r="D3211" s="18">
        <f>IF($A3211="","",IF(Paramètres!I25="","",Paramètres!I25))</f>
        <v/>
      </c>
      <c r="E3211" s="19">
        <f>IF($A3211="","",IF(Paramètres!J25&amp;Paramètres!L25&amp;Paramètres!N25="",Dossiers!$D$63,MAX(IF(Paramètres!J25="",0,IF(Paramètres!K25="",NA(),IF(LEFT(TRIM(Paramètres!K25),1)="F",INDEX($F$3191:$F$3243,MATCH(Paramètres!J25,Paramètres!$G$5:$G$57,0)),INDEX($E$3191:$E$3243,MATCH(Paramètres!J25,Paramètres!$G$5:$G$57,0)))+IF(RIGHT(TRIM(Paramètres!K25),3)="Fin",1-$H3211,IF(LEFT(TRIM(Paramètres!K25),1)="F",1,0)))),IF(Paramètres!L25="",0,IF(Paramètres!M25="",NA(),IF(LEFT(TRIM(Paramètres!M25),1)="F",INDEX($F$3191:$F$3243,MATCH(Paramètres!L25,Paramètres!$G$5:$G$57,0)),INDEX($E$3191:$E$3243,MATCH(Paramètres!L25,Paramètres!$G$5:$G$57,0)))+IF(RIGHT(TRIM(Paramètres!M25),3)="Fin",1-$H3211,IF(LEFT(TRIM(Paramètres!M25),1)="F",1,0)))),IF(Paramètres!N25="",0,IF(Paramètres!O25="",NA(),IF(LEFT(TRIM(Paramètres!O25),1)="F",INDEX($F$3191:$F$3243,MATCH(Paramètres!N25,Paramètres!$G$5:$G$57,0)),INDEX($E$3191:$E$3243,MATCH(Paramètres!N25,Paramètres!$G$5:$G$57,0)))+IF(RIGHT(TRIM(Paramètres!O25),3)="Fin",1-$H3211,IF(LEFT(TRIM(Paramètres!O25),1)="F",1,0)))))))</f>
        <v/>
      </c>
      <c r="F3211" s="19">
        <f>IF($A3211="","",E3211+$H3211-1)</f>
        <v/>
      </c>
      <c r="G3211" s="18" t="n"/>
      <c r="H3211" s="18">
        <f>IF($A3211="","",IF(I3211&lt;&gt;"",I3211,Paramètres!B25))</f>
        <v/>
      </c>
      <c r="I3211" s="18" t="n"/>
    </row>
    <row r="3212">
      <c r="A3212" s="18">
        <f>IF(ISNUMBER(Dossiers!$D$63),Dossiers!$A$63&amp;" · "&amp;Dossiers!$B$63,"")</f>
        <v/>
      </c>
      <c r="B3212" s="18">
        <f>IF($A3212="","",Paramètres!G26)</f>
        <v/>
      </c>
      <c r="C3212" s="18">
        <f>IF($A3212="","",IF(Paramètres!H26="","",Paramètres!H26))</f>
        <v/>
      </c>
      <c r="D3212" s="18">
        <f>IF($A3212="","",IF(Paramètres!I26="","",Paramètres!I26))</f>
        <v/>
      </c>
      <c r="E3212" s="19">
        <f>IF($A3212="","",IF(Paramètres!J26&amp;Paramètres!L26&amp;Paramètres!N26="",Dossiers!$D$63,MAX(IF(Paramètres!J26="",0,IF(Paramètres!K26="",NA(),IF(LEFT(TRIM(Paramètres!K26),1)="F",INDEX($F$3191:$F$3243,MATCH(Paramètres!J26,Paramètres!$G$5:$G$57,0)),INDEX($E$3191:$E$3243,MATCH(Paramètres!J26,Paramètres!$G$5:$G$57,0)))+IF(RIGHT(TRIM(Paramètres!K26),3)="Fin",1-$H3212,IF(LEFT(TRIM(Paramètres!K26),1)="F",1,0)))),IF(Paramètres!L26="",0,IF(Paramètres!M26="",NA(),IF(LEFT(TRIM(Paramètres!M26),1)="F",INDEX($F$3191:$F$3243,MATCH(Paramètres!L26,Paramètres!$G$5:$G$57,0)),INDEX($E$3191:$E$3243,MATCH(Paramètres!L26,Paramètres!$G$5:$G$57,0)))+IF(RIGHT(TRIM(Paramètres!M26),3)="Fin",1-$H3212,IF(LEFT(TRIM(Paramètres!M26),1)="F",1,0)))),IF(Paramètres!N26="",0,IF(Paramètres!O26="",NA(),IF(LEFT(TRIM(Paramètres!O26),1)="F",INDEX($F$3191:$F$3243,MATCH(Paramètres!N26,Paramètres!$G$5:$G$57,0)),INDEX($E$3191:$E$3243,MATCH(Paramètres!N26,Paramètres!$G$5:$G$57,0)))+IF(RIGHT(TRIM(Paramètres!O26),3)="Fin",1-$H3212,IF(LEFT(TRIM(Paramètres!O26),1)="F",1,0)))))))</f>
        <v/>
      </c>
      <c r="F3212" s="19">
        <f>IF($A3212="","",E3212+$H3212-1)</f>
        <v/>
      </c>
      <c r="G3212" s="18" t="n"/>
      <c r="H3212" s="18">
        <f>IF($A3212="","",IF(I3212&lt;&gt;"",I3212,Paramètres!B26))</f>
        <v/>
      </c>
      <c r="I3212" s="18" t="n"/>
    </row>
    <row r="3213">
      <c r="A3213" s="18">
        <f>IF(ISNUMBER(Dossiers!$D$63),Dossiers!$A$63&amp;" · "&amp;Dossiers!$B$63,"")</f>
        <v/>
      </c>
      <c r="B3213" s="18">
        <f>IF($A3213="","",Paramètres!G27)</f>
        <v/>
      </c>
      <c r="C3213" s="18">
        <f>IF($A3213="","",IF(Paramètres!H27="","",Paramètres!H27))</f>
        <v/>
      </c>
      <c r="D3213" s="18">
        <f>IF($A3213="","",IF(Paramètres!I27="","",Paramètres!I27))</f>
        <v/>
      </c>
      <c r="E3213" s="19">
        <f>IF($A3213="","",IF(Paramètres!J27&amp;Paramètres!L27&amp;Paramètres!N27="",Dossiers!$D$63,MAX(IF(Paramètres!J27="",0,IF(Paramètres!K27="",NA(),IF(LEFT(TRIM(Paramètres!K27),1)="F",INDEX($F$3191:$F$3243,MATCH(Paramètres!J27,Paramètres!$G$5:$G$57,0)),INDEX($E$3191:$E$3243,MATCH(Paramètres!J27,Paramètres!$G$5:$G$57,0)))+IF(RIGHT(TRIM(Paramètres!K27),3)="Fin",1-$H3213,IF(LEFT(TRIM(Paramètres!K27),1)="F",1,0)))),IF(Paramètres!L27="",0,IF(Paramètres!M27="",NA(),IF(LEFT(TRIM(Paramètres!M27),1)="F",INDEX($F$3191:$F$3243,MATCH(Paramètres!L27,Paramètres!$G$5:$G$57,0)),INDEX($E$3191:$E$3243,MATCH(Paramètres!L27,Paramètres!$G$5:$G$57,0)))+IF(RIGHT(TRIM(Paramètres!M27),3)="Fin",1-$H3213,IF(LEFT(TRIM(Paramètres!M27),1)="F",1,0)))),IF(Paramètres!N27="",0,IF(Paramètres!O27="",NA(),IF(LEFT(TRIM(Paramètres!O27),1)="F",INDEX($F$3191:$F$3243,MATCH(Paramètres!N27,Paramètres!$G$5:$G$57,0)),INDEX($E$3191:$E$3243,MATCH(Paramètres!N27,Paramètres!$G$5:$G$57,0)))+IF(RIGHT(TRIM(Paramètres!O27),3)="Fin",1-$H3213,IF(LEFT(TRIM(Paramètres!O27),1)="F",1,0)))))))</f>
        <v/>
      </c>
      <c r="F3213" s="19">
        <f>IF($A3213="","",E3213+$H3213-1)</f>
        <v/>
      </c>
      <c r="G3213" s="18" t="n"/>
      <c r="H3213" s="18">
        <f>IF($A3213="","",IF(I3213&lt;&gt;"",I3213,Paramètres!B27))</f>
        <v/>
      </c>
      <c r="I3213" s="18" t="n"/>
    </row>
    <row r="3214">
      <c r="A3214" s="18">
        <f>IF(ISNUMBER(Dossiers!$D$63),Dossiers!$A$63&amp;" · "&amp;Dossiers!$B$63,"")</f>
        <v/>
      </c>
      <c r="B3214" s="18">
        <f>IF($A3214="","",Paramètres!G28)</f>
        <v/>
      </c>
      <c r="C3214" s="18">
        <f>IF($A3214="","",IF(Paramètres!H28="","",Paramètres!H28))</f>
        <v/>
      </c>
      <c r="D3214" s="18">
        <f>IF($A3214="","",IF(Paramètres!I28="","",Paramètres!I28))</f>
        <v/>
      </c>
      <c r="E3214" s="19">
        <f>IF($A3214="","",IF(Paramètres!J28&amp;Paramètres!L28&amp;Paramètres!N28="",Dossiers!$D$63,MAX(IF(Paramètres!J28="",0,IF(Paramètres!K28="",NA(),IF(LEFT(TRIM(Paramètres!K28),1)="F",INDEX($F$3191:$F$3243,MATCH(Paramètres!J28,Paramètres!$G$5:$G$57,0)),INDEX($E$3191:$E$3243,MATCH(Paramètres!J28,Paramètres!$G$5:$G$57,0)))+IF(RIGHT(TRIM(Paramètres!K28),3)="Fin",1-$H3214,IF(LEFT(TRIM(Paramètres!K28),1)="F",1,0)))),IF(Paramètres!L28="",0,IF(Paramètres!M28="",NA(),IF(LEFT(TRIM(Paramètres!M28),1)="F",INDEX($F$3191:$F$3243,MATCH(Paramètres!L28,Paramètres!$G$5:$G$57,0)),INDEX($E$3191:$E$3243,MATCH(Paramètres!L28,Paramètres!$G$5:$G$57,0)))+IF(RIGHT(TRIM(Paramètres!M28),3)="Fin",1-$H3214,IF(LEFT(TRIM(Paramètres!M28),1)="F",1,0)))),IF(Paramètres!N28="",0,IF(Paramètres!O28="",NA(),IF(LEFT(TRIM(Paramètres!O28),1)="F",INDEX($F$3191:$F$3243,MATCH(Paramètres!N28,Paramètres!$G$5:$G$57,0)),INDEX($E$3191:$E$3243,MATCH(Paramètres!N28,Paramètres!$G$5:$G$57,0)))+IF(RIGHT(TRIM(Paramètres!O28),3)="Fin",1-$H3214,IF(LEFT(TRIM(Paramètres!O28),1)="F",1,0)))))))</f>
        <v/>
      </c>
      <c r="F3214" s="19">
        <f>IF($A3214="","",E3214+$H3214-1)</f>
        <v/>
      </c>
      <c r="G3214" s="18" t="n"/>
      <c r="H3214" s="18">
        <f>IF($A3214="","",IF(I3214&lt;&gt;"",I3214,Paramètres!B28))</f>
        <v/>
      </c>
      <c r="I3214" s="18" t="n"/>
    </row>
    <row r="3215">
      <c r="A3215" s="18">
        <f>IF(ISNUMBER(Dossiers!$D$63),Dossiers!$A$63&amp;" · "&amp;Dossiers!$B$63,"")</f>
        <v/>
      </c>
      <c r="B3215" s="18">
        <f>IF($A3215="","",Paramètres!G29)</f>
        <v/>
      </c>
      <c r="C3215" s="18">
        <f>IF($A3215="","",IF(Paramètres!H29="","",Paramètres!H29))</f>
        <v/>
      </c>
      <c r="D3215" s="18">
        <f>IF($A3215="","",IF(Paramètres!I29="","",Paramètres!I29))</f>
        <v/>
      </c>
      <c r="E3215" s="19">
        <f>IF($A3215="","",IF(Paramètres!J29&amp;Paramètres!L29&amp;Paramètres!N29="",Dossiers!$D$63,MAX(IF(Paramètres!J29="",0,IF(Paramètres!K29="",NA(),IF(LEFT(TRIM(Paramètres!K29),1)="F",INDEX($F$3191:$F$3243,MATCH(Paramètres!J29,Paramètres!$G$5:$G$57,0)),INDEX($E$3191:$E$3243,MATCH(Paramètres!J29,Paramètres!$G$5:$G$57,0)))+IF(RIGHT(TRIM(Paramètres!K29),3)="Fin",1-$H3215,IF(LEFT(TRIM(Paramètres!K29),1)="F",1,0)))),IF(Paramètres!L29="",0,IF(Paramètres!M29="",NA(),IF(LEFT(TRIM(Paramètres!M29),1)="F",INDEX($F$3191:$F$3243,MATCH(Paramètres!L29,Paramètres!$G$5:$G$57,0)),INDEX($E$3191:$E$3243,MATCH(Paramètres!L29,Paramètres!$G$5:$G$57,0)))+IF(RIGHT(TRIM(Paramètres!M29),3)="Fin",1-$H3215,IF(LEFT(TRIM(Paramètres!M29),1)="F",1,0)))),IF(Paramètres!N29="",0,IF(Paramètres!O29="",NA(),IF(LEFT(TRIM(Paramètres!O29),1)="F",INDEX($F$3191:$F$3243,MATCH(Paramètres!N29,Paramètres!$G$5:$G$57,0)),INDEX($E$3191:$E$3243,MATCH(Paramètres!N29,Paramètres!$G$5:$G$57,0)))+IF(RIGHT(TRIM(Paramètres!O29),3)="Fin",1-$H3215,IF(LEFT(TRIM(Paramètres!O29),1)="F",1,0)))))))</f>
        <v/>
      </c>
      <c r="F3215" s="19">
        <f>IF($A3215="","",E3215+$H3215-1)</f>
        <v/>
      </c>
      <c r="G3215" s="18" t="n"/>
      <c r="H3215" s="18">
        <f>IF($A3215="","",IF(I3215&lt;&gt;"",I3215,Paramètres!B29))</f>
        <v/>
      </c>
      <c r="I3215" s="18" t="n"/>
    </row>
    <row r="3216">
      <c r="A3216" s="18">
        <f>IF(ISNUMBER(Dossiers!$D$63),Dossiers!$A$63&amp;" · "&amp;Dossiers!$B$63,"")</f>
        <v/>
      </c>
      <c r="B3216" s="18">
        <f>IF($A3216="","",Paramètres!G30)</f>
        <v/>
      </c>
      <c r="C3216" s="18">
        <f>IF($A3216="","",IF(Paramètres!H30="","",Paramètres!H30))</f>
        <v/>
      </c>
      <c r="D3216" s="18">
        <f>IF($A3216="","",IF(Paramètres!I30="","",Paramètres!I30))</f>
        <v/>
      </c>
      <c r="E3216" s="19">
        <f>IF($A3216="","",IF(Paramètres!J30&amp;Paramètres!L30&amp;Paramètres!N30="",Dossiers!$D$63,MAX(IF(Paramètres!J30="",0,IF(Paramètres!K30="",NA(),IF(LEFT(TRIM(Paramètres!K30),1)="F",INDEX($F$3191:$F$3243,MATCH(Paramètres!J30,Paramètres!$G$5:$G$57,0)),INDEX($E$3191:$E$3243,MATCH(Paramètres!J30,Paramètres!$G$5:$G$57,0)))+IF(RIGHT(TRIM(Paramètres!K30),3)="Fin",1-$H3216,IF(LEFT(TRIM(Paramètres!K30),1)="F",1,0)))),IF(Paramètres!L30="",0,IF(Paramètres!M30="",NA(),IF(LEFT(TRIM(Paramètres!M30),1)="F",INDEX($F$3191:$F$3243,MATCH(Paramètres!L30,Paramètres!$G$5:$G$57,0)),INDEX($E$3191:$E$3243,MATCH(Paramètres!L30,Paramètres!$G$5:$G$57,0)))+IF(RIGHT(TRIM(Paramètres!M30),3)="Fin",1-$H3216,IF(LEFT(TRIM(Paramètres!M30),1)="F",1,0)))),IF(Paramètres!N30="",0,IF(Paramètres!O30="",NA(),IF(LEFT(TRIM(Paramètres!O30),1)="F",INDEX($F$3191:$F$3243,MATCH(Paramètres!N30,Paramètres!$G$5:$G$57,0)),INDEX($E$3191:$E$3243,MATCH(Paramètres!N30,Paramètres!$G$5:$G$57,0)))+IF(RIGHT(TRIM(Paramètres!O30),3)="Fin",1-$H3216,IF(LEFT(TRIM(Paramètres!O30),1)="F",1,0)))))))</f>
        <v/>
      </c>
      <c r="F3216" s="19">
        <f>IF($A3216="","",E3216+$H3216-1)</f>
        <v/>
      </c>
      <c r="G3216" s="18" t="n"/>
      <c r="H3216" s="18">
        <f>IF($A3216="","",IF(I3216&lt;&gt;"",I3216,Paramètres!B30))</f>
        <v/>
      </c>
      <c r="I3216" s="18" t="n"/>
    </row>
    <row r="3217">
      <c r="A3217" s="18">
        <f>IF(ISNUMBER(Dossiers!$D$63),Dossiers!$A$63&amp;" · "&amp;Dossiers!$B$63,"")</f>
        <v/>
      </c>
      <c r="B3217" s="18">
        <f>IF($A3217="","",Paramètres!G31)</f>
        <v/>
      </c>
      <c r="C3217" s="20">
        <f>IF($A3217="","",IF(Dossiers!$F$63="","",Dossiers!$F$63))</f>
        <v/>
      </c>
      <c r="D3217" s="18">
        <f>IF($A3217="","",IF(Paramètres!I31="","",Paramètres!I31))</f>
        <v/>
      </c>
      <c r="E3217" s="19">
        <f>IF($A3217="","",IF(Paramètres!J31&amp;Paramètres!L31&amp;Paramètres!N31="",Dossiers!$D$63,MAX(IF(Paramètres!J31="",0,IF(Paramètres!K31="",NA(),IF(LEFT(TRIM(Paramètres!K31),1)="F",INDEX($F$3191:$F$3243,MATCH(Paramètres!J31,Paramètres!$G$5:$G$57,0)),INDEX($E$3191:$E$3243,MATCH(Paramètres!J31,Paramètres!$G$5:$G$57,0)))+IF(RIGHT(TRIM(Paramètres!K31),3)="Fin",1-$H3217,IF(LEFT(TRIM(Paramètres!K31),1)="F",1,0)))),IF(Paramètres!L31="",0,IF(Paramètres!M31="",NA(),IF(LEFT(TRIM(Paramètres!M31),1)="F",INDEX($F$3191:$F$3243,MATCH(Paramètres!L31,Paramètres!$G$5:$G$57,0)),INDEX($E$3191:$E$3243,MATCH(Paramètres!L31,Paramètres!$G$5:$G$57,0)))+IF(RIGHT(TRIM(Paramètres!M31),3)="Fin",1-$H3217,IF(LEFT(TRIM(Paramètres!M31),1)="F",1,0)))),IF(Paramètres!N31="",0,IF(Paramètres!O31="",NA(),IF(LEFT(TRIM(Paramètres!O31),1)="F",INDEX($F$3191:$F$3243,MATCH(Paramètres!N31,Paramètres!$G$5:$G$57,0)),INDEX($E$3191:$E$3243,MATCH(Paramètres!N31,Paramètres!$G$5:$G$57,0)))+IF(RIGHT(TRIM(Paramètres!O31),3)="Fin",1-$H3217,IF(LEFT(TRIM(Paramètres!O31),1)="F",1,0)))))))</f>
        <v/>
      </c>
      <c r="F3217" s="19">
        <f>IF($A3217="","",E3217+$H3217-1)</f>
        <v/>
      </c>
      <c r="G3217" s="18" t="n"/>
      <c r="H3217" s="18">
        <f>IF($A3217="","",IF(I3217&lt;&gt;"",I3217,Paramètres!B31))</f>
        <v/>
      </c>
      <c r="I3217" s="18" t="n"/>
    </row>
    <row r="3218">
      <c r="A3218" s="18">
        <f>IF(ISNUMBER(Dossiers!$D$63),Dossiers!$A$63&amp;" · "&amp;Dossiers!$B$63,"")</f>
        <v/>
      </c>
      <c r="B3218" s="18">
        <f>IF($A3218="","",Paramètres!G32)</f>
        <v/>
      </c>
      <c r="C3218" s="18">
        <f>IF($A3218="","",IF(Paramètres!H32="","",Paramètres!H32))</f>
        <v/>
      </c>
      <c r="D3218" s="18">
        <f>IF($A3218="","",IF(Paramètres!I32="","",Paramètres!I32))</f>
        <v/>
      </c>
      <c r="E3218" s="19">
        <f>IF($A3218="","",MIN(E3219:E3222))</f>
        <v/>
      </c>
      <c r="F3218" s="19">
        <f>IF($A3218="","",MAX(F3219:F3222))</f>
        <v/>
      </c>
      <c r="G3218" s="18" t="n"/>
      <c r="H3218" s="18">
        <f>IF($A3218="","",F3218-E3218+1)</f>
        <v/>
      </c>
      <c r="I3218" s="18" t="n"/>
    </row>
    <row r="3219">
      <c r="A3219" s="18">
        <f>IF(ISNUMBER(Dossiers!$D$63),Dossiers!$A$63&amp;" · "&amp;Dossiers!$B$63,"")</f>
        <v/>
      </c>
      <c r="B3219" s="18">
        <f>IF($A3219="","",Paramètres!G33)</f>
        <v/>
      </c>
      <c r="C3219" s="18">
        <f>IF($A3219="","",IF(Paramètres!H33="","",Paramètres!H33))</f>
        <v/>
      </c>
      <c r="D3219" s="18">
        <f>IF($A3219="","",IF(Paramètres!I33="","",Paramètres!I33))</f>
        <v/>
      </c>
      <c r="E3219" s="19">
        <f>IF($A3219="","",IF(Paramètres!J33&amp;Paramètres!L33&amp;Paramètres!N33="",Dossiers!$D$63,MAX(IF(Paramètres!J33="",0,IF(Paramètres!K33="",NA(),IF(LEFT(TRIM(Paramètres!K33),1)="F",INDEX($F$3191:$F$3243,MATCH(Paramètres!J33,Paramètres!$G$5:$G$57,0)),INDEX($E$3191:$E$3243,MATCH(Paramètres!J33,Paramètres!$G$5:$G$57,0)))+IF(RIGHT(TRIM(Paramètres!K33),3)="Fin",1-$H3219,IF(LEFT(TRIM(Paramètres!K33),1)="F",1,0)))),IF(Paramètres!L33="",0,IF(Paramètres!M33="",NA(),IF(LEFT(TRIM(Paramètres!M33),1)="F",INDEX($F$3191:$F$3243,MATCH(Paramètres!L33,Paramètres!$G$5:$G$57,0)),INDEX($E$3191:$E$3243,MATCH(Paramètres!L33,Paramètres!$G$5:$G$57,0)))+IF(RIGHT(TRIM(Paramètres!M33),3)="Fin",1-$H3219,IF(LEFT(TRIM(Paramètres!M33),1)="F",1,0)))),IF(Paramètres!N33="",0,IF(Paramètres!O33="",NA(),IF(LEFT(TRIM(Paramètres!O33),1)="F",INDEX($F$3191:$F$3243,MATCH(Paramètres!N33,Paramètres!$G$5:$G$57,0)),INDEX($E$3191:$E$3243,MATCH(Paramètres!N33,Paramètres!$G$5:$G$57,0)))+IF(RIGHT(TRIM(Paramètres!O33),3)="Fin",1-$H3219,IF(LEFT(TRIM(Paramètres!O33),1)="F",1,0)))))))</f>
        <v/>
      </c>
      <c r="F3219" s="19">
        <f>IF($A3219="","",E3219+$H3219-1)</f>
        <v/>
      </c>
      <c r="G3219" s="18" t="n"/>
      <c r="H3219" s="18">
        <f>IF($A3219="","",IF(I3219&lt;&gt;"",I3219,Paramètres!B33))</f>
        <v/>
      </c>
      <c r="I3219" s="18" t="n"/>
    </row>
    <row r="3220">
      <c r="A3220" s="18">
        <f>IF(ISNUMBER(Dossiers!$D$63),Dossiers!$A$63&amp;" · "&amp;Dossiers!$B$63,"")</f>
        <v/>
      </c>
      <c r="B3220" s="18">
        <f>IF($A3220="","",Paramètres!G34)</f>
        <v/>
      </c>
      <c r="C3220" s="18">
        <f>IF($A3220="","",IF(Paramètres!H34="","",Paramètres!H34))</f>
        <v/>
      </c>
      <c r="D3220" s="18">
        <f>IF($A3220="","",IF(Paramètres!I34="","",Paramètres!I34))</f>
        <v/>
      </c>
      <c r="E3220" s="19">
        <f>IF($A3220="","",IF(Paramètres!J34&amp;Paramètres!L34&amp;Paramètres!N34="",Dossiers!$D$63,MAX(IF(Paramètres!J34="",0,IF(Paramètres!K34="",NA(),IF(LEFT(TRIM(Paramètres!K34),1)="F",INDEX($F$3191:$F$3243,MATCH(Paramètres!J34,Paramètres!$G$5:$G$57,0)),INDEX($E$3191:$E$3243,MATCH(Paramètres!J34,Paramètres!$G$5:$G$57,0)))+IF(RIGHT(TRIM(Paramètres!K34),3)="Fin",1-$H3220,IF(LEFT(TRIM(Paramètres!K34),1)="F",1,0)))),IF(Paramètres!L34="",0,IF(Paramètres!M34="",NA(),IF(LEFT(TRIM(Paramètres!M34),1)="F",INDEX($F$3191:$F$3243,MATCH(Paramètres!L34,Paramètres!$G$5:$G$57,0)),INDEX($E$3191:$E$3243,MATCH(Paramètres!L34,Paramètres!$G$5:$G$57,0)))+IF(RIGHT(TRIM(Paramètres!M34),3)="Fin",1-$H3220,IF(LEFT(TRIM(Paramètres!M34),1)="F",1,0)))),IF(Paramètres!N34="",0,IF(Paramètres!O34="",NA(),IF(LEFT(TRIM(Paramètres!O34),1)="F",INDEX($F$3191:$F$3243,MATCH(Paramètres!N34,Paramètres!$G$5:$G$57,0)),INDEX($E$3191:$E$3243,MATCH(Paramètres!N34,Paramètres!$G$5:$G$57,0)))+IF(RIGHT(TRIM(Paramètres!O34),3)="Fin",1-$H3220,IF(LEFT(TRIM(Paramètres!O34),1)="F",1,0)))))))</f>
        <v/>
      </c>
      <c r="F3220" s="19">
        <f>IF($A3220="","",E3220+$H3220-1)</f>
        <v/>
      </c>
      <c r="G3220" s="18" t="n"/>
      <c r="H3220" s="18">
        <f>IF($A3220="","",IF(I3220&lt;&gt;"",I3220,Paramètres!B34))</f>
        <v/>
      </c>
      <c r="I3220" s="18" t="n"/>
    </row>
    <row r="3221">
      <c r="A3221" s="18">
        <f>IF(ISNUMBER(Dossiers!$D$63),Dossiers!$A$63&amp;" · "&amp;Dossiers!$B$63,"")</f>
        <v/>
      </c>
      <c r="B3221" s="18">
        <f>IF($A3221="","",Paramètres!G35)</f>
        <v/>
      </c>
      <c r="C3221" s="18">
        <f>IF($A3221="","",IF(Paramètres!H35="","",Paramètres!H35))</f>
        <v/>
      </c>
      <c r="D3221" s="18">
        <f>IF($A3221="","",IF(Paramètres!I35="","",Paramètres!I35))</f>
        <v/>
      </c>
      <c r="E3221" s="19">
        <f>IF($A3221="","",IF(Paramètres!J35&amp;Paramètres!L35&amp;Paramètres!N35="",Dossiers!$D$63,MAX(IF(Paramètres!J35="",0,IF(Paramètres!K35="",NA(),IF(LEFT(TRIM(Paramètres!K35),1)="F",INDEX($F$3191:$F$3243,MATCH(Paramètres!J35,Paramètres!$G$5:$G$57,0)),INDEX($E$3191:$E$3243,MATCH(Paramètres!J35,Paramètres!$G$5:$G$57,0)))+IF(RIGHT(TRIM(Paramètres!K35),3)="Fin",1-$H3221,IF(LEFT(TRIM(Paramètres!K35),1)="F",1,0)))),IF(Paramètres!L35="",0,IF(Paramètres!M35="",NA(),IF(LEFT(TRIM(Paramètres!M35),1)="F",INDEX($F$3191:$F$3243,MATCH(Paramètres!L35,Paramètres!$G$5:$G$57,0)),INDEX($E$3191:$E$3243,MATCH(Paramètres!L35,Paramètres!$G$5:$G$57,0)))+IF(RIGHT(TRIM(Paramètres!M35),3)="Fin",1-$H3221,IF(LEFT(TRIM(Paramètres!M35),1)="F",1,0)))),IF(Paramètres!N35="",0,IF(Paramètres!O35="",NA(),IF(LEFT(TRIM(Paramètres!O35),1)="F",INDEX($F$3191:$F$3243,MATCH(Paramètres!N35,Paramètres!$G$5:$G$57,0)),INDEX($E$3191:$E$3243,MATCH(Paramètres!N35,Paramètres!$G$5:$G$57,0)))+IF(RIGHT(TRIM(Paramètres!O35),3)="Fin",1-$H3221,IF(LEFT(TRIM(Paramètres!O35),1)="F",1,0)))))))</f>
        <v/>
      </c>
      <c r="F3221" s="19">
        <f>IF($A3221="","",E3221+$H3221-1)</f>
        <v/>
      </c>
      <c r="G3221" s="18" t="n"/>
      <c r="H3221" s="18">
        <f>IF($A3221="","",IF(I3221&lt;&gt;"",I3221,Paramètres!B35))</f>
        <v/>
      </c>
      <c r="I3221" s="18" t="n"/>
    </row>
    <row r="3222">
      <c r="A3222" s="18">
        <f>IF(ISNUMBER(Dossiers!$D$63),Dossiers!$A$63&amp;" · "&amp;Dossiers!$B$63,"")</f>
        <v/>
      </c>
      <c r="B3222" s="18">
        <f>IF($A3222="","",Paramètres!G36)</f>
        <v/>
      </c>
      <c r="C3222" s="18">
        <f>IF($A3222="","",IF(Paramètres!H36="","",Paramètres!H36))</f>
        <v/>
      </c>
      <c r="D3222" s="18">
        <f>IF($A3222="","",IF(Paramètres!I36="","",Paramètres!I36))</f>
        <v/>
      </c>
      <c r="E3222" s="19">
        <f>IF($A3222="","",IF(Paramètres!J36&amp;Paramètres!L36&amp;Paramètres!N36="",Dossiers!$D$63,MAX(IF(Paramètres!J36="",0,IF(Paramètres!K36="",NA(),IF(LEFT(TRIM(Paramètres!K36),1)="F",INDEX($F$3191:$F$3243,MATCH(Paramètres!J36,Paramètres!$G$5:$G$57,0)),INDEX($E$3191:$E$3243,MATCH(Paramètres!J36,Paramètres!$G$5:$G$57,0)))+IF(RIGHT(TRIM(Paramètres!K36),3)="Fin",1-$H3222,IF(LEFT(TRIM(Paramètres!K36),1)="F",1,0)))),IF(Paramètres!L36="",0,IF(Paramètres!M36="",NA(),IF(LEFT(TRIM(Paramètres!M36),1)="F",INDEX($F$3191:$F$3243,MATCH(Paramètres!L36,Paramètres!$G$5:$G$57,0)),INDEX($E$3191:$E$3243,MATCH(Paramètres!L36,Paramètres!$G$5:$G$57,0)))+IF(RIGHT(TRIM(Paramètres!M36),3)="Fin",1-$H3222,IF(LEFT(TRIM(Paramètres!M36),1)="F",1,0)))),IF(Paramètres!N36="",0,IF(Paramètres!O36="",NA(),IF(LEFT(TRIM(Paramètres!O36),1)="F",INDEX($F$3191:$F$3243,MATCH(Paramètres!N36,Paramètres!$G$5:$G$57,0)),INDEX($E$3191:$E$3243,MATCH(Paramètres!N36,Paramètres!$G$5:$G$57,0)))+IF(RIGHT(TRIM(Paramètres!O36),3)="Fin",1-$H3222,IF(LEFT(TRIM(Paramètres!O36),1)="F",1,0)))))))</f>
        <v/>
      </c>
      <c r="F3222" s="19">
        <f>IF($A3222="","",E3222+$H3222-1)</f>
        <v/>
      </c>
      <c r="G3222" s="18" t="n"/>
      <c r="H3222" s="18">
        <f>IF($A3222="","",IF(I3222&lt;&gt;"",I3222,Paramètres!B36))</f>
        <v/>
      </c>
      <c r="I3222" s="18" t="n"/>
    </row>
    <row r="3223">
      <c r="A3223" s="18">
        <f>IF(ISNUMBER(Dossiers!$D$63),Dossiers!$A$63&amp;" · "&amp;Dossiers!$B$63,"")</f>
        <v/>
      </c>
      <c r="B3223" s="18">
        <f>IF($A3223="","",Paramètres!G37)</f>
        <v/>
      </c>
      <c r="C3223" s="18">
        <f>IF($A3223="","",IF(Paramètres!H37="","",Paramètres!H37))</f>
        <v/>
      </c>
      <c r="D3223" s="18">
        <f>IF($A3223="","",IF(Paramètres!I37="","",Paramètres!I37))</f>
        <v/>
      </c>
      <c r="E3223" s="19">
        <f>IF($A3223="","",MIN(E3224:E3241))</f>
        <v/>
      </c>
      <c r="F3223" s="19">
        <f>IF($A3223="","",MAX(F3224:F3241))</f>
        <v/>
      </c>
      <c r="G3223" s="18" t="n"/>
      <c r="H3223" s="18">
        <f>IF($A3223="","",F3223-E3223+1)</f>
        <v/>
      </c>
      <c r="I3223" s="18" t="n"/>
    </row>
    <row r="3224">
      <c r="A3224" s="18">
        <f>IF(ISNUMBER(Dossiers!$D$63),Dossiers!$A$63&amp;" · "&amp;Dossiers!$B$63,"")</f>
        <v/>
      </c>
      <c r="B3224" s="18">
        <f>IF($A3224="","",Paramètres!G38)</f>
        <v/>
      </c>
      <c r="C3224" s="18">
        <f>IF($A3224="","",IF(Paramètres!H38="","",Paramètres!H38))</f>
        <v/>
      </c>
      <c r="D3224" s="18">
        <f>IF($A3224="","",IF(Paramètres!I38="","",Paramètres!I38))</f>
        <v/>
      </c>
      <c r="E3224" s="19">
        <f>IF($A3224="","",IF(Paramètres!J38&amp;Paramètres!L38&amp;Paramètres!N38="",Dossiers!$D$63,MAX(IF(Paramètres!J38="",0,IF(Paramètres!K38="",NA(),IF(LEFT(TRIM(Paramètres!K38),1)="F",INDEX($F$3191:$F$3243,MATCH(Paramètres!J38,Paramètres!$G$5:$G$57,0)),INDEX($E$3191:$E$3243,MATCH(Paramètres!J38,Paramètres!$G$5:$G$57,0)))+IF(RIGHT(TRIM(Paramètres!K38),3)="Fin",1-$H3224,IF(LEFT(TRIM(Paramètres!K38),1)="F",1,0)))),IF(Paramètres!L38="",0,IF(Paramètres!M38="",NA(),IF(LEFT(TRIM(Paramètres!M38),1)="F",INDEX($F$3191:$F$3243,MATCH(Paramètres!L38,Paramètres!$G$5:$G$57,0)),INDEX($E$3191:$E$3243,MATCH(Paramètres!L38,Paramètres!$G$5:$G$57,0)))+IF(RIGHT(TRIM(Paramètres!M38),3)="Fin",1-$H3224,IF(LEFT(TRIM(Paramètres!M38),1)="F",1,0)))),IF(Paramètres!N38="",0,IF(Paramètres!O38="",NA(),IF(LEFT(TRIM(Paramètres!O38),1)="F",INDEX($F$3191:$F$3243,MATCH(Paramètres!N38,Paramètres!$G$5:$G$57,0)),INDEX($E$3191:$E$3243,MATCH(Paramètres!N38,Paramètres!$G$5:$G$57,0)))+IF(RIGHT(TRIM(Paramètres!O38),3)="Fin",1-$H3224,IF(LEFT(TRIM(Paramètres!O38),1)="F",1,0)))))))</f>
        <v/>
      </c>
      <c r="F3224" s="19">
        <f>IF($A3224="","",E3224+$H3224-1)</f>
        <v/>
      </c>
      <c r="G3224" s="18" t="n"/>
      <c r="H3224" s="18">
        <f>IF($A3224="","",IF(I3224&lt;&gt;"",I3224,Paramètres!B38))</f>
        <v/>
      </c>
      <c r="I3224" s="18" t="n"/>
    </row>
    <row r="3225">
      <c r="A3225" s="18">
        <f>IF(ISNUMBER(Dossiers!$D$63),Dossiers!$A$63&amp;" · "&amp;Dossiers!$B$63,"")</f>
        <v/>
      </c>
      <c r="B3225" s="18">
        <f>IF($A3225="","",Paramètres!G39)</f>
        <v/>
      </c>
      <c r="C3225" s="18">
        <f>IF($A3225="","",IF(Paramètres!H39="","",Paramètres!H39))</f>
        <v/>
      </c>
      <c r="D3225" s="18">
        <f>IF($A3225="","",IF(Paramètres!I39="","",Paramètres!I39))</f>
        <v/>
      </c>
      <c r="E3225" s="19">
        <f>IF($A3225="","",IF(Paramètres!J39&amp;Paramètres!L39&amp;Paramètres!N39="",Dossiers!$D$63,MAX(IF(Paramètres!J39="",0,IF(Paramètres!K39="",NA(),IF(LEFT(TRIM(Paramètres!K39),1)="F",INDEX($F$3191:$F$3243,MATCH(Paramètres!J39,Paramètres!$G$5:$G$57,0)),INDEX($E$3191:$E$3243,MATCH(Paramètres!J39,Paramètres!$G$5:$G$57,0)))+IF(RIGHT(TRIM(Paramètres!K39),3)="Fin",1-$H3225,IF(LEFT(TRIM(Paramètres!K39),1)="F",1,0)))),IF(Paramètres!L39="",0,IF(Paramètres!M39="",NA(),IF(LEFT(TRIM(Paramètres!M39),1)="F",INDEX($F$3191:$F$3243,MATCH(Paramètres!L39,Paramètres!$G$5:$G$57,0)),INDEX($E$3191:$E$3243,MATCH(Paramètres!L39,Paramètres!$G$5:$G$57,0)))+IF(RIGHT(TRIM(Paramètres!M39),3)="Fin",1-$H3225,IF(LEFT(TRIM(Paramètres!M39),1)="F",1,0)))),IF(Paramètres!N39="",0,IF(Paramètres!O39="",NA(),IF(LEFT(TRIM(Paramètres!O39),1)="F",INDEX($F$3191:$F$3243,MATCH(Paramètres!N39,Paramètres!$G$5:$G$57,0)),INDEX($E$3191:$E$3243,MATCH(Paramètres!N39,Paramètres!$G$5:$G$57,0)))+IF(RIGHT(TRIM(Paramètres!O39),3)="Fin",1-$H3225,IF(LEFT(TRIM(Paramètres!O39),1)="F",1,0)))))))</f>
        <v/>
      </c>
      <c r="F3225" s="19">
        <f>IF($A3225="","",E3225+$H3225-1)</f>
        <v/>
      </c>
      <c r="G3225" s="18" t="n"/>
      <c r="H3225" s="18">
        <f>IF($A3225="","",IF(I3225&lt;&gt;"",I3225,Paramètres!B39))</f>
        <v/>
      </c>
      <c r="I3225" s="18" t="n"/>
    </row>
    <row r="3226">
      <c r="A3226" s="18">
        <f>IF(ISNUMBER(Dossiers!$D$63),Dossiers!$A$63&amp;" · "&amp;Dossiers!$B$63,"")</f>
        <v/>
      </c>
      <c r="B3226" s="18">
        <f>IF($A3226="","",Paramètres!G40)</f>
        <v/>
      </c>
      <c r="C3226" s="18">
        <f>IF($A3226="","",IF(Paramètres!H40="","",Paramètres!H40))</f>
        <v/>
      </c>
      <c r="D3226" s="18">
        <f>IF($A3226="","",IF(Paramètres!I40="","",Paramètres!I40))</f>
        <v/>
      </c>
      <c r="E3226" s="19">
        <f>IF($A3226="","",IF(Paramètres!J40&amp;Paramètres!L40&amp;Paramètres!N40="",Dossiers!$D$63,MAX(IF(Paramètres!J40="",0,IF(Paramètres!K40="",NA(),IF(LEFT(TRIM(Paramètres!K40),1)="F",INDEX($F$3191:$F$3243,MATCH(Paramètres!J40,Paramètres!$G$5:$G$57,0)),INDEX($E$3191:$E$3243,MATCH(Paramètres!J40,Paramètres!$G$5:$G$57,0)))+IF(RIGHT(TRIM(Paramètres!K40),3)="Fin",1-$H3226,IF(LEFT(TRIM(Paramètres!K40),1)="F",1,0)))),IF(Paramètres!L40="",0,IF(Paramètres!M40="",NA(),IF(LEFT(TRIM(Paramètres!M40),1)="F",INDEX($F$3191:$F$3243,MATCH(Paramètres!L40,Paramètres!$G$5:$G$57,0)),INDEX($E$3191:$E$3243,MATCH(Paramètres!L40,Paramètres!$G$5:$G$57,0)))+IF(RIGHT(TRIM(Paramètres!M40),3)="Fin",1-$H3226,IF(LEFT(TRIM(Paramètres!M40),1)="F",1,0)))),IF(Paramètres!N40="",0,IF(Paramètres!O40="",NA(),IF(LEFT(TRIM(Paramètres!O40),1)="F",INDEX($F$3191:$F$3243,MATCH(Paramètres!N40,Paramètres!$G$5:$G$57,0)),INDEX($E$3191:$E$3243,MATCH(Paramètres!N40,Paramètres!$G$5:$G$57,0)))+IF(RIGHT(TRIM(Paramètres!O40),3)="Fin",1-$H3226,IF(LEFT(TRIM(Paramètres!O40),1)="F",1,0)))))))</f>
        <v/>
      </c>
      <c r="F3226" s="19">
        <f>IF($A3226="","",E3226+$H3226-1)</f>
        <v/>
      </c>
      <c r="G3226" s="18" t="n"/>
      <c r="H3226" s="18">
        <f>IF($A3226="","",IF(I3226&lt;&gt;"",I3226,Paramètres!B40))</f>
        <v/>
      </c>
      <c r="I3226" s="18" t="n"/>
    </row>
    <row r="3227">
      <c r="A3227" s="18">
        <f>IF(ISNUMBER(Dossiers!$D$63),Dossiers!$A$63&amp;" · "&amp;Dossiers!$B$63,"")</f>
        <v/>
      </c>
      <c r="B3227" s="18">
        <f>IF($A3227="","",Paramètres!G41)</f>
        <v/>
      </c>
      <c r="C3227" s="18">
        <f>IF($A3227="","",IF(Paramètres!H41="","",Paramètres!H41))</f>
        <v/>
      </c>
      <c r="D3227" s="18">
        <f>IF($A3227="","",IF(Paramètres!I41="","",Paramètres!I41))</f>
        <v/>
      </c>
      <c r="E3227" s="19">
        <f>IF($A3227="","",IF(Paramètres!J41&amp;Paramètres!L41&amp;Paramètres!N41="",Dossiers!$D$63,MAX(IF(Paramètres!J41="",0,IF(Paramètres!K41="",NA(),IF(LEFT(TRIM(Paramètres!K41),1)="F",INDEX($F$3191:$F$3243,MATCH(Paramètres!J41,Paramètres!$G$5:$G$57,0)),INDEX($E$3191:$E$3243,MATCH(Paramètres!J41,Paramètres!$G$5:$G$57,0)))+IF(RIGHT(TRIM(Paramètres!K41),3)="Fin",1-$H3227,IF(LEFT(TRIM(Paramètres!K41),1)="F",1,0)))),IF(Paramètres!L41="",0,IF(Paramètres!M41="",NA(),IF(LEFT(TRIM(Paramètres!M41),1)="F",INDEX($F$3191:$F$3243,MATCH(Paramètres!L41,Paramètres!$G$5:$G$57,0)),INDEX($E$3191:$E$3243,MATCH(Paramètres!L41,Paramètres!$G$5:$G$57,0)))+IF(RIGHT(TRIM(Paramètres!M41),3)="Fin",1-$H3227,IF(LEFT(TRIM(Paramètres!M41),1)="F",1,0)))),IF(Paramètres!N41="",0,IF(Paramètres!O41="",NA(),IF(LEFT(TRIM(Paramètres!O41),1)="F",INDEX($F$3191:$F$3243,MATCH(Paramètres!N41,Paramètres!$G$5:$G$57,0)),INDEX($E$3191:$E$3243,MATCH(Paramètres!N41,Paramètres!$G$5:$G$57,0)))+IF(RIGHT(TRIM(Paramètres!O41),3)="Fin",1-$H3227,IF(LEFT(TRIM(Paramètres!O41),1)="F",1,0)))))))</f>
        <v/>
      </c>
      <c r="F3227" s="19">
        <f>IF($A3227="","",E3227+$H3227-1)</f>
        <v/>
      </c>
      <c r="G3227" s="18" t="n"/>
      <c r="H3227" s="18">
        <f>IF($A3227="","",IF(I3227&lt;&gt;"",I3227,Paramètres!B41))</f>
        <v/>
      </c>
      <c r="I3227" s="18" t="n"/>
    </row>
    <row r="3228">
      <c r="A3228" s="18">
        <f>IF(ISNUMBER(Dossiers!$D$63),Dossiers!$A$63&amp;" · "&amp;Dossiers!$B$63,"")</f>
        <v/>
      </c>
      <c r="B3228" s="18">
        <f>IF($A3228="","",Paramètres!G42)</f>
        <v/>
      </c>
      <c r="C3228" s="18">
        <f>IF($A3228="","",IF(Paramètres!H42="","",Paramètres!H42))</f>
        <v/>
      </c>
      <c r="D3228" s="18">
        <f>IF($A3228="","",IF(Paramètres!I42="","",Paramètres!I42))</f>
        <v/>
      </c>
      <c r="E3228" s="19">
        <f>IF($A3228="","",IF(Paramètres!J42&amp;Paramètres!L42&amp;Paramètres!N42="",Dossiers!$D$63,MAX(IF(Paramètres!J42="",0,IF(Paramètres!K42="",NA(),IF(LEFT(TRIM(Paramètres!K42),1)="F",INDEX($F$3191:$F$3243,MATCH(Paramètres!J42,Paramètres!$G$5:$G$57,0)),INDEX($E$3191:$E$3243,MATCH(Paramètres!J42,Paramètres!$G$5:$G$57,0)))+IF(RIGHT(TRIM(Paramètres!K42),3)="Fin",1-$H3228,IF(LEFT(TRIM(Paramètres!K42),1)="F",1,0)))),IF(Paramètres!L42="",0,IF(Paramètres!M42="",NA(),IF(LEFT(TRIM(Paramètres!M42),1)="F",INDEX($F$3191:$F$3243,MATCH(Paramètres!L42,Paramètres!$G$5:$G$57,0)),INDEX($E$3191:$E$3243,MATCH(Paramètres!L42,Paramètres!$G$5:$G$57,0)))+IF(RIGHT(TRIM(Paramètres!M42),3)="Fin",1-$H3228,IF(LEFT(TRIM(Paramètres!M42),1)="F",1,0)))),IF(Paramètres!N42="",0,IF(Paramètres!O42="",NA(),IF(LEFT(TRIM(Paramètres!O42),1)="F",INDEX($F$3191:$F$3243,MATCH(Paramètres!N42,Paramètres!$G$5:$G$57,0)),INDEX($E$3191:$E$3243,MATCH(Paramètres!N42,Paramètres!$G$5:$G$57,0)))+IF(RIGHT(TRIM(Paramètres!O42),3)="Fin",1-$H3228,IF(LEFT(TRIM(Paramètres!O42),1)="F",1,0)))))))</f>
        <v/>
      </c>
      <c r="F3228" s="19">
        <f>IF($A3228="","",E3228+$H3228-1)</f>
        <v/>
      </c>
      <c r="G3228" s="18" t="n"/>
      <c r="H3228" s="18">
        <f>IF($A3228="","",IF(I3228&lt;&gt;"",I3228,Paramètres!B42))</f>
        <v/>
      </c>
      <c r="I3228" s="18" t="n"/>
    </row>
    <row r="3229">
      <c r="A3229" s="18">
        <f>IF(ISNUMBER(Dossiers!$D$63),Dossiers!$A$63&amp;" · "&amp;Dossiers!$B$63,"")</f>
        <v/>
      </c>
      <c r="B3229" s="18">
        <f>IF($A3229="","",Paramètres!G43)</f>
        <v/>
      </c>
      <c r="C3229" s="18">
        <f>IF($A3229="","",IF(Paramètres!H43="","",Paramètres!H43))</f>
        <v/>
      </c>
      <c r="D3229" s="18">
        <f>IF($A3229="","",IF(Paramètres!I43="","",Paramètres!I43))</f>
        <v/>
      </c>
      <c r="E3229" s="19">
        <f>IF($A3229="","",IF(Paramètres!J43&amp;Paramètres!L43&amp;Paramètres!N43="",Dossiers!$D$63,MAX(IF(Paramètres!J43="",0,IF(Paramètres!K43="",NA(),IF(LEFT(TRIM(Paramètres!K43),1)="F",INDEX($F$3191:$F$3243,MATCH(Paramètres!J43,Paramètres!$G$5:$G$57,0)),INDEX($E$3191:$E$3243,MATCH(Paramètres!J43,Paramètres!$G$5:$G$57,0)))+IF(RIGHT(TRIM(Paramètres!K43),3)="Fin",1-$H3229,IF(LEFT(TRIM(Paramètres!K43),1)="F",1,0)))),IF(Paramètres!L43="",0,IF(Paramètres!M43="",NA(),IF(LEFT(TRIM(Paramètres!M43),1)="F",INDEX($F$3191:$F$3243,MATCH(Paramètres!L43,Paramètres!$G$5:$G$57,0)),INDEX($E$3191:$E$3243,MATCH(Paramètres!L43,Paramètres!$G$5:$G$57,0)))+IF(RIGHT(TRIM(Paramètres!M43),3)="Fin",1-$H3229,IF(LEFT(TRIM(Paramètres!M43),1)="F",1,0)))),IF(Paramètres!N43="",0,IF(Paramètres!O43="",NA(),IF(LEFT(TRIM(Paramètres!O43),1)="F",INDEX($F$3191:$F$3243,MATCH(Paramètres!N43,Paramètres!$G$5:$G$57,0)),INDEX($E$3191:$E$3243,MATCH(Paramètres!N43,Paramètres!$G$5:$G$57,0)))+IF(RIGHT(TRIM(Paramètres!O43),3)="Fin",1-$H3229,IF(LEFT(TRIM(Paramètres!O43),1)="F",1,0)))))))</f>
        <v/>
      </c>
      <c r="F3229" s="19">
        <f>IF($A3229="","",E3229+$H3229-1)</f>
        <v/>
      </c>
      <c r="G3229" s="18" t="n"/>
      <c r="H3229" s="18">
        <f>IF($A3229="","",IF(I3229&lt;&gt;"",I3229,Paramètres!B43))</f>
        <v/>
      </c>
      <c r="I3229" s="18" t="n"/>
    </row>
    <row r="3230">
      <c r="A3230" s="18">
        <f>IF(ISNUMBER(Dossiers!$D$63),Dossiers!$A$63&amp;" · "&amp;Dossiers!$B$63,"")</f>
        <v/>
      </c>
      <c r="B3230" s="18">
        <f>IF($A3230="","",Paramètres!G44)</f>
        <v/>
      </c>
      <c r="C3230" s="18">
        <f>IF($A3230="","",IF(Paramètres!H44="","",Paramètres!H44))</f>
        <v/>
      </c>
      <c r="D3230" s="18">
        <f>IF($A3230="","",IF(Paramètres!I44="","",Paramètres!I44))</f>
        <v/>
      </c>
      <c r="E3230" s="19">
        <f>IF($A3230="","",IF(Paramètres!J44&amp;Paramètres!L44&amp;Paramètres!N44="",Dossiers!$D$63,MAX(IF(Paramètres!J44="",0,IF(Paramètres!K44="",NA(),IF(LEFT(TRIM(Paramètres!K44),1)="F",INDEX($F$3191:$F$3243,MATCH(Paramètres!J44,Paramètres!$G$5:$G$57,0)),INDEX($E$3191:$E$3243,MATCH(Paramètres!J44,Paramètres!$G$5:$G$57,0)))+IF(RIGHT(TRIM(Paramètres!K44),3)="Fin",1-$H3230,IF(LEFT(TRIM(Paramètres!K44),1)="F",1,0)))),IF(Paramètres!L44="",0,IF(Paramètres!M44="",NA(),IF(LEFT(TRIM(Paramètres!M44),1)="F",INDEX($F$3191:$F$3243,MATCH(Paramètres!L44,Paramètres!$G$5:$G$57,0)),INDEX($E$3191:$E$3243,MATCH(Paramètres!L44,Paramètres!$G$5:$G$57,0)))+IF(RIGHT(TRIM(Paramètres!M44),3)="Fin",1-$H3230,IF(LEFT(TRIM(Paramètres!M44),1)="F",1,0)))),IF(Paramètres!N44="",0,IF(Paramètres!O44="",NA(),IF(LEFT(TRIM(Paramètres!O44),1)="F",INDEX($F$3191:$F$3243,MATCH(Paramètres!N44,Paramètres!$G$5:$G$57,0)),INDEX($E$3191:$E$3243,MATCH(Paramètres!N44,Paramètres!$G$5:$G$57,0)))+IF(RIGHT(TRIM(Paramètres!O44),3)="Fin",1-$H3230,IF(LEFT(TRIM(Paramètres!O44),1)="F",1,0)))))))</f>
        <v/>
      </c>
      <c r="F3230" s="19">
        <f>IF($A3230="","",E3230+$H3230-1)</f>
        <v/>
      </c>
      <c r="G3230" s="18" t="n"/>
      <c r="H3230" s="18">
        <f>IF($A3230="","",IF(I3230&lt;&gt;"",I3230,Paramètres!B44))</f>
        <v/>
      </c>
      <c r="I3230" s="18" t="n"/>
    </row>
    <row r="3231">
      <c r="A3231" s="18">
        <f>IF(ISNUMBER(Dossiers!$D$63),Dossiers!$A$63&amp;" · "&amp;Dossiers!$B$63,"")</f>
        <v/>
      </c>
      <c r="B3231" s="18">
        <f>IF($A3231="","",Paramètres!G45)</f>
        <v/>
      </c>
      <c r="C3231" s="20">
        <f>IF($A3231="","",IF(Dossiers!$G$63="","",Dossiers!$G$63))</f>
        <v/>
      </c>
      <c r="D3231" s="18">
        <f>IF($A3231="","",IF(Paramètres!I45="","",Paramètres!I45))</f>
        <v/>
      </c>
      <c r="E3231" s="19">
        <f>IF($A3231="","",IF(Paramètres!J45&amp;Paramètres!L45&amp;Paramètres!N45="",Dossiers!$D$63,MAX(IF(Paramètres!J45="",0,IF(Paramètres!K45="",NA(),IF(LEFT(TRIM(Paramètres!K45),1)="F",INDEX($F$3191:$F$3243,MATCH(Paramètres!J45,Paramètres!$G$5:$G$57,0)),INDEX($E$3191:$E$3243,MATCH(Paramètres!J45,Paramètres!$G$5:$G$57,0)))+IF(RIGHT(TRIM(Paramètres!K45),3)="Fin",1-$H3231,IF(LEFT(TRIM(Paramètres!K45),1)="F",1,0)))),IF(Paramètres!L45="",0,IF(Paramètres!M45="",NA(),IF(LEFT(TRIM(Paramètres!M45),1)="F",INDEX($F$3191:$F$3243,MATCH(Paramètres!L45,Paramètres!$G$5:$G$57,0)),INDEX($E$3191:$E$3243,MATCH(Paramètres!L45,Paramètres!$G$5:$G$57,0)))+IF(RIGHT(TRIM(Paramètres!M45),3)="Fin",1-$H3231,IF(LEFT(TRIM(Paramètres!M45),1)="F",1,0)))),IF(Paramètres!N45="",0,IF(Paramètres!O45="",NA(),IF(LEFT(TRIM(Paramètres!O45),1)="F",INDEX($F$3191:$F$3243,MATCH(Paramètres!N45,Paramètres!$G$5:$G$57,0)),INDEX($E$3191:$E$3243,MATCH(Paramètres!N45,Paramètres!$G$5:$G$57,0)))+IF(RIGHT(TRIM(Paramètres!O45),3)="Fin",1-$H3231,IF(LEFT(TRIM(Paramètres!O45),1)="F",1,0)))))))</f>
        <v/>
      </c>
      <c r="F3231" s="19">
        <f>IF($A3231="","",E3231+$H3231-1)</f>
        <v/>
      </c>
      <c r="G3231" s="18" t="n"/>
      <c r="H3231" s="18">
        <f>IF($A3231="","",IF(I3231&lt;&gt;"",I3231,Paramètres!B45))</f>
        <v/>
      </c>
      <c r="I3231" s="18" t="n"/>
    </row>
    <row r="3232">
      <c r="A3232" s="18">
        <f>IF(ISNUMBER(Dossiers!$D$63),Dossiers!$A$63&amp;" · "&amp;Dossiers!$B$63,"")</f>
        <v/>
      </c>
      <c r="B3232" s="18">
        <f>IF($A3232="","",Paramètres!G46)</f>
        <v/>
      </c>
      <c r="C3232" s="18">
        <f>IF($A3232="","",IF(Paramètres!H46="","",Paramètres!H46))</f>
        <v/>
      </c>
      <c r="D3232" s="18">
        <f>IF($A3232="","",IF(Paramètres!I46="","",Paramètres!I46))</f>
        <v/>
      </c>
      <c r="E3232" s="19">
        <f>IF($A3232="","",IF(Paramètres!J46&amp;Paramètres!L46&amp;Paramètres!N46="",Dossiers!$D$63,MAX(IF(Paramètres!J46="",0,IF(Paramètres!K46="",NA(),IF(LEFT(TRIM(Paramètres!K46),1)="F",INDEX($F$3191:$F$3243,MATCH(Paramètres!J46,Paramètres!$G$5:$G$57,0)),INDEX($E$3191:$E$3243,MATCH(Paramètres!J46,Paramètres!$G$5:$G$57,0)))+IF(RIGHT(TRIM(Paramètres!K46),3)="Fin",1-$H3232,IF(LEFT(TRIM(Paramètres!K46),1)="F",1,0)))),IF(Paramètres!L46="",0,IF(Paramètres!M46="",NA(),IF(LEFT(TRIM(Paramètres!M46),1)="F",INDEX($F$3191:$F$3243,MATCH(Paramètres!L46,Paramètres!$G$5:$G$57,0)),INDEX($E$3191:$E$3243,MATCH(Paramètres!L46,Paramètres!$G$5:$G$57,0)))+IF(RIGHT(TRIM(Paramètres!M46),3)="Fin",1-$H3232,IF(LEFT(TRIM(Paramètres!M46),1)="F",1,0)))),IF(Paramètres!N46="",0,IF(Paramètres!O46="",NA(),IF(LEFT(TRIM(Paramètres!O46),1)="F",INDEX($F$3191:$F$3243,MATCH(Paramètres!N46,Paramètres!$G$5:$G$57,0)),INDEX($E$3191:$E$3243,MATCH(Paramètres!N46,Paramètres!$G$5:$G$57,0)))+IF(RIGHT(TRIM(Paramètres!O46),3)="Fin",1-$H3232,IF(LEFT(TRIM(Paramètres!O46),1)="F",1,0)))))))</f>
        <v/>
      </c>
      <c r="F3232" s="19">
        <f>IF($A3232="","",E3232+$H3232-1)</f>
        <v/>
      </c>
      <c r="G3232" s="18" t="n"/>
      <c r="H3232" s="18">
        <f>IF($A3232="","",IF(I3232&lt;&gt;"",I3232,Paramètres!B46))</f>
        <v/>
      </c>
      <c r="I3232" s="18" t="n"/>
    </row>
    <row r="3233">
      <c r="A3233" s="18">
        <f>IF(ISNUMBER(Dossiers!$D$63),Dossiers!$A$63&amp;" · "&amp;Dossiers!$B$63,"")</f>
        <v/>
      </c>
      <c r="B3233" s="18">
        <f>IF($A3233="","",Paramètres!G47)</f>
        <v/>
      </c>
      <c r="C3233" s="18">
        <f>IF($A3233="","",IF(Paramètres!H47="","",Paramètres!H47))</f>
        <v/>
      </c>
      <c r="D3233" s="18">
        <f>IF($A3233="","",IF(Paramètres!I47="","",Paramètres!I47))</f>
        <v/>
      </c>
      <c r="E3233" s="19">
        <f>IF($A3233="","",IF(Paramètres!J47&amp;Paramètres!L47&amp;Paramètres!N47="",Dossiers!$D$63,MAX(IF(Paramètres!J47="",0,IF(Paramètres!K47="",NA(),IF(LEFT(TRIM(Paramètres!K47),1)="F",INDEX($F$3191:$F$3243,MATCH(Paramètres!J47,Paramètres!$G$5:$G$57,0)),INDEX($E$3191:$E$3243,MATCH(Paramètres!J47,Paramètres!$G$5:$G$57,0)))+IF(RIGHT(TRIM(Paramètres!K47),3)="Fin",1-$H3233,IF(LEFT(TRIM(Paramètres!K47),1)="F",1,0)))),IF(Paramètres!L47="",0,IF(Paramètres!M47="",NA(),IF(LEFT(TRIM(Paramètres!M47),1)="F",INDEX($F$3191:$F$3243,MATCH(Paramètres!L47,Paramètres!$G$5:$G$57,0)),INDEX($E$3191:$E$3243,MATCH(Paramètres!L47,Paramètres!$G$5:$G$57,0)))+IF(RIGHT(TRIM(Paramètres!M47),3)="Fin",1-$H3233,IF(LEFT(TRIM(Paramètres!M47),1)="F",1,0)))),IF(Paramètres!N47="",0,IF(Paramètres!O47="",NA(),IF(LEFT(TRIM(Paramètres!O47),1)="F",INDEX($F$3191:$F$3243,MATCH(Paramètres!N47,Paramètres!$G$5:$G$57,0)),INDEX($E$3191:$E$3243,MATCH(Paramètres!N47,Paramètres!$G$5:$G$57,0)))+IF(RIGHT(TRIM(Paramètres!O47),3)="Fin",1-$H3233,IF(LEFT(TRIM(Paramètres!O47),1)="F",1,0)))))))</f>
        <v/>
      </c>
      <c r="F3233" s="19">
        <f>IF($A3233="","",E3233+$H3233-1)</f>
        <v/>
      </c>
      <c r="G3233" s="18" t="n"/>
      <c r="H3233" s="18">
        <f>IF($A3233="","",IF(I3233&lt;&gt;"",I3233,Paramètres!B47))</f>
        <v/>
      </c>
      <c r="I3233" s="18" t="n"/>
    </row>
    <row r="3234">
      <c r="A3234" s="18">
        <f>IF(ISNUMBER(Dossiers!$D$63),Dossiers!$A$63&amp;" · "&amp;Dossiers!$B$63,"")</f>
        <v/>
      </c>
      <c r="B3234" s="18">
        <f>IF($A3234="","",Paramètres!G48)</f>
        <v/>
      </c>
      <c r="C3234" s="18">
        <f>IF($A3234="","",IF(Paramètres!H48="","",Paramètres!H48))</f>
        <v/>
      </c>
      <c r="D3234" s="18">
        <f>IF($A3234="","",IF(Paramètres!I48="","",Paramètres!I48))</f>
        <v/>
      </c>
      <c r="E3234" s="19">
        <f>IF($A3234="","",IF(Paramètres!J48&amp;Paramètres!L48&amp;Paramètres!N48="",Dossiers!$D$63,MAX(IF(Paramètres!J48="",0,IF(Paramètres!K48="",NA(),IF(LEFT(TRIM(Paramètres!K48),1)="F",INDEX($F$3191:$F$3243,MATCH(Paramètres!J48,Paramètres!$G$5:$G$57,0)),INDEX($E$3191:$E$3243,MATCH(Paramètres!J48,Paramètres!$G$5:$G$57,0)))+IF(RIGHT(TRIM(Paramètres!K48),3)="Fin",1-$H3234,IF(LEFT(TRIM(Paramètres!K48),1)="F",1,0)))),IF(Paramètres!L48="",0,IF(Paramètres!M48="",NA(),IF(LEFT(TRIM(Paramètres!M48),1)="F",INDEX($F$3191:$F$3243,MATCH(Paramètres!L48,Paramètres!$G$5:$G$57,0)),INDEX($E$3191:$E$3243,MATCH(Paramètres!L48,Paramètres!$G$5:$G$57,0)))+IF(RIGHT(TRIM(Paramètres!M48),3)="Fin",1-$H3234,IF(LEFT(TRIM(Paramètres!M48),1)="F",1,0)))),IF(Paramètres!N48="",0,IF(Paramètres!O48="",NA(),IF(LEFT(TRIM(Paramètres!O48),1)="F",INDEX($F$3191:$F$3243,MATCH(Paramètres!N48,Paramètres!$G$5:$G$57,0)),INDEX($E$3191:$E$3243,MATCH(Paramètres!N48,Paramètres!$G$5:$G$57,0)))+IF(RIGHT(TRIM(Paramètres!O48),3)="Fin",1-$H3234,IF(LEFT(TRIM(Paramètres!O48),1)="F",1,0)))))))</f>
        <v/>
      </c>
      <c r="F3234" s="19">
        <f>IF($A3234="","",E3234+$H3234-1)</f>
        <v/>
      </c>
      <c r="G3234" s="18" t="n"/>
      <c r="H3234" s="18">
        <f>IF($A3234="","",IF(I3234&lt;&gt;"",I3234,Paramètres!B48))</f>
        <v/>
      </c>
      <c r="I3234" s="18" t="n"/>
    </row>
    <row r="3235">
      <c r="A3235" s="18">
        <f>IF(ISNUMBER(Dossiers!$D$63),Dossiers!$A$63&amp;" · "&amp;Dossiers!$B$63,"")</f>
        <v/>
      </c>
      <c r="B3235" s="18">
        <f>IF($A3235="","",Paramètres!G49)</f>
        <v/>
      </c>
      <c r="C3235" s="18">
        <f>IF($A3235="","",IF(Paramètres!H49="","",Paramètres!H49))</f>
        <v/>
      </c>
      <c r="D3235" s="18">
        <f>IF($A3235="","",IF(Paramètres!I49="","",Paramètres!I49))</f>
        <v/>
      </c>
      <c r="E3235" s="19">
        <f>IF($A3235="","",IF(Paramètres!J49&amp;Paramètres!L49&amp;Paramètres!N49="",Dossiers!$D$63,MAX(IF(Paramètres!J49="",0,IF(Paramètres!K49="",NA(),IF(LEFT(TRIM(Paramètres!K49),1)="F",INDEX($F$3191:$F$3243,MATCH(Paramètres!J49,Paramètres!$G$5:$G$57,0)),INDEX($E$3191:$E$3243,MATCH(Paramètres!J49,Paramètres!$G$5:$G$57,0)))+IF(RIGHT(TRIM(Paramètres!K49),3)="Fin",1-$H3235,IF(LEFT(TRIM(Paramètres!K49),1)="F",1,0)))),IF(Paramètres!L49="",0,IF(Paramètres!M49="",NA(),IF(LEFT(TRIM(Paramètres!M49),1)="F",INDEX($F$3191:$F$3243,MATCH(Paramètres!L49,Paramètres!$G$5:$G$57,0)),INDEX($E$3191:$E$3243,MATCH(Paramètres!L49,Paramètres!$G$5:$G$57,0)))+IF(RIGHT(TRIM(Paramètres!M49),3)="Fin",1-$H3235,IF(LEFT(TRIM(Paramètres!M49),1)="F",1,0)))),IF(Paramètres!N49="",0,IF(Paramètres!O49="",NA(),IF(LEFT(TRIM(Paramètres!O49),1)="F",INDEX($F$3191:$F$3243,MATCH(Paramètres!N49,Paramètres!$G$5:$G$57,0)),INDEX($E$3191:$E$3243,MATCH(Paramètres!N49,Paramètres!$G$5:$G$57,0)))+IF(RIGHT(TRIM(Paramètres!O49),3)="Fin",1-$H3235,IF(LEFT(TRIM(Paramètres!O49),1)="F",1,0)))))))</f>
        <v/>
      </c>
      <c r="F3235" s="19">
        <f>IF($A3235="","",E3235+$H3235-1)</f>
        <v/>
      </c>
      <c r="G3235" s="18" t="n"/>
      <c r="H3235" s="18">
        <f>IF($A3235="","",IF(I3235&lt;&gt;"",I3235,Paramètres!B49))</f>
        <v/>
      </c>
      <c r="I3235" s="18" t="n"/>
    </row>
    <row r="3236">
      <c r="A3236" s="18">
        <f>IF(ISNUMBER(Dossiers!$D$63),Dossiers!$A$63&amp;" · "&amp;Dossiers!$B$63,"")</f>
        <v/>
      </c>
      <c r="B3236" s="18">
        <f>IF($A3236="","",Paramètres!G50)</f>
        <v/>
      </c>
      <c r="C3236" s="18">
        <f>IF($A3236="","",IF(Paramètres!H50="","",Paramètres!H50))</f>
        <v/>
      </c>
      <c r="D3236" s="18">
        <f>IF($A3236="","",IF(Paramètres!I50="","",Paramètres!I50))</f>
        <v/>
      </c>
      <c r="E3236" s="19">
        <f>IF($A3236="","",IF(Paramètres!J50&amp;Paramètres!L50&amp;Paramètres!N50="",Dossiers!$D$63,MAX(IF(Paramètres!J50="",0,IF(Paramètres!K50="",NA(),IF(LEFT(TRIM(Paramètres!K50),1)="F",INDEX($F$3191:$F$3243,MATCH(Paramètres!J50,Paramètres!$G$5:$G$57,0)),INDEX($E$3191:$E$3243,MATCH(Paramètres!J50,Paramètres!$G$5:$G$57,0)))+IF(RIGHT(TRIM(Paramètres!K50),3)="Fin",1-$H3236,IF(LEFT(TRIM(Paramètres!K50),1)="F",1,0)))),IF(Paramètres!L50="",0,IF(Paramètres!M50="",NA(),IF(LEFT(TRIM(Paramètres!M50),1)="F",INDEX($F$3191:$F$3243,MATCH(Paramètres!L50,Paramètres!$G$5:$G$57,0)),INDEX($E$3191:$E$3243,MATCH(Paramètres!L50,Paramètres!$G$5:$G$57,0)))+IF(RIGHT(TRIM(Paramètres!M50),3)="Fin",1-$H3236,IF(LEFT(TRIM(Paramètres!M50),1)="F",1,0)))),IF(Paramètres!N50="",0,IF(Paramètres!O50="",NA(),IF(LEFT(TRIM(Paramètres!O50),1)="F",INDEX($F$3191:$F$3243,MATCH(Paramètres!N50,Paramètres!$G$5:$G$57,0)),INDEX($E$3191:$E$3243,MATCH(Paramètres!N50,Paramètres!$G$5:$G$57,0)))+IF(RIGHT(TRIM(Paramètres!O50),3)="Fin",1-$H3236,IF(LEFT(TRIM(Paramètres!O50),1)="F",1,0)))))))</f>
        <v/>
      </c>
      <c r="F3236" s="19">
        <f>IF($A3236="","",E3236+$H3236-1)</f>
        <v/>
      </c>
      <c r="G3236" s="18" t="n"/>
      <c r="H3236" s="18">
        <f>IF($A3236="","",IF(I3236&lt;&gt;"",I3236,Paramètres!B50))</f>
        <v/>
      </c>
      <c r="I3236" s="18" t="n"/>
    </row>
    <row r="3237">
      <c r="A3237" s="18">
        <f>IF(ISNUMBER(Dossiers!$D$63),Dossiers!$A$63&amp;" · "&amp;Dossiers!$B$63,"")</f>
        <v/>
      </c>
      <c r="B3237" s="18">
        <f>IF($A3237="","",Paramètres!G51)</f>
        <v/>
      </c>
      <c r="C3237" s="18">
        <f>IF($A3237="","",IF(Paramètres!H51="","",Paramètres!H51))</f>
        <v/>
      </c>
      <c r="D3237" s="18">
        <f>IF($A3237="","",IF(Paramètres!I51="","",Paramètres!I51))</f>
        <v/>
      </c>
      <c r="E3237" s="19">
        <f>IF($A3237="","",IF(Paramètres!J51&amp;Paramètres!L51&amp;Paramètres!N51="",Dossiers!$D$63,MAX(IF(Paramètres!J51="",0,IF(Paramètres!K51="",NA(),IF(LEFT(TRIM(Paramètres!K51),1)="F",INDEX($F$3191:$F$3243,MATCH(Paramètres!J51,Paramètres!$G$5:$G$57,0)),INDEX($E$3191:$E$3243,MATCH(Paramètres!J51,Paramètres!$G$5:$G$57,0)))+IF(RIGHT(TRIM(Paramètres!K51),3)="Fin",1-$H3237,IF(LEFT(TRIM(Paramètres!K51),1)="F",1,0)))),IF(Paramètres!L51="",0,IF(Paramètres!M51="",NA(),IF(LEFT(TRIM(Paramètres!M51),1)="F",INDEX($F$3191:$F$3243,MATCH(Paramètres!L51,Paramètres!$G$5:$G$57,0)),INDEX($E$3191:$E$3243,MATCH(Paramètres!L51,Paramètres!$G$5:$G$57,0)))+IF(RIGHT(TRIM(Paramètres!M51),3)="Fin",1-$H3237,IF(LEFT(TRIM(Paramètres!M51),1)="F",1,0)))),IF(Paramètres!N51="",0,IF(Paramètres!O51="",NA(),IF(LEFT(TRIM(Paramètres!O51),1)="F",INDEX($F$3191:$F$3243,MATCH(Paramètres!N51,Paramètres!$G$5:$G$57,0)),INDEX($E$3191:$E$3243,MATCH(Paramètres!N51,Paramètres!$G$5:$G$57,0)))+IF(RIGHT(TRIM(Paramètres!O51),3)="Fin",1-$H3237,IF(LEFT(TRIM(Paramètres!O51),1)="F",1,0)))))))</f>
        <v/>
      </c>
      <c r="F3237" s="19">
        <f>IF($A3237="","",E3237+$H3237-1)</f>
        <v/>
      </c>
      <c r="G3237" s="18" t="n"/>
      <c r="H3237" s="18">
        <f>IF($A3237="","",IF(I3237&lt;&gt;"",I3237,Paramètres!B51))</f>
        <v/>
      </c>
      <c r="I3237" s="18" t="n"/>
    </row>
    <row r="3238">
      <c r="A3238" s="18">
        <f>IF(ISNUMBER(Dossiers!$D$63),Dossiers!$A$63&amp;" · "&amp;Dossiers!$B$63,"")</f>
        <v/>
      </c>
      <c r="B3238" s="18">
        <f>IF($A3238="","",Paramètres!G52)</f>
        <v/>
      </c>
      <c r="C3238" s="18">
        <f>IF($A3238="","",IF(Paramètres!H52="","",Paramètres!H52))</f>
        <v/>
      </c>
      <c r="D3238" s="18">
        <f>IF($A3238="","",IF(Paramètres!I52="","",Paramètres!I52))</f>
        <v/>
      </c>
      <c r="E3238" s="19">
        <f>IF($A3238="","",IF(Paramètres!J52&amp;Paramètres!L52&amp;Paramètres!N52="",Dossiers!$D$63,MAX(IF(Paramètres!J52="",0,IF(Paramètres!K52="",NA(),IF(LEFT(TRIM(Paramètres!K52),1)="F",INDEX($F$3191:$F$3243,MATCH(Paramètres!J52,Paramètres!$G$5:$G$57,0)),INDEX($E$3191:$E$3243,MATCH(Paramètres!J52,Paramètres!$G$5:$G$57,0)))+IF(RIGHT(TRIM(Paramètres!K52),3)="Fin",1-$H3238,IF(LEFT(TRIM(Paramètres!K52),1)="F",1,0)))),IF(Paramètres!L52="",0,IF(Paramètres!M52="",NA(),IF(LEFT(TRIM(Paramètres!M52),1)="F",INDEX($F$3191:$F$3243,MATCH(Paramètres!L52,Paramètres!$G$5:$G$57,0)),INDEX($E$3191:$E$3243,MATCH(Paramètres!L52,Paramètres!$G$5:$G$57,0)))+IF(RIGHT(TRIM(Paramètres!M52),3)="Fin",1-$H3238,IF(LEFT(TRIM(Paramètres!M52),1)="F",1,0)))),IF(Paramètres!N52="",0,IF(Paramètres!O52="",NA(),IF(LEFT(TRIM(Paramètres!O52),1)="F",INDEX($F$3191:$F$3243,MATCH(Paramètres!N52,Paramètres!$G$5:$G$57,0)),INDEX($E$3191:$E$3243,MATCH(Paramètres!N52,Paramètres!$G$5:$G$57,0)))+IF(RIGHT(TRIM(Paramètres!O52),3)="Fin",1-$H3238,IF(LEFT(TRIM(Paramètres!O52),1)="F",1,0)))))))</f>
        <v/>
      </c>
      <c r="F3238" s="19">
        <f>IF($A3238="","",E3238+$H3238-1)</f>
        <v/>
      </c>
      <c r="G3238" s="18" t="n"/>
      <c r="H3238" s="18">
        <f>IF($A3238="","",IF(I3238&lt;&gt;"",I3238,Paramètres!B52))</f>
        <v/>
      </c>
      <c r="I3238" s="18" t="n"/>
    </row>
    <row r="3239">
      <c r="A3239" s="18">
        <f>IF(ISNUMBER(Dossiers!$D$63),Dossiers!$A$63&amp;" · "&amp;Dossiers!$B$63,"")</f>
        <v/>
      </c>
      <c r="B3239" s="18">
        <f>IF($A3239="","",Paramètres!G53)</f>
        <v/>
      </c>
      <c r="C3239" s="18">
        <f>IF($A3239="","",IF(Paramètres!H53="","",Paramètres!H53))</f>
        <v/>
      </c>
      <c r="D3239" s="18">
        <f>IF($A3239="","",IF(Paramètres!I53="","",Paramètres!I53))</f>
        <v/>
      </c>
      <c r="E3239" s="19">
        <f>IF($A3239="","",IF(Paramètres!J53&amp;Paramètres!L53&amp;Paramètres!N53="",Dossiers!$D$63,MAX(IF(Paramètres!J53="",0,IF(Paramètres!K53="",NA(),IF(LEFT(TRIM(Paramètres!K53),1)="F",INDEX($F$3191:$F$3243,MATCH(Paramètres!J53,Paramètres!$G$5:$G$57,0)),INDEX($E$3191:$E$3243,MATCH(Paramètres!J53,Paramètres!$G$5:$G$57,0)))+IF(RIGHT(TRIM(Paramètres!K53),3)="Fin",1-$H3239,IF(LEFT(TRIM(Paramètres!K53),1)="F",1,0)))),IF(Paramètres!L53="",0,IF(Paramètres!M53="",NA(),IF(LEFT(TRIM(Paramètres!M53),1)="F",INDEX($F$3191:$F$3243,MATCH(Paramètres!L53,Paramètres!$G$5:$G$57,0)),INDEX($E$3191:$E$3243,MATCH(Paramètres!L53,Paramètres!$G$5:$G$57,0)))+IF(RIGHT(TRIM(Paramètres!M53),3)="Fin",1-$H3239,IF(LEFT(TRIM(Paramètres!M53),1)="F",1,0)))),IF(Paramètres!N53="",0,IF(Paramètres!O53="",NA(),IF(LEFT(TRIM(Paramètres!O53),1)="F",INDEX($F$3191:$F$3243,MATCH(Paramètres!N53,Paramètres!$G$5:$G$57,0)),INDEX($E$3191:$E$3243,MATCH(Paramètres!N53,Paramètres!$G$5:$G$57,0)))+IF(RIGHT(TRIM(Paramètres!O53),3)="Fin",1-$H3239,IF(LEFT(TRIM(Paramètres!O53),1)="F",1,0)))))))</f>
        <v/>
      </c>
      <c r="F3239" s="19">
        <f>IF($A3239="","",E3239+$H3239-1)</f>
        <v/>
      </c>
      <c r="G3239" s="18" t="n"/>
      <c r="H3239" s="18">
        <f>IF($A3239="","",IF(I3239&lt;&gt;"",I3239,Paramètres!B53))</f>
        <v/>
      </c>
      <c r="I3239" s="18" t="n"/>
    </row>
    <row r="3240">
      <c r="A3240" s="18">
        <f>IF(ISNUMBER(Dossiers!$D$63),Dossiers!$A$63&amp;" · "&amp;Dossiers!$B$63,"")</f>
        <v/>
      </c>
      <c r="B3240" s="18">
        <f>IF($A3240="","",Paramètres!G54)</f>
        <v/>
      </c>
      <c r="C3240" s="18">
        <f>IF($A3240="","",IF(Paramètres!H54="","",Paramètres!H54))</f>
        <v/>
      </c>
      <c r="D3240" s="18">
        <f>IF($A3240="","",IF(Paramètres!I54="","",Paramètres!I54))</f>
        <v/>
      </c>
      <c r="E3240" s="19">
        <f>IF($A3240="","",IF(Paramètres!J54&amp;Paramètres!L54&amp;Paramètres!N54="",Dossiers!$D$63,MAX(IF(Paramètres!J54="",0,IF(Paramètres!K54="",NA(),IF(LEFT(TRIM(Paramètres!K54),1)="F",INDEX($F$3191:$F$3243,MATCH(Paramètres!J54,Paramètres!$G$5:$G$57,0)),INDEX($E$3191:$E$3243,MATCH(Paramètres!J54,Paramètres!$G$5:$G$57,0)))+IF(RIGHT(TRIM(Paramètres!K54),3)="Fin",1-$H3240,IF(LEFT(TRIM(Paramètres!K54),1)="F",1,0)))),IF(Paramètres!L54="",0,IF(Paramètres!M54="",NA(),IF(LEFT(TRIM(Paramètres!M54),1)="F",INDEX($F$3191:$F$3243,MATCH(Paramètres!L54,Paramètres!$G$5:$G$57,0)),INDEX($E$3191:$E$3243,MATCH(Paramètres!L54,Paramètres!$G$5:$G$57,0)))+IF(RIGHT(TRIM(Paramètres!M54),3)="Fin",1-$H3240,IF(LEFT(TRIM(Paramètres!M54),1)="F",1,0)))),IF(Paramètres!N54="",0,IF(Paramètres!O54="",NA(),IF(LEFT(TRIM(Paramètres!O54),1)="F",INDEX($F$3191:$F$3243,MATCH(Paramètres!N54,Paramètres!$G$5:$G$57,0)),INDEX($E$3191:$E$3243,MATCH(Paramètres!N54,Paramètres!$G$5:$G$57,0)))+IF(RIGHT(TRIM(Paramètres!O54),3)="Fin",1-$H3240,IF(LEFT(TRIM(Paramètres!O54),1)="F",1,0)))))))</f>
        <v/>
      </c>
      <c r="F3240" s="19">
        <f>IF($A3240="","",E3240+$H3240-1)</f>
        <v/>
      </c>
      <c r="G3240" s="18" t="n"/>
      <c r="H3240" s="18">
        <f>IF($A3240="","",IF(I3240&lt;&gt;"",I3240,Paramètres!B54))</f>
        <v/>
      </c>
      <c r="I3240" s="18" t="n"/>
    </row>
    <row r="3241">
      <c r="A3241" s="18">
        <f>IF(ISNUMBER(Dossiers!$D$63),Dossiers!$A$63&amp;" · "&amp;Dossiers!$B$63,"")</f>
        <v/>
      </c>
      <c r="B3241" s="18">
        <f>IF($A3241="","",Paramètres!G55)</f>
        <v/>
      </c>
      <c r="C3241" s="18">
        <f>IF($A3241="","",IF(Paramètres!H55="","",Paramètres!H55))</f>
        <v/>
      </c>
      <c r="D3241" s="18">
        <f>IF($A3241="","",IF(Paramètres!I55="","",Paramètres!I55))</f>
        <v/>
      </c>
      <c r="E3241" s="19">
        <f>IF($A3241="","",IF(Paramètres!J55&amp;Paramètres!L55&amp;Paramètres!N55="",Dossiers!$D$63,MAX(IF(Paramètres!J55="",0,IF(Paramètres!K55="",NA(),IF(LEFT(TRIM(Paramètres!K55),1)="F",INDEX($F$3191:$F$3243,MATCH(Paramètres!J55,Paramètres!$G$5:$G$57,0)),INDEX($E$3191:$E$3243,MATCH(Paramètres!J55,Paramètres!$G$5:$G$57,0)))+IF(RIGHT(TRIM(Paramètres!K55),3)="Fin",1-$H3241,IF(LEFT(TRIM(Paramètres!K55),1)="F",1,0)))),IF(Paramètres!L55="",0,IF(Paramètres!M55="",NA(),IF(LEFT(TRIM(Paramètres!M55),1)="F",INDEX($F$3191:$F$3243,MATCH(Paramètres!L55,Paramètres!$G$5:$G$57,0)),INDEX($E$3191:$E$3243,MATCH(Paramètres!L55,Paramètres!$G$5:$G$57,0)))+IF(RIGHT(TRIM(Paramètres!M55),3)="Fin",1-$H3241,IF(LEFT(TRIM(Paramètres!M55),1)="F",1,0)))),IF(Paramètres!N55="",0,IF(Paramètres!O55="",NA(),IF(LEFT(TRIM(Paramètres!O55),1)="F",INDEX($F$3191:$F$3243,MATCH(Paramètres!N55,Paramètres!$G$5:$G$57,0)),INDEX($E$3191:$E$3243,MATCH(Paramètres!N55,Paramètres!$G$5:$G$57,0)))+IF(RIGHT(TRIM(Paramètres!O55),3)="Fin",1-$H3241,IF(LEFT(TRIM(Paramètres!O55),1)="F",1,0)))))))</f>
        <v/>
      </c>
      <c r="F3241" s="19">
        <f>IF($A3241="","",E3241+$H3241-1)</f>
        <v/>
      </c>
      <c r="G3241" s="18" t="n"/>
      <c r="H3241" s="18">
        <f>IF($A3241="","",IF(I3241&lt;&gt;"",I3241,Paramètres!B55))</f>
        <v/>
      </c>
      <c r="I3241" s="18" t="n"/>
    </row>
    <row r="3242">
      <c r="A3242">
        <f>IF(ISNUMBER(Dossiers!$D$63),Dossiers!$A$63&amp;" · "&amp;Dossiers!$B$63,"")</f>
        <v/>
      </c>
      <c r="B3242">
        <f>IF($A3242="","",Paramètres!G56)</f>
        <v/>
      </c>
      <c r="C3242">
        <f>IF($A3242="","",IF(Paramètres!H56="","",Paramètres!H56))</f>
        <v/>
      </c>
      <c r="D3242">
        <f>IF($A3242="","",IF(Paramètres!I56="","",Paramètres!I56))</f>
        <v/>
      </c>
      <c r="E3242" s="5">
        <f>IF($A3242="","",MIN(E3243:E3243))</f>
        <v/>
      </c>
      <c r="F3242" s="5">
        <f>IF($A3242="","",MAX(F3243:F3243))</f>
        <v/>
      </c>
      <c r="H3242">
        <f>IF($A3242="","",F3242-E3242+1)</f>
        <v/>
      </c>
    </row>
    <row r="3243">
      <c r="A3243">
        <f>IF(ISNUMBER(Dossiers!$D$63),Dossiers!$A$63&amp;" · "&amp;Dossiers!$B$63,"")</f>
        <v/>
      </c>
      <c r="B3243">
        <f>IF($A3243="","",Paramètres!G57)</f>
        <v/>
      </c>
      <c r="C3243">
        <f>IF($A3243="","",IF(Paramètres!H57="","",Paramètres!H57))</f>
        <v/>
      </c>
      <c r="D3243">
        <f>IF($A3243="","",IF(Paramètres!I57="","",Paramètres!I57))</f>
        <v/>
      </c>
      <c r="E3243" s="5">
        <f>IF($A3243="","",IF(Paramètres!J57&amp;Paramètres!L57&amp;Paramètres!N57="",Dossiers!$D$63,MAX(IF(Paramètres!J57="",0,IF(Paramètres!K57="",NA(),IF(LEFT(TRIM(Paramètres!K57),1)="F",INDEX($F$3191:$F$3243,MATCH(Paramètres!J57,Paramètres!$G$5:$G$57,0)),INDEX($E$3191:$E$3243,MATCH(Paramètres!J57,Paramètres!$G$5:$G$57,0)))+IF(RIGHT(TRIM(Paramètres!K57),3)="Fin",1-$H3243,IF(LEFT(TRIM(Paramètres!K57),1)="F",1,0)))),IF(Paramètres!L57="",0,IF(Paramètres!M57="",NA(),IF(LEFT(TRIM(Paramètres!M57),1)="F",INDEX($F$3191:$F$3243,MATCH(Paramètres!L57,Paramètres!$G$5:$G$57,0)),INDEX($E$3191:$E$3243,MATCH(Paramètres!L57,Paramètres!$G$5:$G$57,0)))+IF(RIGHT(TRIM(Paramètres!M57),3)="Fin",1-$H3243,IF(LEFT(TRIM(Paramètres!M57),1)="F",1,0)))),IF(Paramètres!N57="",0,IF(Paramètres!O57="",NA(),IF(LEFT(TRIM(Paramètres!O57),1)="F",INDEX($F$3191:$F$3243,MATCH(Paramètres!N57,Paramètres!$G$5:$G$57,0)),INDEX($E$3191:$E$3243,MATCH(Paramètres!N57,Paramètres!$G$5:$G$57,0)))+IF(RIGHT(TRIM(Paramètres!O57),3)="Fin",1-$H3243,IF(LEFT(TRIM(Paramètres!O57),1)="F",1,0)))))))</f>
        <v/>
      </c>
      <c r="F3243" s="5">
        <f>IF($A3243="","",E3243+$H3243-1)</f>
        <v/>
      </c>
      <c r="H3243">
        <f>IF($A3243="","",IF(I3243&lt;&gt;"",I3243,Paramètres!B57))</f>
        <v/>
      </c>
    </row>
  </sheetData>
  <conditionalFormatting sqref="A4:I3243">
    <cfRule type="expression" priority="4" dxfId="7">
      <formula>AND($A4&lt;&gt;"",MOD(ROW()-4,54)=0,MOD(INT((ROW()-4)/54),3)=0)</formula>
    </cfRule>
    <cfRule type="expression" priority="5" dxfId="6">
      <formula>AND($A4&lt;&gt;"",MOD(ROW()-4,54)=0,MOD(INT((ROW()-4)/54),3)=1)</formula>
    </cfRule>
    <cfRule type="expression" priority="6" dxfId="5">
      <formula>AND($A4&lt;&gt;"",MOD(ROW()-4,54)=0,MOD(INT((ROW()-4)/54),3)=2)</formula>
    </cfRule>
    <cfRule type="expression" priority="7" dxfId="4">
      <formula>AND($A4&lt;&gt;"",MOD(ROW()-4,54)&gt;0,MOD(INT((ROW()-4)/54),3)=0)</formula>
    </cfRule>
    <cfRule type="expression" priority="8" dxfId="3">
      <formula>AND($A4&lt;&gt;"",MOD(ROW()-4,54)&gt;0,MOD(INT((ROW()-4)/54),3)=1)</formula>
    </cfRule>
    <cfRule type="expression" priority="9" dxfId="2">
      <formula>AND($A4&lt;&gt;"",MOD(ROW()-4,54)&gt;0,MOD(INT((ROW()-4)/54),3)=2)</formula>
    </cfRule>
  </conditionalFormatting>
  <conditionalFormatting sqref="B4:I3243">
    <cfRule type="expression" priority="3" dxfId="0">
      <formula>AND(ISNUMBER($F4),TODAY()&gt;$F4,$G4&lt;&gt;"Réalisé",$G4&lt;&gt;"Clôturé")</formula>
    </cfRule>
  </conditionalFormatting>
  <conditionalFormatting sqref="G1:G1048576">
    <cfRule type="cellIs" priority="1" operator="equal" dxfId="0">
      <formula>"Alerte retard"</formula>
    </cfRule>
  </conditionalFormatting>
  <dataValidations count="1">
    <dataValidation sqref="I5:I57 I59:I111 I113:I165 I167:I219 I221:I273 I275:I327 I329:I381 I383:I435 I437:I489 I491:I543 I545:I597 I599:I651 I653:I705 I707:I759 I761:I813 I815:I867 I869:I921 I923:I975 I977:I1029 I1031:I1083 I1085:I1137 I1139:I1191 I1193:I1245 I1247:I1299 I1301:I1353 I1355:I1407 I1409:I1461 I1463:I1515 I1517:I1569 I1571:I1623 I1625:I1677 I1679:I1731 I1733:I1785 I1787:I1839 I1841:I1893 I1895:I1947 I1949:I2001 I2003:I2055 I2057:I2109 I2111:I2163 I2165:I2217 I2219:I2271 I2273:I2325 I2327:I2379 I2381:I2433 I2435:I2487 I2489:I2541 I2543:I2595 I2597:I2649 I2651:I2703 I2705:I2757 I2759:I2811 I2813:I2865 I2867:I2919 I2921:I2973 I2975:I3027 I3029:I3081 I3083:I3135 I3137:I3189 I3191:I3243" showDropDown="0" showInputMessage="0" showErrorMessage="0" allowBlank="1" errorTitle="Durée" error="Saisir un nombre entier de jours (0 ou plus)." type="whole" operator="greaterThanOrEqual">
      <formula1>0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Paramètres!$C$6:$C$11</xm:f>
          </x14:formula1>
          <x14:formula2>
            <xm:f>0</xm:f>
          </x14:formula2>
          <xm:sqref>G5:G57 G59:G111 G113:G165 G167:G219 G221:G273 G275:G327 G329:G381 G383:G435 G437:G489 G491:G543 G545:G597 G599:G651 G653:G705 G707:G759 G761:G813 G815:G867 G869:G921 G923:G975 G977:G1029 G1031:G1083 G1085:G1137 G1139:G1191 G1193:G1245 G1247:G1299 G1301:G1353 G1355:G1407 G1409:G1461 G1463:G1515 G1517:G1569 G1571:G1623 G1625:G1677 G1679:G1731 G1733:G1785 G1787:G1839 G1841:G1893 G1895:G1947 G1949:G2001 G2003:G2055 G2057:G2109 G2111:G2163 G2165:G2217 G2219:G2271 G2273:G2325 G2327:G2379 G2381:G2433 G2435:G2487 G2489:G2541 G2543:G2595 G2597:G2649 G2651:G2703 G2705:G2757 G2759:G2811 G2813:G2865 G2867:G2919 G2921:G2973 G2975:G3027 G3029:G3081 G3083:G3135 G3137:G3189 G3191:G3243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1"/>
  <sheetViews>
    <sheetView zoomScaleNormal="100" workbookViewId="0">
      <selection activeCell="L8" sqref="L8"/>
    </sheetView>
  </sheetViews>
  <sheetFormatPr baseColWidth="10" defaultColWidth="8.88671875" defaultRowHeight="14.4"/>
  <sheetData>
    <row r="1" ht="14.25" customHeight="1">
      <c r="A1" s="15" t="inlineStr">
        <is>
          <t>GANTT MULTI-DOSSIERS - MODE D'EMPLOI</t>
        </is>
      </c>
    </row>
    <row r="3" ht="14.25" customHeight="1">
      <c r="A3" t="inlineStr">
        <is>
          <t>1. Dossiers : une ligne par dossier (référence, nom, date de début). Son bloc apparaît alors dans Suivi.</t>
        </is>
      </c>
    </row>
    <row r="4" ht="14.25" customHeight="1">
      <c r="A4" t="inlineStr">
        <is>
          <t>2. Suivi : chaque dossier a son bloc (en-tête répétée, teinte propre). Saisir le statut en colonne G.</t>
        </is>
      </c>
    </row>
    <row r="5" ht="14.25" customHeight="1">
      <c r="A5" t="inlineStr">
        <is>
          <t>3. Durée particulière : en colonne I, pour une étape qui diffère du modèle sur ce dossier (jours calendaires). Laisser vide sinon.</t>
        </is>
      </c>
    </row>
    <row r="6" ht="14.25" customHeight="1">
      <c r="A6" t="inlineStr">
        <is>
          <t>4. Tableau de bord : réalisation par grande étape. Cliquer sur un dossier pour l'ouvrir, ↑ pour revenir.</t>
        </is>
      </c>
    </row>
    <row r="7" ht="14.25" customHeight="1">
      <c r="A7" t="inlineStr">
        <is>
          <t>5. Paramètres : modèle commun (durées standard, liens). Modifier une durée ici change tous les dossiers qui n'ont pas de durée particulière.</t>
        </is>
      </c>
    </row>
    <row r="8" ht="14.25" customHeight="1">
      <c r="A8" t="inlineStr">
        <is>
          <t>6. Durées en jours calendaires. Une étape passe en rouge si sa fin est dépassée (sauf Réalisé ou Clôturé).</t>
        </is>
      </c>
    </row>
    <row r="9">
      <c r="A9" t="inlineStr">
        <is>
          <t>7. Ne pas insérer ni supprimer de lignes dans Suivi (60 blocs prévus, teintes et calculs liés à leur position).</t>
        </is>
      </c>
    </row>
    <row r="10">
      <c r="A10" t="inlineStr">
        <is>
          <t>8. Pour repartir à vide : effacer Dossiers B4:D6 et les saisies d'exemple en colonnes G et I de Suivi (dossiers 1 et 2).</t>
        </is>
      </c>
    </row>
    <row r="11">
      <c r="A11" t="inlineStr">
        <is>
          <t>9. Les dates CS et Jury saisies dans Dossiers s'affichent en rouge gras dans Suivi, colonne C, sur les lignes 3.16 et 5.8. Elles n'agissent pas sur le calcul des dates.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57"/>
  <sheetViews>
    <sheetView topLeftCell="A22" zoomScaleNormal="100" workbookViewId="0">
      <selection activeCell="J46" sqref="J46"/>
    </sheetView>
  </sheetViews>
  <sheetFormatPr baseColWidth="10" defaultColWidth="8.88671875" defaultRowHeight="14.4"/>
  <cols>
    <col width="34.5546875" customWidth="1" min="1" max="1"/>
    <col width="18.21875" customWidth="1" min="2" max="2"/>
    <col width="20" customWidth="1" min="3" max="3"/>
    <col width="16" customWidth="1" min="5" max="5"/>
    <col width="9.77734375" customWidth="1" min="7" max="7"/>
    <col width="25.109375" customWidth="1" min="8" max="8"/>
    <col width="28.5546875" customWidth="1" min="9" max="9"/>
    <col width="13" customWidth="1" min="10" max="10"/>
    <col width="16" customWidth="1" min="11" max="11"/>
    <col width="13" customWidth="1" min="12" max="12"/>
    <col width="16" customWidth="1" min="13" max="13"/>
    <col width="13" customWidth="1" min="14" max="14"/>
    <col width="16" customWidth="1" min="15" max="15"/>
  </cols>
  <sheetData>
    <row r="1" ht="14.25" customHeight="1">
      <c r="A1" s="15" t="inlineStr">
        <is>
          <t>MODÈLE DE PROCESSUS</t>
        </is>
      </c>
    </row>
    <row r="2" ht="14.25" customHeight="1">
      <c r="A2" t="inlineStr">
        <is>
          <t>Durées standard en jours calendaires, lues par chaque dossier. Une durée particulière se saisit dans Suivi, colonne I.</t>
        </is>
      </c>
    </row>
    <row r="4" ht="14.25" customHeight="1">
      <c r="A4" s="15" t="inlineStr">
        <is>
          <t>Identifiant</t>
        </is>
      </c>
      <c r="B4" s="15" t="inlineStr">
        <is>
          <t>Durée (jours)</t>
        </is>
      </c>
      <c r="C4" s="15" t="inlineStr">
        <is>
          <t>Status</t>
        </is>
      </c>
      <c r="E4" s="15" t="inlineStr">
        <is>
          <t>Type de lien</t>
        </is>
      </c>
      <c r="G4" s="15" t="inlineStr">
        <is>
          <t>Identifiant</t>
        </is>
      </c>
      <c r="H4" s="15" t="inlineStr">
        <is>
          <t>Macro Etape</t>
        </is>
      </c>
      <c r="I4" s="15" t="inlineStr">
        <is>
          <t>Etape</t>
        </is>
      </c>
      <c r="J4" s="15" t="inlineStr">
        <is>
          <t>Tache 1 liée</t>
        </is>
      </c>
      <c r="K4" s="15" t="inlineStr">
        <is>
          <t>Type lien 1</t>
        </is>
      </c>
      <c r="L4" s="15" t="inlineStr">
        <is>
          <t>Tache 2 liée</t>
        </is>
      </c>
      <c r="M4" s="15" t="inlineStr">
        <is>
          <t>Type lien 2</t>
        </is>
      </c>
      <c r="N4" s="15" t="inlineStr">
        <is>
          <t>Tache 3 liée</t>
        </is>
      </c>
      <c r="O4" s="15" t="inlineStr">
        <is>
          <t>Type lien 3</t>
        </is>
      </c>
    </row>
    <row r="5" ht="14.25" customHeight="1">
      <c r="A5" s="13" t="n">
        <v>1</v>
      </c>
      <c r="B5" s="13" t="n"/>
      <c r="C5">
        <f>FALSE()</f>
        <v/>
      </c>
      <c r="G5" t="n">
        <v>1</v>
      </c>
      <c r="H5" t="inlineStr">
        <is>
          <t>Demande de recrutement</t>
        </is>
      </c>
      <c r="J5" s="13" t="n"/>
      <c r="K5" s="13" t="n"/>
      <c r="L5" s="13" t="n"/>
      <c r="M5" s="13" t="n"/>
      <c r="N5" s="13" t="n"/>
      <c r="O5" s="13" t="n"/>
    </row>
    <row r="6" ht="14.25" customHeight="1">
      <c r="A6" t="inlineStr">
        <is>
          <t>1.1</t>
        </is>
      </c>
      <c r="B6" t="n">
        <v>15</v>
      </c>
      <c r="C6" t="inlineStr">
        <is>
          <t>A prendre en charge</t>
        </is>
      </c>
      <c r="E6" t="inlineStr">
        <is>
          <t>Début → Début</t>
        </is>
      </c>
      <c r="G6" t="inlineStr">
        <is>
          <t>1.1</t>
        </is>
      </c>
      <c r="I6" t="inlineStr">
        <is>
          <t>Go de Sandra</t>
        </is>
      </c>
    </row>
    <row r="7" ht="14.25" customHeight="1">
      <c r="A7" t="inlineStr">
        <is>
          <t>1.2</t>
        </is>
      </c>
      <c r="B7" t="n">
        <v>1</v>
      </c>
      <c r="C7" t="inlineStr">
        <is>
          <t>En cours</t>
        </is>
      </c>
      <c r="E7" t="inlineStr">
        <is>
          <t>Fin → Début</t>
        </is>
      </c>
      <c r="G7" t="inlineStr">
        <is>
          <t>1.2</t>
        </is>
      </c>
      <c r="I7" t="inlineStr">
        <is>
          <t>Transmission Angélique</t>
        </is>
      </c>
      <c r="J7">
        <f>G11</f>
        <v/>
      </c>
      <c r="K7" t="inlineStr">
        <is>
          <t>Fin → Début</t>
        </is>
      </c>
      <c r="L7">
        <f>G12</f>
        <v/>
      </c>
      <c r="M7" t="inlineStr">
        <is>
          <t>Fin → Début</t>
        </is>
      </c>
      <c r="N7">
        <f>G13</f>
        <v/>
      </c>
      <c r="O7" t="inlineStr">
        <is>
          <t>Fin → Début</t>
        </is>
      </c>
    </row>
    <row r="8" ht="14.25" customHeight="1">
      <c r="A8" t="inlineStr">
        <is>
          <t>1.3</t>
        </is>
      </c>
      <c r="B8" t="n">
        <v>1</v>
      </c>
      <c r="C8" t="inlineStr">
        <is>
          <t>En attente</t>
        </is>
      </c>
      <c r="E8" t="inlineStr">
        <is>
          <t>Début → Fin</t>
        </is>
      </c>
      <c r="G8" t="inlineStr">
        <is>
          <t>1.3</t>
        </is>
      </c>
      <c r="I8" t="inlineStr">
        <is>
          <t>Retour Dates Angélique</t>
        </is>
      </c>
      <c r="J8">
        <f>G7</f>
        <v/>
      </c>
      <c r="K8" t="inlineStr">
        <is>
          <t>Fin → Début</t>
        </is>
      </c>
    </row>
    <row r="9" ht="14.25" customHeight="1">
      <c r="A9" t="inlineStr">
        <is>
          <t>1.4</t>
        </is>
      </c>
      <c r="B9" t="n">
        <v>1</v>
      </c>
      <c r="C9" t="inlineStr">
        <is>
          <t>Alerte retard</t>
        </is>
      </c>
      <c r="E9" t="inlineStr">
        <is>
          <t>Fin → Fin</t>
        </is>
      </c>
      <c r="G9" t="inlineStr">
        <is>
          <t>1.4</t>
        </is>
      </c>
      <c r="I9" t="inlineStr">
        <is>
          <t>Retour Membres Angélique</t>
        </is>
      </c>
      <c r="J9">
        <f>G8</f>
        <v/>
      </c>
      <c r="K9" t="inlineStr">
        <is>
          <t>Fin → Fin</t>
        </is>
      </c>
    </row>
    <row r="10" ht="14.25" customHeight="1">
      <c r="A10" s="13" t="n">
        <v>2</v>
      </c>
      <c r="B10" s="13" t="n"/>
      <c r="C10" t="inlineStr">
        <is>
          <t>Réalisé</t>
        </is>
      </c>
      <c r="G10" t="n">
        <v>2</v>
      </c>
      <c r="H10" t="inlineStr">
        <is>
          <t>Publicité</t>
        </is>
      </c>
      <c r="J10" s="13" t="n"/>
      <c r="K10" s="13" t="n"/>
      <c r="L10" s="13" t="n"/>
      <c r="M10" s="13" t="n"/>
      <c r="N10" s="13" t="n"/>
      <c r="O10" s="13" t="n"/>
    </row>
    <row r="11" ht="14.25" customHeight="1">
      <c r="A11" t="inlineStr">
        <is>
          <t>2.1</t>
        </is>
      </c>
      <c r="B11" t="n">
        <v>15</v>
      </c>
      <c r="C11" t="inlineStr">
        <is>
          <t>Clôturé</t>
        </is>
      </c>
      <c r="G11" t="inlineStr">
        <is>
          <t>2.1</t>
        </is>
      </c>
      <c r="I11" t="inlineStr">
        <is>
          <t>Publicité Interne</t>
        </is>
      </c>
      <c r="J11">
        <f>G6</f>
        <v/>
      </c>
      <c r="K11" t="inlineStr">
        <is>
          <t>Fin → Début</t>
        </is>
      </c>
    </row>
    <row r="12" ht="14.25" customHeight="1">
      <c r="A12" t="inlineStr">
        <is>
          <t>2.2</t>
        </is>
      </c>
      <c r="B12" t="n">
        <v>30</v>
      </c>
      <c r="G12" t="inlineStr">
        <is>
          <t>2.2</t>
        </is>
      </c>
      <c r="I12" t="inlineStr">
        <is>
          <t>Publicité externe</t>
        </is>
      </c>
      <c r="J12" t="inlineStr">
        <is>
          <t>1.1</t>
        </is>
      </c>
      <c r="K12" t="inlineStr">
        <is>
          <t>Fin → Début</t>
        </is>
      </c>
    </row>
    <row r="13" ht="14.25" customHeight="1">
      <c r="A13" t="inlineStr">
        <is>
          <t>2.3</t>
        </is>
      </c>
      <c r="B13" t="n">
        <v>0</v>
      </c>
      <c r="G13" t="inlineStr">
        <is>
          <t>2.3</t>
        </is>
      </c>
      <c r="I13" t="inlineStr">
        <is>
          <t>Publicité durée fixée</t>
        </is>
      </c>
      <c r="J13" t="inlineStr">
        <is>
          <t>1.1</t>
        </is>
      </c>
      <c r="K13" t="inlineStr">
        <is>
          <t>Fin → Début</t>
        </is>
      </c>
    </row>
    <row r="14" ht="14.25" customHeight="1">
      <c r="A14" t="inlineStr">
        <is>
          <t>2.4</t>
        </is>
      </c>
      <c r="B14" t="n">
        <v>1</v>
      </c>
      <c r="G14" t="inlineStr">
        <is>
          <t>2.4</t>
        </is>
      </c>
      <c r="I14" t="inlineStr">
        <is>
          <t>Fin de publicité</t>
        </is>
      </c>
      <c r="J14">
        <f>G11</f>
        <v/>
      </c>
      <c r="K14" t="inlineStr">
        <is>
          <t>Fin → Fin</t>
        </is>
      </c>
      <c r="L14">
        <f>G12</f>
        <v/>
      </c>
      <c r="M14" t="inlineStr">
        <is>
          <t>Fin → Fin</t>
        </is>
      </c>
      <c r="N14">
        <f>G13</f>
        <v/>
      </c>
      <c r="O14" t="inlineStr">
        <is>
          <t>Fin → Fin</t>
        </is>
      </c>
    </row>
    <row r="15" ht="14.25" customHeight="1">
      <c r="A15" s="13" t="n">
        <v>3</v>
      </c>
      <c r="B15" s="13" t="n"/>
      <c r="G15" t="n">
        <v>3</v>
      </c>
      <c r="H15" t="inlineStr">
        <is>
          <t>Choix des candidats pour CS</t>
        </is>
      </c>
      <c r="J15" s="13" t="n"/>
      <c r="K15" s="13" t="n"/>
      <c r="L15" s="13" t="n"/>
      <c r="M15" s="13" t="n"/>
      <c r="N15" s="13" t="n"/>
      <c r="O15" s="13" t="n"/>
    </row>
    <row r="16" ht="14.25" customHeight="1">
      <c r="A16" t="inlineStr">
        <is>
          <t>3.1</t>
        </is>
      </c>
      <c r="B16" t="n">
        <v>1</v>
      </c>
      <c r="G16" t="inlineStr">
        <is>
          <t>3.1</t>
        </is>
      </c>
      <c r="I16" t="inlineStr">
        <is>
          <t>Réception des CV</t>
        </is>
      </c>
      <c r="J16">
        <f>G12</f>
        <v/>
      </c>
      <c r="K16" t="inlineStr">
        <is>
          <t>Début → Début</t>
        </is>
      </c>
      <c r="L16">
        <f>G13</f>
        <v/>
      </c>
      <c r="M16" t="inlineStr">
        <is>
          <t>Début → Début</t>
        </is>
      </c>
      <c r="N16">
        <f>G14</f>
        <v/>
      </c>
      <c r="O16" t="inlineStr">
        <is>
          <t>Début → Début</t>
        </is>
      </c>
    </row>
    <row r="17" ht="14.25" customHeight="1">
      <c r="A17" t="inlineStr">
        <is>
          <t>3.2</t>
        </is>
      </c>
      <c r="B17" t="n">
        <v>1</v>
      </c>
      <c r="G17" t="inlineStr">
        <is>
          <t>3.2</t>
        </is>
      </c>
      <c r="I17" t="inlineStr">
        <is>
          <t>Tri des CV</t>
        </is>
      </c>
      <c r="J17">
        <f>G14</f>
        <v/>
      </c>
      <c r="K17" t="inlineStr">
        <is>
          <t>Début → Début</t>
        </is>
      </c>
    </row>
    <row r="18" ht="14.25" customHeight="1">
      <c r="A18" t="inlineStr">
        <is>
          <t>3.3</t>
        </is>
      </c>
      <c r="B18" t="n">
        <v>1</v>
      </c>
      <c r="G18" t="inlineStr">
        <is>
          <t>3.3</t>
        </is>
      </c>
      <c r="I18" t="inlineStr">
        <is>
          <t>Tableau analyse</t>
        </is>
      </c>
      <c r="J18">
        <f>G17</f>
        <v/>
      </c>
      <c r="K18" t="inlineStr">
        <is>
          <t>Début → Début</t>
        </is>
      </c>
    </row>
    <row r="19" ht="14.25" customHeight="1">
      <c r="A19" t="inlineStr">
        <is>
          <t>3.4</t>
        </is>
      </c>
      <c r="B19" t="n">
        <v>1</v>
      </c>
      <c r="G19" t="inlineStr">
        <is>
          <t>3.4</t>
        </is>
      </c>
      <c r="I19" t="inlineStr">
        <is>
          <t>Liste des CV retenus gestionnaire</t>
        </is>
      </c>
      <c r="J19">
        <f>G18</f>
        <v/>
      </c>
      <c r="K19" t="inlineStr">
        <is>
          <t>Fin → Début</t>
        </is>
      </c>
    </row>
    <row r="20" ht="14.25" customHeight="1">
      <c r="A20" t="inlineStr">
        <is>
          <t>3.5</t>
        </is>
      </c>
      <c r="B20" t="n">
        <v>1</v>
      </c>
      <c r="G20" t="inlineStr">
        <is>
          <t>3.5</t>
        </is>
      </c>
      <c r="I20" t="inlineStr">
        <is>
          <t>Transmission Sandra</t>
        </is>
      </c>
      <c r="J20">
        <f>G19</f>
        <v/>
      </c>
      <c r="K20" t="inlineStr">
        <is>
          <t>Fin → Début</t>
        </is>
      </c>
    </row>
    <row r="21" ht="14.25" customHeight="1">
      <c r="A21" t="inlineStr">
        <is>
          <t>3.6</t>
        </is>
      </c>
      <c r="B21" t="n">
        <v>2</v>
      </c>
      <c r="G21" t="inlineStr">
        <is>
          <t>3.6</t>
        </is>
      </c>
      <c r="I21" t="inlineStr">
        <is>
          <t>Validation Sandra</t>
        </is>
      </c>
      <c r="J21">
        <f>G20</f>
        <v/>
      </c>
      <c r="K21" t="inlineStr">
        <is>
          <t>Fin → Début</t>
        </is>
      </c>
    </row>
    <row r="22" ht="14.25" customHeight="1">
      <c r="A22" t="inlineStr">
        <is>
          <t>3.7</t>
        </is>
      </c>
      <c r="B22" t="n">
        <v>1</v>
      </c>
      <c r="G22" t="inlineStr">
        <is>
          <t>3.7</t>
        </is>
      </c>
      <c r="I22" t="inlineStr">
        <is>
          <t>Transmission CDS</t>
        </is>
      </c>
      <c r="J22">
        <f>G21</f>
        <v/>
      </c>
      <c r="K22" t="inlineStr">
        <is>
          <t>Fin → Fin</t>
        </is>
      </c>
    </row>
    <row r="23" ht="14.25" customHeight="1">
      <c r="A23" t="inlineStr">
        <is>
          <t>3.8</t>
        </is>
      </c>
      <c r="B23" t="n">
        <v>5</v>
      </c>
      <c r="G23" t="inlineStr">
        <is>
          <t>3.8</t>
        </is>
      </c>
      <c r="I23" t="inlineStr">
        <is>
          <t>Validation CDS</t>
        </is>
      </c>
      <c r="J23">
        <f>G22</f>
        <v/>
      </c>
      <c r="K23" t="inlineStr">
        <is>
          <t>Fin → Début</t>
        </is>
      </c>
    </row>
    <row r="24" ht="14.25" customHeight="1">
      <c r="A24" t="inlineStr">
        <is>
          <t>3.9</t>
        </is>
      </c>
      <c r="B24" t="n">
        <v>2</v>
      </c>
      <c r="G24" t="inlineStr">
        <is>
          <t>3.9</t>
        </is>
      </c>
      <c r="I24" t="inlineStr">
        <is>
          <t>Validation Sandra</t>
        </is>
      </c>
      <c r="J24">
        <f>G23</f>
        <v/>
      </c>
      <c r="K24" t="inlineStr">
        <is>
          <t>Fin → Fin</t>
        </is>
      </c>
    </row>
    <row r="25" ht="14.25" customHeight="1">
      <c r="A25" t="inlineStr">
        <is>
          <t>3.10</t>
        </is>
      </c>
      <c r="B25" t="n">
        <v>1</v>
      </c>
      <c r="G25" t="inlineStr">
        <is>
          <t>3.10</t>
        </is>
      </c>
      <c r="I25" t="inlineStr">
        <is>
          <t>Liste des candidats retenus</t>
        </is>
      </c>
      <c r="J25" t="inlineStr">
        <is>
          <t>3.8</t>
        </is>
      </c>
      <c r="K25" t="inlineStr">
        <is>
          <t>Fin → Début</t>
        </is>
      </c>
    </row>
    <row r="26" ht="14.25" customHeight="1">
      <c r="A26" t="inlineStr">
        <is>
          <t>3.11</t>
        </is>
      </c>
      <c r="B26" t="n">
        <v>1</v>
      </c>
      <c r="G26" t="inlineStr">
        <is>
          <t>3.11</t>
        </is>
      </c>
      <c r="I26" t="inlineStr">
        <is>
          <t>Vérification si date CS</t>
        </is>
      </c>
      <c r="J26">
        <f>G8</f>
        <v/>
      </c>
      <c r="K26" t="inlineStr">
        <is>
          <t>Fin → Début</t>
        </is>
      </c>
    </row>
    <row r="27" ht="14.25" customHeight="1">
      <c r="A27" t="inlineStr">
        <is>
          <t>3.12</t>
        </is>
      </c>
      <c r="B27" t="n">
        <v>1</v>
      </c>
      <c r="G27" t="inlineStr">
        <is>
          <t>3.12</t>
        </is>
      </c>
      <c r="I27" t="inlineStr">
        <is>
          <t>Convocation Tél + Gestmax</t>
        </is>
      </c>
      <c r="J27">
        <f>G25</f>
        <v/>
      </c>
      <c r="K27" t="inlineStr">
        <is>
          <t>Fin → Début</t>
        </is>
      </c>
    </row>
    <row r="28" ht="14.25" customHeight="1">
      <c r="A28" t="inlineStr">
        <is>
          <t>3.13</t>
        </is>
      </c>
      <c r="B28" t="n">
        <v>3</v>
      </c>
      <c r="G28" t="inlineStr">
        <is>
          <t>3.13</t>
        </is>
      </c>
      <c r="I28" t="inlineStr">
        <is>
          <t>Candidats - validation présence</t>
        </is>
      </c>
      <c r="J28">
        <f>G27</f>
        <v/>
      </c>
      <c r="K28" t="inlineStr">
        <is>
          <t>Début → Début</t>
        </is>
      </c>
    </row>
    <row r="29" ht="14.25" customHeight="1">
      <c r="A29" t="inlineStr">
        <is>
          <t>3.14</t>
        </is>
      </c>
      <c r="B29" t="n">
        <v>1</v>
      </c>
      <c r="G29" t="inlineStr">
        <is>
          <t>3.14</t>
        </is>
      </c>
      <c r="I29" t="inlineStr">
        <is>
          <t>GESTMAX - bascule validation CS</t>
        </is>
      </c>
      <c r="J29">
        <f>G28</f>
        <v/>
      </c>
      <c r="K29" t="inlineStr">
        <is>
          <t>Début → Début</t>
        </is>
      </c>
    </row>
    <row r="30" ht="14.25" customHeight="1">
      <c r="A30" t="inlineStr">
        <is>
          <t>3.15</t>
        </is>
      </c>
      <c r="B30" t="n">
        <v>1</v>
      </c>
      <c r="G30" t="inlineStr">
        <is>
          <t>3.15</t>
        </is>
      </c>
      <c r="I30" t="inlineStr">
        <is>
          <t>Liste des candidats à l'accueil</t>
        </is>
      </c>
      <c r="J30">
        <f>G28</f>
        <v/>
      </c>
      <c r="K30" t="inlineStr">
        <is>
          <t>Début → Début</t>
        </is>
      </c>
      <c r="L30">
        <f>G26</f>
        <v/>
      </c>
      <c r="M30" t="inlineStr">
        <is>
          <t>Fin → Début</t>
        </is>
      </c>
    </row>
    <row r="31" ht="14.25" customHeight="1">
      <c r="A31" t="inlineStr">
        <is>
          <t>3.16</t>
        </is>
      </c>
      <c r="B31" t="n">
        <v>1</v>
      </c>
      <c r="G31" t="inlineStr">
        <is>
          <t>3.16</t>
        </is>
      </c>
      <c r="I31" t="inlineStr">
        <is>
          <t>Tenue des CS</t>
        </is>
      </c>
      <c r="J31">
        <f>G28</f>
        <v/>
      </c>
      <c r="K31" t="inlineStr">
        <is>
          <t>Fin → Début</t>
        </is>
      </c>
    </row>
    <row r="32" ht="14.25" customHeight="1">
      <c r="A32" s="13" t="n">
        <v>4</v>
      </c>
      <c r="B32" s="13" t="n"/>
      <c r="G32" t="n">
        <v>4</v>
      </c>
      <c r="H32" t="inlineStr">
        <is>
          <t>Choix des candidats pour Jury</t>
        </is>
      </c>
      <c r="J32" s="13" t="n"/>
      <c r="K32" s="13" t="n"/>
      <c r="L32" s="13" t="n"/>
      <c r="M32" s="13" t="n"/>
      <c r="N32" s="13" t="n"/>
      <c r="O32" s="13" t="n"/>
    </row>
    <row r="33" ht="14.25" customHeight="1">
      <c r="A33" t="inlineStr">
        <is>
          <t>4.1</t>
        </is>
      </c>
      <c r="B33" t="n">
        <v>2</v>
      </c>
      <c r="G33" t="inlineStr">
        <is>
          <t>4.1</t>
        </is>
      </c>
      <c r="I33" t="inlineStr">
        <is>
          <t>Liste des candidats retenus au CS</t>
        </is>
      </c>
      <c r="J33">
        <f>G31</f>
        <v/>
      </c>
      <c r="K33" t="inlineStr">
        <is>
          <t>Fin → Début</t>
        </is>
      </c>
    </row>
    <row r="34" ht="14.25" customHeight="1">
      <c r="A34" t="inlineStr">
        <is>
          <t>4.2</t>
        </is>
      </c>
      <c r="B34" t="n">
        <v>1</v>
      </c>
      <c r="G34" t="inlineStr">
        <is>
          <t>4.2</t>
        </is>
      </c>
      <c r="I34" t="inlineStr">
        <is>
          <t>Informer les candidats du résultat</t>
        </is>
      </c>
      <c r="J34">
        <f>G33</f>
        <v/>
      </c>
      <c r="K34" t="inlineStr">
        <is>
          <t>Fin → Début</t>
        </is>
      </c>
    </row>
    <row r="35" ht="14.25" customHeight="1">
      <c r="A35" t="inlineStr">
        <is>
          <t>4.3</t>
        </is>
      </c>
      <c r="B35" t="n">
        <v>3</v>
      </c>
      <c r="G35" t="inlineStr">
        <is>
          <t>4.3</t>
        </is>
      </c>
      <c r="I35" t="inlineStr">
        <is>
          <t>Acceptation candidats jury</t>
        </is>
      </c>
      <c r="J35">
        <f>G34</f>
        <v/>
      </c>
      <c r="K35" t="inlineStr">
        <is>
          <t>Début → Début</t>
        </is>
      </c>
    </row>
    <row r="36" ht="14.25" customHeight="1">
      <c r="A36" t="inlineStr">
        <is>
          <t>4.4</t>
        </is>
      </c>
      <c r="B36" t="n">
        <v>1</v>
      </c>
      <c r="G36" t="inlineStr">
        <is>
          <t>4.4</t>
        </is>
      </c>
      <c r="I36" t="inlineStr">
        <is>
          <t>Clôture du CS</t>
        </is>
      </c>
      <c r="J36">
        <f>G35</f>
        <v/>
      </c>
      <c r="K36" t="inlineStr">
        <is>
          <t>Fin → Début</t>
        </is>
      </c>
    </row>
    <row r="37" ht="14.25" customHeight="1">
      <c r="A37" s="13" t="n">
        <v>5</v>
      </c>
      <c r="B37" s="13" t="n"/>
      <c r="G37" t="n">
        <v>5</v>
      </c>
      <c r="H37" t="inlineStr">
        <is>
          <t>Jury</t>
        </is>
      </c>
      <c r="J37" s="13" t="n"/>
      <c r="K37" s="13" t="n"/>
      <c r="L37" s="13" t="n"/>
      <c r="M37" s="13" t="n"/>
      <c r="N37" s="13" t="n"/>
      <c r="O37" s="13" t="n"/>
    </row>
    <row r="38" ht="14.25" customHeight="1">
      <c r="A38" t="inlineStr">
        <is>
          <t>5.1</t>
        </is>
      </c>
      <c r="B38" t="n">
        <v>2</v>
      </c>
      <c r="G38" t="inlineStr">
        <is>
          <t>5.1</t>
        </is>
      </c>
      <c r="H38" s="14" t="n"/>
      <c r="I38" t="inlineStr">
        <is>
          <t>Liste des candidats au jury</t>
        </is>
      </c>
      <c r="J38">
        <f>G35</f>
        <v/>
      </c>
      <c r="K38" t="inlineStr">
        <is>
          <t>Fin → Début</t>
        </is>
      </c>
    </row>
    <row r="39" ht="14.25" customHeight="1">
      <c r="A39" t="inlineStr">
        <is>
          <t>5.2</t>
        </is>
      </c>
      <c r="B39" t="n">
        <v>1</v>
      </c>
      <c r="G39" t="inlineStr">
        <is>
          <t>5.2</t>
        </is>
      </c>
      <c r="I39" t="inlineStr">
        <is>
          <t>Liste des élus présents au jury</t>
        </is>
      </c>
      <c r="J39">
        <f>G9</f>
        <v/>
      </c>
      <c r="K39" t="inlineStr">
        <is>
          <t>Fin → Début</t>
        </is>
      </c>
    </row>
    <row r="40" ht="14.25" customHeight="1">
      <c r="A40" t="inlineStr">
        <is>
          <t>5.3</t>
        </is>
      </c>
      <c r="B40" t="n">
        <v>1</v>
      </c>
      <c r="G40" t="inlineStr">
        <is>
          <t>5.3</t>
        </is>
      </c>
      <c r="I40" t="inlineStr">
        <is>
          <t>Convocation Tél + Gestmax</t>
        </is>
      </c>
      <c r="J40">
        <f>G8</f>
        <v/>
      </c>
      <c r="K40" t="inlineStr">
        <is>
          <t>Fin → Début</t>
        </is>
      </c>
      <c r="L40">
        <f>G38</f>
        <v/>
      </c>
      <c r="M40" t="inlineStr">
        <is>
          <t>Début → Début</t>
        </is>
      </c>
    </row>
    <row r="41" ht="14.25" customHeight="1">
      <c r="A41" t="inlineStr">
        <is>
          <t>5.4</t>
        </is>
      </c>
      <c r="B41" t="n">
        <v>3</v>
      </c>
      <c r="G41" t="inlineStr">
        <is>
          <t>5.4</t>
        </is>
      </c>
      <c r="I41" t="inlineStr">
        <is>
          <t>Candidats - validation présence</t>
        </is>
      </c>
      <c r="J41">
        <f>G40</f>
        <v/>
      </c>
      <c r="K41" t="inlineStr">
        <is>
          <t>Début → Début</t>
        </is>
      </c>
    </row>
    <row r="42" ht="14.25" customHeight="1">
      <c r="A42" t="inlineStr">
        <is>
          <t>5.5</t>
        </is>
      </c>
      <c r="B42" t="n">
        <v>1</v>
      </c>
      <c r="G42" t="inlineStr">
        <is>
          <t>5.5</t>
        </is>
      </c>
      <c r="I42" t="inlineStr">
        <is>
          <t>GESTMAX - bascule validation jury</t>
        </is>
      </c>
      <c r="J42">
        <f>G41</f>
        <v/>
      </c>
      <c r="K42" t="inlineStr">
        <is>
          <t>Début → Fin</t>
        </is>
      </c>
    </row>
    <row r="43" ht="14.25" customHeight="1">
      <c r="A43" t="inlineStr">
        <is>
          <t>5.6</t>
        </is>
      </c>
      <c r="B43" t="n">
        <v>1</v>
      </c>
      <c r="G43" t="inlineStr">
        <is>
          <t>5.6</t>
        </is>
      </c>
      <c r="I43" t="inlineStr">
        <is>
          <t>Dossier papier Jury (CV/LM + PV)</t>
        </is>
      </c>
      <c r="J43">
        <f>G41</f>
        <v/>
      </c>
      <c r="K43" t="inlineStr">
        <is>
          <t>Fin → Début</t>
        </is>
      </c>
      <c r="L43">
        <f>J8</f>
        <v/>
      </c>
      <c r="M43" t="inlineStr">
        <is>
          <t>Fin → Début</t>
        </is>
      </c>
    </row>
    <row r="44" ht="14.25" customHeight="1">
      <c r="A44" t="inlineStr">
        <is>
          <t>5.7</t>
        </is>
      </c>
      <c r="B44" t="n">
        <v>1</v>
      </c>
      <c r="G44" t="inlineStr">
        <is>
          <t>5.7</t>
        </is>
      </c>
      <c r="I44" t="inlineStr">
        <is>
          <t>Liste des candidats à l'accueil</t>
        </is>
      </c>
      <c r="J44">
        <f>G42</f>
        <v/>
      </c>
      <c r="K44" t="inlineStr">
        <is>
          <t>Fin → Début</t>
        </is>
      </c>
    </row>
    <row r="45" ht="14.25" customHeight="1">
      <c r="A45" t="inlineStr">
        <is>
          <t>5.8</t>
        </is>
      </c>
      <c r="B45" t="n">
        <v>1</v>
      </c>
      <c r="G45" t="inlineStr">
        <is>
          <t>5.8</t>
        </is>
      </c>
      <c r="I45" t="inlineStr">
        <is>
          <t>Tenue du Jury</t>
        </is>
      </c>
      <c r="J45">
        <f>G43</f>
        <v/>
      </c>
      <c r="K45" t="inlineStr">
        <is>
          <t>Fin → Début</t>
        </is>
      </c>
    </row>
    <row r="46" ht="14.25" customHeight="1">
      <c r="A46" t="inlineStr">
        <is>
          <t>5.9</t>
        </is>
      </c>
      <c r="B46" t="n">
        <v>1</v>
      </c>
      <c r="G46" t="inlineStr">
        <is>
          <t>5.9</t>
        </is>
      </c>
      <c r="I46" t="inlineStr">
        <is>
          <t>Candidat retenu par le jury</t>
        </is>
      </c>
      <c r="J46">
        <f>G45</f>
        <v/>
      </c>
      <c r="K46" t="inlineStr">
        <is>
          <t>Fin → Début</t>
        </is>
      </c>
    </row>
    <row r="47" ht="14.25" customHeight="1">
      <c r="A47" t="inlineStr">
        <is>
          <t>5.10</t>
        </is>
      </c>
      <c r="B47" t="n">
        <v>2</v>
      </c>
      <c r="G47" t="inlineStr">
        <is>
          <t>5.10</t>
        </is>
      </c>
      <c r="I47" t="inlineStr">
        <is>
          <t>Informer le candidat</t>
        </is>
      </c>
      <c r="J47">
        <f>G46</f>
        <v/>
      </c>
      <c r="K47" t="inlineStr">
        <is>
          <t>Fin → Début</t>
        </is>
      </c>
    </row>
    <row r="48" ht="14.25" customHeight="1">
      <c r="A48" t="inlineStr">
        <is>
          <t>5.11</t>
        </is>
      </c>
      <c r="B48" t="n">
        <v>1</v>
      </c>
      <c r="G48" t="inlineStr">
        <is>
          <t>5.11</t>
        </is>
      </c>
      <c r="I48" t="inlineStr">
        <is>
          <t>information chef de service</t>
        </is>
      </c>
      <c r="J48">
        <f>G47</f>
        <v/>
      </c>
      <c r="K48" t="inlineStr">
        <is>
          <t>Fin → Début</t>
        </is>
      </c>
    </row>
    <row r="49" ht="14.25" customHeight="1">
      <c r="A49" t="inlineStr">
        <is>
          <t>5.12</t>
        </is>
      </c>
      <c r="B49" t="n">
        <v>5</v>
      </c>
      <c r="G49" t="inlineStr">
        <is>
          <t>5.12</t>
        </is>
      </c>
      <c r="I49" t="inlineStr">
        <is>
          <t>Temps réflexion/propo. Salariale</t>
        </is>
      </c>
      <c r="J49">
        <f>G47</f>
        <v/>
      </c>
      <c r="K49" t="inlineStr">
        <is>
          <t>Début → Début</t>
        </is>
      </c>
    </row>
    <row r="50" ht="14.25" customHeight="1">
      <c r="A50" t="inlineStr">
        <is>
          <t>5.13</t>
        </is>
      </c>
      <c r="B50" t="n">
        <v>1</v>
      </c>
      <c r="G50" t="inlineStr">
        <is>
          <t>5.13</t>
        </is>
      </c>
      <c r="I50" t="inlineStr">
        <is>
          <t>Retour du candidat</t>
        </is>
      </c>
      <c r="J50">
        <f>G49</f>
        <v/>
      </c>
      <c r="K50" t="inlineStr">
        <is>
          <t>Fin → Début</t>
        </is>
      </c>
    </row>
    <row r="51" ht="14.25" customHeight="1">
      <c r="A51" t="inlineStr">
        <is>
          <t>5.14</t>
        </is>
      </c>
      <c r="B51" t="n">
        <v>1</v>
      </c>
      <c r="G51" t="inlineStr">
        <is>
          <t>5.14</t>
        </is>
      </c>
      <c r="I51" t="inlineStr">
        <is>
          <t>information chef de service</t>
        </is>
      </c>
      <c r="J51">
        <f>G50</f>
        <v/>
      </c>
      <c r="K51" t="inlineStr">
        <is>
          <t>Fin → Début</t>
        </is>
      </c>
    </row>
    <row r="52" ht="14.25" customHeight="1">
      <c r="A52" t="inlineStr">
        <is>
          <t>5.15</t>
        </is>
      </c>
      <c r="B52" t="n">
        <v>10</v>
      </c>
      <c r="G52" t="inlineStr">
        <is>
          <t>5.15</t>
        </is>
      </c>
      <c r="I52" t="inlineStr">
        <is>
          <t>GESTMAX - valide recrutement</t>
        </is>
      </c>
      <c r="J52">
        <f>G50</f>
        <v/>
      </c>
      <c r="K52" t="inlineStr">
        <is>
          <t>Fin → Début</t>
        </is>
      </c>
    </row>
    <row r="53" ht="14.25" customHeight="1">
      <c r="A53" t="inlineStr">
        <is>
          <t>5.16</t>
        </is>
      </c>
      <c r="B53" t="n">
        <v>1</v>
      </c>
      <c r="G53" t="inlineStr">
        <is>
          <t>5.16</t>
        </is>
      </c>
      <c r="I53" t="inlineStr">
        <is>
          <t>Courrier de recrutement</t>
        </is>
      </c>
      <c r="J53">
        <f>G52</f>
        <v/>
      </c>
      <c r="K53" t="inlineStr">
        <is>
          <t>Début → Début</t>
        </is>
      </c>
    </row>
    <row r="54" ht="14.25" customHeight="1">
      <c r="A54" t="inlineStr">
        <is>
          <t>5.17</t>
        </is>
      </c>
      <c r="B54" t="n">
        <v>1</v>
      </c>
      <c r="G54" t="inlineStr">
        <is>
          <t>5.17</t>
        </is>
      </c>
      <c r="I54" t="inlineStr">
        <is>
          <t>Clôture du jury</t>
        </is>
      </c>
      <c r="J54">
        <f>G50</f>
        <v/>
      </c>
      <c r="K54" t="inlineStr">
        <is>
          <t>Début → Début</t>
        </is>
      </c>
    </row>
    <row r="55" ht="14.25" customHeight="1">
      <c r="A55" t="inlineStr">
        <is>
          <t>5.18</t>
        </is>
      </c>
      <c r="B55" t="n">
        <v>1</v>
      </c>
      <c r="G55" t="inlineStr">
        <is>
          <t>5.18</t>
        </is>
      </c>
      <c r="I55" t="inlineStr">
        <is>
          <t>Clôture avis de recrutement</t>
        </is>
      </c>
      <c r="J55">
        <f>G52</f>
        <v/>
      </c>
      <c r="K55" t="inlineStr">
        <is>
          <t>Début → Début</t>
        </is>
      </c>
    </row>
    <row r="56" ht="14.25" customHeight="1">
      <c r="A56" s="13" t="n">
        <v>6</v>
      </c>
      <c r="B56" s="13" t="n"/>
      <c r="G56" t="n">
        <v>6</v>
      </c>
      <c r="H56" t="inlineStr">
        <is>
          <t>Procédure de recrutement</t>
        </is>
      </c>
      <c r="J56" s="13" t="n"/>
      <c r="K56" s="13" t="n"/>
      <c r="L56" s="13" t="n"/>
      <c r="M56" s="13" t="n"/>
      <c r="N56" s="13" t="n"/>
      <c r="O56" s="13" t="n"/>
    </row>
    <row r="57" ht="14.25" customHeight="1">
      <c r="A57" t="inlineStr">
        <is>
          <t>6.1</t>
        </is>
      </c>
      <c r="B57" t="n">
        <v>1</v>
      </c>
      <c r="G57" t="inlineStr">
        <is>
          <t>6.1</t>
        </is>
      </c>
      <c r="I57" t="inlineStr">
        <is>
          <t>Gestmax - demande pièces admis.</t>
        </is>
      </c>
      <c r="J57">
        <f>G53</f>
        <v/>
      </c>
      <c r="K57" t="inlineStr">
        <is>
          <t>Début → Début</t>
        </is>
      </c>
    </row>
  </sheetData>
  <dataValidations count="1">
    <dataValidation sqref="K5:K57 M5:M57 O5:O57" showDropDown="0" showInputMessage="0" showErrorMessage="0" allowBlank="1" type="list">
      <formula1>$E$6:$E$9</formula1>
      <formula2>0</formula2>
    </dataValidation>
  </dataValidations>
  <pageMargins left="0.75" right="0.75" top="1" bottom="1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"/>
  <sheetViews>
    <sheetView zoomScaleNormal="100" workbookViewId="0">
      <selection activeCell="A1" sqref="A1"/>
    </sheetView>
  </sheetViews>
  <sheetFormatPr baseColWidth="10" defaultColWidth="8.88671875" defaultRowHeight="14.4"/>
  <sheetData>
    <row r="1" ht="14.25" customHeight="1">
      <c r="A1" t="inlineStr">
        <is>
          <t>Colonne1</t>
        </is>
      </c>
    </row>
    <row r="2" ht="14.25" customHeight="1">
      <c r="A2" t="inlineStr">
        <is>
          <t>Début → Début</t>
        </is>
      </c>
    </row>
    <row r="3" ht="14.25" customHeight="1">
      <c r="A3" t="inlineStr">
        <is>
          <t>Fin → Début</t>
        </is>
      </c>
    </row>
    <row r="4" ht="14.25" customHeight="1">
      <c r="A4" t="inlineStr">
        <is>
          <t>Début → Fin</t>
        </is>
      </c>
    </row>
    <row r="5" ht="14.25" customHeight="1">
      <c r="A5" t="inlineStr">
        <is>
          <t>Fin → Fin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2026-10-11T12:53:05Z</dcterms:created>
  <dcterms:modified xsi:type="dcterms:W3CDTF">2026-10-13T19:39:59Z</dcterms:modified>
  <cp:lastModifiedBy>Guy-Franck FOURCROY</cp:lastModifiedBy>
  <cp:revision>0</cp:revision>
  <cp:lastPrinted>2026-10-11T14:32:02Z</cp:lastPrinted>
</cp:coreProperties>
</file>
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18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4472C4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FF0000"/>
        </patternFill>
      </fill>
    </dxf>
    <dxf>
      <fill>
        <patternFill patternType="solid">
          <fgColor rgb="007030A0"/>
        </patternFill>
      </fill>
    </dxf>
    <dxf>
      <fill>
        <patternFill patternType="solid">
          <fgColor rgb="00E7E6E6"/>
        </patternFill>
      </fill>
    </dxf>
    <dxf>
      <font>
        <b val="1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68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IFERROR(INDEX(Suivi!$E:$E,5+($C$1-1)*54),"")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P57" s="30">
        <f>IFERROR(INDEX(Suivi!$G:$G,57+($C$1-1)*54),"")</f>
        <v/>
      </c>
    </row>
    <row r="59">
      <c r="C59" s="31" t="inlineStr">
        <is>
          <t>Jalons :</t>
        </is>
      </c>
      <c r="D59" t="inlineStr">
        <is>
          <t>CS :</t>
        </is>
      </c>
      <c r="E59" s="32">
        <f>IFERROR(INDEX(Dossiers!$F$4:$F$63,$C$1),"")</f>
        <v/>
      </c>
      <c r="F59" t="inlineStr">
        <is>
          <t>Jury :</t>
        </is>
      </c>
      <c r="G59" s="32">
        <f>IFERROR(INDEX(Dossiers!$G$4:$G$63,$C$1),"")</f>
        <v/>
      </c>
    </row>
    <row r="61">
      <c r="C61" s="31" t="inlineStr">
        <is>
          <t>Légende :</t>
        </is>
      </c>
      <c r="G61" s="33" t="n"/>
      <c r="H61" t="inlineStr">
        <is>
          <t>Macro-étape</t>
        </is>
      </c>
    </row>
    <row r="62">
      <c r="G62" s="34" t="n"/>
      <c r="H62" t="inlineStr">
        <is>
          <t>Tâche</t>
        </is>
      </c>
    </row>
    <row r="63">
      <c r="G63" s="35" t="n"/>
      <c r="H63" t="inlineStr">
        <is>
          <t>Week-end</t>
        </is>
      </c>
    </row>
    <row r="64">
      <c r="G64" s="36" t="n"/>
      <c r="H64" t="inlineStr">
        <is>
          <t>Date CS</t>
        </is>
      </c>
    </row>
    <row r="65">
      <c r="G65" s="37" t="n"/>
      <c r="H65" t="inlineStr">
        <is>
          <t>Date Jury</t>
        </is>
      </c>
    </row>
    <row r="66">
      <c r="G66" s="38" t="n"/>
      <c r="H66" t="inlineStr">
        <is>
          <t>Alerte retard</t>
        </is>
      </c>
    </row>
    <row r="68">
      <c r="C68" s="39" t="inlineStr">
        <is>
          <t>Gantt dynamique : changez le dossier en C1 ou modifiez Dossiers / Paramètres / Suivi.</t>
        </is>
      </c>
    </row>
  </sheetData>
  <mergeCells count="1">
    <mergeCell ref="D1:N1"/>
  </mergeCells>
  <conditionalFormatting sqref="G5:EP57">
    <cfRule type="expression" priority="1" dxfId="16" stopIfTrue="1">
      <formula>AND(ISNUMBER($E5),ISNUMBER($A5),G$4&gt;=$E5,G$4&lt;=$F5)</formula>
    </cfRule>
    <cfRule type="expression" priority="2" dxfId="17" stopIfTrue="1">
      <formula>AND(ISNUMBER($E5),G$4&gt;=$E5,G$4&lt;=IF($F5&lt;$E5,$E5,$F5))</formula>
    </cfRule>
    <cfRule type="expression" priority="3" dxfId="18" stopIfTrue="1">
      <formula>AND($P5="Alerte retard",G$4&lt;=$F5,G$4&gt;=$E5)</formula>
    </cfRule>
    <cfRule type="expression" priority="6" dxfId="19">
      <formula>AND(ISNUMBER($E$59),G$4=$E$59)</formula>
    </cfRule>
    <cfRule type="expression" priority="7" dxfId="20">
      <formula>AND(ISNUMBER($G$59),G$4=$G$59)</formula>
    </cfRule>
  </conditionalFormatting>
  <conditionalFormatting sqref="G3:EP57">
    <cfRule type="expression" priority="4" dxfId="21">
      <formula>OR(WEEKDAY(G$4,2)=6,WEEKDAY(G$4,2)=7)</formula>
    </cfRule>
  </conditionalFormatting>
  <conditionalFormatting sqref="A5:F57">
    <cfRule type="expression" priority="5" dxfId="22">
      <formula>ISNUMBER($A5)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2026-10-13T19:39:59Z</dcterms:modified>
  <cp:lastModifiedBy>Guy-Franck FOURCROY</cp:lastModifiedBy>
  <cp:revision>0</cp:revision>
  <cp:lastPrinted>2026-10-11T14:32:02Z</cp:lastPrinted>
</cp:coreProperties>
</file>
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ffou\Downloads\"/>
    </mc:Choice>
  </mc:AlternateContent>
  <xr:revisionPtr revIDLastSave="0" documentId="13_ncr:1_{A04F1144-2575-4F2B-8CF9-B7C5702A414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uivi" sheetId="1" r:id="rId1"/>
    <sheet name="Paramètres" sheetId="2" r:id="rId2"/>
    <sheet name="Tableau1" sheetId="3" state="hidden" r:id="rId3"/>
    <sheet name="Instruction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7" i="2" l="1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L40" i="2"/>
  <c r="J40" i="2"/>
  <c r="J39" i="2"/>
  <c r="J38" i="2"/>
  <c r="J36" i="2"/>
  <c r="J35" i="2"/>
  <c r="J34" i="2"/>
  <c r="J33" i="2"/>
  <c r="J31" i="2"/>
  <c r="L30" i="2"/>
  <c r="J30" i="2"/>
  <c r="J29" i="2"/>
  <c r="J28" i="2"/>
  <c r="J27" i="2"/>
  <c r="J26" i="2"/>
  <c r="J24" i="2"/>
  <c r="J23" i="2"/>
  <c r="J22" i="2"/>
  <c r="J21" i="2"/>
  <c r="J20" i="2"/>
  <c r="J19" i="2"/>
  <c r="J18" i="2"/>
  <c r="J17" i="2"/>
  <c r="N16" i="2"/>
  <c r="L16" i="2"/>
  <c r="J16" i="2"/>
  <c r="N14" i="2"/>
  <c r="L14" i="2"/>
  <c r="J14" i="2"/>
  <c r="J11" i="2"/>
  <c r="J9" i="2"/>
  <c r="J8" i="2"/>
  <c r="L43" i="2" s="1"/>
  <c r="N7" i="2"/>
  <c r="L7" i="2"/>
  <c r="J7" i="2"/>
  <c r="C5" i="2"/>
  <c r="B1" i="2"/>
  <c r="H56" i="1"/>
  <c r="D56" i="1"/>
  <c r="C56" i="1"/>
  <c r="B56" i="1"/>
  <c r="D55" i="1"/>
  <c r="C55" i="1"/>
  <c r="B55" i="1"/>
  <c r="H54" i="1"/>
  <c r="D54" i="1"/>
  <c r="C54" i="1"/>
  <c r="B54" i="1"/>
  <c r="H53" i="1"/>
  <c r="D53" i="1"/>
  <c r="C53" i="1"/>
  <c r="B53" i="1"/>
  <c r="H52" i="1"/>
  <c r="D52" i="1"/>
  <c r="C52" i="1"/>
  <c r="B52" i="1"/>
  <c r="H51" i="1"/>
  <c r="D51" i="1"/>
  <c r="C51" i="1"/>
  <c r="B51" i="1"/>
  <c r="H50" i="1"/>
  <c r="D50" i="1"/>
  <c r="C50" i="1"/>
  <c r="B50" i="1"/>
  <c r="H49" i="1"/>
  <c r="D49" i="1"/>
  <c r="C49" i="1"/>
  <c r="B49" i="1"/>
  <c r="H48" i="1"/>
  <c r="D48" i="1"/>
  <c r="C48" i="1"/>
  <c r="B48" i="1"/>
  <c r="H47" i="1"/>
  <c r="D47" i="1"/>
  <c r="C47" i="1"/>
  <c r="B47" i="1"/>
  <c r="H46" i="1"/>
  <c r="D46" i="1"/>
  <c r="C46" i="1"/>
  <c r="B46" i="1"/>
  <c r="H45" i="1"/>
  <c r="D45" i="1"/>
  <c r="C45" i="1"/>
  <c r="B45" i="1"/>
  <c r="H44" i="1"/>
  <c r="D44" i="1"/>
  <c r="C44" i="1"/>
  <c r="B44" i="1"/>
  <c r="H43" i="1"/>
  <c r="D43" i="1"/>
  <c r="C43" i="1"/>
  <c r="B43" i="1"/>
  <c r="H42" i="1"/>
  <c r="D42" i="1"/>
  <c r="C42" i="1"/>
  <c r="B42" i="1"/>
  <c r="H41" i="1"/>
  <c r="D41" i="1"/>
  <c r="C41" i="1"/>
  <c r="B41" i="1"/>
  <c r="H40" i="1"/>
  <c r="D40" i="1"/>
  <c r="C40" i="1"/>
  <c r="B40" i="1"/>
  <c r="H39" i="1"/>
  <c r="D39" i="1"/>
  <c r="C39" i="1"/>
  <c r="B39" i="1"/>
  <c r="H38" i="1"/>
  <c r="D38" i="1"/>
  <c r="C38" i="1"/>
  <c r="B38" i="1"/>
  <c r="H37" i="1"/>
  <c r="D37" i="1"/>
  <c r="C37" i="1"/>
  <c r="B37" i="1"/>
  <c r="D36" i="1"/>
  <c r="C36" i="1"/>
  <c r="B36" i="1"/>
  <c r="H35" i="1"/>
  <c r="D35" i="1"/>
  <c r="C35" i="1"/>
  <c r="B35" i="1"/>
  <c r="H34" i="1"/>
  <c r="D34" i="1"/>
  <c r="C34" i="1"/>
  <c r="B34" i="1"/>
  <c r="H33" i="1"/>
  <c r="D33" i="1"/>
  <c r="C33" i="1"/>
  <c r="B33" i="1"/>
  <c r="H32" i="1"/>
  <c r="D32" i="1"/>
  <c r="C32" i="1"/>
  <c r="B32" i="1"/>
  <c r="D31" i="1"/>
  <c r="C31" i="1"/>
  <c r="B31" i="1"/>
  <c r="H30" i="1"/>
  <c r="D30" i="1"/>
  <c r="C30" i="1"/>
  <c r="B30" i="1"/>
  <c r="H29" i="1"/>
  <c r="D29" i="1"/>
  <c r="C29" i="1"/>
  <c r="B29" i="1"/>
  <c r="H28" i="1"/>
  <c r="D28" i="1"/>
  <c r="C28" i="1"/>
  <c r="B28" i="1"/>
  <c r="H27" i="1"/>
  <c r="D27" i="1"/>
  <c r="C27" i="1"/>
  <c r="B27" i="1"/>
  <c r="H26" i="1"/>
  <c r="D26" i="1"/>
  <c r="C26" i="1"/>
  <c r="B26" i="1"/>
  <c r="H25" i="1"/>
  <c r="D25" i="1"/>
  <c r="C25" i="1"/>
  <c r="B25" i="1"/>
  <c r="H24" i="1"/>
  <c r="D24" i="1"/>
  <c r="C24" i="1"/>
  <c r="B24" i="1"/>
  <c r="H23" i="1"/>
  <c r="D23" i="1"/>
  <c r="C23" i="1"/>
  <c r="B23" i="1"/>
  <c r="H22" i="1"/>
  <c r="D22" i="1"/>
  <c r="C22" i="1"/>
  <c r="B22" i="1"/>
  <c r="H21" i="1"/>
  <c r="D21" i="1"/>
  <c r="C21" i="1"/>
  <c r="B21" i="1"/>
  <c r="H20" i="1"/>
  <c r="D20" i="1"/>
  <c r="C20" i="1"/>
  <c r="B20" i="1"/>
  <c r="H19" i="1"/>
  <c r="D19" i="1"/>
  <c r="C19" i="1"/>
  <c r="B19" i="1"/>
  <c r="H18" i="1"/>
  <c r="D18" i="1"/>
  <c r="C18" i="1"/>
  <c r="B18" i="1"/>
  <c r="H17" i="1"/>
  <c r="D17" i="1"/>
  <c r="C17" i="1"/>
  <c r="B17" i="1"/>
  <c r="H16" i="1"/>
  <c r="D16" i="1"/>
  <c r="C16" i="1"/>
  <c r="B16" i="1"/>
  <c r="H15" i="1"/>
  <c r="D15" i="1"/>
  <c r="C15" i="1"/>
  <c r="B15" i="1"/>
  <c r="D14" i="1"/>
  <c r="C14" i="1"/>
  <c r="B14" i="1"/>
  <c r="H13" i="1"/>
  <c r="D13" i="1"/>
  <c r="C13" i="1"/>
  <c r="B13" i="1"/>
  <c r="H12" i="1"/>
  <c r="D12" i="1"/>
  <c r="C12" i="1"/>
  <c r="B12" i="1"/>
  <c r="H11" i="1"/>
  <c r="D11" i="1"/>
  <c r="C11" i="1"/>
  <c r="B11" i="1"/>
  <c r="H10" i="1"/>
  <c r="D10" i="1"/>
  <c r="C10" i="1"/>
  <c r="B10" i="1"/>
  <c r="D9" i="1"/>
  <c r="C9" i="1"/>
  <c r="B9" i="1"/>
  <c r="H8" i="1"/>
  <c r="D8" i="1"/>
  <c r="C8" i="1"/>
  <c r="B8" i="1"/>
  <c r="H7" i="1"/>
  <c r="D7" i="1"/>
  <c r="C7" i="1"/>
  <c r="B7" i="1"/>
  <c r="H6" i="1"/>
  <c r="D6" i="1"/>
  <c r="C6" i="1"/>
  <c r="B6" i="1"/>
  <c r="H5" i="1"/>
  <c r="E5" i="1"/>
  <c r="D5" i="1"/>
  <c r="C5" i="1"/>
  <c r="B5" i="1"/>
  <c r="D4" i="1"/>
  <c r="C4" i="1"/>
  <c r="B4" i="1"/>
  <c r="D3" i="1"/>
  <c r="C3" i="1"/>
  <c r="B3" i="1"/>
  <c r="F5" i="1" l="1"/>
  <c r="E10" i="1" l="1"/>
  <c r="E12" i="1"/>
  <c r="F12" i="1" s="1"/>
  <c r="E11" i="1"/>
  <c r="F10" i="1" l="1"/>
  <c r="F11" i="1"/>
  <c r="E13" i="1" l="1"/>
  <c r="E6" i="1"/>
  <c r="E15" i="1" l="1"/>
  <c r="E9" i="1"/>
  <c r="F13" i="1"/>
  <c r="F9" i="1" s="1"/>
  <c r="E16" i="1"/>
  <c r="F6" i="1"/>
  <c r="F15" i="1" l="1"/>
  <c r="F16" i="1"/>
  <c r="E17" i="1"/>
  <c r="E7" i="1"/>
  <c r="H9" i="1"/>
  <c r="B10" i="2" s="1"/>
  <c r="F7" i="1" l="1"/>
  <c r="F17" i="1"/>
  <c r="E18" i="1" s="1"/>
  <c r="F18" i="1" s="1"/>
  <c r="E19" i="1" s="1"/>
  <c r="F19" i="1" s="1"/>
  <c r="E20" i="1" s="1"/>
  <c r="F20" i="1" s="1"/>
  <c r="E21" i="1" s="1"/>
  <c r="F21" i="1" s="1"/>
  <c r="E22" i="1" s="1"/>
  <c r="F22" i="1" s="1"/>
  <c r="E8" i="1" l="1"/>
  <c r="E25" i="1"/>
  <c r="F25" i="1" s="1"/>
  <c r="E23" i="1"/>
  <c r="E24" i="1"/>
  <c r="F24" i="1" s="1"/>
  <c r="E26" i="1" s="1"/>
  <c r="E4" i="1" l="1"/>
  <c r="F8" i="1"/>
  <c r="F23" i="1"/>
  <c r="F26" i="1"/>
  <c r="E27" i="1"/>
  <c r="F4" i="1" l="1"/>
  <c r="H4" i="1" s="1"/>
  <c r="B5" i="2" s="1"/>
  <c r="E38" i="1"/>
  <c r="F38" i="1" s="1"/>
  <c r="E29" i="1"/>
  <c r="F29" i="1" s="1"/>
  <c r="F27" i="1"/>
  <c r="E30" i="1" s="1"/>
  <c r="E28" i="1"/>
  <c r="F28" i="1" s="1"/>
  <c r="E14" i="1" l="1"/>
  <c r="F30" i="1"/>
  <c r="F14" i="1" l="1"/>
  <c r="H14" i="1" s="1"/>
  <c r="B15" i="2" s="1"/>
  <c r="E32" i="1"/>
  <c r="F32" i="1" l="1"/>
  <c r="E33" i="1" l="1"/>
  <c r="F33" i="1" l="1"/>
  <c r="E34" i="1"/>
  <c r="F34" i="1" l="1"/>
  <c r="E35" i="1" l="1"/>
  <c r="E37" i="1"/>
  <c r="E31" i="1" l="1"/>
  <c r="F35" i="1"/>
  <c r="F31" i="1" s="1"/>
  <c r="E39" i="1"/>
  <c r="F37" i="1"/>
  <c r="F39" i="1" l="1"/>
  <c r="E40" i="1"/>
  <c r="H31" i="1"/>
  <c r="B32" i="2" s="1"/>
  <c r="F40" i="1" l="1"/>
  <c r="E41" i="1"/>
  <c r="E42" i="1" l="1"/>
  <c r="F42" i="1" s="1"/>
  <c r="F41" i="1"/>
  <c r="E43" i="1" s="1"/>
  <c r="F43" i="1" s="1"/>
  <c r="E44" i="1" s="1"/>
  <c r="F44" i="1" s="1"/>
  <c r="E45" i="1" s="1"/>
  <c r="F45" i="1" s="1"/>
  <c r="E46" i="1" s="1"/>
  <c r="E48" i="1" l="1"/>
  <c r="F48" i="1" s="1"/>
  <c r="E49" i="1" s="1"/>
  <c r="F46" i="1"/>
  <c r="E47" i="1" s="1"/>
  <c r="F47" i="1" s="1"/>
  <c r="E53" i="1" l="1"/>
  <c r="F53" i="1" s="1"/>
  <c r="F49" i="1"/>
  <c r="E50" i="1" l="1"/>
  <c r="F50" i="1" s="1"/>
  <c r="E51" i="1"/>
  <c r="F51" i="1" l="1"/>
  <c r="E52" i="1"/>
  <c r="E54" i="1"/>
  <c r="F52" i="1" l="1"/>
  <c r="E56" i="1"/>
  <c r="E36" i="1"/>
  <c r="F54" i="1"/>
  <c r="F36" i="1" l="1"/>
  <c r="H36" i="1" s="1"/>
  <c r="B37" i="2" s="1"/>
  <c r="F56" i="1"/>
  <c r="F55" i="1" s="1"/>
  <c r="E55" i="1"/>
  <c r="H55" i="1" l="1"/>
  <c r="B56" i="2" s="1"/>
</calcChain>
</file>

<file path=xl/sharedStrings.xml><?xml version="1.0" encoding="utf-8"?>
<sst xmlns="http://schemas.openxmlformats.org/spreadsheetml/2006/main" count="249" uniqueCount="132">
  <si>
    <t>Dossier</t>
  </si>
  <si>
    <t>Début le</t>
  </si>
  <si>
    <t>Fin prévue le</t>
  </si>
  <si>
    <t>Statut</t>
  </si>
  <si>
    <t>Durée (j ouvrés)</t>
  </si>
  <si>
    <t>En attente</t>
  </si>
  <si>
    <t>DATE DEBUT PROJET</t>
  </si>
  <si>
    <t>La date de début se modifie dans Suivi!A6</t>
  </si>
  <si>
    <t>Identifiant</t>
  </si>
  <si>
    <t>Durée (jours ouvrés)</t>
  </si>
  <si>
    <t>Status</t>
  </si>
  <si>
    <t>Type de lien</t>
  </si>
  <si>
    <t>Macro Etape</t>
  </si>
  <si>
    <t>Etape</t>
  </si>
  <si>
    <t>Tache 1 liée</t>
  </si>
  <si>
    <t>Type lien 1</t>
  </si>
  <si>
    <t>Tache 2 liée</t>
  </si>
  <si>
    <t>Type lien 2</t>
  </si>
  <si>
    <t>Tache 3 liée</t>
  </si>
  <si>
    <t>Type lien 3</t>
  </si>
  <si>
    <t>Demande de recrutement</t>
  </si>
  <si>
    <t>1.1</t>
  </si>
  <si>
    <t>A prendre en charge</t>
  </si>
  <si>
    <t>Début → Début</t>
  </si>
  <si>
    <t>Go de Sandra</t>
  </si>
  <si>
    <t>1.2</t>
  </si>
  <si>
    <t>En cours</t>
  </si>
  <si>
    <t>Fin → Début</t>
  </si>
  <si>
    <t>Transmission Angélique</t>
  </si>
  <si>
    <t>1.3</t>
  </si>
  <si>
    <t>Début → Fin</t>
  </si>
  <si>
    <t>Retour Dates Angélique</t>
  </si>
  <si>
    <t>1.4</t>
  </si>
  <si>
    <t>Alerte retard</t>
  </si>
  <si>
    <t>Fin → Fin</t>
  </si>
  <si>
    <t>Retour Membres Angélique</t>
  </si>
  <si>
    <t>Réalisé</t>
  </si>
  <si>
    <t>Publicité</t>
  </si>
  <si>
    <t>2.1</t>
  </si>
  <si>
    <t>Clôturé</t>
  </si>
  <si>
    <t>Publicité Interne</t>
  </si>
  <si>
    <t>2.2</t>
  </si>
  <si>
    <t>Publicité externe</t>
  </si>
  <si>
    <t>2.3</t>
  </si>
  <si>
    <t>Publicité durée fixée</t>
  </si>
  <si>
    <t>2.4</t>
  </si>
  <si>
    <t>Fin de publicité</t>
  </si>
  <si>
    <t>Choix des candidats pour CS</t>
  </si>
  <si>
    <t>3.1</t>
  </si>
  <si>
    <t>Réception des CV</t>
  </si>
  <si>
    <t>3.2</t>
  </si>
  <si>
    <t>Tri des CV</t>
  </si>
  <si>
    <t>3.3</t>
  </si>
  <si>
    <t>Tableau analyse</t>
  </si>
  <si>
    <t>3.4</t>
  </si>
  <si>
    <t>Liste des CV retenus gestionnaire</t>
  </si>
  <si>
    <t>3.5</t>
  </si>
  <si>
    <t>Transmission Sandra</t>
  </si>
  <si>
    <t>3.6</t>
  </si>
  <si>
    <t>Validation Sandra</t>
  </si>
  <si>
    <t>3.7</t>
  </si>
  <si>
    <t>Transmission CDS</t>
  </si>
  <si>
    <t>3.8</t>
  </si>
  <si>
    <t>Validation CDS</t>
  </si>
  <si>
    <t>3.9</t>
  </si>
  <si>
    <t>3.10</t>
  </si>
  <si>
    <t>Liste des candidats retenus</t>
  </si>
  <si>
    <t>3.11</t>
  </si>
  <si>
    <t>Vérification si date CS</t>
  </si>
  <si>
    <t>3.12</t>
  </si>
  <si>
    <t>Convocation Tél + Gestmax</t>
  </si>
  <si>
    <t>3.13</t>
  </si>
  <si>
    <t>Candidats - validation présence</t>
  </si>
  <si>
    <t>3.14</t>
  </si>
  <si>
    <t>GESTMAX - bascule validation CS</t>
  </si>
  <si>
    <t>3.15</t>
  </si>
  <si>
    <t>Liste des candidats à l'accueil</t>
  </si>
  <si>
    <t>3.16</t>
  </si>
  <si>
    <t>Tenue des CS</t>
  </si>
  <si>
    <t>Choix des candidats pour Jury</t>
  </si>
  <si>
    <t>4.1</t>
  </si>
  <si>
    <t>Liste des candidats retenus au CS</t>
  </si>
  <si>
    <t>4.2</t>
  </si>
  <si>
    <t>Informer les candidats du résultat</t>
  </si>
  <si>
    <t>4.3</t>
  </si>
  <si>
    <t>Acceptation candidats jury</t>
  </si>
  <si>
    <t>4.4</t>
  </si>
  <si>
    <t>Clôture du CS</t>
  </si>
  <si>
    <t>Jury</t>
  </si>
  <si>
    <t>5.1</t>
  </si>
  <si>
    <t>Liste des candidats au jury</t>
  </si>
  <si>
    <t>5.2</t>
  </si>
  <si>
    <t>Liste des élus présents au jury</t>
  </si>
  <si>
    <t>5.3</t>
  </si>
  <si>
    <t>5.4</t>
  </si>
  <si>
    <t>5.5</t>
  </si>
  <si>
    <t>GESTMAX - bascule validation jury</t>
  </si>
  <si>
    <t>5.6</t>
  </si>
  <si>
    <t>Dossier papier Jury (CV/LM + PV)</t>
  </si>
  <si>
    <t>5.7</t>
  </si>
  <si>
    <t>5.8</t>
  </si>
  <si>
    <t>Tenue du Jury</t>
  </si>
  <si>
    <t>5.9</t>
  </si>
  <si>
    <t>Candidat retenu par le jury</t>
  </si>
  <si>
    <t>5.10</t>
  </si>
  <si>
    <t>Informer le candidat</t>
  </si>
  <si>
    <t>5.11</t>
  </si>
  <si>
    <t>information chef de service</t>
  </si>
  <si>
    <t>5.12</t>
  </si>
  <si>
    <t>Temps réflexion/propo. Salariale</t>
  </si>
  <si>
    <t>5.13</t>
  </si>
  <si>
    <t>Retour du candidat</t>
  </si>
  <si>
    <t>5.14</t>
  </si>
  <si>
    <t>5.15</t>
  </si>
  <si>
    <t>GESTMAX - valide recrutement</t>
  </si>
  <si>
    <t>5.16</t>
  </si>
  <si>
    <t>Courrier de recrutement</t>
  </si>
  <si>
    <t>5.17</t>
  </si>
  <si>
    <t>Clôture du jury</t>
  </si>
  <si>
    <t>5.18</t>
  </si>
  <si>
    <t>Clôture avis de recrutement</t>
  </si>
  <si>
    <t>Procédure de recrutement</t>
  </si>
  <si>
    <t>6.1</t>
  </si>
  <si>
    <t>Gestmax - demande pièces admis.</t>
  </si>
  <si>
    <t>Colonne1</t>
  </si>
  <si>
    <t>GANTT DYNAMIQUE - MODE D'EMPLOI</t>
  </si>
  <si>
    <t>1. Modifiez la date de début en Suivi!A6 (ex: 12/10/2026)</t>
  </si>
  <si>
    <t>2. Modifiez les durées en Paramètres!B (colonne Durée), en jours ouvrés (lundi à vendredi, jours fériés non exclus)</t>
  </si>
  <si>
    <t>3. Modifiez les liens en colonnes J:O (Tache liée + Type lien)</t>
  </si>
  <si>
    <t>4. L'onglet Suivi se recalcule AUTOMATIQUEMENT (formules MAX)</t>
  </si>
  <si>
    <t>5. Types de liens: Fin → Début (FS), Début → Début (SS), Fin → Fin (FF), Début → Fin (SF)</t>
  </si>
  <si>
    <t>6. Les lignes grisées dans Paramètres (macro-étapes) se calculent d'après leurs sous-tâches : ne pas les modifier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</si>
</sst>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56"/>
  <sheetViews>
    <sheetView tabSelected="1" zoomScaleNormal="100" workbookViewId="0">
      <pane ySplit="3" topLeftCell="A4" activePane="bottomLeft" state="frozen"/>
      <selection pane="bottomLeft" activeCell="L8" sqref="L8"/>
    </sheetView>
  </sheetViews>
  <sheetFormatPr baseColWidth="10" defaultColWidth="8.88671875" defaultRowHeight="14.4" x14ac:dyDescent="0.3"/>
  <cols>
    <col min="1" max="1" width="18.33203125" customWidth="1"/>
    <col min="2" max="2" width="11" customWidth="1"/>
    <col min="3" max="3" width="30" customWidth="1"/>
    <col min="4" max="4" width="34" customWidth="1"/>
    <col min="5" max="6" width="12" customWidth="1"/>
    <col min="7" max="7" width="20" customWidth="1"/>
    <col min="8" max="8" width="8" customWidth="1"/>
    <col min="15" max="15" width="8.88671875" customWidth="1"/>
  </cols>
  <sheetData>
    <row r="3" spans="1:8" ht="14.25" customHeight="1" x14ac:dyDescent="0.3">
      <c r="A3" s="1" t="s">
        <v>0</v>
      </c>
      <c r="B3" s="2" t="str">
        <f>Paramètres!G4</f>
        <v>Identifiant</v>
      </c>
      <c r="C3" s="2" t="str">
        <f>Paramètres!H4</f>
        <v>Macro Etape</v>
      </c>
      <c r="D3" s="2" t="str">
        <f>Paramètres!I4</f>
        <v>Etape</v>
      </c>
      <c r="E3" s="1" t="s">
        <v>1</v>
      </c>
      <c r="F3" s="1" t="s">
        <v>2</v>
      </c>
      <c r="G3" s="1" t="s">
        <v>3</v>
      </c>
      <c r="H3" s="1" t="s">
        <v>4</v>
      </c>
    </row>
    <row r="4" spans="1:8" ht="14.25" customHeight="1" x14ac:dyDescent="0.3">
      <c r="A4">
        <v>1</v>
      </c>
      <c r="B4" s="3">
        <f>Paramètres!G5</f>
        <v>1</v>
      </c>
      <c r="C4" s="3" t="str">
        <f>IF(Paramètres!H5="","",Paramètres!H5)</f>
        <v>Demande de recrutement</v>
      </c>
      <c r="D4" s="3" t="str">
        <f>IF(Paramètres!I5="","",Paramètres!I5)</f>
        <v/>
      </c>
      <c r="E4" s="4">
        <f>MIN(E5:E8)</f>
        <v>46308</v>
      </c>
      <c r="F4" s="4">
        <f>MAX(F5:F8)</f>
        <v>46372</v>
      </c>
      <c r="G4" t="s">
        <v>5</v>
      </c>
      <c r="H4">
        <f>NETWORKDAYS(E4,F4)</f>
        <v>47</v>
      </c>
    </row>
    <row r="5" spans="1:8" ht="14.25" customHeight="1" x14ac:dyDescent="0.3">
      <c r="A5" s="1" t="s">
        <v>6</v>
      </c>
      <c r="B5" s="3" t="str">
        <f>Paramètres!G6</f>
        <v>1.1</v>
      </c>
      <c r="C5" s="3" t="str">
        <f>IF(Paramètres!H6="","",Paramètres!H6)</f>
        <v/>
      </c>
      <c r="D5" s="3" t="str">
        <f>IF(Paramètres!I6="","",Paramètres!I6)</f>
        <v>Go de Sandra</v>
      </c>
      <c r="E5" s="4">
        <f>IF(Paramètres!J6&amp;Paramètres!L6&amp;Paramètres!N6="",WORKDAY($A$6-1,1),MAX(IF(Paramètres!J6="",0,IF(Paramètres!K6="",NA(),IF(RIGHT(TRIM(Paramètres!K6),3)="Fin",WORKDAY(IF(LEFT(TRIM(Paramètres!K6),1)="F",INDEX($F$4:$F$56,MATCH(Paramètres!J6,Paramètres!$G$5:$G$57,0)),INDEX($E$4:$E$56,MATCH(Paramètres!J6,Paramètres!$G$5:$G$57,0))),1-$H5),IF(LEFT(TRIM(Paramètres!K6),1)="F",WORKDAY(IF(LEFT(TRIM(Paramètres!K6),1)="F",INDEX($F$4:$F$56,MATCH(Paramètres!J6,Paramètres!$G$5:$G$57,0)),INDEX($E$4:$E$56,MATCH(Paramètres!J6,Paramètres!$G$5:$G$57,0))),1),IF(LEFT(TRIM(Paramètres!K6),1)="F",INDEX($F$4:$F$56,MATCH(Paramètres!J6,Paramètres!$G$5:$G$57,0)),INDEX($E$4:$E$56,MATCH(Paramètres!J6,Paramètres!$G$5:$G$57,0))))))),IF(Paramètres!L6="",0,IF(Paramètres!M6="",NA(),IF(RIGHT(TRIM(Paramètres!M6),3)="Fin",WORKDAY(IF(LEFT(TRIM(Paramètres!M6),1)="F",INDEX($F$4:$F$56,MATCH(Paramètres!L6,Paramètres!$G$5:$G$57,0)),INDEX($E$4:$E$56,MATCH(Paramètres!L6,Paramètres!$G$5:$G$57,0))),1-$H5),IF(LEFT(TRIM(Paramètres!M6),1)="F",WORKDAY(IF(LEFT(TRIM(Paramètres!M6),1)="F",INDEX($F$4:$F$56,MATCH(Paramètres!L6,Paramètres!$G$5:$G$57,0)),INDEX($E$4:$E$56,MATCH(Paramètres!L6,Paramètres!$G$5:$G$57,0))),1),IF(LEFT(TRIM(Paramètres!M6),1)="F",INDEX($F$4:$F$56,MATCH(Paramètres!L6,Paramètres!$G$5:$G$57,0)),INDEX($E$4:$E$56,MATCH(Paramètres!L6,Paramètres!$G$5:$G$57,0))))))),IF(Paramètres!N6="",0,IF(Paramètres!O6="",NA(),IF(RIGHT(TRIM(Paramètres!O6),3)="Fin",WORKDAY(IF(LEFT(TRIM(Paramètres!O6),1)="F",INDEX($F$4:$F$56,MATCH(Paramètres!N6,Paramètres!$G$5:$G$57,0)),INDEX($E$4:$E$56,MATCH(Paramètres!N6,Paramètres!$G$5:$G$57,0))),1-$H5),IF(LEFT(TRIM(Paramètres!O6),1)="F",WORKDAY(IF(LEFT(TRIM(Paramètres!O6),1)="F",INDEX($F$4:$F$56,MATCH(Paramètres!N6,Paramètres!$G$5:$G$57,0)),INDEX($E$4:$E$56,MATCH(Paramètres!N6,Paramètres!$G$5:$G$57,0))),1),IF(LEFT(TRIM(Paramètres!O6),1)="F",INDEX($F$4:$F$56,MATCH(Paramètres!N6,Paramètres!$G$5:$G$57,0)),INDEX($E$4:$E$56,MATCH(Paramètres!N6,Paramètres!$G$5:$G$57,0)))))))))</f>
        <v>46308</v>
      </c>
      <c r="F5" s="4">
        <f>IF($H5=0,WORKDAY(E5,-1),WORKDAY(E5,$H5-1))</f>
        <v>46328</v>
      </c>
      <c r="H5">
        <f>Paramètres!B6</f>
        <v>15</v>
      </c>
    </row>
    <row r="6" spans="1:8" ht="14.25" customHeight="1" x14ac:dyDescent="0.3">
      <c r="A6" s="4">
        <v>46308</v>
      </c>
      <c r="B6" s="3" t="str">
        <f>Paramètres!G7</f>
        <v>1.2</v>
      </c>
      <c r="C6" s="3" t="str">
        <f>IF(Paramètres!H7="","",Paramètres!H7)</f>
        <v/>
      </c>
      <c r="D6" s="3" t="str">
        <f>IF(Paramètres!I7="","",Paramètres!I7)</f>
        <v>Transmission Angélique</v>
      </c>
      <c r="E6" s="4">
        <f>IF(Paramètres!J7&amp;Paramètres!L7&amp;Paramètres!N7="",WORKDAY($A$6-1,1),MAX(IF(Paramètres!J7="",0,IF(Paramètres!K7="",NA(),IF(RIGHT(TRIM(Paramètres!K7),3)="Fin",WORKDAY(IF(LEFT(TRIM(Paramètres!K7),1)="F",INDEX($F$4:$F$56,MATCH(Paramètres!J7,Paramètres!$G$5:$G$57,0)),INDEX($E$4:$E$56,MATCH(Paramètres!J7,Paramètres!$G$5:$G$57,0))),1-$H6),IF(LEFT(TRIM(Paramètres!K7),1)="F",WORKDAY(IF(LEFT(TRIM(Paramètres!K7),1)="F",INDEX($F$4:$F$56,MATCH(Paramètres!J7,Paramètres!$G$5:$G$57,0)),INDEX($E$4:$E$56,MATCH(Paramètres!J7,Paramètres!$G$5:$G$57,0))),1),IF(LEFT(TRIM(Paramètres!K7),1)="F",INDEX($F$4:$F$56,MATCH(Paramètres!J7,Paramètres!$G$5:$G$57,0)),INDEX($E$4:$E$56,MATCH(Paramètres!J7,Paramètres!$G$5:$G$57,0))))))),IF(Paramètres!L7="",0,IF(Paramètres!M7="",NA(),IF(RIGHT(TRIM(Paramètres!M7),3)="Fin",WORKDAY(IF(LEFT(TRIM(Paramètres!M7),1)="F",INDEX($F$4:$F$56,MATCH(Paramètres!L7,Paramètres!$G$5:$G$57,0)),INDEX($E$4:$E$56,MATCH(Paramètres!L7,Paramètres!$G$5:$G$57,0))),1-$H6),IF(LEFT(TRIM(Paramètres!M7),1)="F",WORKDAY(IF(LEFT(TRIM(Paramètres!M7),1)="F",INDEX($F$4:$F$56,MATCH(Paramètres!L7,Paramètres!$G$5:$G$57,0)),INDEX($E$4:$E$56,MATCH(Paramètres!L7,Paramètres!$G$5:$G$57,0))),1),IF(LEFT(TRIM(Paramètres!M7),1)="F",INDEX($F$4:$F$56,MATCH(Paramètres!L7,Paramètres!$G$5:$G$57,0)),INDEX($E$4:$E$56,MATCH(Paramètres!L7,Paramètres!$G$5:$G$57,0))))))),IF(Paramètres!N7="",0,IF(Paramètres!O7="",NA(),IF(RIGHT(TRIM(Paramètres!O7),3)="Fin",WORKDAY(IF(LEFT(TRIM(Paramètres!O7),1)="F",INDEX($F$4:$F$56,MATCH(Paramètres!N7,Paramètres!$G$5:$G$57,0)),INDEX($E$4:$E$56,MATCH(Paramètres!N7,Paramètres!$G$5:$G$57,0))),1-$H6),IF(LEFT(TRIM(Paramètres!O7),1)="F",WORKDAY(IF(LEFT(TRIM(Paramètres!O7),1)="F",INDEX($F$4:$F$56,MATCH(Paramètres!N7,Paramètres!$G$5:$G$57,0)),INDEX($E$4:$E$56,MATCH(Paramètres!N7,Paramètres!$G$5:$G$57,0))),1),IF(LEFT(TRIM(Paramètres!O7),1)="F",INDEX($F$4:$F$56,MATCH(Paramètres!N7,Paramètres!$G$5:$G$57,0)),INDEX($E$4:$E$56,MATCH(Paramètres!N7,Paramètres!$G$5:$G$57,0)))))))))</f>
        <v>46371</v>
      </c>
      <c r="F6" s="4">
        <f>IF($H6=0,WORKDAY(E6,-1),WORKDAY(E6,$H6-1))</f>
        <v>46371</v>
      </c>
      <c r="H6">
        <f>Paramètres!B7</f>
        <v>1</v>
      </c>
    </row>
    <row r="7" spans="1:8" ht="14.25" customHeight="1" x14ac:dyDescent="0.3">
      <c r="B7" s="3" t="str">
        <f>Paramètres!G8</f>
        <v>1.3</v>
      </c>
      <c r="C7" s="3" t="str">
        <f>IF(Paramètres!H8="","",Paramètres!H8)</f>
        <v/>
      </c>
      <c r="D7" s="3" t="str">
        <f>IF(Paramètres!I8="","",Paramètres!I8)</f>
        <v>Retour Dates Angélique</v>
      </c>
      <c r="E7" s="4">
        <f>IF(Paramètres!J8&amp;Paramètres!L8&amp;Paramètres!N8="",WORKDAY($A$6-1,1),MAX(IF(Paramètres!J8="",0,IF(Paramètres!K8="",NA(),IF(RIGHT(TRIM(Paramètres!K8),3)="Fin",WORKDAY(IF(LEFT(TRIM(Paramètres!K8),1)="F",INDEX($F$4:$F$56,MATCH(Paramètres!J8,Paramètres!$G$5:$G$57,0)),INDEX($E$4:$E$56,MATCH(Paramètres!J8,Paramètres!$G$5:$G$57,0))),1-$H7),IF(LEFT(TRIM(Paramètres!K8),1)="F",WORKDAY(IF(LEFT(TRIM(Paramètres!K8),1)="F",INDEX($F$4:$F$56,MATCH(Paramètres!J8,Paramètres!$G$5:$G$57,0)),INDEX($E$4:$E$56,MATCH(Paramètres!J8,Paramètres!$G$5:$G$57,0))),1),IF(LEFT(TRIM(Paramètres!K8),1)="F",INDEX($F$4:$F$56,MATCH(Paramètres!J8,Paramètres!$G$5:$G$57,0)),INDEX($E$4:$E$56,MATCH(Paramètres!J8,Paramètres!$G$5:$G$57,0))))))),IF(Paramètres!L8="",0,IF(Paramètres!M8="",NA(),IF(RIGHT(TRIM(Paramètres!M8),3)="Fin",WORKDAY(IF(LEFT(TRIM(Paramètres!M8),1)="F",INDEX($F$4:$F$56,MATCH(Paramètres!L8,Paramètres!$G$5:$G$57,0)),INDEX($E$4:$E$56,MATCH(Paramètres!L8,Paramètres!$G$5:$G$57,0))),1-$H7),IF(LEFT(TRIM(Paramètres!M8),1)="F",WORKDAY(IF(LEFT(TRIM(Paramètres!M8),1)="F",INDEX($F$4:$F$56,MATCH(Paramètres!L8,Paramètres!$G$5:$G$57,0)),INDEX($E$4:$E$56,MATCH(Paramètres!L8,Paramètres!$G$5:$G$57,0))),1),IF(LEFT(TRIM(Paramètres!M8),1)="F",INDEX($F$4:$F$56,MATCH(Paramètres!L8,Paramètres!$G$5:$G$57,0)),INDEX($E$4:$E$56,MATCH(Paramètres!L8,Paramètres!$G$5:$G$57,0))))))),IF(Paramètres!N8="",0,IF(Paramètres!O8="",NA(),IF(RIGHT(TRIM(Paramètres!O8),3)="Fin",WORKDAY(IF(LEFT(TRIM(Paramètres!O8),1)="F",INDEX($F$4:$F$56,MATCH(Paramètres!N8,Paramètres!$G$5:$G$57,0)),INDEX($E$4:$E$56,MATCH(Paramètres!N8,Paramètres!$G$5:$G$57,0))),1-$H7),IF(LEFT(TRIM(Paramètres!O8),1)="F",WORKDAY(IF(LEFT(TRIM(Paramètres!O8),1)="F",INDEX($F$4:$F$56,MATCH(Paramètres!N8,Paramètres!$G$5:$G$57,0)),INDEX($E$4:$E$56,MATCH(Paramètres!N8,Paramètres!$G$5:$G$57,0))),1),IF(LEFT(TRIM(Paramètres!O8),1)="F",INDEX($F$4:$F$56,MATCH(Paramètres!N8,Paramètres!$G$5:$G$57,0)),INDEX($E$4:$E$56,MATCH(Paramètres!N8,Paramètres!$G$5:$G$57,0)))))))))</f>
        <v>46372</v>
      </c>
      <c r="F7" s="4">
        <f>IF($H7=0,WORKDAY(E7,-1),WORKDAY(E7,$H7-1))</f>
        <v>46372</v>
      </c>
      <c r="H7">
        <f>Paramètres!B8</f>
        <v>1</v>
      </c>
    </row>
    <row r="8" spans="1:8" ht="14.25" customHeight="1" x14ac:dyDescent="0.3">
      <c r="B8" s="3" t="str">
        <f>Paramètres!G9</f>
        <v>1.4</v>
      </c>
      <c r="C8" s="3" t="str">
        <f>IF(Paramètres!H9="","",Paramètres!H9)</f>
        <v/>
      </c>
      <c r="D8" s="3" t="str">
        <f>IF(Paramètres!I9="","",Paramètres!I9)</f>
        <v>Retour Membres Angélique</v>
      </c>
      <c r="E8" s="4">
        <f>IF(Paramètres!J9&amp;Paramètres!L9&amp;Paramètres!N9="",WORKDAY($A$6-1,1),MAX(IF(Paramètres!J9="",0,IF(Paramètres!K9="",NA(),IF(RIGHT(TRIM(Paramètres!K9),3)="Fin",WORKDAY(IF(LEFT(TRIM(Paramètres!K9),1)="F",INDEX($F$4:$F$56,MATCH(Paramètres!J9,Paramètres!$G$5:$G$57,0)),INDEX($E$4:$E$56,MATCH(Paramètres!J9,Paramètres!$G$5:$G$57,0))),1-$H8),IF(LEFT(TRIM(Paramètres!K9),1)="F",WORKDAY(IF(LEFT(TRIM(Paramètres!K9),1)="F",INDEX($F$4:$F$56,MATCH(Paramètres!J9,Paramètres!$G$5:$G$57,0)),INDEX($E$4:$E$56,MATCH(Paramètres!J9,Paramètres!$G$5:$G$57,0))),1),IF(LEFT(TRIM(Paramètres!K9),1)="F",INDEX($F$4:$F$56,MATCH(Paramètres!J9,Paramètres!$G$5:$G$57,0)),INDEX($E$4:$E$56,MATCH(Paramètres!J9,Paramètres!$G$5:$G$57,0))))))),IF(Paramètres!L9="",0,IF(Paramètres!M9="",NA(),IF(RIGHT(TRIM(Paramètres!M9),3)="Fin",WORKDAY(IF(LEFT(TRIM(Paramètres!M9),1)="F",INDEX($F$4:$F$56,MATCH(Paramètres!L9,Paramètres!$G$5:$G$57,0)),INDEX($E$4:$E$56,MATCH(Paramètres!L9,Paramètres!$G$5:$G$57,0))),1-$H8),IF(LEFT(TRIM(Paramètres!M9),1)="F",WORKDAY(IF(LEFT(TRIM(Paramètres!M9),1)="F",INDEX($F$4:$F$56,MATCH(Paramètres!L9,Paramètres!$G$5:$G$57,0)),INDEX($E$4:$E$56,MATCH(Paramètres!L9,Paramètres!$G$5:$G$57,0))),1),IF(LEFT(TRIM(Paramètres!M9),1)="F",INDEX($F$4:$F$56,MATCH(Paramètres!L9,Paramètres!$G$5:$G$57,0)),INDEX($E$4:$E$56,MATCH(Paramètres!L9,Paramètres!$G$5:$G$57,0))))))),IF(Paramètres!N9="",0,IF(Paramètres!O9="",NA(),IF(RIGHT(TRIM(Paramètres!O9),3)="Fin",WORKDAY(IF(LEFT(TRIM(Paramètres!O9),1)="F",INDEX($F$4:$F$56,MATCH(Paramètres!N9,Paramètres!$G$5:$G$57,0)),INDEX($E$4:$E$56,MATCH(Paramètres!N9,Paramètres!$G$5:$G$57,0))),1-$H8),IF(LEFT(TRIM(Paramètres!O9),1)="F",WORKDAY(IF(LEFT(TRIM(Paramètres!O9),1)="F",INDEX($F$4:$F$56,MATCH(Paramètres!N9,Paramètres!$G$5:$G$57,0)),INDEX($E$4:$E$56,MATCH(Paramètres!N9,Paramètres!$G$5:$G$57,0))),1),IF(LEFT(TRIM(Paramètres!O9),1)="F",INDEX($F$4:$F$56,MATCH(Paramètres!N9,Paramètres!$G$5:$G$57,0)),INDEX($E$4:$E$56,MATCH(Paramètres!N9,Paramètres!$G$5:$G$57,0)))))))))</f>
        <v>46372</v>
      </c>
      <c r="F8" s="4">
        <f>IF($H8=0,WORKDAY(E8,-1),WORKDAY(E8,$H8-1))</f>
        <v>46372</v>
      </c>
      <c r="H8">
        <f>Paramètres!B9</f>
        <v>1</v>
      </c>
    </row>
    <row r="9" spans="1:8" ht="14.25" customHeight="1" x14ac:dyDescent="0.3">
      <c r="B9" s="3">
        <f>Paramètres!G10</f>
        <v>2</v>
      </c>
      <c r="C9" s="3" t="str">
        <f>IF(Paramètres!H10="","",Paramètres!H10)</f>
        <v>Publicité</v>
      </c>
      <c r="D9" s="3" t="str">
        <f>IF(Paramètres!I10="","",Paramètres!I10)</f>
        <v/>
      </c>
      <c r="E9" s="4">
        <f>MIN(E10:E13)</f>
        <v>46329</v>
      </c>
      <c r="F9" s="4">
        <f>MAX(F10:F13)</f>
        <v>46370</v>
      </c>
      <c r="H9">
        <f>NETWORKDAYS(E9,F9)</f>
        <v>30</v>
      </c>
    </row>
    <row r="10" spans="1:8" ht="14.25" customHeight="1" x14ac:dyDescent="0.3">
      <c r="B10" s="3" t="str">
        <f>Paramètres!G11</f>
        <v>2.1</v>
      </c>
      <c r="C10" s="3" t="str">
        <f>IF(Paramètres!H11="","",Paramètres!H11)</f>
        <v/>
      </c>
      <c r="D10" s="3" t="str">
        <f>IF(Paramètres!I11="","",Paramètres!I11)</f>
        <v>Publicité Interne</v>
      </c>
      <c r="E10" s="4">
        <f>IF(Paramètres!J11&amp;Paramètres!L11&amp;Paramètres!N11="",WORKDAY($A$6-1,1),MAX(IF(Paramètres!J11="",0,IF(Paramètres!K11="",NA(),IF(RIGHT(TRIM(Paramètres!K11),3)="Fin",WORKDAY(IF(LEFT(TRIM(Paramètres!K11),1)="F",INDEX($F$4:$F$56,MATCH(Paramètres!J11,Paramètres!$G$5:$G$57,0)),INDEX($E$4:$E$56,MATCH(Paramètres!J11,Paramètres!$G$5:$G$57,0))),1-$H10),IF(LEFT(TRIM(Paramètres!K11),1)="F",WORKDAY(IF(LEFT(TRIM(Paramètres!K11),1)="F",INDEX($F$4:$F$56,MATCH(Paramètres!J11,Paramètres!$G$5:$G$57,0)),INDEX($E$4:$E$56,MATCH(Paramètres!J11,Paramètres!$G$5:$G$57,0))),1),IF(LEFT(TRIM(Paramètres!K11),1)="F",INDEX($F$4:$F$56,MATCH(Paramètres!J11,Paramètres!$G$5:$G$57,0)),INDEX($E$4:$E$56,MATCH(Paramètres!J11,Paramètres!$G$5:$G$57,0))))))),IF(Paramètres!L11="",0,IF(Paramètres!M11="",NA(),IF(RIGHT(TRIM(Paramètres!M11),3)="Fin",WORKDAY(IF(LEFT(TRIM(Paramètres!M11),1)="F",INDEX($F$4:$F$56,MATCH(Paramètres!L11,Paramètres!$G$5:$G$57,0)),INDEX($E$4:$E$56,MATCH(Paramètres!L11,Paramètres!$G$5:$G$57,0))),1-$H10),IF(LEFT(TRIM(Paramètres!M11),1)="F",WORKDAY(IF(LEFT(TRIM(Paramètres!M11),1)="F",INDEX($F$4:$F$56,MATCH(Paramètres!L11,Paramètres!$G$5:$G$57,0)),INDEX($E$4:$E$56,MATCH(Paramètres!L11,Paramètres!$G$5:$G$57,0))),1),IF(LEFT(TRIM(Paramètres!M11),1)="F",INDEX($F$4:$F$56,MATCH(Paramètres!L11,Paramètres!$G$5:$G$57,0)),INDEX($E$4:$E$56,MATCH(Paramètres!L11,Paramètres!$G$5:$G$57,0))))))),IF(Paramètres!N11="",0,IF(Paramètres!O11="",NA(),IF(RIGHT(TRIM(Paramètres!O11),3)="Fin",WORKDAY(IF(LEFT(TRIM(Paramètres!O11),1)="F",INDEX($F$4:$F$56,MATCH(Paramètres!N11,Paramètres!$G$5:$G$57,0)),INDEX($E$4:$E$56,MATCH(Paramètres!N11,Paramètres!$G$5:$G$57,0))),1-$H10),IF(LEFT(TRIM(Paramètres!O11),1)="F",WORKDAY(IF(LEFT(TRIM(Paramètres!O11),1)="F",INDEX($F$4:$F$56,MATCH(Paramètres!N11,Paramètres!$G$5:$G$57,0)),INDEX($E$4:$E$56,MATCH(Paramètres!N11,Paramètres!$G$5:$G$57,0))),1),IF(LEFT(TRIM(Paramètres!O11),1)="F",INDEX($F$4:$F$56,MATCH(Paramètres!N11,Paramètres!$G$5:$G$57,0)),INDEX($E$4:$E$56,MATCH(Paramètres!N11,Paramètres!$G$5:$G$57,0)))))))))</f>
        <v>46329</v>
      </c>
      <c r="F10" s="4">
        <f>IF($H10=0,WORKDAY(E10,-1),WORKDAY(E10,$H10-1))</f>
        <v>46349</v>
      </c>
      <c r="H10">
        <f>Paramètres!B11</f>
        <v>15</v>
      </c>
    </row>
    <row r="11" spans="1:8" ht="14.25" customHeight="1" x14ac:dyDescent="0.3">
      <c r="B11" s="3" t="str">
        <f>Paramètres!G12</f>
        <v>2.2</v>
      </c>
      <c r="C11" s="3" t="str">
        <f>IF(Paramètres!H12="","",Paramètres!H12)</f>
        <v/>
      </c>
      <c r="D11" s="3" t="str">
        <f>IF(Paramètres!I12="","",Paramètres!I12)</f>
        <v>Publicité externe</v>
      </c>
      <c r="E11" s="4">
        <f>IF(Paramètres!J12&amp;Paramètres!L12&amp;Paramètres!N12="",WORKDAY($A$6-1,1),MAX(IF(Paramètres!J12="",0,IF(Paramètres!K12="",NA(),IF(RIGHT(TRIM(Paramètres!K12),3)="Fin",WORKDAY(IF(LEFT(TRIM(Paramètres!K12),1)="F",INDEX($F$4:$F$56,MATCH(Paramètres!J12,Paramètres!$G$5:$G$57,0)),INDEX($E$4:$E$56,MATCH(Paramètres!J12,Paramètres!$G$5:$G$57,0))),1-$H11),IF(LEFT(TRIM(Paramètres!K12),1)="F",WORKDAY(IF(LEFT(TRIM(Paramètres!K12),1)="F",INDEX($F$4:$F$56,MATCH(Paramètres!J12,Paramètres!$G$5:$G$57,0)),INDEX($E$4:$E$56,MATCH(Paramètres!J12,Paramètres!$G$5:$G$57,0))),1),IF(LEFT(TRIM(Paramètres!K12),1)="F",INDEX($F$4:$F$56,MATCH(Paramètres!J12,Paramètres!$G$5:$G$57,0)),INDEX($E$4:$E$56,MATCH(Paramètres!J12,Paramètres!$G$5:$G$57,0))))))),IF(Paramètres!L12="",0,IF(Paramètres!M12="",NA(),IF(RIGHT(TRIM(Paramètres!M12),3)="Fin",WORKDAY(IF(LEFT(TRIM(Paramètres!M12),1)="F",INDEX($F$4:$F$56,MATCH(Paramètres!L12,Paramètres!$G$5:$G$57,0)),INDEX($E$4:$E$56,MATCH(Paramètres!L12,Paramètres!$G$5:$G$57,0))),1-$H11),IF(LEFT(TRIM(Paramètres!M12),1)="F",WORKDAY(IF(LEFT(TRIM(Paramètres!M12),1)="F",INDEX($F$4:$F$56,MATCH(Paramètres!L12,Paramètres!$G$5:$G$57,0)),INDEX($E$4:$E$56,MATCH(Paramètres!L12,Paramètres!$G$5:$G$57,0))),1),IF(LEFT(TRIM(Paramètres!M12),1)="F",INDEX($F$4:$F$56,MATCH(Paramètres!L12,Paramètres!$G$5:$G$57,0)),INDEX($E$4:$E$56,MATCH(Paramètres!L12,Paramètres!$G$5:$G$57,0))))))),IF(Paramètres!N12="",0,IF(Paramètres!O12="",NA(),IF(RIGHT(TRIM(Paramètres!O12),3)="Fin",WORKDAY(IF(LEFT(TRIM(Paramètres!O12),1)="F",INDEX($F$4:$F$56,MATCH(Paramètres!N12,Paramètres!$G$5:$G$57,0)),INDEX($E$4:$E$56,MATCH(Paramètres!N12,Paramètres!$G$5:$G$57,0))),1-$H11),IF(LEFT(TRIM(Paramètres!O12),1)="F",WORKDAY(IF(LEFT(TRIM(Paramètres!O12),1)="F",INDEX($F$4:$F$56,MATCH(Paramètres!N12,Paramètres!$G$5:$G$57,0)),INDEX($E$4:$E$56,MATCH(Paramètres!N12,Paramètres!$G$5:$G$57,0))),1),IF(LEFT(TRIM(Paramètres!O12),1)="F",INDEX($F$4:$F$56,MATCH(Paramètres!N12,Paramètres!$G$5:$G$57,0)),INDEX($E$4:$E$56,MATCH(Paramètres!N12,Paramètres!$G$5:$G$57,0)))))))))</f>
        <v>46329</v>
      </c>
      <c r="F11" s="4">
        <f>IF($H11=0,WORKDAY(E11,-1),WORKDAY(E11,$H11-1))</f>
        <v>46370</v>
      </c>
      <c r="H11">
        <f>Paramètres!B12</f>
        <v>30</v>
      </c>
    </row>
    <row r="12" spans="1:8" ht="14.25" customHeight="1" x14ac:dyDescent="0.3">
      <c r="B12" s="3" t="str">
        <f>Paramètres!G13</f>
        <v>2.3</v>
      </c>
      <c r="C12" s="3" t="str">
        <f>IF(Paramètres!H13="","",Paramètres!H13)</f>
        <v/>
      </c>
      <c r="D12" s="3" t="str">
        <f>IF(Paramètres!I13="","",Paramètres!I13)</f>
        <v>Publicité durée fixée</v>
      </c>
      <c r="E12" s="4">
        <f>IF(Paramètres!J13&amp;Paramètres!L13&amp;Paramètres!N13="",WORKDAY($A$6-1,1),MAX(IF(Paramètres!J13="",0,IF(Paramètres!K13="",NA(),IF(RIGHT(TRIM(Paramètres!K13),3)="Fin",WORKDAY(IF(LEFT(TRIM(Paramètres!K13),1)="F",INDEX($F$4:$F$56,MATCH(Paramètres!J13,Paramètres!$G$5:$G$57,0)),INDEX($E$4:$E$56,MATCH(Paramètres!J13,Paramètres!$G$5:$G$57,0))),1-$H12),IF(LEFT(TRIM(Paramètres!K13),1)="F",WORKDAY(IF(LEFT(TRIM(Paramètres!K13),1)="F",INDEX($F$4:$F$56,MATCH(Paramètres!J13,Paramètres!$G$5:$G$57,0)),INDEX($E$4:$E$56,MATCH(Paramètres!J13,Paramètres!$G$5:$G$57,0))),1),IF(LEFT(TRIM(Paramètres!K13),1)="F",INDEX($F$4:$F$56,MATCH(Paramètres!J13,Paramètres!$G$5:$G$57,0)),INDEX($E$4:$E$56,MATCH(Paramètres!J13,Paramètres!$G$5:$G$57,0))))))),IF(Paramètres!L13="",0,IF(Paramètres!M13="",NA(),IF(RIGHT(TRIM(Paramètres!M13),3)="Fin",WORKDAY(IF(LEFT(TRIM(Paramètres!M13),1)="F",INDEX($F$4:$F$56,MATCH(Paramètres!L13,Paramètres!$G$5:$G$57,0)),INDEX($E$4:$E$56,MATCH(Paramètres!L13,Paramètres!$G$5:$G$57,0))),1-$H12),IF(LEFT(TRIM(Paramètres!M13),1)="F",WORKDAY(IF(LEFT(TRIM(Paramètres!M13),1)="F",INDEX($F$4:$F$56,MATCH(Paramètres!L13,Paramètres!$G$5:$G$57,0)),INDEX($E$4:$E$56,MATCH(Paramètres!L13,Paramètres!$G$5:$G$57,0))),1),IF(LEFT(TRIM(Paramètres!M13),1)="F",INDEX($F$4:$F$56,MATCH(Paramètres!L13,Paramètres!$G$5:$G$57,0)),INDEX($E$4:$E$56,MATCH(Paramètres!L13,Paramètres!$G$5:$G$57,0))))))),IF(Paramètres!N13="",0,IF(Paramètres!O13="",NA(),IF(RIGHT(TRIM(Paramètres!O13),3)="Fin",WORKDAY(IF(LEFT(TRIM(Paramètres!O13),1)="F",INDEX($F$4:$F$56,MATCH(Paramètres!N13,Paramètres!$G$5:$G$57,0)),INDEX($E$4:$E$56,MATCH(Paramètres!N13,Paramètres!$G$5:$G$57,0))),1-$H12),IF(LEFT(TRIM(Paramètres!O13),1)="F",WORKDAY(IF(LEFT(TRIM(Paramètres!O13),1)="F",INDEX($F$4:$F$56,MATCH(Paramètres!N13,Paramètres!$G$5:$G$57,0)),INDEX($E$4:$E$56,MATCH(Paramètres!N13,Paramètres!$G$5:$G$57,0))),1),IF(LEFT(TRIM(Paramètres!O13),1)="F",INDEX($F$4:$F$56,MATCH(Paramètres!N13,Paramètres!$G$5:$G$57,0)),INDEX($E$4:$E$56,MATCH(Paramètres!N13,Paramètres!$G$5:$G$57,0)))))))))</f>
        <v>46329</v>
      </c>
      <c r="F12" s="4">
        <f>IF($H12=0,WORKDAY(E12,-1),WORKDAY(E12,$H12-1))</f>
        <v>46328</v>
      </c>
      <c r="H12">
        <f>Paramètres!B13</f>
        <v>0</v>
      </c>
    </row>
    <row r="13" spans="1:8" ht="14.25" customHeight="1" x14ac:dyDescent="0.3">
      <c r="B13" s="3" t="str">
        <f>Paramètres!G14</f>
        <v>2.4</v>
      </c>
      <c r="C13" s="3" t="str">
        <f>IF(Paramètres!H14="","",Paramètres!H14)</f>
        <v/>
      </c>
      <c r="D13" s="3" t="str">
        <f>IF(Paramètres!I14="","",Paramètres!I14)</f>
        <v>Fin de publicité</v>
      </c>
      <c r="E13" s="4">
        <f>IF(Paramètres!J14&amp;Paramètres!L14&amp;Paramètres!N14="",WORKDAY($A$6-1,1),MAX(IF(Paramètres!J14="",0,IF(Paramètres!K14="",NA(),IF(RIGHT(TRIM(Paramètres!K14),3)="Fin",WORKDAY(IF(LEFT(TRIM(Paramètres!K14),1)="F",INDEX($F$4:$F$56,MATCH(Paramètres!J14,Paramètres!$G$5:$G$57,0)),INDEX($E$4:$E$56,MATCH(Paramètres!J14,Paramètres!$G$5:$G$57,0))),1-$H13),IF(LEFT(TRIM(Paramètres!K14),1)="F",WORKDAY(IF(LEFT(TRIM(Paramètres!K14),1)="F",INDEX($F$4:$F$56,MATCH(Paramètres!J14,Paramètres!$G$5:$G$57,0)),INDEX($E$4:$E$56,MATCH(Paramètres!J14,Paramètres!$G$5:$G$57,0))),1),IF(LEFT(TRIM(Paramètres!K14),1)="F",INDEX($F$4:$F$56,MATCH(Paramètres!J14,Paramètres!$G$5:$G$57,0)),INDEX($E$4:$E$56,MATCH(Paramètres!J14,Paramètres!$G$5:$G$57,0))))))),IF(Paramètres!L14="",0,IF(Paramètres!M14="",NA(),IF(RIGHT(TRIM(Paramètres!M14),3)="Fin",WORKDAY(IF(LEFT(TRIM(Paramètres!M14),1)="F",INDEX($F$4:$F$56,MATCH(Paramètres!L14,Paramètres!$G$5:$G$57,0)),INDEX($E$4:$E$56,MATCH(Paramètres!L14,Paramètres!$G$5:$G$57,0))),1-$H13),IF(LEFT(TRIM(Paramètres!M14),1)="F",WORKDAY(IF(LEFT(TRIM(Paramètres!M14),1)="F",INDEX($F$4:$F$56,MATCH(Paramètres!L14,Paramètres!$G$5:$G$57,0)),INDEX($E$4:$E$56,MATCH(Paramètres!L14,Paramètres!$G$5:$G$57,0))),1),IF(LEFT(TRIM(Paramètres!M14),1)="F",INDEX($F$4:$F$56,MATCH(Paramètres!L14,Paramètres!$G$5:$G$57,0)),INDEX($E$4:$E$56,MATCH(Paramètres!L14,Paramètres!$G$5:$G$57,0))))))),IF(Paramètres!N14="",0,IF(Paramètres!O14="",NA(),IF(RIGHT(TRIM(Paramètres!O14),3)="Fin",WORKDAY(IF(LEFT(TRIM(Paramètres!O14),1)="F",INDEX($F$4:$F$56,MATCH(Paramètres!N14,Paramètres!$G$5:$G$57,0)),INDEX($E$4:$E$56,MATCH(Paramètres!N14,Paramètres!$G$5:$G$57,0))),1-$H13),IF(LEFT(TRIM(Paramètres!O14),1)="F",WORKDAY(IF(LEFT(TRIM(Paramètres!O14),1)="F",INDEX($F$4:$F$56,MATCH(Paramètres!N14,Paramètres!$G$5:$G$57,0)),INDEX($E$4:$E$56,MATCH(Paramètres!N14,Paramètres!$G$5:$G$57,0))),1),IF(LEFT(TRIM(Paramètres!O14),1)="F",INDEX($F$4:$F$56,MATCH(Paramètres!N14,Paramètres!$G$5:$G$57,0)),INDEX($E$4:$E$56,MATCH(Paramètres!N14,Paramètres!$G$5:$G$57,0)))))))))</f>
        <v>46370</v>
      </c>
      <c r="F13" s="4">
        <f>IF($H13=0,WORKDAY(E13,-1),WORKDAY(E13,$H13-1))</f>
        <v>46370</v>
      </c>
      <c r="H13">
        <f>Paramètres!B14</f>
        <v>1</v>
      </c>
    </row>
    <row r="14" spans="1:8" ht="14.25" customHeight="1" x14ac:dyDescent="0.3">
      <c r="B14" s="3">
        <f>Paramètres!G15</f>
        <v>3</v>
      </c>
      <c r="C14" s="3" t="str">
        <f>IF(Paramètres!H15="","",Paramètres!H15)</f>
        <v>Choix des candidats pour CS</v>
      </c>
      <c r="D14" s="3" t="str">
        <f>IF(Paramètres!I15="","",Paramètres!I15)</f>
        <v/>
      </c>
      <c r="E14" s="4">
        <f>MIN(E15:E30)</f>
        <v>46370</v>
      </c>
      <c r="F14" s="4">
        <f>MAX(F15:F30)</f>
        <v>46388</v>
      </c>
      <c r="H14">
        <f>NETWORKDAYS(E14,F14)</f>
        <v>15</v>
      </c>
    </row>
    <row r="15" spans="1:8" ht="14.25" customHeight="1" x14ac:dyDescent="0.3">
      <c r="B15" s="3" t="str">
        <f>Paramètres!G16</f>
        <v>3.1</v>
      </c>
      <c r="C15" s="3" t="str">
        <f>IF(Paramètres!H16="","",Paramètres!H16)</f>
        <v/>
      </c>
      <c r="D15" s="3" t="str">
        <f>IF(Paramètres!I16="","",Paramètres!I16)</f>
        <v>Réception des CV</v>
      </c>
      <c r="E15" s="4">
        <f>IF(Paramètres!J16&amp;Paramètres!L16&amp;Paramètres!N16="",WORKDAY($A$6-1,1),MAX(IF(Paramètres!J16="",0,IF(Paramètres!K16="",NA(),IF(RIGHT(TRIM(Paramètres!K16),3)="Fin",WORKDAY(IF(LEFT(TRIM(Paramètres!K16),1)="F",INDEX($F$4:$F$56,MATCH(Paramètres!J16,Paramètres!$G$5:$G$57,0)),INDEX($E$4:$E$56,MATCH(Paramètres!J16,Paramètres!$G$5:$G$57,0))),1-$H15),IF(LEFT(TRIM(Paramètres!K16),1)="F",WORKDAY(IF(LEFT(TRIM(Paramètres!K16),1)="F",INDEX($F$4:$F$56,MATCH(Paramètres!J16,Paramètres!$G$5:$G$57,0)),INDEX($E$4:$E$56,MATCH(Paramètres!J16,Paramètres!$G$5:$G$57,0))),1),IF(LEFT(TRIM(Paramètres!K16),1)="F",INDEX($F$4:$F$56,MATCH(Paramètres!J16,Paramètres!$G$5:$G$57,0)),INDEX($E$4:$E$56,MATCH(Paramètres!J16,Paramètres!$G$5:$G$57,0))))))),IF(Paramètres!L16="",0,IF(Paramètres!M16="",NA(),IF(RIGHT(TRIM(Paramètres!M16),3)="Fin",WORKDAY(IF(LEFT(TRIM(Paramètres!M16),1)="F",INDEX($F$4:$F$56,MATCH(Paramètres!L16,Paramètres!$G$5:$G$57,0)),INDEX($E$4:$E$56,MATCH(Paramètres!L16,Paramètres!$G$5:$G$57,0))),1-$H15),IF(LEFT(TRIM(Paramètres!M16),1)="F",WORKDAY(IF(LEFT(TRIM(Paramètres!M16),1)="F",INDEX($F$4:$F$56,MATCH(Paramètres!L16,Paramètres!$G$5:$G$57,0)),INDEX($E$4:$E$56,MATCH(Paramètres!L16,Paramètres!$G$5:$G$57,0))),1),IF(LEFT(TRIM(Paramètres!M16),1)="F",INDEX($F$4:$F$56,MATCH(Paramètres!L16,Paramètres!$G$5:$G$57,0)),INDEX($E$4:$E$56,MATCH(Paramètres!L16,Paramètres!$G$5:$G$57,0))))))),IF(Paramètres!N16="",0,IF(Paramètres!O16="",NA(),IF(RIGHT(TRIM(Paramètres!O16),3)="Fin",WORKDAY(IF(LEFT(TRIM(Paramètres!O16),1)="F",INDEX($F$4:$F$56,MATCH(Paramètres!N16,Paramètres!$G$5:$G$57,0)),INDEX($E$4:$E$56,MATCH(Paramètres!N16,Paramètres!$G$5:$G$57,0))),1-$H15),IF(LEFT(TRIM(Paramètres!O16),1)="F",WORKDAY(IF(LEFT(TRIM(Paramètres!O16),1)="F",INDEX($F$4:$F$56,MATCH(Paramètres!N16,Paramètres!$G$5:$G$57,0)),INDEX($E$4:$E$56,MATCH(Paramètres!N16,Paramètres!$G$5:$G$57,0))),1),IF(LEFT(TRIM(Paramètres!O16),1)="F",INDEX($F$4:$F$56,MATCH(Paramètres!N16,Paramètres!$G$5:$G$57,0)),INDEX($E$4:$E$56,MATCH(Paramètres!N16,Paramètres!$G$5:$G$57,0)))))))))</f>
        <v>46370</v>
      </c>
      <c r="F15" s="4">
        <f t="shared" ref="F15:F30" si="0">IF($H15=0,WORKDAY(E15,-1),WORKDAY(E15,$H15-1))</f>
        <v>46370</v>
      </c>
      <c r="H15">
        <f>Paramètres!B16</f>
        <v>1</v>
      </c>
    </row>
    <row r="16" spans="1:8" ht="14.25" customHeight="1" x14ac:dyDescent="0.3">
      <c r="B16" s="3" t="str">
        <f>Paramètres!G17</f>
        <v>3.2</v>
      </c>
      <c r="C16" s="3" t="str">
        <f>IF(Paramètres!H17="","",Paramètres!H17)</f>
        <v/>
      </c>
      <c r="D16" s="3" t="str">
        <f>IF(Paramètres!I17="","",Paramètres!I17)</f>
        <v>Tri des CV</v>
      </c>
      <c r="E16" s="4">
        <f>IF(Paramètres!J17&amp;Paramètres!L17&amp;Paramètres!N17="",WORKDAY($A$6-1,1),MAX(IF(Paramètres!J17="",0,IF(Paramètres!K17="",NA(),IF(RIGHT(TRIM(Paramètres!K17),3)="Fin",WORKDAY(IF(LEFT(TRIM(Paramètres!K17),1)="F",INDEX($F$4:$F$56,MATCH(Paramètres!J17,Paramètres!$G$5:$G$57,0)),INDEX($E$4:$E$56,MATCH(Paramètres!J17,Paramètres!$G$5:$G$57,0))),1-$H16),IF(LEFT(TRIM(Paramètres!K17),1)="F",WORKDAY(IF(LEFT(TRIM(Paramètres!K17),1)="F",INDEX($F$4:$F$56,MATCH(Paramètres!J17,Paramètres!$G$5:$G$57,0)),INDEX($E$4:$E$56,MATCH(Paramètres!J17,Paramètres!$G$5:$G$57,0))),1),IF(LEFT(TRIM(Paramètres!K17),1)="F",INDEX($F$4:$F$56,MATCH(Paramètres!J17,Paramètres!$G$5:$G$57,0)),INDEX($E$4:$E$56,MATCH(Paramètres!J17,Paramètres!$G$5:$G$57,0))))))),IF(Paramètres!L17="",0,IF(Paramètres!M17="",NA(),IF(RIGHT(TRIM(Paramètres!M17),3)="Fin",WORKDAY(IF(LEFT(TRIM(Paramètres!M17),1)="F",INDEX($F$4:$F$56,MATCH(Paramètres!L17,Paramètres!$G$5:$G$57,0)),INDEX($E$4:$E$56,MATCH(Paramètres!L17,Paramètres!$G$5:$G$57,0))),1-$H16),IF(LEFT(TRIM(Paramètres!M17),1)="F",WORKDAY(IF(LEFT(TRIM(Paramètres!M17),1)="F",INDEX($F$4:$F$56,MATCH(Paramètres!L17,Paramètres!$G$5:$G$57,0)),INDEX($E$4:$E$56,MATCH(Paramètres!L17,Paramètres!$G$5:$G$57,0))),1),IF(LEFT(TRIM(Paramètres!M17),1)="F",INDEX($F$4:$F$56,MATCH(Paramètres!L17,Paramètres!$G$5:$G$57,0)),INDEX($E$4:$E$56,MATCH(Paramètres!L17,Paramètres!$G$5:$G$57,0))))))),IF(Paramètres!N17="",0,IF(Paramètres!O17="",NA(),IF(RIGHT(TRIM(Paramètres!O17),3)="Fin",WORKDAY(IF(LEFT(TRIM(Paramètres!O17),1)="F",INDEX($F$4:$F$56,MATCH(Paramètres!N17,Paramètres!$G$5:$G$57,0)),INDEX($E$4:$E$56,MATCH(Paramètres!N17,Paramètres!$G$5:$G$57,0))),1-$H16),IF(LEFT(TRIM(Paramètres!O17),1)="F",WORKDAY(IF(LEFT(TRIM(Paramètres!O17),1)="F",INDEX($F$4:$F$56,MATCH(Paramètres!N17,Paramètres!$G$5:$G$57,0)),INDEX($E$4:$E$56,MATCH(Paramètres!N17,Paramètres!$G$5:$G$57,0))),1),IF(LEFT(TRIM(Paramètres!O17),1)="F",INDEX($F$4:$F$56,MATCH(Paramètres!N17,Paramètres!$G$5:$G$57,0)),INDEX($E$4:$E$56,MATCH(Paramètres!N17,Paramètres!$G$5:$G$57,0)))))))))</f>
        <v>46370</v>
      </c>
      <c r="F16" s="4">
        <f t="shared" si="0"/>
        <v>46370</v>
      </c>
      <c r="H16">
        <f>Paramètres!B17</f>
        <v>1</v>
      </c>
    </row>
    <row r="17" spans="2:8" ht="14.25" customHeight="1" x14ac:dyDescent="0.3">
      <c r="B17" s="3" t="str">
        <f>Paramètres!G18</f>
        <v>3.3</v>
      </c>
      <c r="C17" s="3" t="str">
        <f>IF(Paramètres!H18="","",Paramètres!H18)</f>
        <v/>
      </c>
      <c r="D17" s="3" t="str">
        <f>IF(Paramètres!I18="","",Paramètres!I18)</f>
        <v>Tableau analyse</v>
      </c>
      <c r="E17" s="4">
        <f>IF(Paramètres!J18&amp;Paramètres!L18&amp;Paramètres!N18="",WORKDAY($A$6-1,1),MAX(IF(Paramètres!J18="",0,IF(Paramètres!K18="",NA(),IF(RIGHT(TRIM(Paramètres!K18),3)="Fin",WORKDAY(IF(LEFT(TRIM(Paramètres!K18),1)="F",INDEX($F$4:$F$56,MATCH(Paramètres!J18,Paramètres!$G$5:$G$57,0)),INDEX($E$4:$E$56,MATCH(Paramètres!J18,Paramètres!$G$5:$G$57,0))),1-$H17),IF(LEFT(TRIM(Paramètres!K18),1)="F",WORKDAY(IF(LEFT(TRIM(Paramètres!K18),1)="F",INDEX($F$4:$F$56,MATCH(Paramètres!J18,Paramètres!$G$5:$G$57,0)),INDEX($E$4:$E$56,MATCH(Paramètres!J18,Paramètres!$G$5:$G$57,0))),1),IF(LEFT(TRIM(Paramètres!K18),1)="F",INDEX($F$4:$F$56,MATCH(Paramètres!J18,Paramètres!$G$5:$G$57,0)),INDEX($E$4:$E$56,MATCH(Paramètres!J18,Paramètres!$G$5:$G$57,0))))))),IF(Paramètres!L18="",0,IF(Paramètres!M18="",NA(),IF(RIGHT(TRIM(Paramètres!M18),3)="Fin",WORKDAY(IF(LEFT(TRIM(Paramètres!M18),1)="F",INDEX($F$4:$F$56,MATCH(Paramètres!L18,Paramètres!$G$5:$G$57,0)),INDEX($E$4:$E$56,MATCH(Paramètres!L18,Paramètres!$G$5:$G$57,0))),1-$H17),IF(LEFT(TRIM(Paramètres!M18),1)="F",WORKDAY(IF(LEFT(TRIM(Paramètres!M18),1)="F",INDEX($F$4:$F$56,MATCH(Paramètres!L18,Paramètres!$G$5:$G$57,0)),INDEX($E$4:$E$56,MATCH(Paramètres!L18,Paramètres!$G$5:$G$57,0))),1),IF(LEFT(TRIM(Paramètres!M18),1)="F",INDEX($F$4:$F$56,MATCH(Paramètres!L18,Paramètres!$G$5:$G$57,0)),INDEX($E$4:$E$56,MATCH(Paramètres!L18,Paramètres!$G$5:$G$57,0))))))),IF(Paramètres!N18="",0,IF(Paramètres!O18="",NA(),IF(RIGHT(TRIM(Paramètres!O18),3)="Fin",WORKDAY(IF(LEFT(TRIM(Paramètres!O18),1)="F",INDEX($F$4:$F$56,MATCH(Paramètres!N18,Paramètres!$G$5:$G$57,0)),INDEX($E$4:$E$56,MATCH(Paramètres!N18,Paramètres!$G$5:$G$57,0))),1-$H17),IF(LEFT(TRIM(Paramètres!O18),1)="F",WORKDAY(IF(LEFT(TRIM(Paramètres!O18),1)="F",INDEX($F$4:$F$56,MATCH(Paramètres!N18,Paramètres!$G$5:$G$57,0)),INDEX($E$4:$E$56,MATCH(Paramètres!N18,Paramètres!$G$5:$G$57,0))),1),IF(LEFT(TRIM(Paramètres!O18),1)="F",INDEX($F$4:$F$56,MATCH(Paramètres!N18,Paramètres!$G$5:$G$57,0)),INDEX($E$4:$E$56,MATCH(Paramètres!N18,Paramètres!$G$5:$G$57,0)))))))))</f>
        <v>46370</v>
      </c>
      <c r="F17" s="4">
        <f t="shared" si="0"/>
        <v>46370</v>
      </c>
      <c r="H17">
        <f>Paramètres!B18</f>
        <v>1</v>
      </c>
    </row>
    <row r="18" spans="2:8" ht="14.25" customHeight="1" x14ac:dyDescent="0.3">
      <c r="B18" s="3" t="str">
        <f>Paramètres!G19</f>
        <v>3.4</v>
      </c>
      <c r="C18" s="3" t="str">
        <f>IF(Paramètres!H19="","",Paramètres!H19)</f>
        <v/>
      </c>
      <c r="D18" s="3" t="str">
        <f>IF(Paramètres!I19="","",Paramètres!I19)</f>
        <v>Liste des CV retenus gestionnaire</v>
      </c>
      <c r="E18" s="4">
        <f>IF(Paramètres!J19&amp;Paramètres!L19&amp;Paramètres!N19="",WORKDAY($A$6-1,1),MAX(IF(Paramètres!J19="",0,IF(Paramètres!K19="",NA(),IF(RIGHT(TRIM(Paramètres!K19),3)="Fin",WORKDAY(IF(LEFT(TRIM(Paramètres!K19),1)="F",INDEX($F$4:$F$56,MATCH(Paramètres!J19,Paramètres!$G$5:$G$57,0)),INDEX($E$4:$E$56,MATCH(Paramètres!J19,Paramètres!$G$5:$G$57,0))),1-$H18),IF(LEFT(TRIM(Paramètres!K19),1)="F",WORKDAY(IF(LEFT(TRIM(Paramètres!K19),1)="F",INDEX($F$4:$F$56,MATCH(Paramètres!J19,Paramètres!$G$5:$G$57,0)),INDEX($E$4:$E$56,MATCH(Paramètres!J19,Paramètres!$G$5:$G$57,0))),1),IF(LEFT(TRIM(Paramètres!K19),1)="F",INDEX($F$4:$F$56,MATCH(Paramètres!J19,Paramètres!$G$5:$G$57,0)),INDEX($E$4:$E$56,MATCH(Paramètres!J19,Paramètres!$G$5:$G$57,0))))))),IF(Paramètres!L19="",0,IF(Paramètres!M19="",NA(),IF(RIGHT(TRIM(Paramètres!M19),3)="Fin",WORKDAY(IF(LEFT(TRIM(Paramètres!M19),1)="F",INDEX($F$4:$F$56,MATCH(Paramètres!L19,Paramètres!$G$5:$G$57,0)),INDEX($E$4:$E$56,MATCH(Paramètres!L19,Paramètres!$G$5:$G$57,0))),1-$H18),IF(LEFT(TRIM(Paramètres!M19),1)="F",WORKDAY(IF(LEFT(TRIM(Paramètres!M19),1)="F",INDEX($F$4:$F$56,MATCH(Paramètres!L19,Paramètres!$G$5:$G$57,0)),INDEX($E$4:$E$56,MATCH(Paramètres!L19,Paramètres!$G$5:$G$57,0))),1),IF(LEFT(TRIM(Paramètres!M19),1)="F",INDEX($F$4:$F$56,MATCH(Paramètres!L19,Paramètres!$G$5:$G$57,0)),INDEX($E$4:$E$56,MATCH(Paramètres!L19,Paramètres!$G$5:$G$57,0))))))),IF(Paramètres!N19="",0,IF(Paramètres!O19="",NA(),IF(RIGHT(TRIM(Paramètres!O19),3)="Fin",WORKDAY(IF(LEFT(TRIM(Paramètres!O19),1)="F",INDEX($F$4:$F$56,MATCH(Paramètres!N19,Paramètres!$G$5:$G$57,0)),INDEX($E$4:$E$56,MATCH(Paramètres!N19,Paramètres!$G$5:$G$57,0))),1-$H18),IF(LEFT(TRIM(Paramètres!O19),1)="F",WORKDAY(IF(LEFT(TRIM(Paramètres!O19),1)="F",INDEX($F$4:$F$56,MATCH(Paramètres!N19,Paramètres!$G$5:$G$57,0)),INDEX($E$4:$E$56,MATCH(Paramètres!N19,Paramètres!$G$5:$G$57,0))),1),IF(LEFT(TRIM(Paramètres!O19),1)="F",INDEX($F$4:$F$56,MATCH(Paramètres!N19,Paramètres!$G$5:$G$57,0)),INDEX($E$4:$E$56,MATCH(Paramètres!N19,Paramètres!$G$5:$G$57,0)))))))))</f>
        <v>46371</v>
      </c>
      <c r="F18" s="4">
        <f t="shared" si="0"/>
        <v>46371</v>
      </c>
      <c r="H18">
        <f>Paramètres!B19</f>
        <v>1</v>
      </c>
    </row>
    <row r="19" spans="2:8" ht="14.25" customHeight="1" x14ac:dyDescent="0.3">
      <c r="B19" s="3" t="str">
        <f>Paramètres!G20</f>
        <v>3.5</v>
      </c>
      <c r="C19" s="3" t="str">
        <f>IF(Paramètres!H20="","",Paramètres!H20)</f>
        <v/>
      </c>
      <c r="D19" s="3" t="str">
        <f>IF(Paramètres!I20="","",Paramètres!I20)</f>
        <v>Transmission Sandra</v>
      </c>
      <c r="E19" s="4">
        <f>IF(Paramètres!J20&amp;Paramètres!L20&amp;Paramètres!N20="",WORKDAY($A$6-1,1),MAX(IF(Paramètres!J20="",0,IF(Paramètres!K20="",NA(),IF(RIGHT(TRIM(Paramètres!K20),3)="Fin",WORKDAY(IF(LEFT(TRIM(Paramètres!K20),1)="F",INDEX($F$4:$F$56,MATCH(Paramètres!J20,Paramètres!$G$5:$G$57,0)),INDEX($E$4:$E$56,MATCH(Paramètres!J20,Paramètres!$G$5:$G$57,0))),1-$H19),IF(LEFT(TRIM(Paramètres!K20),1)="F",WORKDAY(IF(LEFT(TRIM(Paramètres!K20),1)="F",INDEX($F$4:$F$56,MATCH(Paramètres!J20,Paramètres!$G$5:$G$57,0)),INDEX($E$4:$E$56,MATCH(Paramètres!J20,Paramètres!$G$5:$G$57,0))),1),IF(LEFT(TRIM(Paramètres!K20),1)="F",INDEX($F$4:$F$56,MATCH(Paramètres!J20,Paramètres!$G$5:$G$57,0)),INDEX($E$4:$E$56,MATCH(Paramètres!J20,Paramètres!$G$5:$G$57,0))))))),IF(Paramètres!L20="",0,IF(Paramètres!M20="",NA(),IF(RIGHT(TRIM(Paramètres!M20),3)="Fin",WORKDAY(IF(LEFT(TRIM(Paramètres!M20),1)="F",INDEX($F$4:$F$56,MATCH(Paramètres!L20,Paramètres!$G$5:$G$57,0)),INDEX($E$4:$E$56,MATCH(Paramètres!L20,Paramètres!$G$5:$G$57,0))),1-$H19),IF(LEFT(TRIM(Paramètres!M20),1)="F",WORKDAY(IF(LEFT(TRIM(Paramètres!M20),1)="F",INDEX($F$4:$F$56,MATCH(Paramètres!L20,Paramètres!$G$5:$G$57,0)),INDEX($E$4:$E$56,MATCH(Paramètres!L20,Paramètres!$G$5:$G$57,0))),1),IF(LEFT(TRIM(Paramètres!M20),1)="F",INDEX($F$4:$F$56,MATCH(Paramètres!L20,Paramètres!$G$5:$G$57,0)),INDEX($E$4:$E$56,MATCH(Paramètres!L20,Paramètres!$G$5:$G$57,0))))))),IF(Paramètres!N20="",0,IF(Paramètres!O20="",NA(),IF(RIGHT(TRIM(Paramètres!O20),3)="Fin",WORKDAY(IF(LEFT(TRIM(Paramètres!O20),1)="F",INDEX($F$4:$F$56,MATCH(Paramètres!N20,Paramètres!$G$5:$G$57,0)),INDEX($E$4:$E$56,MATCH(Paramètres!N20,Paramètres!$G$5:$G$57,0))),1-$H19),IF(LEFT(TRIM(Paramètres!O20),1)="F",WORKDAY(IF(LEFT(TRIM(Paramètres!O20),1)="F",INDEX($F$4:$F$56,MATCH(Paramètres!N20,Paramètres!$G$5:$G$57,0)),INDEX($E$4:$E$56,MATCH(Paramètres!N20,Paramètres!$G$5:$G$57,0))),1),IF(LEFT(TRIM(Paramètres!O20),1)="F",INDEX($F$4:$F$56,MATCH(Paramètres!N20,Paramètres!$G$5:$G$57,0)),INDEX($E$4:$E$56,MATCH(Paramètres!N20,Paramètres!$G$5:$G$57,0)))))))))</f>
        <v>46372</v>
      </c>
      <c r="F19" s="4">
        <f t="shared" si="0"/>
        <v>46372</v>
      </c>
      <c r="H19">
        <f>Paramètres!B20</f>
        <v>1</v>
      </c>
    </row>
    <row r="20" spans="2:8" ht="14.25" customHeight="1" x14ac:dyDescent="0.3">
      <c r="B20" s="3" t="str">
        <f>Paramètres!G21</f>
        <v>3.6</v>
      </c>
      <c r="C20" s="3" t="str">
        <f>IF(Paramètres!H21="","",Paramètres!H21)</f>
        <v/>
      </c>
      <c r="D20" s="3" t="str">
        <f>IF(Paramètres!I21="","",Paramètres!I21)</f>
        <v>Validation Sandra</v>
      </c>
      <c r="E20" s="4">
        <f>IF(Paramètres!J21&amp;Paramètres!L21&amp;Paramètres!N21="",WORKDAY($A$6-1,1),MAX(IF(Paramètres!J21="",0,IF(Paramètres!K21="",NA(),IF(RIGHT(TRIM(Paramètres!K21),3)="Fin",WORKDAY(IF(LEFT(TRIM(Paramètres!K21),1)="F",INDEX($F$4:$F$56,MATCH(Paramètres!J21,Paramètres!$G$5:$G$57,0)),INDEX($E$4:$E$56,MATCH(Paramètres!J21,Paramètres!$G$5:$G$57,0))),1-$H20),IF(LEFT(TRIM(Paramètres!K21),1)="F",WORKDAY(IF(LEFT(TRIM(Paramètres!K21),1)="F",INDEX($F$4:$F$56,MATCH(Paramètres!J21,Paramètres!$G$5:$G$57,0)),INDEX($E$4:$E$56,MATCH(Paramètres!J21,Paramètres!$G$5:$G$57,0))),1),IF(LEFT(TRIM(Paramètres!K21),1)="F",INDEX($F$4:$F$56,MATCH(Paramètres!J21,Paramètres!$G$5:$G$57,0)),INDEX($E$4:$E$56,MATCH(Paramètres!J21,Paramètres!$G$5:$G$57,0))))))),IF(Paramètres!L21="",0,IF(Paramètres!M21="",NA(),IF(RIGHT(TRIM(Paramètres!M21),3)="Fin",WORKDAY(IF(LEFT(TRIM(Paramètres!M21),1)="F",INDEX($F$4:$F$56,MATCH(Paramètres!L21,Paramètres!$G$5:$G$57,0)),INDEX($E$4:$E$56,MATCH(Paramètres!L21,Paramètres!$G$5:$G$57,0))),1-$H20),IF(LEFT(TRIM(Paramètres!M21),1)="F",WORKDAY(IF(LEFT(TRIM(Paramètres!M21),1)="F",INDEX($F$4:$F$56,MATCH(Paramètres!L21,Paramètres!$G$5:$G$57,0)),INDEX($E$4:$E$56,MATCH(Paramètres!L21,Paramètres!$G$5:$G$57,0))),1),IF(LEFT(TRIM(Paramètres!M21),1)="F",INDEX($F$4:$F$56,MATCH(Paramètres!L21,Paramètres!$G$5:$G$57,0)),INDEX($E$4:$E$56,MATCH(Paramètres!L21,Paramètres!$G$5:$G$57,0))))))),IF(Paramètres!N21="",0,IF(Paramètres!O21="",NA(),IF(RIGHT(TRIM(Paramètres!O21),3)="Fin",WORKDAY(IF(LEFT(TRIM(Paramètres!O21),1)="F",INDEX($F$4:$F$56,MATCH(Paramètres!N21,Paramètres!$G$5:$G$57,0)),INDEX($E$4:$E$56,MATCH(Paramètres!N21,Paramètres!$G$5:$G$57,0))),1-$H20),IF(LEFT(TRIM(Paramètres!O21),1)="F",WORKDAY(IF(LEFT(TRIM(Paramètres!O21),1)="F",INDEX($F$4:$F$56,MATCH(Paramètres!N21,Paramètres!$G$5:$G$57,0)),INDEX($E$4:$E$56,MATCH(Paramètres!N21,Paramètres!$G$5:$G$57,0))),1),IF(LEFT(TRIM(Paramètres!O21),1)="F",INDEX($F$4:$F$56,MATCH(Paramètres!N21,Paramètres!$G$5:$G$57,0)),INDEX($E$4:$E$56,MATCH(Paramètres!N21,Paramètres!$G$5:$G$57,0)))))))))</f>
        <v>46373</v>
      </c>
      <c r="F20" s="4">
        <f t="shared" si="0"/>
        <v>46374</v>
      </c>
      <c r="H20">
        <f>Paramètres!B21</f>
        <v>2</v>
      </c>
    </row>
    <row r="21" spans="2:8" ht="14.25" customHeight="1" x14ac:dyDescent="0.3">
      <c r="B21" s="3" t="str">
        <f>Paramètres!G22</f>
        <v>3.7</v>
      </c>
      <c r="C21" s="3" t="str">
        <f>IF(Paramètres!H22="","",Paramètres!H22)</f>
        <v/>
      </c>
      <c r="D21" s="3" t="str">
        <f>IF(Paramètres!I22="","",Paramètres!I22)</f>
        <v>Transmission CDS</v>
      </c>
      <c r="E21" s="4">
        <f>IF(Paramètres!J22&amp;Paramètres!L22&amp;Paramètres!N22="",WORKDAY($A$6-1,1),MAX(IF(Paramètres!J22="",0,IF(Paramètres!K22="",NA(),IF(RIGHT(TRIM(Paramètres!K22),3)="Fin",WORKDAY(IF(LEFT(TRIM(Paramètres!K22),1)="F",INDEX($F$4:$F$56,MATCH(Paramètres!J22,Paramètres!$G$5:$G$57,0)),INDEX($E$4:$E$56,MATCH(Paramètres!J22,Paramètres!$G$5:$G$57,0))),1-$H21),IF(LEFT(TRIM(Paramètres!K22),1)="F",WORKDAY(IF(LEFT(TRIM(Paramètres!K22),1)="F",INDEX($F$4:$F$56,MATCH(Paramètres!J22,Paramètres!$G$5:$G$57,0)),INDEX($E$4:$E$56,MATCH(Paramètres!J22,Paramètres!$G$5:$G$57,0))),1),IF(LEFT(TRIM(Paramètres!K22),1)="F",INDEX($F$4:$F$56,MATCH(Paramètres!J22,Paramètres!$G$5:$G$57,0)),INDEX($E$4:$E$56,MATCH(Paramètres!J22,Paramètres!$G$5:$G$57,0))))))),IF(Paramètres!L22="",0,IF(Paramètres!M22="",NA(),IF(RIGHT(TRIM(Paramètres!M22),3)="Fin",WORKDAY(IF(LEFT(TRIM(Paramètres!M22),1)="F",INDEX($F$4:$F$56,MATCH(Paramètres!L22,Paramètres!$G$5:$G$57,0)),INDEX($E$4:$E$56,MATCH(Paramètres!L22,Paramètres!$G$5:$G$57,0))),1-$H21),IF(LEFT(TRIM(Paramètres!M22),1)="F",WORKDAY(IF(LEFT(TRIM(Paramètres!M22),1)="F",INDEX($F$4:$F$56,MATCH(Paramètres!L22,Paramètres!$G$5:$G$57,0)),INDEX($E$4:$E$56,MATCH(Paramètres!L22,Paramètres!$G$5:$G$57,0))),1),IF(LEFT(TRIM(Paramètres!M22),1)="F",INDEX($F$4:$F$56,MATCH(Paramètres!L22,Paramètres!$G$5:$G$57,0)),INDEX($E$4:$E$56,MATCH(Paramètres!L22,Paramètres!$G$5:$G$57,0))))))),IF(Paramètres!N22="",0,IF(Paramètres!O22="",NA(),IF(RIGHT(TRIM(Paramètres!O22),3)="Fin",WORKDAY(IF(LEFT(TRIM(Paramètres!O22),1)="F",INDEX($F$4:$F$56,MATCH(Paramètres!N22,Paramètres!$G$5:$G$57,0)),INDEX($E$4:$E$56,MATCH(Paramètres!N22,Paramètres!$G$5:$G$57,0))),1-$H21),IF(LEFT(TRIM(Paramètres!O22),1)="F",WORKDAY(IF(LEFT(TRIM(Paramètres!O22),1)="F",INDEX($F$4:$F$56,MATCH(Paramètres!N22,Paramètres!$G$5:$G$57,0)),INDEX($E$4:$E$56,MATCH(Paramètres!N22,Paramètres!$G$5:$G$57,0))),1),IF(LEFT(TRIM(Paramètres!O22),1)="F",INDEX($F$4:$F$56,MATCH(Paramètres!N22,Paramètres!$G$5:$G$57,0)),INDEX($E$4:$E$56,MATCH(Paramètres!N22,Paramètres!$G$5:$G$57,0)))))))))</f>
        <v>46374</v>
      </c>
      <c r="F21" s="4">
        <f t="shared" si="0"/>
        <v>46374</v>
      </c>
      <c r="H21">
        <f>Paramètres!B22</f>
        <v>1</v>
      </c>
    </row>
    <row r="22" spans="2:8" ht="14.25" customHeight="1" x14ac:dyDescent="0.3">
      <c r="B22" s="3" t="str">
        <f>Paramètres!G23</f>
        <v>3.8</v>
      </c>
      <c r="C22" s="3" t="str">
        <f>IF(Paramètres!H23="","",Paramètres!H23)</f>
        <v/>
      </c>
      <c r="D22" s="3" t="str">
        <f>IF(Paramètres!I23="","",Paramètres!I23)</f>
        <v>Validation CDS</v>
      </c>
      <c r="E22" s="4">
        <f>IF(Paramètres!J23&amp;Paramètres!L23&amp;Paramètres!N23="",WORKDAY($A$6-1,1),MAX(IF(Paramètres!J23="",0,IF(Paramètres!K23="",NA(),IF(RIGHT(TRIM(Paramètres!K23),3)="Fin",WORKDAY(IF(LEFT(TRIM(Paramètres!K23),1)="F",INDEX($F$4:$F$56,MATCH(Paramètres!J23,Paramètres!$G$5:$G$57,0)),INDEX($E$4:$E$56,MATCH(Paramètres!J23,Paramètres!$G$5:$G$57,0))),1-$H22),IF(LEFT(TRIM(Paramètres!K23),1)="F",WORKDAY(IF(LEFT(TRIM(Paramètres!K23),1)="F",INDEX($F$4:$F$56,MATCH(Paramètres!J23,Paramètres!$G$5:$G$57,0)),INDEX($E$4:$E$56,MATCH(Paramètres!J23,Paramètres!$G$5:$G$57,0))),1),IF(LEFT(TRIM(Paramètres!K23),1)="F",INDEX($F$4:$F$56,MATCH(Paramètres!J23,Paramètres!$G$5:$G$57,0)),INDEX($E$4:$E$56,MATCH(Paramètres!J23,Paramètres!$G$5:$G$57,0))))))),IF(Paramètres!L23="",0,IF(Paramètres!M23="",NA(),IF(RIGHT(TRIM(Paramètres!M23),3)="Fin",WORKDAY(IF(LEFT(TRIM(Paramètres!M23),1)="F",INDEX($F$4:$F$56,MATCH(Paramètres!L23,Paramètres!$G$5:$G$57,0)),INDEX($E$4:$E$56,MATCH(Paramètres!L23,Paramètres!$G$5:$G$57,0))),1-$H22),IF(LEFT(TRIM(Paramètres!M23),1)="F",WORKDAY(IF(LEFT(TRIM(Paramètres!M23),1)="F",INDEX($F$4:$F$56,MATCH(Paramètres!L23,Paramètres!$G$5:$G$57,0)),INDEX($E$4:$E$56,MATCH(Paramètres!L23,Paramètres!$G$5:$G$57,0))),1),IF(LEFT(TRIM(Paramètres!M23),1)="F",INDEX($F$4:$F$56,MATCH(Paramètres!L23,Paramètres!$G$5:$G$57,0)),INDEX($E$4:$E$56,MATCH(Paramètres!L23,Paramètres!$G$5:$G$57,0))))))),IF(Paramètres!N23="",0,IF(Paramètres!O23="",NA(),IF(RIGHT(TRIM(Paramètres!O23),3)="Fin",WORKDAY(IF(LEFT(TRIM(Paramètres!O23),1)="F",INDEX($F$4:$F$56,MATCH(Paramètres!N23,Paramètres!$G$5:$G$57,0)),INDEX($E$4:$E$56,MATCH(Paramètres!N23,Paramètres!$G$5:$G$57,0))),1-$H22),IF(LEFT(TRIM(Paramètres!O23),1)="F",WORKDAY(IF(LEFT(TRIM(Paramètres!O23),1)="F",INDEX($F$4:$F$56,MATCH(Paramètres!N23,Paramètres!$G$5:$G$57,0)),INDEX($E$4:$E$56,MATCH(Paramètres!N23,Paramètres!$G$5:$G$57,0))),1),IF(LEFT(TRIM(Paramètres!O23),1)="F",INDEX($F$4:$F$56,MATCH(Paramètres!N23,Paramètres!$G$5:$G$57,0)),INDEX($E$4:$E$56,MATCH(Paramètres!N23,Paramètres!$G$5:$G$57,0)))))))))</f>
        <v>46377</v>
      </c>
      <c r="F22" s="4">
        <f t="shared" si="0"/>
        <v>46381</v>
      </c>
      <c r="H22">
        <f>Paramètres!B23</f>
        <v>5</v>
      </c>
    </row>
    <row r="23" spans="2:8" ht="14.25" customHeight="1" x14ac:dyDescent="0.3">
      <c r="B23" s="3" t="str">
        <f>Paramètres!G24</f>
        <v>3.9</v>
      </c>
      <c r="C23" s="3" t="str">
        <f>IF(Paramètres!H24="","",Paramètres!H24)</f>
        <v/>
      </c>
      <c r="D23" s="3" t="str">
        <f>IF(Paramètres!I24="","",Paramètres!I24)</f>
        <v>Validation Sandra</v>
      </c>
      <c r="E23" s="4">
        <f>IF(Paramètres!J24&amp;Paramètres!L24&amp;Paramètres!N24="",WORKDAY($A$6-1,1),MAX(IF(Paramètres!J24="",0,IF(Paramètres!K24="",NA(),IF(RIGHT(TRIM(Paramètres!K24),3)="Fin",WORKDAY(IF(LEFT(TRIM(Paramètres!K24),1)="F",INDEX($F$4:$F$56,MATCH(Paramètres!J24,Paramètres!$G$5:$G$57,0)),INDEX($E$4:$E$56,MATCH(Paramètres!J24,Paramètres!$G$5:$G$57,0))),1-$H23),IF(LEFT(TRIM(Paramètres!K24),1)="F",WORKDAY(IF(LEFT(TRIM(Paramètres!K24),1)="F",INDEX($F$4:$F$56,MATCH(Paramètres!J24,Paramètres!$G$5:$G$57,0)),INDEX($E$4:$E$56,MATCH(Paramètres!J24,Paramètres!$G$5:$G$57,0))),1),IF(LEFT(TRIM(Paramètres!K24),1)="F",INDEX($F$4:$F$56,MATCH(Paramètres!J24,Paramètres!$G$5:$G$57,0)),INDEX($E$4:$E$56,MATCH(Paramètres!J24,Paramètres!$G$5:$G$57,0))))))),IF(Paramètres!L24="",0,IF(Paramètres!M24="",NA(),IF(RIGHT(TRIM(Paramètres!M24),3)="Fin",WORKDAY(IF(LEFT(TRIM(Paramètres!M24),1)="F",INDEX($F$4:$F$56,MATCH(Paramètres!L24,Paramètres!$G$5:$G$57,0)),INDEX($E$4:$E$56,MATCH(Paramètres!L24,Paramètres!$G$5:$G$57,0))),1-$H23),IF(LEFT(TRIM(Paramètres!M24),1)="F",WORKDAY(IF(LEFT(TRIM(Paramètres!M24),1)="F",INDEX($F$4:$F$56,MATCH(Paramètres!L24,Paramètres!$G$5:$G$57,0)),INDEX($E$4:$E$56,MATCH(Paramètres!L24,Paramètres!$G$5:$G$57,0))),1),IF(LEFT(TRIM(Paramètres!M24),1)="F",INDEX($F$4:$F$56,MATCH(Paramètres!L24,Paramètres!$G$5:$G$57,0)),INDEX($E$4:$E$56,MATCH(Paramètres!L24,Paramètres!$G$5:$G$57,0))))))),IF(Paramètres!N24="",0,IF(Paramètres!O24="",NA(),IF(RIGHT(TRIM(Paramètres!O24),3)="Fin",WORKDAY(IF(LEFT(TRIM(Paramètres!O24),1)="F",INDEX($F$4:$F$56,MATCH(Paramètres!N24,Paramètres!$G$5:$G$57,0)),INDEX($E$4:$E$56,MATCH(Paramètres!N24,Paramètres!$G$5:$G$57,0))),1-$H23),IF(LEFT(TRIM(Paramètres!O24),1)="F",WORKDAY(IF(LEFT(TRIM(Paramètres!O24),1)="F",INDEX($F$4:$F$56,MATCH(Paramètres!N24,Paramètres!$G$5:$G$57,0)),INDEX($E$4:$E$56,MATCH(Paramètres!N24,Paramètres!$G$5:$G$57,0))),1),IF(LEFT(TRIM(Paramètres!O24),1)="F",INDEX($F$4:$F$56,MATCH(Paramètres!N24,Paramètres!$G$5:$G$57,0)),INDEX($E$4:$E$56,MATCH(Paramètres!N24,Paramètres!$G$5:$G$57,0)))))))))</f>
        <v>46380</v>
      </c>
      <c r="F23" s="4">
        <f t="shared" si="0"/>
        <v>46381</v>
      </c>
      <c r="H23">
        <f>Paramètres!B24</f>
        <v>2</v>
      </c>
    </row>
    <row r="24" spans="2:8" ht="14.25" customHeight="1" x14ac:dyDescent="0.3">
      <c r="B24" s="3" t="str">
        <f>Paramètres!G25</f>
        <v>3.10</v>
      </c>
      <c r="C24" s="3" t="str">
        <f>IF(Paramètres!H25="","",Paramètres!H25)</f>
        <v/>
      </c>
      <c r="D24" s="3" t="str">
        <f>IF(Paramètres!I25="","",Paramètres!I25)</f>
        <v>Liste des candidats retenus</v>
      </c>
      <c r="E24" s="4">
        <f>IF(Paramètres!J25&amp;Paramètres!L25&amp;Paramètres!N25="",WORKDAY($A$6-1,1),MAX(IF(Paramètres!J25="",0,IF(Paramètres!K25="",NA(),IF(RIGHT(TRIM(Paramètres!K25),3)="Fin",WORKDAY(IF(LEFT(TRIM(Paramètres!K25),1)="F",INDEX($F$4:$F$56,MATCH(Paramètres!J25,Paramètres!$G$5:$G$57,0)),INDEX($E$4:$E$56,MATCH(Paramètres!J25,Paramètres!$G$5:$G$57,0))),1-$H24),IF(LEFT(TRIM(Paramètres!K25),1)="F",WORKDAY(IF(LEFT(TRIM(Paramètres!K25),1)="F",INDEX($F$4:$F$56,MATCH(Paramètres!J25,Paramètres!$G$5:$G$57,0)),INDEX($E$4:$E$56,MATCH(Paramètres!J25,Paramètres!$G$5:$G$57,0))),1),IF(LEFT(TRIM(Paramètres!K25),1)="F",INDEX($F$4:$F$56,MATCH(Paramètres!J25,Paramètres!$G$5:$G$57,0)),INDEX($E$4:$E$56,MATCH(Paramètres!J25,Paramètres!$G$5:$G$57,0))))))),IF(Paramètres!L25="",0,IF(Paramètres!M25="",NA(),IF(RIGHT(TRIM(Paramètres!M25),3)="Fin",WORKDAY(IF(LEFT(TRIM(Paramètres!M25),1)="F",INDEX($F$4:$F$56,MATCH(Paramètres!L25,Paramètres!$G$5:$G$57,0)),INDEX($E$4:$E$56,MATCH(Paramètres!L25,Paramètres!$G$5:$G$57,0))),1-$H24),IF(LEFT(TRIM(Paramètres!M25),1)="F",WORKDAY(IF(LEFT(TRIM(Paramètres!M25),1)="F",INDEX($F$4:$F$56,MATCH(Paramètres!L25,Paramètres!$G$5:$G$57,0)),INDEX($E$4:$E$56,MATCH(Paramètres!L25,Paramètres!$G$5:$G$57,0))),1),IF(LEFT(TRIM(Paramètres!M25),1)="F",INDEX($F$4:$F$56,MATCH(Paramètres!L25,Paramètres!$G$5:$G$57,0)),INDEX($E$4:$E$56,MATCH(Paramètres!L25,Paramètres!$G$5:$G$57,0))))))),IF(Paramètres!N25="",0,IF(Paramètres!O25="",NA(),IF(RIGHT(TRIM(Paramètres!O25),3)="Fin",WORKDAY(IF(LEFT(TRIM(Paramètres!O25),1)="F",INDEX($F$4:$F$56,MATCH(Paramètres!N25,Paramètres!$G$5:$G$57,0)),INDEX($E$4:$E$56,MATCH(Paramètres!N25,Paramètres!$G$5:$G$57,0))),1-$H24),IF(LEFT(TRIM(Paramètres!O25),1)="F",WORKDAY(IF(LEFT(TRIM(Paramètres!O25),1)="F",INDEX($F$4:$F$56,MATCH(Paramètres!N25,Paramètres!$G$5:$G$57,0)),INDEX($E$4:$E$56,MATCH(Paramètres!N25,Paramètres!$G$5:$G$57,0))),1),IF(LEFT(TRIM(Paramètres!O25),1)="F",INDEX($F$4:$F$56,MATCH(Paramètres!N25,Paramètres!$G$5:$G$57,0)),INDEX($E$4:$E$56,MATCH(Paramètres!N25,Paramètres!$G$5:$G$57,0)))))))))</f>
        <v>46384</v>
      </c>
      <c r="F24" s="4">
        <f t="shared" si="0"/>
        <v>46384</v>
      </c>
      <c r="H24">
        <f>Paramètres!B25</f>
        <v>1</v>
      </c>
    </row>
    <row r="25" spans="2:8" ht="14.25" customHeight="1" x14ac:dyDescent="0.3">
      <c r="B25" s="3" t="str">
        <f>Paramètres!G26</f>
        <v>3.11</v>
      </c>
      <c r="C25" s="3" t="str">
        <f>IF(Paramètres!H26="","",Paramètres!H26)</f>
        <v/>
      </c>
      <c r="D25" s="3" t="str">
        <f>IF(Paramètres!I26="","",Paramètres!I26)</f>
        <v>Vérification si date CS</v>
      </c>
      <c r="E25" s="4">
        <f>IF(Paramètres!J26&amp;Paramètres!L26&amp;Paramètres!N26="",WORKDAY($A$6-1,1),MAX(IF(Paramètres!J26="",0,IF(Paramètres!K26="",NA(),IF(RIGHT(TRIM(Paramètres!K26),3)="Fin",WORKDAY(IF(LEFT(TRIM(Paramètres!K26),1)="F",INDEX($F$4:$F$56,MATCH(Paramètres!J26,Paramètres!$G$5:$G$57,0)),INDEX($E$4:$E$56,MATCH(Paramètres!J26,Paramètres!$G$5:$G$57,0))),1-$H25),IF(LEFT(TRIM(Paramètres!K26),1)="F",WORKDAY(IF(LEFT(TRIM(Paramètres!K26),1)="F",INDEX($F$4:$F$56,MATCH(Paramètres!J26,Paramètres!$G$5:$G$57,0)),INDEX($E$4:$E$56,MATCH(Paramètres!J26,Paramètres!$G$5:$G$57,0))),1),IF(LEFT(TRIM(Paramètres!K26),1)="F",INDEX($F$4:$F$56,MATCH(Paramètres!J26,Paramètres!$G$5:$G$57,0)),INDEX($E$4:$E$56,MATCH(Paramètres!J26,Paramètres!$G$5:$G$57,0))))))),IF(Paramètres!L26="",0,IF(Paramètres!M26="",NA(),IF(RIGHT(TRIM(Paramètres!M26),3)="Fin",WORKDAY(IF(LEFT(TRIM(Paramètres!M26),1)="F",INDEX($F$4:$F$56,MATCH(Paramètres!L26,Paramètres!$G$5:$G$57,0)),INDEX($E$4:$E$56,MATCH(Paramètres!L26,Paramètres!$G$5:$G$57,0))),1-$H25),IF(LEFT(TRIM(Paramètres!M26),1)="F",WORKDAY(IF(LEFT(TRIM(Paramètres!M26),1)="F",INDEX($F$4:$F$56,MATCH(Paramètres!L26,Paramètres!$G$5:$G$57,0)),INDEX($E$4:$E$56,MATCH(Paramètres!L26,Paramètres!$G$5:$G$57,0))),1),IF(LEFT(TRIM(Paramètres!M26),1)="F",INDEX($F$4:$F$56,MATCH(Paramètres!L26,Paramètres!$G$5:$G$57,0)),INDEX($E$4:$E$56,MATCH(Paramètres!L26,Paramètres!$G$5:$G$57,0))))))),IF(Paramètres!N26="",0,IF(Paramètres!O26="",NA(),IF(RIGHT(TRIM(Paramètres!O26),3)="Fin",WORKDAY(IF(LEFT(TRIM(Paramètres!O26),1)="F",INDEX($F$4:$F$56,MATCH(Paramètres!N26,Paramètres!$G$5:$G$57,0)),INDEX($E$4:$E$56,MATCH(Paramètres!N26,Paramètres!$G$5:$G$57,0))),1-$H25),IF(LEFT(TRIM(Paramètres!O26),1)="F",WORKDAY(IF(LEFT(TRIM(Paramètres!O26),1)="F",INDEX($F$4:$F$56,MATCH(Paramètres!N26,Paramètres!$G$5:$G$57,0)),INDEX($E$4:$E$56,MATCH(Paramètres!N26,Paramètres!$G$5:$G$57,0))),1),IF(LEFT(TRIM(Paramètres!O26),1)="F",INDEX($F$4:$F$56,MATCH(Paramètres!N26,Paramètres!$G$5:$G$57,0)),INDEX($E$4:$E$56,MATCH(Paramètres!N26,Paramètres!$G$5:$G$57,0)))))))))</f>
        <v>46373</v>
      </c>
      <c r="F25" s="4">
        <f t="shared" si="0"/>
        <v>46373</v>
      </c>
      <c r="H25">
        <f>Paramètres!B26</f>
        <v>1</v>
      </c>
    </row>
    <row r="26" spans="2:8" ht="14.25" customHeight="1" x14ac:dyDescent="0.3">
      <c r="B26" s="3" t="str">
        <f>Paramètres!G27</f>
        <v>3.12</v>
      </c>
      <c r="C26" s="3" t="str">
        <f>IF(Paramètres!H27="","",Paramètres!H27)</f>
        <v/>
      </c>
      <c r="D26" s="3" t="str">
        <f>IF(Paramètres!I27="","",Paramètres!I27)</f>
        <v>Convocation Tél + Gestmax</v>
      </c>
      <c r="E26" s="4">
        <f>IF(Paramètres!J27&amp;Paramètres!L27&amp;Paramètres!N27="",WORKDAY($A$6-1,1),MAX(IF(Paramètres!J27="",0,IF(Paramètres!K27="",NA(),IF(RIGHT(TRIM(Paramètres!K27),3)="Fin",WORKDAY(IF(LEFT(TRIM(Paramètres!K27),1)="F",INDEX($F$4:$F$56,MATCH(Paramètres!J27,Paramètres!$G$5:$G$57,0)),INDEX($E$4:$E$56,MATCH(Paramètres!J27,Paramètres!$G$5:$G$57,0))),1-$H26),IF(LEFT(TRIM(Paramètres!K27),1)="F",WORKDAY(IF(LEFT(TRIM(Paramètres!K27),1)="F",INDEX($F$4:$F$56,MATCH(Paramètres!J27,Paramètres!$G$5:$G$57,0)),INDEX($E$4:$E$56,MATCH(Paramètres!J27,Paramètres!$G$5:$G$57,0))),1),IF(LEFT(TRIM(Paramètres!K27),1)="F",INDEX($F$4:$F$56,MATCH(Paramètres!J27,Paramètres!$G$5:$G$57,0)),INDEX($E$4:$E$56,MATCH(Paramètres!J27,Paramètres!$G$5:$G$57,0))))))),IF(Paramètres!L27="",0,IF(Paramètres!M27="",NA(),IF(RIGHT(TRIM(Paramètres!M27),3)="Fin",WORKDAY(IF(LEFT(TRIM(Paramètres!M27),1)="F",INDEX($F$4:$F$56,MATCH(Paramètres!L27,Paramètres!$G$5:$G$57,0)),INDEX($E$4:$E$56,MATCH(Paramètres!L27,Paramètres!$G$5:$G$57,0))),1-$H26),IF(LEFT(TRIM(Paramètres!M27),1)="F",WORKDAY(IF(LEFT(TRIM(Paramètres!M27),1)="F",INDEX($F$4:$F$56,MATCH(Paramètres!L27,Paramètres!$G$5:$G$57,0)),INDEX($E$4:$E$56,MATCH(Paramètres!L27,Paramètres!$G$5:$G$57,0))),1),IF(LEFT(TRIM(Paramètres!M27),1)="F",INDEX($F$4:$F$56,MATCH(Paramètres!L27,Paramètres!$G$5:$G$57,0)),INDEX($E$4:$E$56,MATCH(Paramètres!L27,Paramètres!$G$5:$G$57,0))))))),IF(Paramètres!N27="",0,IF(Paramètres!O27="",NA(),IF(RIGHT(TRIM(Paramètres!O27),3)="Fin",WORKDAY(IF(LEFT(TRIM(Paramètres!O27),1)="F",INDEX($F$4:$F$56,MATCH(Paramètres!N27,Paramètres!$G$5:$G$57,0)),INDEX($E$4:$E$56,MATCH(Paramètres!N27,Paramètres!$G$5:$G$57,0))),1-$H26),IF(LEFT(TRIM(Paramètres!O27),1)="F",WORKDAY(IF(LEFT(TRIM(Paramètres!O27),1)="F",INDEX($F$4:$F$56,MATCH(Paramètres!N27,Paramètres!$G$5:$G$57,0)),INDEX($E$4:$E$56,MATCH(Paramètres!N27,Paramètres!$G$5:$G$57,0))),1),IF(LEFT(TRIM(Paramètres!O27),1)="F",INDEX($F$4:$F$56,MATCH(Paramètres!N27,Paramètres!$G$5:$G$57,0)),INDEX($E$4:$E$56,MATCH(Paramètres!N27,Paramètres!$G$5:$G$57,0)))))))))</f>
        <v>46385</v>
      </c>
      <c r="F26" s="4">
        <f t="shared" si="0"/>
        <v>46385</v>
      </c>
      <c r="H26">
        <f>Paramètres!B27</f>
        <v>1</v>
      </c>
    </row>
    <row r="27" spans="2:8" ht="14.25" customHeight="1" x14ac:dyDescent="0.3">
      <c r="B27" s="3" t="str">
        <f>Paramètres!G28</f>
        <v>3.13</v>
      </c>
      <c r="C27" s="3" t="str">
        <f>IF(Paramètres!H28="","",Paramètres!H28)</f>
        <v/>
      </c>
      <c r="D27" s="3" t="str">
        <f>IF(Paramètres!I28="","",Paramètres!I28)</f>
        <v>Candidats - validation présence</v>
      </c>
      <c r="E27" s="4">
        <f>IF(Paramètres!J28&amp;Paramètres!L28&amp;Paramètres!N28="",WORKDAY($A$6-1,1),MAX(IF(Paramètres!J28="",0,IF(Paramètres!K28="",NA(),IF(RIGHT(TRIM(Paramètres!K28),3)="Fin",WORKDAY(IF(LEFT(TRIM(Paramètres!K28),1)="F",INDEX($F$4:$F$56,MATCH(Paramètres!J28,Paramètres!$G$5:$G$57,0)),INDEX($E$4:$E$56,MATCH(Paramètres!J28,Paramètres!$G$5:$G$57,0))),1-$H27),IF(LEFT(TRIM(Paramètres!K28),1)="F",WORKDAY(IF(LEFT(TRIM(Paramètres!K28),1)="F",INDEX($F$4:$F$56,MATCH(Paramètres!J28,Paramètres!$G$5:$G$57,0)),INDEX($E$4:$E$56,MATCH(Paramètres!J28,Paramètres!$G$5:$G$57,0))),1),IF(LEFT(TRIM(Paramètres!K28),1)="F",INDEX($F$4:$F$56,MATCH(Paramètres!J28,Paramètres!$G$5:$G$57,0)),INDEX($E$4:$E$56,MATCH(Paramètres!J28,Paramètres!$G$5:$G$57,0))))))),IF(Paramètres!L28="",0,IF(Paramètres!M28="",NA(),IF(RIGHT(TRIM(Paramètres!M28),3)="Fin",WORKDAY(IF(LEFT(TRIM(Paramètres!M28),1)="F",INDEX($F$4:$F$56,MATCH(Paramètres!L28,Paramètres!$G$5:$G$57,0)),INDEX($E$4:$E$56,MATCH(Paramètres!L28,Paramètres!$G$5:$G$57,0))),1-$H27),IF(LEFT(TRIM(Paramètres!M28),1)="F",WORKDAY(IF(LEFT(TRIM(Paramètres!M28),1)="F",INDEX($F$4:$F$56,MATCH(Paramètres!L28,Paramètres!$G$5:$G$57,0)),INDEX($E$4:$E$56,MATCH(Paramètres!L28,Paramètres!$G$5:$G$57,0))),1),IF(LEFT(TRIM(Paramètres!M28),1)="F",INDEX($F$4:$F$56,MATCH(Paramètres!L28,Paramètres!$G$5:$G$57,0)),INDEX($E$4:$E$56,MATCH(Paramètres!L28,Paramètres!$G$5:$G$57,0))))))),IF(Paramètres!N28="",0,IF(Paramètres!O28="",NA(),IF(RIGHT(TRIM(Paramètres!O28),3)="Fin",WORKDAY(IF(LEFT(TRIM(Paramètres!O28),1)="F",INDEX($F$4:$F$56,MATCH(Paramètres!N28,Paramètres!$G$5:$G$57,0)),INDEX($E$4:$E$56,MATCH(Paramètres!N28,Paramètres!$G$5:$G$57,0))),1-$H27),IF(LEFT(TRIM(Paramètres!O28),1)="F",WORKDAY(IF(LEFT(TRIM(Paramètres!O28),1)="F",INDEX($F$4:$F$56,MATCH(Paramètres!N28,Paramètres!$G$5:$G$57,0)),INDEX($E$4:$E$56,MATCH(Paramètres!N28,Paramètres!$G$5:$G$57,0))),1),IF(LEFT(TRIM(Paramètres!O28),1)="F",INDEX($F$4:$F$56,MATCH(Paramètres!N28,Paramètres!$G$5:$G$57,0)),INDEX($E$4:$E$56,MATCH(Paramètres!N28,Paramètres!$G$5:$G$57,0)))))))))</f>
        <v>46385</v>
      </c>
      <c r="F27" s="4">
        <f t="shared" si="0"/>
        <v>46387</v>
      </c>
      <c r="H27">
        <f>Paramètres!B28</f>
        <v>3</v>
      </c>
    </row>
    <row r="28" spans="2:8" ht="14.25" customHeight="1" x14ac:dyDescent="0.3">
      <c r="B28" s="3" t="str">
        <f>Paramètres!G29</f>
        <v>3.14</v>
      </c>
      <c r="C28" s="3" t="str">
        <f>IF(Paramètres!H29="","",Paramètres!H29)</f>
        <v/>
      </c>
      <c r="D28" s="3" t="str">
        <f>IF(Paramètres!I29="","",Paramètres!I29)</f>
        <v>GESTMAX - bascule validation CS</v>
      </c>
      <c r="E28" s="4">
        <f>IF(Paramètres!J29&amp;Paramètres!L29&amp;Paramètres!N29="",WORKDAY($A$6-1,1),MAX(IF(Paramètres!J29="",0,IF(Paramètres!K29="",NA(),IF(RIGHT(TRIM(Paramètres!K29),3)="Fin",WORKDAY(IF(LEFT(TRIM(Paramètres!K29),1)="F",INDEX($F$4:$F$56,MATCH(Paramètres!J29,Paramètres!$G$5:$G$57,0)),INDEX($E$4:$E$56,MATCH(Paramètres!J29,Paramètres!$G$5:$G$57,0))),1-$H28),IF(LEFT(TRIM(Paramètres!K29),1)="F",WORKDAY(IF(LEFT(TRIM(Paramètres!K29),1)="F",INDEX($F$4:$F$56,MATCH(Paramètres!J29,Paramètres!$G$5:$G$57,0)),INDEX($E$4:$E$56,MATCH(Paramètres!J29,Paramètres!$G$5:$G$57,0))),1),IF(LEFT(TRIM(Paramètres!K29),1)="F",INDEX($F$4:$F$56,MATCH(Paramètres!J29,Paramètres!$G$5:$G$57,0)),INDEX($E$4:$E$56,MATCH(Paramètres!J29,Paramètres!$G$5:$G$57,0))))))),IF(Paramètres!L29="",0,IF(Paramètres!M29="",NA(),IF(RIGHT(TRIM(Paramètres!M29),3)="Fin",WORKDAY(IF(LEFT(TRIM(Paramètres!M29),1)="F",INDEX($F$4:$F$56,MATCH(Paramètres!L29,Paramètres!$G$5:$G$57,0)),INDEX($E$4:$E$56,MATCH(Paramètres!L29,Paramètres!$G$5:$G$57,0))),1-$H28),IF(LEFT(TRIM(Paramètres!M29),1)="F",WORKDAY(IF(LEFT(TRIM(Paramètres!M29),1)="F",INDEX($F$4:$F$56,MATCH(Paramètres!L29,Paramètres!$G$5:$G$57,0)),INDEX($E$4:$E$56,MATCH(Paramètres!L29,Paramètres!$G$5:$G$57,0))),1),IF(LEFT(TRIM(Paramètres!M29),1)="F",INDEX($F$4:$F$56,MATCH(Paramètres!L29,Paramètres!$G$5:$G$57,0)),INDEX($E$4:$E$56,MATCH(Paramètres!L29,Paramètres!$G$5:$G$57,0))))))),IF(Paramètres!N29="",0,IF(Paramètres!O29="",NA(),IF(RIGHT(TRIM(Paramètres!O29),3)="Fin",WORKDAY(IF(LEFT(TRIM(Paramètres!O29),1)="F",INDEX($F$4:$F$56,MATCH(Paramètres!N29,Paramètres!$G$5:$G$57,0)),INDEX($E$4:$E$56,MATCH(Paramètres!N29,Paramètres!$G$5:$G$57,0))),1-$H28),IF(LEFT(TRIM(Paramètres!O29),1)="F",WORKDAY(IF(LEFT(TRIM(Paramètres!O29),1)="F",INDEX($F$4:$F$56,MATCH(Paramètres!N29,Paramètres!$G$5:$G$57,0)),INDEX($E$4:$E$56,MATCH(Paramètres!N29,Paramètres!$G$5:$G$57,0))),1),IF(LEFT(TRIM(Paramètres!O29),1)="F",INDEX($F$4:$F$56,MATCH(Paramètres!N29,Paramètres!$G$5:$G$57,0)),INDEX($E$4:$E$56,MATCH(Paramètres!N29,Paramètres!$G$5:$G$57,0)))))))))</f>
        <v>46385</v>
      </c>
      <c r="F28" s="4">
        <f t="shared" si="0"/>
        <v>46385</v>
      </c>
      <c r="H28">
        <f>Paramètres!B29</f>
        <v>1</v>
      </c>
    </row>
    <row r="29" spans="2:8" ht="14.25" customHeight="1" x14ac:dyDescent="0.3">
      <c r="B29" s="3" t="str">
        <f>Paramètres!G30</f>
        <v>3.15</v>
      </c>
      <c r="C29" s="3" t="str">
        <f>IF(Paramètres!H30="","",Paramètres!H30)</f>
        <v/>
      </c>
      <c r="D29" s="3" t="str">
        <f>IF(Paramètres!I30="","",Paramètres!I30)</f>
        <v>Liste des candidats à l'accueil</v>
      </c>
      <c r="E29" s="4">
        <f>IF(Paramètres!J30&amp;Paramètres!L30&amp;Paramètres!N30="",WORKDAY($A$6-1,1),MAX(IF(Paramètres!J30="",0,IF(Paramètres!K30="",NA(),IF(RIGHT(TRIM(Paramètres!K30),3)="Fin",WORKDAY(IF(LEFT(TRIM(Paramètres!K30),1)="F",INDEX($F$4:$F$56,MATCH(Paramètres!J30,Paramètres!$G$5:$G$57,0)),INDEX($E$4:$E$56,MATCH(Paramètres!J30,Paramètres!$G$5:$G$57,0))),1-$H29),IF(LEFT(TRIM(Paramètres!K30),1)="F",WORKDAY(IF(LEFT(TRIM(Paramètres!K30),1)="F",INDEX($F$4:$F$56,MATCH(Paramètres!J30,Paramètres!$G$5:$G$57,0)),INDEX($E$4:$E$56,MATCH(Paramètres!J30,Paramètres!$G$5:$G$57,0))),1),IF(LEFT(TRIM(Paramètres!K30),1)="F",INDEX($F$4:$F$56,MATCH(Paramètres!J30,Paramètres!$G$5:$G$57,0)),INDEX($E$4:$E$56,MATCH(Paramètres!J30,Paramètres!$G$5:$G$57,0))))))),IF(Paramètres!L30="",0,IF(Paramètres!M30="",NA(),IF(RIGHT(TRIM(Paramètres!M30),3)="Fin",WORKDAY(IF(LEFT(TRIM(Paramètres!M30),1)="F",INDEX($F$4:$F$56,MATCH(Paramètres!L30,Paramètres!$G$5:$G$57,0)),INDEX($E$4:$E$56,MATCH(Paramètres!L30,Paramètres!$G$5:$G$57,0))),1-$H29),IF(LEFT(TRIM(Paramètres!M30),1)="F",WORKDAY(IF(LEFT(TRIM(Paramètres!M30),1)="F",INDEX($F$4:$F$56,MATCH(Paramètres!L30,Paramètres!$G$5:$G$57,0)),INDEX($E$4:$E$56,MATCH(Paramètres!L30,Paramètres!$G$5:$G$57,0))),1),IF(LEFT(TRIM(Paramètres!M30),1)="F",INDEX($F$4:$F$56,MATCH(Paramètres!L30,Paramètres!$G$5:$G$57,0)),INDEX($E$4:$E$56,MATCH(Paramètres!L30,Paramètres!$G$5:$G$57,0))))))),IF(Paramètres!N30="",0,IF(Paramètres!O30="",NA(),IF(RIGHT(TRIM(Paramètres!O30),3)="Fin",WORKDAY(IF(LEFT(TRIM(Paramètres!O30),1)="F",INDEX($F$4:$F$56,MATCH(Paramètres!N30,Paramètres!$G$5:$G$57,0)),INDEX($E$4:$E$56,MATCH(Paramètres!N30,Paramètres!$G$5:$G$57,0))),1-$H29),IF(LEFT(TRIM(Paramètres!O30),1)="F",WORKDAY(IF(LEFT(TRIM(Paramètres!O30),1)="F",INDEX($F$4:$F$56,MATCH(Paramètres!N30,Paramètres!$G$5:$G$57,0)),INDEX($E$4:$E$56,MATCH(Paramètres!N30,Paramètres!$G$5:$G$57,0))),1),IF(LEFT(TRIM(Paramètres!O30),1)="F",INDEX($F$4:$F$56,MATCH(Paramètres!N30,Paramètres!$G$5:$G$57,0)),INDEX($E$4:$E$56,MATCH(Paramètres!N30,Paramètres!$G$5:$G$57,0)))))))))</f>
        <v>46385</v>
      </c>
      <c r="F29" s="4">
        <f t="shared" si="0"/>
        <v>46385</v>
      </c>
      <c r="H29">
        <f>Paramètres!B30</f>
        <v>1</v>
      </c>
    </row>
    <row r="30" spans="2:8" ht="14.25" customHeight="1" x14ac:dyDescent="0.3">
      <c r="B30" s="3" t="str">
        <f>Paramètres!G31</f>
        <v>3.16</v>
      </c>
      <c r="C30" s="3" t="str">
        <f>IF(Paramètres!H31="","",Paramètres!H31)</f>
        <v/>
      </c>
      <c r="D30" s="3" t="str">
        <f>IF(Paramètres!I31="","",Paramètres!I31)</f>
        <v>Tenue des CS</v>
      </c>
      <c r="E30" s="4">
        <f>IF(Paramètres!J31&amp;Paramètres!L31&amp;Paramètres!N31="",WORKDAY($A$6-1,1),MAX(IF(Paramètres!J31="",0,IF(Paramètres!K31="",NA(),IF(RIGHT(TRIM(Paramètres!K31),3)="Fin",WORKDAY(IF(LEFT(TRIM(Paramètres!K31),1)="F",INDEX($F$4:$F$56,MATCH(Paramètres!J31,Paramètres!$G$5:$G$57,0)),INDEX($E$4:$E$56,MATCH(Paramètres!J31,Paramètres!$G$5:$G$57,0))),1-$H30),IF(LEFT(TRIM(Paramètres!K31),1)="F",WORKDAY(IF(LEFT(TRIM(Paramètres!K31),1)="F",INDEX($F$4:$F$56,MATCH(Paramètres!J31,Paramètres!$G$5:$G$57,0)),INDEX($E$4:$E$56,MATCH(Paramètres!J31,Paramètres!$G$5:$G$57,0))),1),IF(LEFT(TRIM(Paramètres!K31),1)="F",INDEX($F$4:$F$56,MATCH(Paramètres!J31,Paramètres!$G$5:$G$57,0)),INDEX($E$4:$E$56,MATCH(Paramètres!J31,Paramètres!$G$5:$G$57,0))))))),IF(Paramètres!L31="",0,IF(Paramètres!M31="",NA(),IF(RIGHT(TRIM(Paramètres!M31),3)="Fin",WORKDAY(IF(LEFT(TRIM(Paramètres!M31),1)="F",INDEX($F$4:$F$56,MATCH(Paramètres!L31,Paramètres!$G$5:$G$57,0)),INDEX($E$4:$E$56,MATCH(Paramètres!L31,Paramètres!$G$5:$G$57,0))),1-$H30),IF(LEFT(TRIM(Paramètres!M31),1)="F",WORKDAY(IF(LEFT(TRIM(Paramètres!M31),1)="F",INDEX($F$4:$F$56,MATCH(Paramètres!L31,Paramètres!$G$5:$G$57,0)),INDEX($E$4:$E$56,MATCH(Paramètres!L31,Paramètres!$G$5:$G$57,0))),1),IF(LEFT(TRIM(Paramètres!M31),1)="F",INDEX($F$4:$F$56,MATCH(Paramètres!L31,Paramètres!$G$5:$G$57,0)),INDEX($E$4:$E$56,MATCH(Paramètres!L31,Paramètres!$G$5:$G$57,0))))))),IF(Paramètres!N31="",0,IF(Paramètres!O31="",NA(),IF(RIGHT(TRIM(Paramètres!O31),3)="Fin",WORKDAY(IF(LEFT(TRIM(Paramètres!O31),1)="F",INDEX($F$4:$F$56,MATCH(Paramètres!N31,Paramètres!$G$5:$G$57,0)),INDEX($E$4:$E$56,MATCH(Paramètres!N31,Paramètres!$G$5:$G$57,0))),1-$H30),IF(LEFT(TRIM(Paramètres!O31),1)="F",WORKDAY(IF(LEFT(TRIM(Paramètres!O31),1)="F",INDEX($F$4:$F$56,MATCH(Paramètres!N31,Paramètres!$G$5:$G$57,0)),INDEX($E$4:$E$56,MATCH(Paramètres!N31,Paramètres!$G$5:$G$57,0))),1),IF(LEFT(TRIM(Paramètres!O31),1)="F",INDEX($F$4:$F$56,MATCH(Paramètres!N31,Paramètres!$G$5:$G$57,0)),INDEX($E$4:$E$56,MATCH(Paramètres!N31,Paramètres!$G$5:$G$57,0)))))))))</f>
        <v>46388</v>
      </c>
      <c r="F30" s="4">
        <f t="shared" si="0"/>
        <v>46388</v>
      </c>
      <c r="H30">
        <f>Paramètres!B31</f>
        <v>1</v>
      </c>
    </row>
    <row r="31" spans="2:8" ht="14.25" customHeight="1" x14ac:dyDescent="0.3">
      <c r="B31" s="3">
        <f>Paramètres!G32</f>
        <v>4</v>
      </c>
      <c r="C31" s="3" t="str">
        <f>IF(Paramètres!H32="","",Paramètres!H32)</f>
        <v>Choix des candidats pour Jury</v>
      </c>
      <c r="D31" s="3" t="str">
        <f>IF(Paramètres!I32="","",Paramètres!I32)</f>
        <v/>
      </c>
      <c r="E31" s="4">
        <f>MIN(E32:E35)</f>
        <v>46391</v>
      </c>
      <c r="F31" s="4">
        <f>MAX(F32:F35)</f>
        <v>46398</v>
      </c>
      <c r="H31">
        <f>NETWORKDAYS(E31,F31)</f>
        <v>6</v>
      </c>
    </row>
    <row r="32" spans="2:8" ht="14.25" customHeight="1" x14ac:dyDescent="0.3">
      <c r="B32" s="3" t="str">
        <f>Paramètres!G33</f>
        <v>4.1</v>
      </c>
      <c r="C32" s="3" t="str">
        <f>IF(Paramètres!H33="","",Paramètres!H33)</f>
        <v/>
      </c>
      <c r="D32" s="3" t="str">
        <f>IF(Paramètres!I33="","",Paramètres!I33)</f>
        <v>Liste des candidats retenus au CS</v>
      </c>
      <c r="E32" s="4">
        <f>IF(Paramètres!J33&amp;Paramètres!L33&amp;Paramètres!N33="",WORKDAY($A$6-1,1),MAX(IF(Paramètres!J33="",0,IF(Paramètres!K33="",NA(),IF(RIGHT(TRIM(Paramètres!K33),3)="Fin",WORKDAY(IF(LEFT(TRIM(Paramètres!K33),1)="F",INDEX($F$4:$F$56,MATCH(Paramètres!J33,Paramètres!$G$5:$G$57,0)),INDEX($E$4:$E$56,MATCH(Paramètres!J33,Paramètres!$G$5:$G$57,0))),1-$H32),IF(LEFT(TRIM(Paramètres!K33),1)="F",WORKDAY(IF(LEFT(TRIM(Paramètres!K33),1)="F",INDEX($F$4:$F$56,MATCH(Paramètres!J33,Paramètres!$G$5:$G$57,0)),INDEX($E$4:$E$56,MATCH(Paramètres!J33,Paramètres!$G$5:$G$57,0))),1),IF(LEFT(TRIM(Paramètres!K33),1)="F",INDEX($F$4:$F$56,MATCH(Paramètres!J33,Paramètres!$G$5:$G$57,0)),INDEX($E$4:$E$56,MATCH(Paramètres!J33,Paramètres!$G$5:$G$57,0))))))),IF(Paramètres!L33="",0,IF(Paramètres!M33="",NA(),IF(RIGHT(TRIM(Paramètres!M33),3)="Fin",WORKDAY(IF(LEFT(TRIM(Paramètres!M33),1)="F",INDEX($F$4:$F$56,MATCH(Paramètres!L33,Paramètres!$G$5:$G$57,0)),INDEX($E$4:$E$56,MATCH(Paramètres!L33,Paramètres!$G$5:$G$57,0))),1-$H32),IF(LEFT(TRIM(Paramètres!M33),1)="F",WORKDAY(IF(LEFT(TRIM(Paramètres!M33),1)="F",INDEX($F$4:$F$56,MATCH(Paramètres!L33,Paramètres!$G$5:$G$57,0)),INDEX($E$4:$E$56,MATCH(Paramètres!L33,Paramètres!$G$5:$G$57,0))),1),IF(LEFT(TRIM(Paramètres!M33),1)="F",INDEX($F$4:$F$56,MATCH(Paramètres!L33,Paramètres!$G$5:$G$57,0)),INDEX($E$4:$E$56,MATCH(Paramètres!L33,Paramètres!$G$5:$G$57,0))))))),IF(Paramètres!N33="",0,IF(Paramètres!O33="",NA(),IF(RIGHT(TRIM(Paramètres!O33),3)="Fin",WORKDAY(IF(LEFT(TRIM(Paramètres!O33),1)="F",INDEX($F$4:$F$56,MATCH(Paramètres!N33,Paramètres!$G$5:$G$57,0)),INDEX($E$4:$E$56,MATCH(Paramètres!N33,Paramètres!$G$5:$G$57,0))),1-$H32),IF(LEFT(TRIM(Paramètres!O33),1)="F",WORKDAY(IF(LEFT(TRIM(Paramètres!O33),1)="F",INDEX($F$4:$F$56,MATCH(Paramètres!N33,Paramètres!$G$5:$G$57,0)),INDEX($E$4:$E$56,MATCH(Paramètres!N33,Paramètres!$G$5:$G$57,0))),1),IF(LEFT(TRIM(Paramètres!O33),1)="F",INDEX($F$4:$F$56,MATCH(Paramètres!N33,Paramètres!$G$5:$G$57,0)),INDEX($E$4:$E$56,MATCH(Paramètres!N33,Paramètres!$G$5:$G$57,0)))))))))</f>
        <v>46391</v>
      </c>
      <c r="F32" s="4">
        <f>IF($H32=0,WORKDAY(E32,-1),WORKDAY(E32,$H32-1))</f>
        <v>46392</v>
      </c>
      <c r="H32">
        <f>Paramètres!B33</f>
        <v>2</v>
      </c>
    </row>
    <row r="33" spans="2:8" ht="14.25" customHeight="1" x14ac:dyDescent="0.3">
      <c r="B33" s="3" t="str">
        <f>Paramètres!G34</f>
        <v>4.2</v>
      </c>
      <c r="C33" s="3" t="str">
        <f>IF(Paramètres!H34="","",Paramètres!H34)</f>
        <v/>
      </c>
      <c r="D33" s="3" t="str">
        <f>IF(Paramètres!I34="","",Paramètres!I34)</f>
        <v>Informer les candidats du résultat</v>
      </c>
      <c r="E33" s="4">
        <f>IF(Paramètres!J34&amp;Paramètres!L34&amp;Paramètres!N34="",WORKDAY($A$6-1,1),MAX(IF(Paramètres!J34="",0,IF(Paramètres!K34="",NA(),IF(RIGHT(TRIM(Paramètres!K34),3)="Fin",WORKDAY(IF(LEFT(TRIM(Paramètres!K34),1)="F",INDEX($F$4:$F$56,MATCH(Paramètres!J34,Paramètres!$G$5:$G$57,0)),INDEX($E$4:$E$56,MATCH(Paramètres!J34,Paramètres!$G$5:$G$57,0))),1-$H33),IF(LEFT(TRIM(Paramètres!K34),1)="F",WORKDAY(IF(LEFT(TRIM(Paramètres!K34),1)="F",INDEX($F$4:$F$56,MATCH(Paramètres!J34,Paramètres!$G$5:$G$57,0)),INDEX($E$4:$E$56,MATCH(Paramètres!J34,Paramètres!$G$5:$G$57,0))),1),IF(LEFT(TRIM(Paramètres!K34),1)="F",INDEX($F$4:$F$56,MATCH(Paramètres!J34,Paramètres!$G$5:$G$57,0)),INDEX($E$4:$E$56,MATCH(Paramètres!J34,Paramètres!$G$5:$G$57,0))))))),IF(Paramètres!L34="",0,IF(Paramètres!M34="",NA(),IF(RIGHT(TRIM(Paramètres!M34),3)="Fin",WORKDAY(IF(LEFT(TRIM(Paramètres!M34),1)="F",INDEX($F$4:$F$56,MATCH(Paramètres!L34,Paramètres!$G$5:$G$57,0)),INDEX($E$4:$E$56,MATCH(Paramètres!L34,Paramètres!$G$5:$G$57,0))),1-$H33),IF(LEFT(TRIM(Paramètres!M34),1)="F",WORKDAY(IF(LEFT(TRIM(Paramètres!M34),1)="F",INDEX($F$4:$F$56,MATCH(Paramètres!L34,Paramètres!$G$5:$G$57,0)),INDEX($E$4:$E$56,MATCH(Paramètres!L34,Paramètres!$G$5:$G$57,0))),1),IF(LEFT(TRIM(Paramètres!M34),1)="F",INDEX($F$4:$F$56,MATCH(Paramètres!L34,Paramètres!$G$5:$G$57,0)),INDEX($E$4:$E$56,MATCH(Paramètres!L34,Paramètres!$G$5:$G$57,0))))))),IF(Paramètres!N34="",0,IF(Paramètres!O34="",NA(),IF(RIGHT(TRIM(Paramètres!O34),3)="Fin",WORKDAY(IF(LEFT(TRIM(Paramètres!O34),1)="F",INDEX($F$4:$F$56,MATCH(Paramètres!N34,Paramètres!$G$5:$G$57,0)),INDEX($E$4:$E$56,MATCH(Paramètres!N34,Paramètres!$G$5:$G$57,0))),1-$H33),IF(LEFT(TRIM(Paramètres!O34),1)="F",WORKDAY(IF(LEFT(TRIM(Paramètres!O34),1)="F",INDEX($F$4:$F$56,MATCH(Paramètres!N34,Paramètres!$G$5:$G$57,0)),INDEX($E$4:$E$56,MATCH(Paramètres!N34,Paramètres!$G$5:$G$57,0))),1),IF(LEFT(TRIM(Paramètres!O34),1)="F",INDEX($F$4:$F$56,MATCH(Paramètres!N34,Paramètres!$G$5:$G$57,0)),INDEX($E$4:$E$56,MATCH(Paramètres!N34,Paramètres!$G$5:$G$57,0)))))))))</f>
        <v>46393</v>
      </c>
      <c r="F33" s="4">
        <f>IF($H33=0,WORKDAY(E33,-1),WORKDAY(E33,$H33-1))</f>
        <v>46393</v>
      </c>
      <c r="H33">
        <f>Paramètres!B34</f>
        <v>1</v>
      </c>
    </row>
    <row r="34" spans="2:8" ht="14.25" customHeight="1" x14ac:dyDescent="0.3">
      <c r="B34" s="3" t="str">
        <f>Paramètres!G35</f>
        <v>4.3</v>
      </c>
      <c r="C34" s="3" t="str">
        <f>IF(Paramètres!H35="","",Paramètres!H35)</f>
        <v/>
      </c>
      <c r="D34" s="3" t="str">
        <f>IF(Paramètres!I35="","",Paramètres!I35)</f>
        <v>Acceptation candidats jury</v>
      </c>
      <c r="E34" s="4">
        <f>IF(Paramètres!J35&amp;Paramètres!L35&amp;Paramètres!N35="",WORKDAY($A$6-1,1),MAX(IF(Paramètres!J35="",0,IF(Paramètres!K35="",NA(),IF(RIGHT(TRIM(Paramètres!K35),3)="Fin",WORKDAY(IF(LEFT(TRIM(Paramètres!K35),1)="F",INDEX($F$4:$F$56,MATCH(Paramètres!J35,Paramètres!$G$5:$G$57,0)),INDEX($E$4:$E$56,MATCH(Paramètres!J35,Paramètres!$G$5:$G$57,0))),1-$H34),IF(LEFT(TRIM(Paramètres!K35),1)="F",WORKDAY(IF(LEFT(TRIM(Paramètres!K35),1)="F",INDEX($F$4:$F$56,MATCH(Paramètres!J35,Paramètres!$G$5:$G$57,0)),INDEX($E$4:$E$56,MATCH(Paramètres!J35,Paramètres!$G$5:$G$57,0))),1),IF(LEFT(TRIM(Paramètres!K35),1)="F",INDEX($F$4:$F$56,MATCH(Paramètres!J35,Paramètres!$G$5:$G$57,0)),INDEX($E$4:$E$56,MATCH(Paramètres!J35,Paramètres!$G$5:$G$57,0))))))),IF(Paramètres!L35="",0,IF(Paramètres!M35="",NA(),IF(RIGHT(TRIM(Paramètres!M35),3)="Fin",WORKDAY(IF(LEFT(TRIM(Paramètres!M35),1)="F",INDEX($F$4:$F$56,MATCH(Paramètres!L35,Paramètres!$G$5:$G$57,0)),INDEX($E$4:$E$56,MATCH(Paramètres!L35,Paramètres!$G$5:$G$57,0))),1-$H34),IF(LEFT(TRIM(Paramètres!M35),1)="F",WORKDAY(IF(LEFT(TRIM(Paramètres!M35),1)="F",INDEX($F$4:$F$56,MATCH(Paramètres!L35,Paramètres!$G$5:$G$57,0)),INDEX($E$4:$E$56,MATCH(Paramètres!L35,Paramètres!$G$5:$G$57,0))),1),IF(LEFT(TRIM(Paramètres!M35),1)="F",INDEX($F$4:$F$56,MATCH(Paramètres!L35,Paramètres!$G$5:$G$57,0)),INDEX($E$4:$E$56,MATCH(Paramètres!L35,Paramètres!$G$5:$G$57,0))))))),IF(Paramètres!N35="",0,IF(Paramètres!O35="",NA(),IF(RIGHT(TRIM(Paramètres!O35),3)="Fin",WORKDAY(IF(LEFT(TRIM(Paramètres!O35),1)="F",INDEX($F$4:$F$56,MATCH(Paramètres!N35,Paramètres!$G$5:$G$57,0)),INDEX($E$4:$E$56,MATCH(Paramètres!N35,Paramètres!$G$5:$G$57,0))),1-$H34),IF(LEFT(TRIM(Paramètres!O35),1)="F",WORKDAY(IF(LEFT(TRIM(Paramètres!O35),1)="F",INDEX($F$4:$F$56,MATCH(Paramètres!N35,Paramètres!$G$5:$G$57,0)),INDEX($E$4:$E$56,MATCH(Paramètres!N35,Paramètres!$G$5:$G$57,0))),1),IF(LEFT(TRIM(Paramètres!O35),1)="F",INDEX($F$4:$F$56,MATCH(Paramètres!N35,Paramètres!$G$5:$G$57,0)),INDEX($E$4:$E$56,MATCH(Paramètres!N35,Paramètres!$G$5:$G$57,0)))))))))</f>
        <v>46393</v>
      </c>
      <c r="F34" s="4">
        <f>IF($H34=0,WORKDAY(E34,-1),WORKDAY(E34,$H34-1))</f>
        <v>46395</v>
      </c>
      <c r="H34">
        <f>Paramètres!B35</f>
        <v>3</v>
      </c>
    </row>
    <row r="35" spans="2:8" ht="14.25" customHeight="1" x14ac:dyDescent="0.3">
      <c r="B35" s="3" t="str">
        <f>Paramètres!G36</f>
        <v>4.4</v>
      </c>
      <c r="C35" s="3" t="str">
        <f>IF(Paramètres!H36="","",Paramètres!H36)</f>
        <v/>
      </c>
      <c r="D35" s="3" t="str">
        <f>IF(Paramètres!I36="","",Paramètres!I36)</f>
        <v>Clôture du CS</v>
      </c>
      <c r="E35" s="4">
        <f>IF(Paramètres!J36&amp;Paramètres!L36&amp;Paramètres!N36="",WORKDAY($A$6-1,1),MAX(IF(Paramètres!J36="",0,IF(Paramètres!K36="",NA(),IF(RIGHT(TRIM(Paramètres!K36),3)="Fin",WORKDAY(IF(LEFT(TRIM(Paramètres!K36),1)="F",INDEX($F$4:$F$56,MATCH(Paramètres!J36,Paramètres!$G$5:$G$57,0)),INDEX($E$4:$E$56,MATCH(Paramètres!J36,Paramètres!$G$5:$G$57,0))),1-$H35),IF(LEFT(TRIM(Paramètres!K36),1)="F",WORKDAY(IF(LEFT(TRIM(Paramètres!K36),1)="F",INDEX($F$4:$F$56,MATCH(Paramètres!J36,Paramètres!$G$5:$G$57,0)),INDEX($E$4:$E$56,MATCH(Paramètres!J36,Paramètres!$G$5:$G$57,0))),1),IF(LEFT(TRIM(Paramètres!K36),1)="F",INDEX($F$4:$F$56,MATCH(Paramètres!J36,Paramètres!$G$5:$G$57,0)),INDEX($E$4:$E$56,MATCH(Paramètres!J36,Paramètres!$G$5:$G$57,0))))))),IF(Paramètres!L36="",0,IF(Paramètres!M36="",NA(),IF(RIGHT(TRIM(Paramètres!M36),3)="Fin",WORKDAY(IF(LEFT(TRIM(Paramètres!M36),1)="F",INDEX($F$4:$F$56,MATCH(Paramètres!L36,Paramètres!$G$5:$G$57,0)),INDEX($E$4:$E$56,MATCH(Paramètres!L36,Paramètres!$G$5:$G$57,0))),1-$H35),IF(LEFT(TRIM(Paramètres!M36),1)="F",WORKDAY(IF(LEFT(TRIM(Paramètres!M36),1)="F",INDEX($F$4:$F$56,MATCH(Paramètres!L36,Paramètres!$G$5:$G$57,0)),INDEX($E$4:$E$56,MATCH(Paramètres!L36,Paramètres!$G$5:$G$57,0))),1),IF(LEFT(TRIM(Paramètres!M36),1)="F",INDEX($F$4:$F$56,MATCH(Paramètres!L36,Paramètres!$G$5:$G$57,0)),INDEX($E$4:$E$56,MATCH(Paramètres!L36,Paramètres!$G$5:$G$57,0))))))),IF(Paramètres!N36="",0,IF(Paramètres!O36="",NA(),IF(RIGHT(TRIM(Paramètres!O36),3)="Fin",WORKDAY(IF(LEFT(TRIM(Paramètres!O36),1)="F",INDEX($F$4:$F$56,MATCH(Paramètres!N36,Paramètres!$G$5:$G$57,0)),INDEX($E$4:$E$56,MATCH(Paramètres!N36,Paramètres!$G$5:$G$57,0))),1-$H35),IF(LEFT(TRIM(Paramètres!O36),1)="F",WORKDAY(IF(LEFT(TRIM(Paramètres!O36),1)="F",INDEX($F$4:$F$56,MATCH(Paramètres!N36,Paramètres!$G$5:$G$57,0)),INDEX($E$4:$E$56,MATCH(Paramètres!N36,Paramètres!$G$5:$G$57,0))),1),IF(LEFT(TRIM(Paramètres!O36),1)="F",INDEX($F$4:$F$56,MATCH(Paramètres!N36,Paramètres!$G$5:$G$57,0)),INDEX($E$4:$E$56,MATCH(Paramètres!N36,Paramètres!$G$5:$G$57,0)))))))))</f>
        <v>46398</v>
      </c>
      <c r="F35" s="4">
        <f>IF($H35=0,WORKDAY(E35,-1),WORKDAY(E35,$H35-1))</f>
        <v>46398</v>
      </c>
      <c r="H35">
        <f>Paramètres!B36</f>
        <v>1</v>
      </c>
    </row>
    <row r="36" spans="2:8" ht="14.25" customHeight="1" x14ac:dyDescent="0.3">
      <c r="B36" s="3">
        <f>Paramètres!G37</f>
        <v>5</v>
      </c>
      <c r="C36" s="3" t="str">
        <f>IF(Paramètres!H37="","",Paramètres!H37)</f>
        <v>Jury</v>
      </c>
      <c r="D36" s="3" t="str">
        <f>IF(Paramètres!I37="","",Paramètres!I37)</f>
        <v/>
      </c>
      <c r="E36" s="4">
        <f>MIN(E37:E54)</f>
        <v>46373</v>
      </c>
      <c r="F36" s="4">
        <f>MAX(F37:F54)</f>
        <v>46422</v>
      </c>
      <c r="H36">
        <f>NETWORKDAYS(E36,F36)</f>
        <v>36</v>
      </c>
    </row>
    <row r="37" spans="2:8" ht="14.25" customHeight="1" x14ac:dyDescent="0.3">
      <c r="B37" s="3" t="str">
        <f>Paramètres!G38</f>
        <v>5.1</v>
      </c>
      <c r="C37" s="3" t="str">
        <f>IF(Paramètres!H38="","",Paramètres!H38)</f>
        <v/>
      </c>
      <c r="D37" s="3" t="str">
        <f>IF(Paramètres!I38="","",Paramètres!I38)</f>
        <v>Liste des candidats au jury</v>
      </c>
      <c r="E37" s="4">
        <f>IF(Paramètres!J38&amp;Paramètres!L38&amp;Paramètres!N38="",WORKDAY($A$6-1,1),MAX(IF(Paramètres!J38="",0,IF(Paramètres!K38="",NA(),IF(RIGHT(TRIM(Paramètres!K38),3)="Fin",WORKDAY(IF(LEFT(TRIM(Paramètres!K38),1)="F",INDEX($F$4:$F$56,MATCH(Paramètres!J38,Paramètres!$G$5:$G$57,0)),INDEX($E$4:$E$56,MATCH(Paramètres!J38,Paramètres!$G$5:$G$57,0))),1-$H37),IF(LEFT(TRIM(Paramètres!K38),1)="F",WORKDAY(IF(LEFT(TRIM(Paramètres!K38),1)="F",INDEX($F$4:$F$56,MATCH(Paramètres!J38,Paramètres!$G$5:$G$57,0)),INDEX($E$4:$E$56,MATCH(Paramètres!J38,Paramètres!$G$5:$G$57,0))),1),IF(LEFT(TRIM(Paramètres!K38),1)="F",INDEX($F$4:$F$56,MATCH(Paramètres!J38,Paramètres!$G$5:$G$57,0)),INDEX($E$4:$E$56,MATCH(Paramètres!J38,Paramètres!$G$5:$G$57,0))))))),IF(Paramètres!L38="",0,IF(Paramètres!M38="",NA(),IF(RIGHT(TRIM(Paramètres!M38),3)="Fin",WORKDAY(IF(LEFT(TRIM(Paramètres!M38),1)="F",INDEX($F$4:$F$56,MATCH(Paramètres!L38,Paramètres!$G$5:$G$57,0)),INDEX($E$4:$E$56,MATCH(Paramètres!L38,Paramètres!$G$5:$G$57,0))),1-$H37),IF(LEFT(TRIM(Paramètres!M38),1)="F",WORKDAY(IF(LEFT(TRIM(Paramètres!M38),1)="F",INDEX($F$4:$F$56,MATCH(Paramètres!L38,Paramètres!$G$5:$G$57,0)),INDEX($E$4:$E$56,MATCH(Paramètres!L38,Paramètres!$G$5:$G$57,0))),1),IF(LEFT(TRIM(Paramètres!M38),1)="F",INDEX($F$4:$F$56,MATCH(Paramètres!L38,Paramètres!$G$5:$G$57,0)),INDEX($E$4:$E$56,MATCH(Paramètres!L38,Paramètres!$G$5:$G$57,0))))))),IF(Paramètres!N38="",0,IF(Paramètres!O38="",NA(),IF(RIGHT(TRIM(Paramètres!O38),3)="Fin",WORKDAY(IF(LEFT(TRIM(Paramètres!O38),1)="F",INDEX($F$4:$F$56,MATCH(Paramètres!N38,Paramètres!$G$5:$G$57,0)),INDEX($E$4:$E$56,MATCH(Paramètres!N38,Paramètres!$G$5:$G$57,0))),1-$H37),IF(LEFT(TRIM(Paramètres!O38),1)="F",WORKDAY(IF(LEFT(TRIM(Paramètres!O38),1)="F",INDEX($F$4:$F$56,MATCH(Paramètres!N38,Paramètres!$G$5:$G$57,0)),INDEX($E$4:$E$56,MATCH(Paramètres!N38,Paramètres!$G$5:$G$57,0))),1),IF(LEFT(TRIM(Paramètres!O38),1)="F",INDEX($F$4:$F$56,MATCH(Paramètres!N38,Paramètres!$G$5:$G$57,0)),INDEX($E$4:$E$56,MATCH(Paramètres!N38,Paramètres!$G$5:$G$57,0)))))))))</f>
        <v>46398</v>
      </c>
      <c r="F37" s="4">
        <f t="shared" ref="F37:F54" si="1">IF($H37=0,WORKDAY(E37,-1),WORKDAY(E37,$H37-1))</f>
        <v>46399</v>
      </c>
      <c r="H37">
        <f>Paramètres!B38</f>
        <v>2</v>
      </c>
    </row>
    <row r="38" spans="2:8" ht="14.25" customHeight="1" x14ac:dyDescent="0.3">
      <c r="B38" s="3" t="str">
        <f>Paramètres!G39</f>
        <v>5.2</v>
      </c>
      <c r="C38" s="3" t="str">
        <f>IF(Paramètres!H39="","",Paramètres!H39)</f>
        <v/>
      </c>
      <c r="D38" s="3" t="str">
        <f>IF(Paramètres!I39="","",Paramètres!I39)</f>
        <v>Liste des élus présents au jury</v>
      </c>
      <c r="E38" s="4">
        <f>IF(Paramètres!J39&amp;Paramètres!L39&amp;Paramètres!N39="",WORKDAY($A$6-1,1),MAX(IF(Paramètres!J39="",0,IF(Paramètres!K39="",NA(),IF(RIGHT(TRIM(Paramètres!K39),3)="Fin",WORKDAY(IF(LEFT(TRIM(Paramètres!K39),1)="F",INDEX($F$4:$F$56,MATCH(Paramètres!J39,Paramètres!$G$5:$G$57,0)),INDEX($E$4:$E$56,MATCH(Paramètres!J39,Paramètres!$G$5:$G$57,0))),1-$H38),IF(LEFT(TRIM(Paramètres!K39),1)="F",WORKDAY(IF(LEFT(TRIM(Paramètres!K39),1)="F",INDEX($F$4:$F$56,MATCH(Paramètres!J39,Paramètres!$G$5:$G$57,0)),INDEX($E$4:$E$56,MATCH(Paramètres!J39,Paramètres!$G$5:$G$57,0))),1),IF(LEFT(TRIM(Paramètres!K39),1)="F",INDEX($F$4:$F$56,MATCH(Paramètres!J39,Paramètres!$G$5:$G$57,0)),INDEX($E$4:$E$56,MATCH(Paramètres!J39,Paramètres!$G$5:$G$57,0))))))),IF(Paramètres!L39="",0,IF(Paramètres!M39="",NA(),IF(RIGHT(TRIM(Paramètres!M39),3)="Fin",WORKDAY(IF(LEFT(TRIM(Paramètres!M39),1)="F",INDEX($F$4:$F$56,MATCH(Paramètres!L39,Paramètres!$G$5:$G$57,0)),INDEX($E$4:$E$56,MATCH(Paramètres!L39,Paramètres!$G$5:$G$57,0))),1-$H38),IF(LEFT(TRIM(Paramètres!M39),1)="F",WORKDAY(IF(LEFT(TRIM(Paramètres!M39),1)="F",INDEX($F$4:$F$56,MATCH(Paramètres!L39,Paramètres!$G$5:$G$57,0)),INDEX($E$4:$E$56,MATCH(Paramètres!L39,Paramètres!$G$5:$G$57,0))),1),IF(LEFT(TRIM(Paramètres!M39),1)="F",INDEX($F$4:$F$56,MATCH(Paramètres!L39,Paramètres!$G$5:$G$57,0)),INDEX($E$4:$E$56,MATCH(Paramètres!L39,Paramètres!$G$5:$G$57,0))))))),IF(Paramètres!N39="",0,IF(Paramètres!O39="",NA(),IF(RIGHT(TRIM(Paramètres!O39),3)="Fin",WORKDAY(IF(LEFT(TRIM(Paramètres!O39),1)="F",INDEX($F$4:$F$56,MATCH(Paramètres!N39,Paramètres!$G$5:$G$57,0)),INDEX($E$4:$E$56,MATCH(Paramètres!N39,Paramètres!$G$5:$G$57,0))),1-$H38),IF(LEFT(TRIM(Paramètres!O39),1)="F",WORKDAY(IF(LEFT(TRIM(Paramètres!O39),1)="F",INDEX($F$4:$F$56,MATCH(Paramètres!N39,Paramètres!$G$5:$G$57,0)),INDEX($E$4:$E$56,MATCH(Paramètres!N39,Paramètres!$G$5:$G$57,0))),1),IF(LEFT(TRIM(Paramètres!O39),1)="F",INDEX($F$4:$F$56,MATCH(Paramètres!N39,Paramètres!$G$5:$G$57,0)),INDEX($E$4:$E$56,MATCH(Paramètres!N39,Paramètres!$G$5:$G$57,0)))))))))</f>
        <v>46373</v>
      </c>
      <c r="F38" s="4">
        <f t="shared" si="1"/>
        <v>46373</v>
      </c>
      <c r="H38">
        <f>Paramètres!B39</f>
        <v>1</v>
      </c>
    </row>
    <row r="39" spans="2:8" ht="14.25" customHeight="1" x14ac:dyDescent="0.3">
      <c r="B39" s="3" t="str">
        <f>Paramètres!G40</f>
        <v>5.3</v>
      </c>
      <c r="C39" s="3" t="str">
        <f>IF(Paramètres!H40="","",Paramètres!H40)</f>
        <v/>
      </c>
      <c r="D39" s="3" t="str">
        <f>IF(Paramètres!I40="","",Paramètres!I40)</f>
        <v>Convocation Tél + Gestmax</v>
      </c>
      <c r="E39" s="4">
        <f>IF(Paramètres!J40&amp;Paramètres!L40&amp;Paramètres!N40="",WORKDAY($A$6-1,1),MAX(IF(Paramètres!J40="",0,IF(Paramètres!K40="",NA(),IF(RIGHT(TRIM(Paramètres!K40),3)="Fin",WORKDAY(IF(LEFT(TRIM(Paramètres!K40),1)="F",INDEX($F$4:$F$56,MATCH(Paramètres!J40,Paramètres!$G$5:$G$57,0)),INDEX($E$4:$E$56,MATCH(Paramètres!J40,Paramètres!$G$5:$G$57,0))),1-$H39),IF(LEFT(TRIM(Paramètres!K40),1)="F",WORKDAY(IF(LEFT(TRIM(Paramètres!K40),1)="F",INDEX($F$4:$F$56,MATCH(Paramètres!J40,Paramètres!$G$5:$G$57,0)),INDEX($E$4:$E$56,MATCH(Paramètres!J40,Paramètres!$G$5:$G$57,0))),1),IF(LEFT(TRIM(Paramètres!K40),1)="F",INDEX($F$4:$F$56,MATCH(Paramètres!J40,Paramètres!$G$5:$G$57,0)),INDEX($E$4:$E$56,MATCH(Paramètres!J40,Paramètres!$G$5:$G$57,0))))))),IF(Paramètres!L40="",0,IF(Paramètres!M40="",NA(),IF(RIGHT(TRIM(Paramètres!M40),3)="Fin",WORKDAY(IF(LEFT(TRIM(Paramètres!M40),1)="F",INDEX($F$4:$F$56,MATCH(Paramètres!L40,Paramètres!$G$5:$G$57,0)),INDEX($E$4:$E$56,MATCH(Paramètres!L40,Paramètres!$G$5:$G$57,0))),1-$H39),IF(LEFT(TRIM(Paramètres!M40),1)="F",WORKDAY(IF(LEFT(TRIM(Paramètres!M40),1)="F",INDEX($F$4:$F$56,MATCH(Paramètres!L40,Paramètres!$G$5:$G$57,0)),INDEX($E$4:$E$56,MATCH(Paramètres!L40,Paramètres!$G$5:$G$57,0))),1),IF(LEFT(TRIM(Paramètres!M40),1)="F",INDEX($F$4:$F$56,MATCH(Paramètres!L40,Paramètres!$G$5:$G$57,0)),INDEX($E$4:$E$56,MATCH(Paramètres!L40,Paramètres!$G$5:$G$57,0))))))),IF(Paramètres!N40="",0,IF(Paramètres!O40="",NA(),IF(RIGHT(TRIM(Paramètres!O40),3)="Fin",WORKDAY(IF(LEFT(TRIM(Paramètres!O40),1)="F",INDEX($F$4:$F$56,MATCH(Paramètres!N40,Paramètres!$G$5:$G$57,0)),INDEX($E$4:$E$56,MATCH(Paramètres!N40,Paramètres!$G$5:$G$57,0))),1-$H39),IF(LEFT(TRIM(Paramètres!O40),1)="F",WORKDAY(IF(LEFT(TRIM(Paramètres!O40),1)="F",INDEX($F$4:$F$56,MATCH(Paramètres!N40,Paramètres!$G$5:$G$57,0)),INDEX($E$4:$E$56,MATCH(Paramètres!N40,Paramètres!$G$5:$G$57,0))),1),IF(LEFT(TRIM(Paramètres!O40),1)="F",INDEX($F$4:$F$56,MATCH(Paramètres!N40,Paramètres!$G$5:$G$57,0)),INDEX($E$4:$E$56,MATCH(Paramètres!N40,Paramètres!$G$5:$G$57,0)))))))))</f>
        <v>46398</v>
      </c>
      <c r="F39" s="4">
        <f t="shared" si="1"/>
        <v>46398</v>
      </c>
      <c r="H39">
        <f>Paramètres!B40</f>
        <v>1</v>
      </c>
    </row>
    <row r="40" spans="2:8" ht="14.25" customHeight="1" x14ac:dyDescent="0.3">
      <c r="B40" s="3" t="str">
        <f>Paramètres!G41</f>
        <v>5.4</v>
      </c>
      <c r="C40" s="3" t="str">
        <f>IF(Paramètres!H41="","",Paramètres!H41)</f>
        <v/>
      </c>
      <c r="D40" s="3" t="str">
        <f>IF(Paramètres!I41="","",Paramètres!I41)</f>
        <v>Candidats - validation présence</v>
      </c>
      <c r="E40" s="4">
        <f>IF(Paramètres!J41&amp;Paramètres!L41&amp;Paramètres!N41="",WORKDAY($A$6-1,1),MAX(IF(Paramètres!J41="",0,IF(Paramètres!K41="",NA(),IF(RIGHT(TRIM(Paramètres!K41),3)="Fin",WORKDAY(IF(LEFT(TRIM(Paramètres!K41),1)="F",INDEX($F$4:$F$56,MATCH(Paramètres!J41,Paramètres!$G$5:$G$57,0)),INDEX($E$4:$E$56,MATCH(Paramètres!J41,Paramètres!$G$5:$G$57,0))),1-$H40),IF(LEFT(TRIM(Paramètres!K41),1)="F",WORKDAY(IF(LEFT(TRIM(Paramètres!K41),1)="F",INDEX($F$4:$F$56,MATCH(Paramètres!J41,Paramètres!$G$5:$G$57,0)),INDEX($E$4:$E$56,MATCH(Paramètres!J41,Paramètres!$G$5:$G$57,0))),1),IF(LEFT(TRIM(Paramètres!K41),1)="F",INDEX($F$4:$F$56,MATCH(Paramètres!J41,Paramètres!$G$5:$G$57,0)),INDEX($E$4:$E$56,MATCH(Paramètres!J41,Paramètres!$G$5:$G$57,0))))))),IF(Paramètres!L41="",0,IF(Paramètres!M41="",NA(),IF(RIGHT(TRIM(Paramètres!M41),3)="Fin",WORKDAY(IF(LEFT(TRIM(Paramètres!M41),1)="F",INDEX($F$4:$F$56,MATCH(Paramètres!L41,Paramètres!$G$5:$G$57,0)),INDEX($E$4:$E$56,MATCH(Paramètres!L41,Paramètres!$G$5:$G$57,0))),1-$H40),IF(LEFT(TRIM(Paramètres!M41),1)="F",WORKDAY(IF(LEFT(TRIM(Paramètres!M41),1)="F",INDEX($F$4:$F$56,MATCH(Paramètres!L41,Paramètres!$G$5:$G$57,0)),INDEX($E$4:$E$56,MATCH(Paramètres!L41,Paramètres!$G$5:$G$57,0))),1),IF(LEFT(TRIM(Paramètres!M41),1)="F",INDEX($F$4:$F$56,MATCH(Paramètres!L41,Paramètres!$G$5:$G$57,0)),INDEX($E$4:$E$56,MATCH(Paramètres!L41,Paramètres!$G$5:$G$57,0))))))),IF(Paramètres!N41="",0,IF(Paramètres!O41="",NA(),IF(RIGHT(TRIM(Paramètres!O41),3)="Fin",WORKDAY(IF(LEFT(TRIM(Paramètres!O41),1)="F",INDEX($F$4:$F$56,MATCH(Paramètres!N41,Paramètres!$G$5:$G$57,0)),INDEX($E$4:$E$56,MATCH(Paramètres!N41,Paramètres!$G$5:$G$57,0))),1-$H40),IF(LEFT(TRIM(Paramètres!O41),1)="F",WORKDAY(IF(LEFT(TRIM(Paramètres!O41),1)="F",INDEX($F$4:$F$56,MATCH(Paramètres!N41,Paramètres!$G$5:$G$57,0)),INDEX($E$4:$E$56,MATCH(Paramètres!N41,Paramètres!$G$5:$G$57,0))),1),IF(LEFT(TRIM(Paramètres!O41),1)="F",INDEX($F$4:$F$56,MATCH(Paramètres!N41,Paramètres!$G$5:$G$57,0)),INDEX($E$4:$E$56,MATCH(Paramètres!N41,Paramètres!$G$5:$G$57,0)))))))))</f>
        <v>46398</v>
      </c>
      <c r="F40" s="4">
        <f t="shared" si="1"/>
        <v>46400</v>
      </c>
      <c r="H40">
        <f>Paramètres!B41</f>
        <v>3</v>
      </c>
    </row>
    <row r="41" spans="2:8" ht="14.25" customHeight="1" x14ac:dyDescent="0.3">
      <c r="B41" s="3" t="str">
        <f>Paramètres!G42</f>
        <v>5.5</v>
      </c>
      <c r="C41" s="3" t="str">
        <f>IF(Paramètres!H42="","",Paramètres!H42)</f>
        <v/>
      </c>
      <c r="D41" s="3" t="str">
        <f>IF(Paramètres!I42="","",Paramètres!I42)</f>
        <v>GESTMAX - bascule validation jury</v>
      </c>
      <c r="E41" s="4">
        <f>IF(Paramètres!J42&amp;Paramètres!L42&amp;Paramètres!N42="",WORKDAY($A$6-1,1),MAX(IF(Paramètres!J42="",0,IF(Paramètres!K42="",NA(),IF(RIGHT(TRIM(Paramètres!K42),3)="Fin",WORKDAY(IF(LEFT(TRIM(Paramètres!K42),1)="F",INDEX($F$4:$F$56,MATCH(Paramètres!J42,Paramètres!$G$5:$G$57,0)),INDEX($E$4:$E$56,MATCH(Paramètres!J42,Paramètres!$G$5:$G$57,0))),1-$H41),IF(LEFT(TRIM(Paramètres!K42),1)="F",WORKDAY(IF(LEFT(TRIM(Paramètres!K42),1)="F",INDEX($F$4:$F$56,MATCH(Paramètres!J42,Paramètres!$G$5:$G$57,0)),INDEX($E$4:$E$56,MATCH(Paramètres!J42,Paramètres!$G$5:$G$57,0))),1),IF(LEFT(TRIM(Paramètres!K42),1)="F",INDEX($F$4:$F$56,MATCH(Paramètres!J42,Paramètres!$G$5:$G$57,0)),INDEX($E$4:$E$56,MATCH(Paramètres!J42,Paramètres!$G$5:$G$57,0))))))),IF(Paramètres!L42="",0,IF(Paramètres!M42="",NA(),IF(RIGHT(TRIM(Paramètres!M42),3)="Fin",WORKDAY(IF(LEFT(TRIM(Paramètres!M42),1)="F",INDEX($F$4:$F$56,MATCH(Paramètres!L42,Paramètres!$G$5:$G$57,0)),INDEX($E$4:$E$56,MATCH(Paramètres!L42,Paramètres!$G$5:$G$57,0))),1-$H41),IF(LEFT(TRIM(Paramètres!M42),1)="F",WORKDAY(IF(LEFT(TRIM(Paramètres!M42),1)="F",INDEX($F$4:$F$56,MATCH(Paramètres!L42,Paramètres!$G$5:$G$57,0)),INDEX($E$4:$E$56,MATCH(Paramètres!L42,Paramètres!$G$5:$G$57,0))),1),IF(LEFT(TRIM(Paramètres!M42),1)="F",INDEX($F$4:$F$56,MATCH(Paramètres!L42,Paramètres!$G$5:$G$57,0)),INDEX($E$4:$E$56,MATCH(Paramètres!L42,Paramètres!$G$5:$G$57,0))))))),IF(Paramètres!N42="",0,IF(Paramètres!O42="",NA(),IF(RIGHT(TRIM(Paramètres!O42),3)="Fin",WORKDAY(IF(LEFT(TRIM(Paramètres!O42),1)="F",INDEX($F$4:$F$56,MATCH(Paramètres!N42,Paramètres!$G$5:$G$57,0)),INDEX($E$4:$E$56,MATCH(Paramètres!N42,Paramètres!$G$5:$G$57,0))),1-$H41),IF(LEFT(TRIM(Paramètres!O42),1)="F",WORKDAY(IF(LEFT(TRIM(Paramètres!O42),1)="F",INDEX($F$4:$F$56,MATCH(Paramètres!N42,Paramètres!$G$5:$G$57,0)),INDEX($E$4:$E$56,MATCH(Paramètres!N42,Paramètres!$G$5:$G$57,0))),1),IF(LEFT(TRIM(Paramètres!O42),1)="F",INDEX($F$4:$F$56,MATCH(Paramètres!N42,Paramètres!$G$5:$G$57,0)),INDEX($E$4:$E$56,MATCH(Paramètres!N42,Paramètres!$G$5:$G$57,0)))))))))</f>
        <v>46398</v>
      </c>
      <c r="F41" s="4">
        <f t="shared" si="1"/>
        <v>46398</v>
      </c>
      <c r="H41">
        <f>Paramètres!B42</f>
        <v>1</v>
      </c>
    </row>
    <row r="42" spans="2:8" ht="14.25" customHeight="1" x14ac:dyDescent="0.3">
      <c r="B42" s="3" t="str">
        <f>Paramètres!G43</f>
        <v>5.6</v>
      </c>
      <c r="C42" s="3" t="str">
        <f>IF(Paramètres!H43="","",Paramètres!H43)</f>
        <v/>
      </c>
      <c r="D42" s="3" t="str">
        <f>IF(Paramètres!I43="","",Paramètres!I43)</f>
        <v>Dossier papier Jury (CV/LM + PV)</v>
      </c>
      <c r="E42" s="4">
        <f>IF(Paramètres!J43&amp;Paramètres!L43&amp;Paramètres!N43="",WORKDAY($A$6-1,1),MAX(IF(Paramètres!J43="",0,IF(Paramètres!K43="",NA(),IF(RIGHT(TRIM(Paramètres!K43),3)="Fin",WORKDAY(IF(LEFT(TRIM(Paramètres!K43),1)="F",INDEX($F$4:$F$56,MATCH(Paramètres!J43,Paramètres!$G$5:$G$57,0)),INDEX($E$4:$E$56,MATCH(Paramètres!J43,Paramètres!$G$5:$G$57,0))),1-$H42),IF(LEFT(TRIM(Paramètres!K43),1)="F",WORKDAY(IF(LEFT(TRIM(Paramètres!K43),1)="F",INDEX($F$4:$F$56,MATCH(Paramètres!J43,Paramètres!$G$5:$G$57,0)),INDEX($E$4:$E$56,MATCH(Paramètres!J43,Paramètres!$G$5:$G$57,0))),1),IF(LEFT(TRIM(Paramètres!K43),1)="F",INDEX($F$4:$F$56,MATCH(Paramètres!J43,Paramètres!$G$5:$G$57,0)),INDEX($E$4:$E$56,MATCH(Paramètres!J43,Paramètres!$G$5:$G$57,0))))))),IF(Paramètres!L43="",0,IF(Paramètres!M43="",NA(),IF(RIGHT(TRIM(Paramètres!M43),3)="Fin",WORKDAY(IF(LEFT(TRIM(Paramètres!M43),1)="F",INDEX($F$4:$F$56,MATCH(Paramètres!L43,Paramètres!$G$5:$G$57,0)),INDEX($E$4:$E$56,MATCH(Paramètres!L43,Paramètres!$G$5:$G$57,0))),1-$H42),IF(LEFT(TRIM(Paramètres!M43),1)="F",WORKDAY(IF(LEFT(TRIM(Paramètres!M43),1)="F",INDEX($F$4:$F$56,MATCH(Paramètres!L43,Paramètres!$G$5:$G$57,0)),INDEX($E$4:$E$56,MATCH(Paramètres!L43,Paramètres!$G$5:$G$57,0))),1),IF(LEFT(TRIM(Paramètres!M43),1)="F",INDEX($F$4:$F$56,MATCH(Paramètres!L43,Paramètres!$G$5:$G$57,0)),INDEX($E$4:$E$56,MATCH(Paramètres!L43,Paramètres!$G$5:$G$57,0))))))),IF(Paramètres!N43="",0,IF(Paramètres!O43="",NA(),IF(RIGHT(TRIM(Paramètres!O43),3)="Fin",WORKDAY(IF(LEFT(TRIM(Paramètres!O43),1)="F",INDEX($F$4:$F$56,MATCH(Paramètres!N43,Paramètres!$G$5:$G$57,0)),INDEX($E$4:$E$56,MATCH(Paramètres!N43,Paramètres!$G$5:$G$57,0))),1-$H42),IF(LEFT(TRIM(Paramètres!O43),1)="F",WORKDAY(IF(LEFT(TRIM(Paramètres!O43),1)="F",INDEX($F$4:$F$56,MATCH(Paramètres!N43,Paramètres!$G$5:$G$57,0)),INDEX($E$4:$E$56,MATCH(Paramètres!N43,Paramètres!$G$5:$G$57,0))),1),IF(LEFT(TRIM(Paramètres!O43),1)="F",INDEX($F$4:$F$56,MATCH(Paramètres!N43,Paramètres!$G$5:$G$57,0)),INDEX($E$4:$E$56,MATCH(Paramètres!N43,Paramètres!$G$5:$G$57,0)))))))))</f>
        <v>46401</v>
      </c>
      <c r="F42" s="4">
        <f t="shared" si="1"/>
        <v>46401</v>
      </c>
      <c r="H42">
        <f>Paramètres!B43</f>
        <v>1</v>
      </c>
    </row>
    <row r="43" spans="2:8" ht="14.25" customHeight="1" x14ac:dyDescent="0.3">
      <c r="B43" s="3" t="str">
        <f>Paramètres!G44</f>
        <v>5.7</v>
      </c>
      <c r="C43" s="3" t="str">
        <f>IF(Paramètres!H44="","",Paramètres!H44)</f>
        <v/>
      </c>
      <c r="D43" s="3" t="str">
        <f>IF(Paramètres!I44="","",Paramètres!I44)</f>
        <v>Liste des candidats à l'accueil</v>
      </c>
      <c r="E43" s="4">
        <f>IF(Paramètres!J44&amp;Paramètres!L44&amp;Paramètres!N44="",WORKDAY($A$6-1,1),MAX(IF(Paramètres!J44="",0,IF(Paramètres!K44="",NA(),IF(RIGHT(TRIM(Paramètres!K44),3)="Fin",WORKDAY(IF(LEFT(TRIM(Paramètres!K44),1)="F",INDEX($F$4:$F$56,MATCH(Paramètres!J44,Paramètres!$G$5:$G$57,0)),INDEX($E$4:$E$56,MATCH(Paramètres!J44,Paramètres!$G$5:$G$57,0))),1-$H43),IF(LEFT(TRIM(Paramètres!K44),1)="F",WORKDAY(IF(LEFT(TRIM(Paramètres!K44),1)="F",INDEX($F$4:$F$56,MATCH(Paramètres!J44,Paramètres!$G$5:$G$57,0)),INDEX($E$4:$E$56,MATCH(Paramètres!J44,Paramètres!$G$5:$G$57,0))),1),IF(LEFT(TRIM(Paramètres!K44),1)="F",INDEX($F$4:$F$56,MATCH(Paramètres!J44,Paramètres!$G$5:$G$57,0)),INDEX($E$4:$E$56,MATCH(Paramètres!J44,Paramètres!$G$5:$G$57,0))))))),IF(Paramètres!L44="",0,IF(Paramètres!M44="",NA(),IF(RIGHT(TRIM(Paramètres!M44),3)="Fin",WORKDAY(IF(LEFT(TRIM(Paramètres!M44),1)="F",INDEX($F$4:$F$56,MATCH(Paramètres!L44,Paramètres!$G$5:$G$57,0)),INDEX($E$4:$E$56,MATCH(Paramètres!L44,Paramètres!$G$5:$G$57,0))),1-$H43),IF(LEFT(TRIM(Paramètres!M44),1)="F",WORKDAY(IF(LEFT(TRIM(Paramètres!M44),1)="F",INDEX($F$4:$F$56,MATCH(Paramètres!L44,Paramètres!$G$5:$G$57,0)),INDEX($E$4:$E$56,MATCH(Paramètres!L44,Paramètres!$G$5:$G$57,0))),1),IF(LEFT(TRIM(Paramètres!M44),1)="F",INDEX($F$4:$F$56,MATCH(Paramètres!L44,Paramètres!$G$5:$G$57,0)),INDEX($E$4:$E$56,MATCH(Paramètres!L44,Paramètres!$G$5:$G$57,0))))))),IF(Paramètres!N44="",0,IF(Paramètres!O44="",NA(),IF(RIGHT(TRIM(Paramètres!O44),3)="Fin",WORKDAY(IF(LEFT(TRIM(Paramètres!O44),1)="F",INDEX($F$4:$F$56,MATCH(Paramètres!N44,Paramètres!$G$5:$G$57,0)),INDEX($E$4:$E$56,MATCH(Paramètres!N44,Paramètres!$G$5:$G$57,0))),1-$H43),IF(LEFT(TRIM(Paramètres!O44),1)="F",WORKDAY(IF(LEFT(TRIM(Paramètres!O44),1)="F",INDEX($F$4:$F$56,MATCH(Paramètres!N44,Paramètres!$G$5:$G$57,0)),INDEX($E$4:$E$56,MATCH(Paramètres!N44,Paramètres!$G$5:$G$57,0))),1),IF(LEFT(TRIM(Paramètres!O44),1)="F",INDEX($F$4:$F$56,MATCH(Paramètres!N44,Paramètres!$G$5:$G$57,0)),INDEX($E$4:$E$56,MATCH(Paramètres!N44,Paramètres!$G$5:$G$57,0)))))))))</f>
        <v>46399</v>
      </c>
      <c r="F43" s="4">
        <f t="shared" si="1"/>
        <v>46399</v>
      </c>
      <c r="H43">
        <f>Paramètres!B44</f>
        <v>1</v>
      </c>
    </row>
    <row r="44" spans="2:8" ht="14.25" customHeight="1" x14ac:dyDescent="0.3">
      <c r="B44" s="3" t="str">
        <f>Paramètres!G45</f>
        <v>5.8</v>
      </c>
      <c r="C44" s="3" t="str">
        <f>IF(Paramètres!H45="","",Paramètres!H45)</f>
        <v/>
      </c>
      <c r="D44" s="3" t="str">
        <f>IF(Paramètres!I45="","",Paramètres!I45)</f>
        <v>Tenue du Jury</v>
      </c>
      <c r="E44" s="4">
        <f>IF(Paramètres!J45&amp;Paramètres!L45&amp;Paramètres!N45="",WORKDAY($A$6-1,1),MAX(IF(Paramètres!J45="",0,IF(Paramètres!K45="",NA(),IF(RIGHT(TRIM(Paramètres!K45),3)="Fin",WORKDAY(IF(LEFT(TRIM(Paramètres!K45),1)="F",INDEX($F$4:$F$56,MATCH(Paramètres!J45,Paramètres!$G$5:$G$57,0)),INDEX($E$4:$E$56,MATCH(Paramètres!J45,Paramètres!$G$5:$G$57,0))),1-$H44),IF(LEFT(TRIM(Paramètres!K45),1)="F",WORKDAY(IF(LEFT(TRIM(Paramètres!K45),1)="F",INDEX($F$4:$F$56,MATCH(Paramètres!J45,Paramètres!$G$5:$G$57,0)),INDEX($E$4:$E$56,MATCH(Paramètres!J45,Paramètres!$G$5:$G$57,0))),1),IF(LEFT(TRIM(Paramètres!K45),1)="F",INDEX($F$4:$F$56,MATCH(Paramètres!J45,Paramètres!$G$5:$G$57,0)),INDEX($E$4:$E$56,MATCH(Paramètres!J45,Paramètres!$G$5:$G$57,0))))))),IF(Paramètres!L45="",0,IF(Paramètres!M45="",NA(),IF(RIGHT(TRIM(Paramètres!M45),3)="Fin",WORKDAY(IF(LEFT(TRIM(Paramètres!M45),1)="F",INDEX($F$4:$F$56,MATCH(Paramètres!L45,Paramètres!$G$5:$G$57,0)),INDEX($E$4:$E$56,MATCH(Paramètres!L45,Paramètres!$G$5:$G$57,0))),1-$H44),IF(LEFT(TRIM(Paramètres!M45),1)="F",WORKDAY(IF(LEFT(TRIM(Paramètres!M45),1)="F",INDEX($F$4:$F$56,MATCH(Paramètres!L45,Paramètres!$G$5:$G$57,0)),INDEX($E$4:$E$56,MATCH(Paramètres!L45,Paramètres!$G$5:$G$57,0))),1),IF(LEFT(TRIM(Paramètres!M45),1)="F",INDEX($F$4:$F$56,MATCH(Paramètres!L45,Paramètres!$G$5:$G$57,0)),INDEX($E$4:$E$56,MATCH(Paramètres!L45,Paramètres!$G$5:$G$57,0))))))),IF(Paramètres!N45="",0,IF(Paramètres!O45="",NA(),IF(RIGHT(TRIM(Paramètres!O45),3)="Fin",WORKDAY(IF(LEFT(TRIM(Paramètres!O45),1)="F",INDEX($F$4:$F$56,MATCH(Paramètres!N45,Paramètres!$G$5:$G$57,0)),INDEX($E$4:$E$56,MATCH(Paramètres!N45,Paramètres!$G$5:$G$57,0))),1-$H44),IF(LEFT(TRIM(Paramètres!O45),1)="F",WORKDAY(IF(LEFT(TRIM(Paramètres!O45),1)="F",INDEX($F$4:$F$56,MATCH(Paramètres!N45,Paramètres!$G$5:$G$57,0)),INDEX($E$4:$E$56,MATCH(Paramètres!N45,Paramètres!$G$5:$G$57,0))),1),IF(LEFT(TRIM(Paramètres!O45),1)="F",INDEX($F$4:$F$56,MATCH(Paramètres!N45,Paramètres!$G$5:$G$57,0)),INDEX($E$4:$E$56,MATCH(Paramètres!N45,Paramètres!$G$5:$G$57,0)))))))))</f>
        <v>46399</v>
      </c>
      <c r="F44" s="4">
        <f t="shared" si="1"/>
        <v>46399</v>
      </c>
      <c r="H44">
        <f>Paramètres!B45</f>
        <v>1</v>
      </c>
    </row>
    <row r="45" spans="2:8" ht="14.25" customHeight="1" x14ac:dyDescent="0.3">
      <c r="B45" s="3" t="str">
        <f>Paramètres!G46</f>
        <v>5.9</v>
      </c>
      <c r="C45" s="3" t="str">
        <f>IF(Paramètres!H46="","",Paramètres!H46)</f>
        <v/>
      </c>
      <c r="D45" s="3" t="str">
        <f>IF(Paramètres!I46="","",Paramètres!I46)</f>
        <v>Candidat retenu par le jury</v>
      </c>
      <c r="E45" s="4">
        <f>IF(Paramètres!J46&amp;Paramètres!L46&amp;Paramètres!N46="",WORKDAY($A$6-1,1),MAX(IF(Paramètres!J46="",0,IF(Paramètres!K46="",NA(),IF(RIGHT(TRIM(Paramètres!K46),3)="Fin",WORKDAY(IF(LEFT(TRIM(Paramètres!K46),1)="F",INDEX($F$4:$F$56,MATCH(Paramètres!J46,Paramètres!$G$5:$G$57,0)),INDEX($E$4:$E$56,MATCH(Paramètres!J46,Paramètres!$G$5:$G$57,0))),1-$H45),IF(LEFT(TRIM(Paramètres!K46),1)="F",WORKDAY(IF(LEFT(TRIM(Paramètres!K46),1)="F",INDEX($F$4:$F$56,MATCH(Paramètres!J46,Paramètres!$G$5:$G$57,0)),INDEX($E$4:$E$56,MATCH(Paramètres!J46,Paramètres!$G$5:$G$57,0))),1),IF(LEFT(TRIM(Paramètres!K46),1)="F",INDEX($F$4:$F$56,MATCH(Paramètres!J46,Paramètres!$G$5:$G$57,0)),INDEX($E$4:$E$56,MATCH(Paramètres!J46,Paramètres!$G$5:$G$57,0))))))),IF(Paramètres!L46="",0,IF(Paramètres!M46="",NA(),IF(RIGHT(TRIM(Paramètres!M46),3)="Fin",WORKDAY(IF(LEFT(TRIM(Paramètres!M46),1)="F",INDEX($F$4:$F$56,MATCH(Paramètres!L46,Paramètres!$G$5:$G$57,0)),INDEX($E$4:$E$56,MATCH(Paramètres!L46,Paramètres!$G$5:$G$57,0))),1-$H45),IF(LEFT(TRIM(Paramètres!M46),1)="F",WORKDAY(IF(LEFT(TRIM(Paramètres!M46),1)="F",INDEX($F$4:$F$56,MATCH(Paramètres!L46,Paramètres!$G$5:$G$57,0)),INDEX($E$4:$E$56,MATCH(Paramètres!L46,Paramètres!$G$5:$G$57,0))),1),IF(LEFT(TRIM(Paramètres!M46),1)="F",INDEX($F$4:$F$56,MATCH(Paramètres!L46,Paramètres!$G$5:$G$57,0)),INDEX($E$4:$E$56,MATCH(Paramètres!L46,Paramètres!$G$5:$G$57,0))))))),IF(Paramètres!N46="",0,IF(Paramètres!O46="",NA(),IF(RIGHT(TRIM(Paramètres!O46),3)="Fin",WORKDAY(IF(LEFT(TRIM(Paramètres!O46),1)="F",INDEX($F$4:$F$56,MATCH(Paramètres!N46,Paramètres!$G$5:$G$57,0)),INDEX($E$4:$E$56,MATCH(Paramètres!N46,Paramètres!$G$5:$G$57,0))),1-$H45),IF(LEFT(TRIM(Paramètres!O46),1)="F",WORKDAY(IF(LEFT(TRIM(Paramètres!O46),1)="F",INDEX($F$4:$F$56,MATCH(Paramètres!N46,Paramètres!$G$5:$G$57,0)),INDEX($E$4:$E$56,MATCH(Paramètres!N46,Paramètres!$G$5:$G$57,0))),1),IF(LEFT(TRIM(Paramètres!O46),1)="F",INDEX($F$4:$F$56,MATCH(Paramètres!N46,Paramètres!$G$5:$G$57,0)),INDEX($E$4:$E$56,MATCH(Paramètres!N46,Paramètres!$G$5:$G$57,0)))))))))</f>
        <v>46400</v>
      </c>
      <c r="F45" s="4">
        <f t="shared" si="1"/>
        <v>46400</v>
      </c>
      <c r="H45">
        <f>Paramètres!B46</f>
        <v>1</v>
      </c>
    </row>
    <row r="46" spans="2:8" ht="14.25" customHeight="1" x14ac:dyDescent="0.3">
      <c r="B46" s="3" t="str">
        <f>Paramètres!G47</f>
        <v>5.10</v>
      </c>
      <c r="C46" s="3" t="str">
        <f>IF(Paramètres!H47="","",Paramètres!H47)</f>
        <v/>
      </c>
      <c r="D46" s="3" t="str">
        <f>IF(Paramètres!I47="","",Paramètres!I47)</f>
        <v>Informer le candidat</v>
      </c>
      <c r="E46" s="4">
        <f>IF(Paramètres!J47&amp;Paramètres!L47&amp;Paramètres!N47="",WORKDAY($A$6-1,1),MAX(IF(Paramètres!J47="",0,IF(Paramètres!K47="",NA(),IF(RIGHT(TRIM(Paramètres!K47),3)="Fin",WORKDAY(IF(LEFT(TRIM(Paramètres!K47),1)="F",INDEX($F$4:$F$56,MATCH(Paramètres!J47,Paramètres!$G$5:$G$57,0)),INDEX($E$4:$E$56,MATCH(Paramètres!J47,Paramètres!$G$5:$G$57,0))),1-$H46),IF(LEFT(TRIM(Paramètres!K47),1)="F",WORKDAY(IF(LEFT(TRIM(Paramètres!K47),1)="F",INDEX($F$4:$F$56,MATCH(Paramètres!J47,Paramètres!$G$5:$G$57,0)),INDEX($E$4:$E$56,MATCH(Paramètres!J47,Paramètres!$G$5:$G$57,0))),1),IF(LEFT(TRIM(Paramètres!K47),1)="F",INDEX($F$4:$F$56,MATCH(Paramètres!J47,Paramètres!$G$5:$G$57,0)),INDEX($E$4:$E$56,MATCH(Paramètres!J47,Paramètres!$G$5:$G$57,0))))))),IF(Paramètres!L47="",0,IF(Paramètres!M47="",NA(),IF(RIGHT(TRIM(Paramètres!M47),3)="Fin",WORKDAY(IF(LEFT(TRIM(Paramètres!M47),1)="F",INDEX($F$4:$F$56,MATCH(Paramètres!L47,Paramètres!$G$5:$G$57,0)),INDEX($E$4:$E$56,MATCH(Paramètres!L47,Paramètres!$G$5:$G$57,0))),1-$H46),IF(LEFT(TRIM(Paramètres!M47),1)="F",WORKDAY(IF(LEFT(TRIM(Paramètres!M47),1)="F",INDEX($F$4:$F$56,MATCH(Paramètres!L47,Paramètres!$G$5:$G$57,0)),INDEX($E$4:$E$56,MATCH(Paramètres!L47,Paramètres!$G$5:$G$57,0))),1),IF(LEFT(TRIM(Paramètres!M47),1)="F",INDEX($F$4:$F$56,MATCH(Paramètres!L47,Paramètres!$G$5:$G$57,0)),INDEX($E$4:$E$56,MATCH(Paramètres!L47,Paramètres!$G$5:$G$57,0))))))),IF(Paramètres!N47="",0,IF(Paramètres!O47="",NA(),IF(RIGHT(TRIM(Paramètres!O47),3)="Fin",WORKDAY(IF(LEFT(TRIM(Paramètres!O47),1)="F",INDEX($F$4:$F$56,MATCH(Paramètres!N47,Paramètres!$G$5:$G$57,0)),INDEX($E$4:$E$56,MATCH(Paramètres!N47,Paramètres!$G$5:$G$57,0))),1-$H46),IF(LEFT(TRIM(Paramètres!O47),1)="F",WORKDAY(IF(LEFT(TRIM(Paramètres!O47),1)="F",INDEX($F$4:$F$56,MATCH(Paramètres!N47,Paramètres!$G$5:$G$57,0)),INDEX($E$4:$E$56,MATCH(Paramètres!N47,Paramètres!$G$5:$G$57,0))),1),IF(LEFT(TRIM(Paramètres!O47),1)="F",INDEX($F$4:$F$56,MATCH(Paramètres!N47,Paramètres!$G$5:$G$57,0)),INDEX($E$4:$E$56,MATCH(Paramètres!N47,Paramètres!$G$5:$G$57,0)))))))))</f>
        <v>46401</v>
      </c>
      <c r="F46" s="4">
        <f t="shared" si="1"/>
        <v>46402</v>
      </c>
      <c r="H46">
        <f>Paramètres!B47</f>
        <v>2</v>
      </c>
    </row>
    <row r="47" spans="2:8" ht="14.25" customHeight="1" x14ac:dyDescent="0.3">
      <c r="B47" s="3" t="str">
        <f>Paramètres!G48</f>
        <v>5.11</v>
      </c>
      <c r="C47" s="3" t="str">
        <f>IF(Paramètres!H48="","",Paramètres!H48)</f>
        <v/>
      </c>
      <c r="D47" s="3" t="str">
        <f>IF(Paramètres!I48="","",Paramètres!I48)</f>
        <v>information chef de service</v>
      </c>
      <c r="E47" s="4">
        <f>IF(Paramètres!J48&amp;Paramètres!L48&amp;Paramètres!N48="",WORKDAY($A$6-1,1),MAX(IF(Paramètres!J48="",0,IF(Paramètres!K48="",NA(),IF(RIGHT(TRIM(Paramètres!K48),3)="Fin",WORKDAY(IF(LEFT(TRIM(Paramètres!K48),1)="F",INDEX($F$4:$F$56,MATCH(Paramètres!J48,Paramètres!$G$5:$G$57,0)),INDEX($E$4:$E$56,MATCH(Paramètres!J48,Paramètres!$G$5:$G$57,0))),1-$H47),IF(LEFT(TRIM(Paramètres!K48),1)="F",WORKDAY(IF(LEFT(TRIM(Paramètres!K48),1)="F",INDEX($F$4:$F$56,MATCH(Paramètres!J48,Paramètres!$G$5:$G$57,0)),INDEX($E$4:$E$56,MATCH(Paramètres!J48,Paramètres!$G$5:$G$57,0))),1),IF(LEFT(TRIM(Paramètres!K48),1)="F",INDEX($F$4:$F$56,MATCH(Paramètres!J48,Paramètres!$G$5:$G$57,0)),INDEX($E$4:$E$56,MATCH(Paramètres!J48,Paramètres!$G$5:$G$57,0))))))),IF(Paramètres!L48="",0,IF(Paramètres!M48="",NA(),IF(RIGHT(TRIM(Paramètres!M48),3)="Fin",WORKDAY(IF(LEFT(TRIM(Paramètres!M48),1)="F",INDEX($F$4:$F$56,MATCH(Paramètres!L48,Paramètres!$G$5:$G$57,0)),INDEX($E$4:$E$56,MATCH(Paramètres!L48,Paramètres!$G$5:$G$57,0))),1-$H47),IF(LEFT(TRIM(Paramètres!M48),1)="F",WORKDAY(IF(LEFT(TRIM(Paramètres!M48),1)="F",INDEX($F$4:$F$56,MATCH(Paramètres!L48,Paramètres!$G$5:$G$57,0)),INDEX($E$4:$E$56,MATCH(Paramètres!L48,Paramètres!$G$5:$G$57,0))),1),IF(LEFT(TRIM(Paramètres!M48),1)="F",INDEX($F$4:$F$56,MATCH(Paramètres!L48,Paramètres!$G$5:$G$57,0)),INDEX($E$4:$E$56,MATCH(Paramètres!L48,Paramètres!$G$5:$G$57,0))))))),IF(Paramètres!N48="",0,IF(Paramètres!O48="",NA(),IF(RIGHT(TRIM(Paramètres!O48),3)="Fin",WORKDAY(IF(LEFT(TRIM(Paramètres!O48),1)="F",INDEX($F$4:$F$56,MATCH(Paramètres!N48,Paramètres!$G$5:$G$57,0)),INDEX($E$4:$E$56,MATCH(Paramètres!N48,Paramètres!$G$5:$G$57,0))),1-$H47),IF(LEFT(TRIM(Paramètres!O48),1)="F",WORKDAY(IF(LEFT(TRIM(Paramètres!O48),1)="F",INDEX($F$4:$F$56,MATCH(Paramètres!N48,Paramètres!$G$5:$G$57,0)),INDEX($E$4:$E$56,MATCH(Paramètres!N48,Paramètres!$G$5:$G$57,0))),1),IF(LEFT(TRIM(Paramètres!O48),1)="F",INDEX($F$4:$F$56,MATCH(Paramètres!N48,Paramètres!$G$5:$G$57,0)),INDEX($E$4:$E$56,MATCH(Paramètres!N48,Paramètres!$G$5:$G$57,0)))))))))</f>
        <v>46405</v>
      </c>
      <c r="F47" s="4">
        <f t="shared" si="1"/>
        <v>46405</v>
      </c>
      <c r="H47">
        <f>Paramètres!B48</f>
        <v>1</v>
      </c>
    </row>
    <row r="48" spans="2:8" ht="14.25" customHeight="1" x14ac:dyDescent="0.3">
      <c r="B48" s="3" t="str">
        <f>Paramètres!G49</f>
        <v>5.12</v>
      </c>
      <c r="C48" s="3" t="str">
        <f>IF(Paramètres!H49="","",Paramètres!H49)</f>
        <v/>
      </c>
      <c r="D48" s="3" t="str">
        <f>IF(Paramètres!I49="","",Paramètres!I49)</f>
        <v>Temps réflexion/propo. Salariale</v>
      </c>
      <c r="E48" s="4">
        <f>IF(Paramètres!J49&amp;Paramètres!L49&amp;Paramètres!N49="",WORKDAY($A$6-1,1),MAX(IF(Paramètres!J49="",0,IF(Paramètres!K49="",NA(),IF(RIGHT(TRIM(Paramètres!K49),3)="Fin",WORKDAY(IF(LEFT(TRIM(Paramètres!K49),1)="F",INDEX($F$4:$F$56,MATCH(Paramètres!J49,Paramètres!$G$5:$G$57,0)),INDEX($E$4:$E$56,MATCH(Paramètres!J49,Paramètres!$G$5:$G$57,0))),1-$H48),IF(LEFT(TRIM(Paramètres!K49),1)="F",WORKDAY(IF(LEFT(TRIM(Paramètres!K49),1)="F",INDEX($F$4:$F$56,MATCH(Paramètres!J49,Paramètres!$G$5:$G$57,0)),INDEX($E$4:$E$56,MATCH(Paramètres!J49,Paramètres!$G$5:$G$57,0))),1),IF(LEFT(TRIM(Paramètres!K49),1)="F",INDEX($F$4:$F$56,MATCH(Paramètres!J49,Paramètres!$G$5:$G$57,0)),INDEX($E$4:$E$56,MATCH(Paramètres!J49,Paramètres!$G$5:$G$57,0))))))),IF(Paramètres!L49="",0,IF(Paramètres!M49="",NA(),IF(RIGHT(TRIM(Paramètres!M49),3)="Fin",WORKDAY(IF(LEFT(TRIM(Paramètres!M49),1)="F",INDEX($F$4:$F$56,MATCH(Paramètres!L49,Paramètres!$G$5:$G$57,0)),INDEX($E$4:$E$56,MATCH(Paramètres!L49,Paramètres!$G$5:$G$57,0))),1-$H48),IF(LEFT(TRIM(Paramètres!M49),1)="F",WORKDAY(IF(LEFT(TRIM(Paramètres!M49),1)="F",INDEX($F$4:$F$56,MATCH(Paramètres!L49,Paramètres!$G$5:$G$57,0)),INDEX($E$4:$E$56,MATCH(Paramètres!L49,Paramètres!$G$5:$G$57,0))),1),IF(LEFT(TRIM(Paramètres!M49),1)="F",INDEX($F$4:$F$56,MATCH(Paramètres!L49,Paramètres!$G$5:$G$57,0)),INDEX($E$4:$E$56,MATCH(Paramètres!L49,Paramètres!$G$5:$G$57,0))))))),IF(Paramètres!N49="",0,IF(Paramètres!O49="",NA(),IF(RIGHT(TRIM(Paramètres!O49),3)="Fin",WORKDAY(IF(LEFT(TRIM(Paramètres!O49),1)="F",INDEX($F$4:$F$56,MATCH(Paramètres!N49,Paramètres!$G$5:$G$57,0)),INDEX($E$4:$E$56,MATCH(Paramètres!N49,Paramètres!$G$5:$G$57,0))),1-$H48),IF(LEFT(TRIM(Paramètres!O49),1)="F",WORKDAY(IF(LEFT(TRIM(Paramètres!O49),1)="F",INDEX($F$4:$F$56,MATCH(Paramètres!N49,Paramètres!$G$5:$G$57,0)),INDEX($E$4:$E$56,MATCH(Paramètres!N49,Paramètres!$G$5:$G$57,0))),1),IF(LEFT(TRIM(Paramètres!O49),1)="F",INDEX($F$4:$F$56,MATCH(Paramètres!N49,Paramètres!$G$5:$G$57,0)),INDEX($E$4:$E$56,MATCH(Paramètres!N49,Paramètres!$G$5:$G$57,0)))))))))</f>
        <v>46401</v>
      </c>
      <c r="F48" s="4">
        <f t="shared" si="1"/>
        <v>46407</v>
      </c>
      <c r="H48">
        <f>Paramètres!B49</f>
        <v>5</v>
      </c>
    </row>
    <row r="49" spans="2:8" ht="14.25" customHeight="1" x14ac:dyDescent="0.3">
      <c r="B49" s="3" t="str">
        <f>Paramètres!G50</f>
        <v>5.13</v>
      </c>
      <c r="C49" s="3" t="str">
        <f>IF(Paramètres!H50="","",Paramètres!H50)</f>
        <v/>
      </c>
      <c r="D49" s="3" t="str">
        <f>IF(Paramètres!I50="","",Paramètres!I50)</f>
        <v>Retour du candidat</v>
      </c>
      <c r="E49" s="4">
        <f>IF(Paramètres!J50&amp;Paramètres!L50&amp;Paramètres!N50="",WORKDAY($A$6-1,1),MAX(IF(Paramètres!J50="",0,IF(Paramètres!K50="",NA(),IF(RIGHT(TRIM(Paramètres!K50),3)="Fin",WORKDAY(IF(LEFT(TRIM(Paramètres!K50),1)="F",INDEX($F$4:$F$56,MATCH(Paramètres!J50,Paramètres!$G$5:$G$57,0)),INDEX($E$4:$E$56,MATCH(Paramètres!J50,Paramètres!$G$5:$G$57,0))),1-$H49),IF(LEFT(TRIM(Paramètres!K50),1)="F",WORKDAY(IF(LEFT(TRIM(Paramètres!K50),1)="F",INDEX($F$4:$F$56,MATCH(Paramètres!J50,Paramètres!$G$5:$G$57,0)),INDEX($E$4:$E$56,MATCH(Paramètres!J50,Paramètres!$G$5:$G$57,0))),1),IF(LEFT(TRIM(Paramètres!K50),1)="F",INDEX($F$4:$F$56,MATCH(Paramètres!J50,Paramètres!$G$5:$G$57,0)),INDEX($E$4:$E$56,MATCH(Paramètres!J50,Paramètres!$G$5:$G$57,0))))))),IF(Paramètres!L50="",0,IF(Paramètres!M50="",NA(),IF(RIGHT(TRIM(Paramètres!M50),3)="Fin",WORKDAY(IF(LEFT(TRIM(Paramètres!M50),1)="F",INDEX($F$4:$F$56,MATCH(Paramètres!L50,Paramètres!$G$5:$G$57,0)),INDEX($E$4:$E$56,MATCH(Paramètres!L50,Paramètres!$G$5:$G$57,0))),1-$H49),IF(LEFT(TRIM(Paramètres!M50),1)="F",WORKDAY(IF(LEFT(TRIM(Paramètres!M50),1)="F",INDEX($F$4:$F$56,MATCH(Paramètres!L50,Paramètres!$G$5:$G$57,0)),INDEX($E$4:$E$56,MATCH(Paramètres!L50,Paramètres!$G$5:$G$57,0))),1),IF(LEFT(TRIM(Paramètres!M50),1)="F",INDEX($F$4:$F$56,MATCH(Paramètres!L50,Paramètres!$G$5:$G$57,0)),INDEX($E$4:$E$56,MATCH(Paramètres!L50,Paramètres!$G$5:$G$57,0))))))),IF(Paramètres!N50="",0,IF(Paramètres!O50="",NA(),IF(RIGHT(TRIM(Paramètres!O50),3)="Fin",WORKDAY(IF(LEFT(TRIM(Paramètres!O50),1)="F",INDEX($F$4:$F$56,MATCH(Paramètres!N50,Paramètres!$G$5:$G$57,0)),INDEX($E$4:$E$56,MATCH(Paramètres!N50,Paramètres!$G$5:$G$57,0))),1-$H49),IF(LEFT(TRIM(Paramètres!O50),1)="F",WORKDAY(IF(LEFT(TRIM(Paramètres!O50),1)="F",INDEX($F$4:$F$56,MATCH(Paramètres!N50,Paramètres!$G$5:$G$57,0)),INDEX($E$4:$E$56,MATCH(Paramètres!N50,Paramètres!$G$5:$G$57,0))),1),IF(LEFT(TRIM(Paramètres!O50),1)="F",INDEX($F$4:$F$56,MATCH(Paramètres!N50,Paramètres!$G$5:$G$57,0)),INDEX($E$4:$E$56,MATCH(Paramètres!N50,Paramètres!$G$5:$G$57,0)))))))))</f>
        <v>46408</v>
      </c>
      <c r="F49" s="4">
        <f t="shared" si="1"/>
        <v>46408</v>
      </c>
      <c r="H49">
        <f>Paramètres!B50</f>
        <v>1</v>
      </c>
    </row>
    <row r="50" spans="2:8" ht="14.25" customHeight="1" x14ac:dyDescent="0.3">
      <c r="B50" s="3" t="str">
        <f>Paramètres!G51</f>
        <v>5.14</v>
      </c>
      <c r="C50" s="3" t="str">
        <f>IF(Paramètres!H51="","",Paramètres!H51)</f>
        <v/>
      </c>
      <c r="D50" s="3" t="str">
        <f>IF(Paramètres!I51="","",Paramètres!I51)</f>
        <v>information chef de service</v>
      </c>
      <c r="E50" s="4">
        <f>IF(Paramètres!J51&amp;Paramètres!L51&amp;Paramètres!N51="",WORKDAY($A$6-1,1),MAX(IF(Paramètres!J51="",0,IF(Paramètres!K51="",NA(),IF(RIGHT(TRIM(Paramètres!K51),3)="Fin",WORKDAY(IF(LEFT(TRIM(Paramètres!K51),1)="F",INDEX($F$4:$F$56,MATCH(Paramètres!J51,Paramètres!$G$5:$G$57,0)),INDEX($E$4:$E$56,MATCH(Paramètres!J51,Paramètres!$G$5:$G$57,0))),1-$H50),IF(LEFT(TRIM(Paramètres!K51),1)="F",WORKDAY(IF(LEFT(TRIM(Paramètres!K51),1)="F",INDEX($F$4:$F$56,MATCH(Paramètres!J51,Paramètres!$G$5:$G$57,0)),INDEX($E$4:$E$56,MATCH(Paramètres!J51,Paramètres!$G$5:$G$57,0))),1),IF(LEFT(TRIM(Paramètres!K51),1)="F",INDEX($F$4:$F$56,MATCH(Paramètres!J51,Paramètres!$G$5:$G$57,0)),INDEX($E$4:$E$56,MATCH(Paramètres!J51,Paramètres!$G$5:$G$57,0))))))),IF(Paramètres!L51="",0,IF(Paramètres!M51="",NA(),IF(RIGHT(TRIM(Paramètres!M51),3)="Fin",WORKDAY(IF(LEFT(TRIM(Paramètres!M51),1)="F",INDEX($F$4:$F$56,MATCH(Paramètres!L51,Paramètres!$G$5:$G$57,0)),INDEX($E$4:$E$56,MATCH(Paramètres!L51,Paramètres!$G$5:$G$57,0))),1-$H50),IF(LEFT(TRIM(Paramètres!M51),1)="F",WORKDAY(IF(LEFT(TRIM(Paramètres!M51),1)="F",INDEX($F$4:$F$56,MATCH(Paramètres!L51,Paramètres!$G$5:$G$57,0)),INDEX($E$4:$E$56,MATCH(Paramètres!L51,Paramètres!$G$5:$G$57,0))),1),IF(LEFT(TRIM(Paramètres!M51),1)="F",INDEX($F$4:$F$56,MATCH(Paramètres!L51,Paramètres!$G$5:$G$57,0)),INDEX($E$4:$E$56,MATCH(Paramètres!L51,Paramètres!$G$5:$G$57,0))))))),IF(Paramètres!N51="",0,IF(Paramètres!O51="",NA(),IF(RIGHT(TRIM(Paramètres!O51),3)="Fin",WORKDAY(IF(LEFT(TRIM(Paramètres!O51),1)="F",INDEX($F$4:$F$56,MATCH(Paramètres!N51,Paramètres!$G$5:$G$57,0)),INDEX($E$4:$E$56,MATCH(Paramètres!N51,Paramètres!$G$5:$G$57,0))),1-$H50),IF(LEFT(TRIM(Paramètres!O51),1)="F",WORKDAY(IF(LEFT(TRIM(Paramètres!O51),1)="F",INDEX($F$4:$F$56,MATCH(Paramètres!N51,Paramètres!$G$5:$G$57,0)),INDEX($E$4:$E$56,MATCH(Paramètres!N51,Paramètres!$G$5:$G$57,0))),1),IF(LEFT(TRIM(Paramètres!O51),1)="F",INDEX($F$4:$F$56,MATCH(Paramètres!N51,Paramètres!$G$5:$G$57,0)),INDEX($E$4:$E$56,MATCH(Paramètres!N51,Paramètres!$G$5:$G$57,0)))))))))</f>
        <v>46409</v>
      </c>
      <c r="F50" s="4">
        <f t="shared" si="1"/>
        <v>46409</v>
      </c>
      <c r="H50">
        <f>Paramètres!B51</f>
        <v>1</v>
      </c>
    </row>
    <row r="51" spans="2:8" ht="14.25" customHeight="1" x14ac:dyDescent="0.3">
      <c r="B51" s="3" t="str">
        <f>Paramètres!G52</f>
        <v>5.15</v>
      </c>
      <c r="C51" s="3" t="str">
        <f>IF(Paramètres!H52="","",Paramètres!H52)</f>
        <v/>
      </c>
      <c r="D51" s="3" t="str">
        <f>IF(Paramètres!I52="","",Paramètres!I52)</f>
        <v>GESTMAX - valide recrutement</v>
      </c>
      <c r="E51" s="4">
        <f>IF(Paramètres!J52&amp;Paramètres!L52&amp;Paramètres!N52="",WORKDAY($A$6-1,1),MAX(IF(Paramètres!J52="",0,IF(Paramètres!K52="",NA(),IF(RIGHT(TRIM(Paramètres!K52),3)="Fin",WORKDAY(IF(LEFT(TRIM(Paramètres!K52),1)="F",INDEX($F$4:$F$56,MATCH(Paramètres!J52,Paramètres!$G$5:$G$57,0)),INDEX($E$4:$E$56,MATCH(Paramètres!J52,Paramètres!$G$5:$G$57,0))),1-$H51),IF(LEFT(TRIM(Paramètres!K52),1)="F",WORKDAY(IF(LEFT(TRIM(Paramètres!K52),1)="F",INDEX($F$4:$F$56,MATCH(Paramètres!J52,Paramètres!$G$5:$G$57,0)),INDEX($E$4:$E$56,MATCH(Paramètres!J52,Paramètres!$G$5:$G$57,0))),1),IF(LEFT(TRIM(Paramètres!K52),1)="F",INDEX($F$4:$F$56,MATCH(Paramètres!J52,Paramètres!$G$5:$G$57,0)),INDEX($E$4:$E$56,MATCH(Paramètres!J52,Paramètres!$G$5:$G$57,0))))))),IF(Paramètres!L52="",0,IF(Paramètres!M52="",NA(),IF(RIGHT(TRIM(Paramètres!M52),3)="Fin",WORKDAY(IF(LEFT(TRIM(Paramètres!M52),1)="F",INDEX($F$4:$F$56,MATCH(Paramètres!L52,Paramètres!$G$5:$G$57,0)),INDEX($E$4:$E$56,MATCH(Paramètres!L52,Paramètres!$G$5:$G$57,0))),1-$H51),IF(LEFT(TRIM(Paramètres!M52),1)="F",WORKDAY(IF(LEFT(TRIM(Paramètres!M52),1)="F",INDEX($F$4:$F$56,MATCH(Paramètres!L52,Paramètres!$G$5:$G$57,0)),INDEX($E$4:$E$56,MATCH(Paramètres!L52,Paramètres!$G$5:$G$57,0))),1),IF(LEFT(TRIM(Paramètres!M52),1)="F",INDEX($F$4:$F$56,MATCH(Paramètres!L52,Paramètres!$G$5:$G$57,0)),INDEX($E$4:$E$56,MATCH(Paramètres!L52,Paramètres!$G$5:$G$57,0))))))),IF(Paramètres!N52="",0,IF(Paramètres!O52="",NA(),IF(RIGHT(TRIM(Paramètres!O52),3)="Fin",WORKDAY(IF(LEFT(TRIM(Paramètres!O52),1)="F",INDEX($F$4:$F$56,MATCH(Paramètres!N52,Paramètres!$G$5:$G$57,0)),INDEX($E$4:$E$56,MATCH(Paramètres!N52,Paramètres!$G$5:$G$57,0))),1-$H51),IF(LEFT(TRIM(Paramètres!O52),1)="F",WORKDAY(IF(LEFT(TRIM(Paramètres!O52),1)="F",INDEX($F$4:$F$56,MATCH(Paramètres!N52,Paramètres!$G$5:$G$57,0)),INDEX($E$4:$E$56,MATCH(Paramètres!N52,Paramètres!$G$5:$G$57,0))),1),IF(LEFT(TRIM(Paramètres!O52),1)="F",INDEX($F$4:$F$56,MATCH(Paramètres!N52,Paramètres!$G$5:$G$57,0)),INDEX($E$4:$E$56,MATCH(Paramètres!N52,Paramètres!$G$5:$G$57,0)))))))))</f>
        <v>46409</v>
      </c>
      <c r="F51" s="4">
        <f t="shared" si="1"/>
        <v>46422</v>
      </c>
      <c r="H51">
        <f>Paramètres!B52</f>
        <v>10</v>
      </c>
    </row>
    <row r="52" spans="2:8" ht="14.25" customHeight="1" x14ac:dyDescent="0.3">
      <c r="B52" s="3" t="str">
        <f>Paramètres!G53</f>
        <v>5.16</v>
      </c>
      <c r="C52" s="3" t="str">
        <f>IF(Paramètres!H53="","",Paramètres!H53)</f>
        <v/>
      </c>
      <c r="D52" s="3" t="str">
        <f>IF(Paramètres!I53="","",Paramètres!I53)</f>
        <v>Courrier de recrutement</v>
      </c>
      <c r="E52" s="4">
        <f>IF(Paramètres!J53&amp;Paramètres!L53&amp;Paramètres!N53="",WORKDAY($A$6-1,1),MAX(IF(Paramètres!J53="",0,IF(Paramètres!K53="",NA(),IF(RIGHT(TRIM(Paramètres!K53),3)="Fin",WORKDAY(IF(LEFT(TRIM(Paramètres!K53),1)="F",INDEX($F$4:$F$56,MATCH(Paramètres!J53,Paramètres!$G$5:$G$57,0)),INDEX($E$4:$E$56,MATCH(Paramètres!J53,Paramètres!$G$5:$G$57,0))),1-$H52),IF(LEFT(TRIM(Paramètres!K53),1)="F",WORKDAY(IF(LEFT(TRIM(Paramètres!K53),1)="F",INDEX($F$4:$F$56,MATCH(Paramètres!J53,Paramètres!$G$5:$G$57,0)),INDEX($E$4:$E$56,MATCH(Paramètres!J53,Paramètres!$G$5:$G$57,0))),1),IF(LEFT(TRIM(Paramètres!K53),1)="F",INDEX($F$4:$F$56,MATCH(Paramètres!J53,Paramètres!$G$5:$G$57,0)),INDEX($E$4:$E$56,MATCH(Paramètres!J53,Paramètres!$G$5:$G$57,0))))))),IF(Paramètres!L53="",0,IF(Paramètres!M53="",NA(),IF(RIGHT(TRIM(Paramètres!M53),3)="Fin",WORKDAY(IF(LEFT(TRIM(Paramètres!M53),1)="F",INDEX($F$4:$F$56,MATCH(Paramètres!L53,Paramètres!$G$5:$G$57,0)),INDEX($E$4:$E$56,MATCH(Paramètres!L53,Paramètres!$G$5:$G$57,0))),1-$H52),IF(LEFT(TRIM(Paramètres!M53),1)="F",WORKDAY(IF(LEFT(TRIM(Paramètres!M53),1)="F",INDEX($F$4:$F$56,MATCH(Paramètres!L53,Paramètres!$G$5:$G$57,0)),INDEX($E$4:$E$56,MATCH(Paramètres!L53,Paramètres!$G$5:$G$57,0))),1),IF(LEFT(TRIM(Paramètres!M53),1)="F",INDEX($F$4:$F$56,MATCH(Paramètres!L53,Paramètres!$G$5:$G$57,0)),INDEX($E$4:$E$56,MATCH(Paramètres!L53,Paramètres!$G$5:$G$57,0))))))),IF(Paramètres!N53="",0,IF(Paramètres!O53="",NA(),IF(RIGHT(TRIM(Paramètres!O53),3)="Fin",WORKDAY(IF(LEFT(TRIM(Paramètres!O53),1)="F",INDEX($F$4:$F$56,MATCH(Paramètres!N53,Paramètres!$G$5:$G$57,0)),INDEX($E$4:$E$56,MATCH(Paramètres!N53,Paramètres!$G$5:$G$57,0))),1-$H52),IF(LEFT(TRIM(Paramètres!O53),1)="F",WORKDAY(IF(LEFT(TRIM(Paramètres!O53),1)="F",INDEX($F$4:$F$56,MATCH(Paramètres!N53,Paramètres!$G$5:$G$57,0)),INDEX($E$4:$E$56,MATCH(Paramètres!N53,Paramètres!$G$5:$G$57,0))),1),IF(LEFT(TRIM(Paramètres!O53),1)="F",INDEX($F$4:$F$56,MATCH(Paramètres!N53,Paramètres!$G$5:$G$57,0)),INDEX($E$4:$E$56,MATCH(Paramètres!N53,Paramètres!$G$5:$G$57,0)))))))))</f>
        <v>46409</v>
      </c>
      <c r="F52" s="4">
        <f t="shared" si="1"/>
        <v>46409</v>
      </c>
      <c r="H52">
        <f>Paramètres!B53</f>
        <v>1</v>
      </c>
    </row>
    <row r="53" spans="2:8" ht="14.25" customHeight="1" x14ac:dyDescent="0.3">
      <c r="B53" t="str">
        <f>Paramètres!G54</f>
        <v>5.17</v>
      </c>
      <c r="C53" t="str">
        <f>IF(Paramètres!H54="","",Paramètres!H54)</f>
        <v/>
      </c>
      <c r="D53" t="str">
        <f>IF(Paramètres!I54="","",Paramètres!I54)</f>
        <v>Clôture du jury</v>
      </c>
      <c r="E53" s="4">
        <f>IF(Paramètres!J54&amp;Paramètres!L54&amp;Paramètres!N54="",WORKDAY($A$6-1,1),MAX(IF(Paramètres!J54="",0,IF(Paramètres!K54="",NA(),IF(RIGHT(TRIM(Paramètres!K54),3)="Fin",WORKDAY(IF(LEFT(TRIM(Paramètres!K54),1)="F",INDEX($F$4:$F$56,MATCH(Paramètres!J54,Paramètres!$G$5:$G$57,0)),INDEX($E$4:$E$56,MATCH(Paramètres!J54,Paramètres!$G$5:$G$57,0))),1-$H53),IF(LEFT(TRIM(Paramètres!K54),1)="F",WORKDAY(IF(LEFT(TRIM(Paramètres!K54),1)="F",INDEX($F$4:$F$56,MATCH(Paramètres!J54,Paramètres!$G$5:$G$57,0)),INDEX($E$4:$E$56,MATCH(Paramètres!J54,Paramètres!$G$5:$G$57,0))),1),IF(LEFT(TRIM(Paramètres!K54),1)="F",INDEX($F$4:$F$56,MATCH(Paramètres!J54,Paramètres!$G$5:$G$57,0)),INDEX($E$4:$E$56,MATCH(Paramètres!J54,Paramètres!$G$5:$G$57,0))))))),IF(Paramètres!L54="",0,IF(Paramètres!M54="",NA(),IF(RIGHT(TRIM(Paramètres!M54),3)="Fin",WORKDAY(IF(LEFT(TRIM(Paramètres!M54),1)="F",INDEX($F$4:$F$56,MATCH(Paramètres!L54,Paramètres!$G$5:$G$57,0)),INDEX($E$4:$E$56,MATCH(Paramètres!L54,Paramètres!$G$5:$G$57,0))),1-$H53),IF(LEFT(TRIM(Paramètres!M54),1)="F",WORKDAY(IF(LEFT(TRIM(Paramètres!M54),1)="F",INDEX($F$4:$F$56,MATCH(Paramètres!L54,Paramètres!$G$5:$G$57,0)),INDEX($E$4:$E$56,MATCH(Paramètres!L54,Paramètres!$G$5:$G$57,0))),1),IF(LEFT(TRIM(Paramètres!M54),1)="F",INDEX($F$4:$F$56,MATCH(Paramètres!L54,Paramètres!$G$5:$G$57,0)),INDEX($E$4:$E$56,MATCH(Paramètres!L54,Paramètres!$G$5:$G$57,0))))))),IF(Paramètres!N54="",0,IF(Paramètres!O54="",NA(),IF(RIGHT(TRIM(Paramètres!O54),3)="Fin",WORKDAY(IF(LEFT(TRIM(Paramètres!O54),1)="F",INDEX($F$4:$F$56,MATCH(Paramètres!N54,Paramètres!$G$5:$G$57,0)),INDEX($E$4:$E$56,MATCH(Paramètres!N54,Paramètres!$G$5:$G$57,0))),1-$H53),IF(LEFT(TRIM(Paramètres!O54),1)="F",WORKDAY(IF(LEFT(TRIM(Paramètres!O54),1)="F",INDEX($F$4:$F$56,MATCH(Paramètres!N54,Paramètres!$G$5:$G$57,0)),INDEX($E$4:$E$56,MATCH(Paramètres!N54,Paramètres!$G$5:$G$57,0))),1),IF(LEFT(TRIM(Paramètres!O54),1)="F",INDEX($F$4:$F$56,MATCH(Paramètres!N54,Paramètres!$G$5:$G$57,0)),INDEX($E$4:$E$56,MATCH(Paramètres!N54,Paramètres!$G$5:$G$57,0)))))))))</f>
        <v>46408</v>
      </c>
      <c r="F53" s="4">
        <f t="shared" si="1"/>
        <v>46408</v>
      </c>
      <c r="H53">
        <f>Paramètres!B54</f>
        <v>1</v>
      </c>
    </row>
    <row r="54" spans="2:8" ht="14.25" customHeight="1" x14ac:dyDescent="0.3">
      <c r="B54" t="str">
        <f>Paramètres!G55</f>
        <v>5.18</v>
      </c>
      <c r="C54" t="str">
        <f>IF(Paramètres!H55="","",Paramètres!H55)</f>
        <v/>
      </c>
      <c r="D54" t="str">
        <f>IF(Paramètres!I55="","",Paramètres!I55)</f>
        <v>Clôture avis de recrutement</v>
      </c>
      <c r="E54" s="4">
        <f>IF(Paramètres!J55&amp;Paramètres!L55&amp;Paramètres!N55="",WORKDAY($A$6-1,1),MAX(IF(Paramètres!J55="",0,IF(Paramètres!K55="",NA(),IF(RIGHT(TRIM(Paramètres!K55),3)="Fin",WORKDAY(IF(LEFT(TRIM(Paramètres!K55),1)="F",INDEX($F$4:$F$56,MATCH(Paramètres!J55,Paramètres!$G$5:$G$57,0)),INDEX($E$4:$E$56,MATCH(Paramètres!J55,Paramètres!$G$5:$G$57,0))),1-$H54),IF(LEFT(TRIM(Paramètres!K55),1)="F",WORKDAY(IF(LEFT(TRIM(Paramètres!K55),1)="F",INDEX($F$4:$F$56,MATCH(Paramètres!J55,Paramètres!$G$5:$G$57,0)),INDEX($E$4:$E$56,MATCH(Paramètres!J55,Paramètres!$G$5:$G$57,0))),1),IF(LEFT(TRIM(Paramètres!K55),1)="F",INDEX($F$4:$F$56,MATCH(Paramètres!J55,Paramètres!$G$5:$G$57,0)),INDEX($E$4:$E$56,MATCH(Paramètres!J55,Paramètres!$G$5:$G$57,0))))))),IF(Paramètres!L55="",0,IF(Paramètres!M55="",NA(),IF(RIGHT(TRIM(Paramètres!M55),3)="Fin",WORKDAY(IF(LEFT(TRIM(Paramètres!M55),1)="F",INDEX($F$4:$F$56,MATCH(Paramètres!L55,Paramètres!$G$5:$G$57,0)),INDEX($E$4:$E$56,MATCH(Paramètres!L55,Paramètres!$G$5:$G$57,0))),1-$H54),IF(LEFT(TRIM(Paramètres!M55),1)="F",WORKDAY(IF(LEFT(TRIM(Paramètres!M55),1)="F",INDEX($F$4:$F$56,MATCH(Paramètres!L55,Paramètres!$G$5:$G$57,0)),INDEX($E$4:$E$56,MATCH(Paramètres!L55,Paramètres!$G$5:$G$57,0))),1),IF(LEFT(TRIM(Paramètres!M55),1)="F",INDEX($F$4:$F$56,MATCH(Paramètres!L55,Paramètres!$G$5:$G$57,0)),INDEX($E$4:$E$56,MATCH(Paramètres!L55,Paramètres!$G$5:$G$57,0))))))),IF(Paramètres!N55="",0,IF(Paramètres!O55="",NA(),IF(RIGHT(TRIM(Paramètres!O55),3)="Fin",WORKDAY(IF(LEFT(TRIM(Paramètres!O55),1)="F",INDEX($F$4:$F$56,MATCH(Paramètres!N55,Paramètres!$G$5:$G$57,0)),INDEX($E$4:$E$56,MATCH(Paramètres!N55,Paramètres!$G$5:$G$57,0))),1-$H54),IF(LEFT(TRIM(Paramètres!O55),1)="F",WORKDAY(IF(LEFT(TRIM(Paramètres!O55),1)="F",INDEX($F$4:$F$56,MATCH(Paramètres!N55,Paramètres!$G$5:$G$57,0)),INDEX($E$4:$E$56,MATCH(Paramètres!N55,Paramètres!$G$5:$G$57,0))),1),IF(LEFT(TRIM(Paramètres!O55),1)="F",INDEX($F$4:$F$56,MATCH(Paramètres!N55,Paramètres!$G$5:$G$57,0)),INDEX($E$4:$E$56,MATCH(Paramètres!N55,Paramètres!$G$5:$G$57,0)))))))))</f>
        <v>46409</v>
      </c>
      <c r="F54" s="4">
        <f t="shared" si="1"/>
        <v>46409</v>
      </c>
      <c r="H54">
        <f>Paramètres!B55</f>
        <v>1</v>
      </c>
    </row>
    <row r="55" spans="2:8" ht="14.25" customHeight="1" x14ac:dyDescent="0.3">
      <c r="B55">
        <f>Paramètres!G56</f>
        <v>6</v>
      </c>
      <c r="C55" t="str">
        <f>IF(Paramètres!H56="","",Paramètres!H56)</f>
        <v>Procédure de recrutement</v>
      </c>
      <c r="D55" t="str">
        <f>IF(Paramètres!I56="","",Paramètres!I56)</f>
        <v/>
      </c>
      <c r="E55" s="4">
        <f>MIN(E56:E56)</f>
        <v>46409</v>
      </c>
      <c r="F55" s="4">
        <f>MAX(F56:F56)</f>
        <v>46409</v>
      </c>
      <c r="H55">
        <f>NETWORKDAYS(E55,F55)</f>
        <v>1</v>
      </c>
    </row>
    <row r="56" spans="2:8" ht="14.25" customHeight="1" x14ac:dyDescent="0.3">
      <c r="B56" t="str">
        <f>Paramètres!G57</f>
        <v>6.1</v>
      </c>
      <c r="C56" t="str">
        <f>IF(Paramètres!H57="","",Paramètres!H57)</f>
        <v/>
      </c>
      <c r="D56" t="str">
        <f>IF(Paramètres!I57="","",Paramètres!I57)</f>
        <v>Gestmax - demande pièces admis.</v>
      </c>
      <c r="E56" s="4">
        <f>IF(Paramètres!J57&amp;Paramètres!L57&amp;Paramètres!N57="",WORKDAY($A$6-1,1),MAX(IF(Paramètres!J57="",0,IF(Paramètres!K57="",NA(),IF(RIGHT(TRIM(Paramètres!K57),3)="Fin",WORKDAY(IF(LEFT(TRIM(Paramètres!K57),1)="F",INDEX($F$4:$F$56,MATCH(Paramètres!J57,Paramètres!$G$5:$G$57,0)),INDEX($E$4:$E$56,MATCH(Paramètres!J57,Paramètres!$G$5:$G$57,0))),1-$H56),IF(LEFT(TRIM(Paramètres!K57),1)="F",WORKDAY(IF(LEFT(TRIM(Paramètres!K57),1)="F",INDEX($F$4:$F$56,MATCH(Paramètres!J57,Paramètres!$G$5:$G$57,0)),INDEX($E$4:$E$56,MATCH(Paramètres!J57,Paramètres!$G$5:$G$57,0))),1),IF(LEFT(TRIM(Paramètres!K57),1)="F",INDEX($F$4:$F$56,MATCH(Paramètres!J57,Paramètres!$G$5:$G$57,0)),INDEX($E$4:$E$56,MATCH(Paramètres!J57,Paramètres!$G$5:$G$57,0))))))),IF(Paramètres!L57="",0,IF(Paramètres!M57="",NA(),IF(RIGHT(TRIM(Paramètres!M57),3)="Fin",WORKDAY(IF(LEFT(TRIM(Paramètres!M57),1)="F",INDEX($F$4:$F$56,MATCH(Paramètres!L57,Paramètres!$G$5:$G$57,0)),INDEX($E$4:$E$56,MATCH(Paramètres!L57,Paramètres!$G$5:$G$57,0))),1-$H56),IF(LEFT(TRIM(Paramètres!M57),1)="F",WORKDAY(IF(LEFT(TRIM(Paramètres!M57),1)="F",INDEX($F$4:$F$56,MATCH(Paramètres!L57,Paramètres!$G$5:$G$57,0)),INDEX($E$4:$E$56,MATCH(Paramètres!L57,Paramètres!$G$5:$G$57,0))),1),IF(LEFT(TRIM(Paramètres!M57),1)="F",INDEX($F$4:$F$56,MATCH(Paramètres!L57,Paramètres!$G$5:$G$57,0)),INDEX($E$4:$E$56,MATCH(Paramètres!L57,Paramètres!$G$5:$G$57,0))))))),IF(Paramètres!N57="",0,IF(Paramètres!O57="",NA(),IF(RIGHT(TRIM(Paramètres!O57),3)="Fin",WORKDAY(IF(LEFT(TRIM(Paramètres!O57),1)="F",INDEX($F$4:$F$56,MATCH(Paramètres!N57,Paramètres!$G$5:$G$57,0)),INDEX($E$4:$E$56,MATCH(Paramètres!N57,Paramètres!$G$5:$G$57,0))),1-$H56),IF(LEFT(TRIM(Paramètres!O57),1)="F",WORKDAY(IF(LEFT(TRIM(Paramètres!O57),1)="F",INDEX($F$4:$F$56,MATCH(Paramètres!N57,Paramètres!$G$5:$G$57,0)),INDEX($E$4:$E$56,MATCH(Paramètres!N57,Paramètres!$G$5:$G$57,0))),1),IF(LEFT(TRIM(Paramètres!O57),1)="F",INDEX($F$4:$F$56,MATCH(Paramètres!N57,Paramètres!$G$5:$G$57,0)),INDEX($E$4:$E$56,MATCH(Paramètres!N57,Paramètres!$G$5:$G$57,0)))))))))</f>
        <v>46409</v>
      </c>
      <c r="F56" s="4">
        <f>IF($H56=0,WORKDAY(E56,-1),WORKDAY(E56,$H56-1))</f>
        <v>46409</v>
      </c>
      <c r="H56">
        <f>Paramètres!B57</f>
        <v>1</v>
      </c>
    </row>
  </sheetData>
  <conditionalFormatting sqref="B4:H56">
    <cfRule type="expression" dxfId="1" priority="2">
      <formula>AND(ISNUMBER($F4),TODAY()&gt;$F4,$G4&lt;&gt;"Réalisé",$G4&lt;&gt;"Clôturé")</formula>
    </cfRule>
  </conditionalFormatting>
  <pageMargins left="0.75" right="0.75" top="1" bottom="1" header="0.511811023622047" footer="0.511811023622047"/>
  <pageSetup paperSize="9" orientation="portrait" horizontalDpi="300" verticalDpi="300"/>
  <ignoredErrors>
    <ignoredError sqref="F9 F14 F31 F36 F55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Paramètres!$C$6:$C$11</xm:f>
          </x14:formula1>
          <x14:formula2>
            <xm:f>0</xm:f>
          </x14:formula2>
          <xm:sqref>G4:G56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7"/>
  <sheetViews>
    <sheetView zoomScaleNormal="100" workbookViewId="0">
      <selection activeCell="A4" sqref="A4"/>
    </sheetView>
  </sheetViews>
  <sheetFormatPr baseColWidth="10" defaultColWidth="8.88671875" defaultRowHeight="14.4" x14ac:dyDescent="0.3"/>
  <cols>
    <col min="1" max="1" width="34.5546875" customWidth="1"/>
    <col min="2" max="2" width="10.5546875" customWidth="1"/>
    <col min="3" max="3" width="20" customWidth="1"/>
    <col min="5" max="5" width="16" customWidth="1"/>
    <col min="7" max="7" width="9.77734375" customWidth="1"/>
    <col min="8" max="8" width="25.109375" customWidth="1"/>
    <col min="9" max="9" width="28.5546875" customWidth="1"/>
    <col min="10" max="10" width="13" customWidth="1"/>
    <col min="11" max="11" width="16" customWidth="1"/>
    <col min="12" max="12" width="13" customWidth="1"/>
    <col min="13" max="13" width="16" customWidth="1"/>
    <col min="14" max="14" width="13" customWidth="1"/>
    <col min="15" max="15" width="16" customWidth="1"/>
  </cols>
  <sheetData>
    <row r="1" spans="1:15" ht="14.25" customHeight="1" x14ac:dyDescent="0.3">
      <c r="A1" s="1" t="s">
        <v>6</v>
      </c>
      <c r="B1" s="4">
        <f>Suivi!A6</f>
        <v>46308</v>
      </c>
    </row>
    <row r="2" spans="1:15" ht="14.25" customHeight="1" x14ac:dyDescent="0.3">
      <c r="A2" t="s">
        <v>7</v>
      </c>
    </row>
    <row r="4" spans="1:15" ht="14.25" customHeight="1" x14ac:dyDescent="0.3">
      <c r="A4" s="1" t="s">
        <v>8</v>
      </c>
      <c r="B4" s="1" t="s">
        <v>9</v>
      </c>
      <c r="C4" s="1" t="s">
        <v>10</v>
      </c>
      <c r="E4" s="1" t="s">
        <v>11</v>
      </c>
      <c r="G4" s="1" t="s">
        <v>8</v>
      </c>
      <c r="H4" s="1" t="s">
        <v>12</v>
      </c>
      <c r="I4" s="1" t="s">
        <v>13</v>
      </c>
      <c r="J4" s="1" t="s">
        <v>14</v>
      </c>
      <c r="K4" s="1" t="s">
        <v>15</v>
      </c>
      <c r="L4" s="1" t="s">
        <v>16</v>
      </c>
      <c r="M4" s="1" t="s">
        <v>17</v>
      </c>
      <c r="N4" s="1" t="s">
        <v>18</v>
      </c>
      <c r="O4" s="1" t="s">
        <v>19</v>
      </c>
    </row>
    <row r="5" spans="1:15" ht="14.25" customHeight="1" x14ac:dyDescent="0.3">
      <c r="A5" s="5">
        <v>1</v>
      </c>
      <c r="B5" s="5">
        <f>Suivi!H4</f>
        <v>47</v>
      </c>
      <c r="C5" t="b">
        <f>FALSE()</f>
        <v>0</v>
      </c>
      <c r="G5">
        <v>1</v>
      </c>
      <c r="H5" t="s">
        <v>20</v>
      </c>
      <c r="J5" s="5"/>
      <c r="K5" s="5"/>
      <c r="L5" s="5"/>
      <c r="M5" s="5"/>
      <c r="N5" s="5"/>
      <c r="O5" s="5"/>
    </row>
    <row r="6" spans="1:15" ht="14.25" customHeight="1" x14ac:dyDescent="0.3">
      <c r="A6" t="s">
        <v>21</v>
      </c>
      <c r="B6">
        <v>15</v>
      </c>
      <c r="C6" t="s">
        <v>22</v>
      </c>
      <c r="E6" t="s">
        <v>23</v>
      </c>
      <c r="G6" t="s">
        <v>21</v>
      </c>
      <c r="I6" t="s">
        <v>24</v>
      </c>
    </row>
    <row r="7" spans="1:15" ht="14.25" customHeight="1" x14ac:dyDescent="0.3">
      <c r="A7" t="s">
        <v>25</v>
      </c>
      <c r="B7">
        <v>1</v>
      </c>
      <c r="C7" t="s">
        <v>26</v>
      </c>
      <c r="E7" t="s">
        <v>27</v>
      </c>
      <c r="G7" t="s">
        <v>25</v>
      </c>
      <c r="I7" t="s">
        <v>28</v>
      </c>
      <c r="J7" t="str">
        <f>G11</f>
        <v>2.1</v>
      </c>
      <c r="K7" t="s">
        <v>27</v>
      </c>
      <c r="L7" t="str">
        <f>G12</f>
        <v>2.2</v>
      </c>
      <c r="M7" t="s">
        <v>27</v>
      </c>
      <c r="N7" t="str">
        <f>G13</f>
        <v>2.3</v>
      </c>
      <c r="O7" t="s">
        <v>27</v>
      </c>
    </row>
    <row r="8" spans="1:15" ht="14.25" customHeight="1" x14ac:dyDescent="0.3">
      <c r="A8" t="s">
        <v>29</v>
      </c>
      <c r="B8">
        <v>1</v>
      </c>
      <c r="C8" t="s">
        <v>5</v>
      </c>
      <c r="E8" t="s">
        <v>30</v>
      </c>
      <c r="G8" t="s">
        <v>29</v>
      </c>
      <c r="I8" t="s">
        <v>31</v>
      </c>
      <c r="J8" t="str">
        <f>G7</f>
        <v>1.2</v>
      </c>
      <c r="K8" t="s">
        <v>27</v>
      </c>
    </row>
    <row r="9" spans="1:15" ht="14.25" customHeight="1" x14ac:dyDescent="0.3">
      <c r="A9" t="s">
        <v>32</v>
      </c>
      <c r="B9">
        <v>1</v>
      </c>
      <c r="C9" t="s">
        <v>33</v>
      </c>
      <c r="E9" t="s">
        <v>34</v>
      </c>
      <c r="G9" t="s">
        <v>32</v>
      </c>
      <c r="I9" t="s">
        <v>35</v>
      </c>
      <c r="J9" t="str">
        <f>G8</f>
        <v>1.3</v>
      </c>
      <c r="K9" t="s">
        <v>34</v>
      </c>
    </row>
    <row r="10" spans="1:15" ht="14.25" customHeight="1" x14ac:dyDescent="0.3">
      <c r="A10" s="5">
        <v>2</v>
      </c>
      <c r="B10" s="5">
        <f>Suivi!H9</f>
        <v>30</v>
      </c>
      <c r="C10" t="s">
        <v>36</v>
      </c>
      <c r="G10">
        <v>2</v>
      </c>
      <c r="H10" t="s">
        <v>37</v>
      </c>
      <c r="J10" s="5"/>
      <c r="K10" s="5"/>
      <c r="L10" s="5"/>
      <c r="M10" s="5"/>
      <c r="N10" s="5"/>
      <c r="O10" s="5"/>
    </row>
    <row r="11" spans="1:15" ht="14.25" customHeight="1" x14ac:dyDescent="0.3">
      <c r="A11" t="s">
        <v>38</v>
      </c>
      <c r="B11">
        <v>15</v>
      </c>
      <c r="C11" t="s">
        <v>39</v>
      </c>
      <c r="G11" t="s">
        <v>38</v>
      </c>
      <c r="I11" t="s">
        <v>40</v>
      </c>
      <c r="J11" t="str">
        <f>G6</f>
        <v>1.1</v>
      </c>
      <c r="K11" t="s">
        <v>27</v>
      </c>
    </row>
    <row r="12" spans="1:15" ht="14.25" customHeight="1" x14ac:dyDescent="0.3">
      <c r="A12" t="s">
        <v>41</v>
      </c>
      <c r="B12">
        <v>30</v>
      </c>
      <c r="G12" t="s">
        <v>41</v>
      </c>
      <c r="I12" t="s">
        <v>42</v>
      </c>
      <c r="J12" t="s">
        <v>21</v>
      </c>
      <c r="K12" t="s">
        <v>27</v>
      </c>
    </row>
    <row r="13" spans="1:15" ht="14.25" customHeight="1" x14ac:dyDescent="0.3">
      <c r="A13" t="s">
        <v>43</v>
      </c>
      <c r="B13">
        <v>0</v>
      </c>
      <c r="G13" t="s">
        <v>43</v>
      </c>
      <c r="I13" t="s">
        <v>44</v>
      </c>
      <c r="J13" t="s">
        <v>21</v>
      </c>
      <c r="K13" t="s">
        <v>27</v>
      </c>
    </row>
    <row r="14" spans="1:15" ht="14.25" customHeight="1" x14ac:dyDescent="0.3">
      <c r="A14" t="s">
        <v>45</v>
      </c>
      <c r="B14">
        <v>1</v>
      </c>
      <c r="G14" t="s">
        <v>45</v>
      </c>
      <c r="I14" t="s">
        <v>46</v>
      </c>
      <c r="J14" t="str">
        <f>G11</f>
        <v>2.1</v>
      </c>
      <c r="K14" t="s">
        <v>34</v>
      </c>
      <c r="L14" t="str">
        <f>G12</f>
        <v>2.2</v>
      </c>
      <c r="M14" t="s">
        <v>34</v>
      </c>
      <c r="N14" t="str">
        <f>G13</f>
        <v>2.3</v>
      </c>
      <c r="O14" t="s">
        <v>34</v>
      </c>
    </row>
    <row r="15" spans="1:15" ht="14.25" customHeight="1" x14ac:dyDescent="0.3">
      <c r="A15" s="5">
        <v>3</v>
      </c>
      <c r="B15" s="5">
        <f>Suivi!H14</f>
        <v>15</v>
      </c>
      <c r="G15">
        <v>3</v>
      </c>
      <c r="H15" t="s">
        <v>47</v>
      </c>
      <c r="J15" s="5"/>
      <c r="K15" s="5"/>
      <c r="L15" s="5"/>
      <c r="M15" s="5"/>
      <c r="N15" s="5"/>
      <c r="O15" s="5"/>
    </row>
    <row r="16" spans="1:15" ht="14.25" customHeight="1" x14ac:dyDescent="0.3">
      <c r="A16" t="s">
        <v>48</v>
      </c>
      <c r="B16">
        <v>1</v>
      </c>
      <c r="G16" t="s">
        <v>48</v>
      </c>
      <c r="I16" t="s">
        <v>49</v>
      </c>
      <c r="J16" t="str">
        <f>G12</f>
        <v>2.2</v>
      </c>
      <c r="K16" t="s">
        <v>23</v>
      </c>
      <c r="L16" t="str">
        <f>G13</f>
        <v>2.3</v>
      </c>
      <c r="M16" t="s">
        <v>23</v>
      </c>
      <c r="N16" t="str">
        <f>G14</f>
        <v>2.4</v>
      </c>
      <c r="O16" t="s">
        <v>23</v>
      </c>
    </row>
    <row r="17" spans="1:15" ht="14.25" customHeight="1" x14ac:dyDescent="0.3">
      <c r="A17" t="s">
        <v>50</v>
      </c>
      <c r="B17">
        <v>1</v>
      </c>
      <c r="G17" t="s">
        <v>50</v>
      </c>
      <c r="I17" t="s">
        <v>51</v>
      </c>
      <c r="J17" t="str">
        <f>G14</f>
        <v>2.4</v>
      </c>
      <c r="K17" t="s">
        <v>23</v>
      </c>
    </row>
    <row r="18" spans="1:15" ht="14.25" customHeight="1" x14ac:dyDescent="0.3">
      <c r="A18" t="s">
        <v>52</v>
      </c>
      <c r="B18">
        <v>1</v>
      </c>
      <c r="G18" t="s">
        <v>52</v>
      </c>
      <c r="I18" t="s">
        <v>53</v>
      </c>
      <c r="J18" t="str">
        <f t="shared" ref="J18:J24" si="0">G17</f>
        <v>3.2</v>
      </c>
      <c r="K18" t="s">
        <v>23</v>
      </c>
    </row>
    <row r="19" spans="1:15" ht="14.25" customHeight="1" x14ac:dyDescent="0.3">
      <c r="A19" t="s">
        <v>54</v>
      </c>
      <c r="B19">
        <v>1</v>
      </c>
      <c r="G19" t="s">
        <v>54</v>
      </c>
      <c r="I19" t="s">
        <v>55</v>
      </c>
      <c r="J19" t="str">
        <f t="shared" si="0"/>
        <v>3.3</v>
      </c>
      <c r="K19" t="s">
        <v>27</v>
      </c>
    </row>
    <row r="20" spans="1:15" ht="14.25" customHeight="1" x14ac:dyDescent="0.3">
      <c r="A20" t="s">
        <v>56</v>
      </c>
      <c r="B20">
        <v>1</v>
      </c>
      <c r="G20" t="s">
        <v>56</v>
      </c>
      <c r="I20" t="s">
        <v>57</v>
      </c>
      <c r="J20" t="str">
        <f t="shared" si="0"/>
        <v>3.4</v>
      </c>
      <c r="K20" t="s">
        <v>27</v>
      </c>
    </row>
    <row r="21" spans="1:15" ht="14.25" customHeight="1" x14ac:dyDescent="0.3">
      <c r="A21" t="s">
        <v>58</v>
      </c>
      <c r="B21">
        <v>2</v>
      </c>
      <c r="G21" t="s">
        <v>58</v>
      </c>
      <c r="I21" t="s">
        <v>59</v>
      </c>
      <c r="J21" t="str">
        <f t="shared" si="0"/>
        <v>3.5</v>
      </c>
      <c r="K21" t="s">
        <v>27</v>
      </c>
    </row>
    <row r="22" spans="1:15" ht="14.25" customHeight="1" x14ac:dyDescent="0.3">
      <c r="A22" t="s">
        <v>60</v>
      </c>
      <c r="B22">
        <v>1</v>
      </c>
      <c r="G22" t="s">
        <v>60</v>
      </c>
      <c r="I22" t="s">
        <v>61</v>
      </c>
      <c r="J22" t="str">
        <f t="shared" si="0"/>
        <v>3.6</v>
      </c>
      <c r="K22" t="s">
        <v>34</v>
      </c>
    </row>
    <row r="23" spans="1:15" ht="14.25" customHeight="1" x14ac:dyDescent="0.3">
      <c r="A23" t="s">
        <v>62</v>
      </c>
      <c r="B23">
        <v>5</v>
      </c>
      <c r="G23" t="s">
        <v>62</v>
      </c>
      <c r="I23" t="s">
        <v>63</v>
      </c>
      <c r="J23" t="str">
        <f t="shared" si="0"/>
        <v>3.7</v>
      </c>
      <c r="K23" t="s">
        <v>27</v>
      </c>
    </row>
    <row r="24" spans="1:15" ht="14.25" customHeight="1" x14ac:dyDescent="0.3">
      <c r="A24" t="s">
        <v>64</v>
      </c>
      <c r="B24">
        <v>2</v>
      </c>
      <c r="G24" t="s">
        <v>64</v>
      </c>
      <c r="I24" t="s">
        <v>59</v>
      </c>
      <c r="J24" t="str">
        <f t="shared" si="0"/>
        <v>3.8</v>
      </c>
      <c r="K24" t="s">
        <v>34</v>
      </c>
    </row>
    <row r="25" spans="1:15" ht="14.25" customHeight="1" x14ac:dyDescent="0.3">
      <c r="A25" t="s">
        <v>65</v>
      </c>
      <c r="B25">
        <v>1</v>
      </c>
      <c r="G25" t="s">
        <v>65</v>
      </c>
      <c r="I25" t="s">
        <v>66</v>
      </c>
      <c r="J25" t="s">
        <v>62</v>
      </c>
      <c r="K25" t="s">
        <v>27</v>
      </c>
    </row>
    <row r="26" spans="1:15" ht="14.25" customHeight="1" x14ac:dyDescent="0.3">
      <c r="A26" t="s">
        <v>67</v>
      </c>
      <c r="B26">
        <v>1</v>
      </c>
      <c r="G26" t="s">
        <v>67</v>
      </c>
      <c r="I26" t="s">
        <v>68</v>
      </c>
      <c r="J26" t="str">
        <f>G8</f>
        <v>1.3</v>
      </c>
      <c r="K26" t="s">
        <v>27</v>
      </c>
    </row>
    <row r="27" spans="1:15" ht="14.25" customHeight="1" x14ac:dyDescent="0.3">
      <c r="A27" t="s">
        <v>69</v>
      </c>
      <c r="B27">
        <v>1</v>
      </c>
      <c r="G27" t="s">
        <v>69</v>
      </c>
      <c r="I27" t="s">
        <v>70</v>
      </c>
      <c r="J27" t="str">
        <f>G25</f>
        <v>3.10</v>
      </c>
      <c r="K27" t="s">
        <v>27</v>
      </c>
    </row>
    <row r="28" spans="1:15" ht="14.25" customHeight="1" x14ac:dyDescent="0.3">
      <c r="A28" t="s">
        <v>71</v>
      </c>
      <c r="B28">
        <v>3</v>
      </c>
      <c r="G28" t="s">
        <v>71</v>
      </c>
      <c r="I28" t="s">
        <v>72</v>
      </c>
      <c r="J28" t="str">
        <f>G27</f>
        <v>3.12</v>
      </c>
      <c r="K28" t="s">
        <v>23</v>
      </c>
    </row>
    <row r="29" spans="1:15" ht="14.25" customHeight="1" x14ac:dyDescent="0.3">
      <c r="A29" t="s">
        <v>73</v>
      </c>
      <c r="B29">
        <v>1</v>
      </c>
      <c r="G29" t="s">
        <v>73</v>
      </c>
      <c r="I29" t="s">
        <v>74</v>
      </c>
      <c r="J29" t="str">
        <f>G28</f>
        <v>3.13</v>
      </c>
      <c r="K29" t="s">
        <v>23</v>
      </c>
    </row>
    <row r="30" spans="1:15" ht="14.25" customHeight="1" x14ac:dyDescent="0.3">
      <c r="A30" t="s">
        <v>75</v>
      </c>
      <c r="B30">
        <v>1</v>
      </c>
      <c r="G30" t="s">
        <v>75</v>
      </c>
      <c r="I30" t="s">
        <v>76</v>
      </c>
      <c r="J30" t="str">
        <f>G28</f>
        <v>3.13</v>
      </c>
      <c r="K30" t="s">
        <v>23</v>
      </c>
      <c r="L30" t="str">
        <f>G26</f>
        <v>3.11</v>
      </c>
      <c r="M30" t="s">
        <v>27</v>
      </c>
    </row>
    <row r="31" spans="1:15" ht="14.25" customHeight="1" x14ac:dyDescent="0.3">
      <c r="A31" t="s">
        <v>77</v>
      </c>
      <c r="B31">
        <v>1</v>
      </c>
      <c r="G31" t="s">
        <v>77</v>
      </c>
      <c r="I31" t="s">
        <v>78</v>
      </c>
      <c r="J31" t="str">
        <f>G28</f>
        <v>3.13</v>
      </c>
      <c r="K31" t="s">
        <v>27</v>
      </c>
    </row>
    <row r="32" spans="1:15" ht="14.25" customHeight="1" x14ac:dyDescent="0.3">
      <c r="A32" s="5">
        <v>4</v>
      </c>
      <c r="B32" s="5">
        <f>Suivi!H31</f>
        <v>6</v>
      </c>
      <c r="G32">
        <v>4</v>
      </c>
      <c r="H32" t="s">
        <v>79</v>
      </c>
      <c r="J32" s="5"/>
      <c r="K32" s="5"/>
      <c r="L32" s="5"/>
      <c r="M32" s="5"/>
      <c r="N32" s="5"/>
      <c r="O32" s="5"/>
    </row>
    <row r="33" spans="1:15" ht="14.25" customHeight="1" x14ac:dyDescent="0.3">
      <c r="A33" t="s">
        <v>80</v>
      </c>
      <c r="B33">
        <v>2</v>
      </c>
      <c r="G33" t="s">
        <v>80</v>
      </c>
      <c r="I33" t="s">
        <v>81</v>
      </c>
      <c r="J33" t="str">
        <f>G31</f>
        <v>3.16</v>
      </c>
      <c r="K33" t="s">
        <v>27</v>
      </c>
    </row>
    <row r="34" spans="1:15" ht="14.25" customHeight="1" x14ac:dyDescent="0.3">
      <c r="A34" t="s">
        <v>82</v>
      </c>
      <c r="B34">
        <v>1</v>
      </c>
      <c r="G34" t="s">
        <v>82</v>
      </c>
      <c r="I34" t="s">
        <v>83</v>
      </c>
      <c r="J34" t="str">
        <f>G33</f>
        <v>4.1</v>
      </c>
      <c r="K34" t="s">
        <v>27</v>
      </c>
    </row>
    <row r="35" spans="1:15" ht="14.25" customHeight="1" x14ac:dyDescent="0.3">
      <c r="A35" t="s">
        <v>84</v>
      </c>
      <c r="B35">
        <v>3</v>
      </c>
      <c r="G35" t="s">
        <v>84</v>
      </c>
      <c r="I35" t="s">
        <v>85</v>
      </c>
      <c r="J35" t="str">
        <f>G34</f>
        <v>4.2</v>
      </c>
      <c r="K35" t="s">
        <v>23</v>
      </c>
    </row>
    <row r="36" spans="1:15" ht="14.25" customHeight="1" x14ac:dyDescent="0.3">
      <c r="A36" t="s">
        <v>86</v>
      </c>
      <c r="B36">
        <v>1</v>
      </c>
      <c r="G36" t="s">
        <v>86</v>
      </c>
      <c r="I36" t="s">
        <v>87</v>
      </c>
      <c r="J36" t="str">
        <f>G35</f>
        <v>4.3</v>
      </c>
      <c r="K36" t="s">
        <v>27</v>
      </c>
    </row>
    <row r="37" spans="1:15" ht="14.25" customHeight="1" x14ac:dyDescent="0.3">
      <c r="A37" s="5">
        <v>5</v>
      </c>
      <c r="B37" s="5">
        <f>Suivi!H36</f>
        <v>36</v>
      </c>
      <c r="G37">
        <v>5</v>
      </c>
      <c r="H37" t="s">
        <v>88</v>
      </c>
      <c r="J37" s="5"/>
      <c r="K37" s="5"/>
      <c r="L37" s="5"/>
      <c r="M37" s="5"/>
      <c r="N37" s="5"/>
      <c r="O37" s="5"/>
    </row>
    <row r="38" spans="1:15" ht="14.25" customHeight="1" x14ac:dyDescent="0.3">
      <c r="A38" t="s">
        <v>89</v>
      </c>
      <c r="B38">
        <v>2</v>
      </c>
      <c r="G38" t="s">
        <v>89</v>
      </c>
      <c r="H38" s="6"/>
      <c r="I38" t="s">
        <v>90</v>
      </c>
      <c r="J38" t="str">
        <f>G35</f>
        <v>4.3</v>
      </c>
      <c r="K38" t="s">
        <v>27</v>
      </c>
    </row>
    <row r="39" spans="1:15" ht="14.25" customHeight="1" x14ac:dyDescent="0.3">
      <c r="A39" t="s">
        <v>91</v>
      </c>
      <c r="B39">
        <v>1</v>
      </c>
      <c r="G39" t="s">
        <v>91</v>
      </c>
      <c r="I39" t="s">
        <v>92</v>
      </c>
      <c r="J39" t="str">
        <f>G9</f>
        <v>1.4</v>
      </c>
      <c r="K39" t="s">
        <v>27</v>
      </c>
    </row>
    <row r="40" spans="1:15" ht="14.25" customHeight="1" x14ac:dyDescent="0.3">
      <c r="A40" t="s">
        <v>93</v>
      </c>
      <c r="B40">
        <v>1</v>
      </c>
      <c r="G40" t="s">
        <v>93</v>
      </c>
      <c r="I40" t="s">
        <v>70</v>
      </c>
      <c r="J40" t="str">
        <f>G8</f>
        <v>1.3</v>
      </c>
      <c r="K40" t="s">
        <v>27</v>
      </c>
      <c r="L40" t="str">
        <f>G38</f>
        <v>5.1</v>
      </c>
      <c r="M40" t="s">
        <v>23</v>
      </c>
    </row>
    <row r="41" spans="1:15" ht="14.25" customHeight="1" x14ac:dyDescent="0.3">
      <c r="A41" t="s">
        <v>94</v>
      </c>
      <c r="B41">
        <v>3</v>
      </c>
      <c r="G41" t="s">
        <v>94</v>
      </c>
      <c r="I41" t="s">
        <v>72</v>
      </c>
      <c r="J41" t="str">
        <f>G40</f>
        <v>5.3</v>
      </c>
      <c r="K41" t="s">
        <v>23</v>
      </c>
    </row>
    <row r="42" spans="1:15" ht="14.25" customHeight="1" x14ac:dyDescent="0.3">
      <c r="A42" t="s">
        <v>95</v>
      </c>
      <c r="B42">
        <v>1</v>
      </c>
      <c r="G42" t="s">
        <v>95</v>
      </c>
      <c r="I42" t="s">
        <v>96</v>
      </c>
      <c r="J42" t="str">
        <f>G41</f>
        <v>5.4</v>
      </c>
      <c r="K42" t="s">
        <v>30</v>
      </c>
    </row>
    <row r="43" spans="1:15" ht="14.25" customHeight="1" x14ac:dyDescent="0.3">
      <c r="A43" t="s">
        <v>97</v>
      </c>
      <c r="B43">
        <v>1</v>
      </c>
      <c r="G43" t="s">
        <v>97</v>
      </c>
      <c r="I43" t="s">
        <v>98</v>
      </c>
      <c r="J43" t="str">
        <f>G41</f>
        <v>5.4</v>
      </c>
      <c r="K43" t="s">
        <v>27</v>
      </c>
      <c r="L43" t="str">
        <f>J8</f>
        <v>1.2</v>
      </c>
      <c r="M43" t="s">
        <v>27</v>
      </c>
    </row>
    <row r="44" spans="1:15" ht="14.25" customHeight="1" x14ac:dyDescent="0.3">
      <c r="A44" t="s">
        <v>99</v>
      </c>
      <c r="B44">
        <v>1</v>
      </c>
      <c r="G44" t="s">
        <v>99</v>
      </c>
      <c r="I44" t="s">
        <v>76</v>
      </c>
      <c r="J44" t="str">
        <f>G42</f>
        <v>5.5</v>
      </c>
      <c r="K44" t="s">
        <v>27</v>
      </c>
    </row>
    <row r="45" spans="1:15" ht="14.25" customHeight="1" x14ac:dyDescent="0.3">
      <c r="A45" t="s">
        <v>100</v>
      </c>
      <c r="B45">
        <v>1</v>
      </c>
      <c r="G45" t="s">
        <v>100</v>
      </c>
      <c r="I45" t="s">
        <v>101</v>
      </c>
      <c r="J45" t="str">
        <f>G44</f>
        <v>5.7</v>
      </c>
      <c r="K45" t="s">
        <v>34</v>
      </c>
    </row>
    <row r="46" spans="1:15" ht="14.25" customHeight="1" x14ac:dyDescent="0.3">
      <c r="A46" t="s">
        <v>102</v>
      </c>
      <c r="B46">
        <v>1</v>
      </c>
      <c r="G46" t="s">
        <v>102</v>
      </c>
      <c r="I46" t="s">
        <v>103</v>
      </c>
      <c r="J46" t="str">
        <f>G45</f>
        <v>5.8</v>
      </c>
      <c r="K46" t="s">
        <v>27</v>
      </c>
    </row>
    <row r="47" spans="1:15" ht="14.25" customHeight="1" x14ac:dyDescent="0.3">
      <c r="A47" t="s">
        <v>104</v>
      </c>
      <c r="B47">
        <v>2</v>
      </c>
      <c r="G47" t="s">
        <v>104</v>
      </c>
      <c r="I47" t="s">
        <v>105</v>
      </c>
      <c r="J47" t="str">
        <f>G46</f>
        <v>5.9</v>
      </c>
      <c r="K47" t="s">
        <v>27</v>
      </c>
    </row>
    <row r="48" spans="1:15" ht="14.25" customHeight="1" x14ac:dyDescent="0.3">
      <c r="A48" t="s">
        <v>106</v>
      </c>
      <c r="B48">
        <v>1</v>
      </c>
      <c r="G48" t="s">
        <v>106</v>
      </c>
      <c r="I48" t="s">
        <v>107</v>
      </c>
      <c r="J48" t="str">
        <f>G47</f>
        <v>5.10</v>
      </c>
      <c r="K48" t="s">
        <v>27</v>
      </c>
    </row>
    <row r="49" spans="1:15" ht="14.25" customHeight="1" x14ac:dyDescent="0.3">
      <c r="A49" t="s">
        <v>108</v>
      </c>
      <c r="B49">
        <v>5</v>
      </c>
      <c r="G49" t="s">
        <v>108</v>
      </c>
      <c r="I49" t="s">
        <v>109</v>
      </c>
      <c r="J49" t="str">
        <f>G47</f>
        <v>5.10</v>
      </c>
      <c r="K49" t="s">
        <v>23</v>
      </c>
    </row>
    <row r="50" spans="1:15" ht="14.25" customHeight="1" x14ac:dyDescent="0.3">
      <c r="A50" t="s">
        <v>110</v>
      </c>
      <c r="B50">
        <v>1</v>
      </c>
      <c r="G50" t="s">
        <v>110</v>
      </c>
      <c r="I50" t="s">
        <v>111</v>
      </c>
      <c r="J50" t="str">
        <f>G49</f>
        <v>5.12</v>
      </c>
      <c r="K50" t="s">
        <v>27</v>
      </c>
    </row>
    <row r="51" spans="1:15" ht="14.25" customHeight="1" x14ac:dyDescent="0.3">
      <c r="A51" t="s">
        <v>112</v>
      </c>
      <c r="B51">
        <v>1</v>
      </c>
      <c r="G51" t="s">
        <v>112</v>
      </c>
      <c r="I51" t="s">
        <v>107</v>
      </c>
      <c r="J51" t="str">
        <f>G50</f>
        <v>5.13</v>
      </c>
      <c r="K51" t="s">
        <v>27</v>
      </c>
    </row>
    <row r="52" spans="1:15" ht="14.25" customHeight="1" x14ac:dyDescent="0.3">
      <c r="A52" t="s">
        <v>113</v>
      </c>
      <c r="B52">
        <v>10</v>
      </c>
      <c r="G52" t="s">
        <v>113</v>
      </c>
      <c r="I52" t="s">
        <v>114</v>
      </c>
      <c r="J52" t="str">
        <f>G50</f>
        <v>5.13</v>
      </c>
      <c r="K52" t="s">
        <v>27</v>
      </c>
    </row>
    <row r="53" spans="1:15" ht="14.25" customHeight="1" x14ac:dyDescent="0.3">
      <c r="A53" t="s">
        <v>115</v>
      </c>
      <c r="B53">
        <v>1</v>
      </c>
      <c r="G53" t="s">
        <v>115</v>
      </c>
      <c r="I53" t="s">
        <v>116</v>
      </c>
      <c r="J53" t="str">
        <f>G52</f>
        <v>5.15</v>
      </c>
      <c r="K53" t="s">
        <v>23</v>
      </c>
    </row>
    <row r="54" spans="1:15" ht="14.25" customHeight="1" x14ac:dyDescent="0.3">
      <c r="A54" t="s">
        <v>117</v>
      </c>
      <c r="B54">
        <v>1</v>
      </c>
      <c r="G54" t="s">
        <v>117</v>
      </c>
      <c r="I54" t="s">
        <v>118</v>
      </c>
      <c r="J54" t="str">
        <f>G50</f>
        <v>5.13</v>
      </c>
      <c r="K54" t="s">
        <v>23</v>
      </c>
    </row>
    <row r="55" spans="1:15" ht="14.25" customHeight="1" x14ac:dyDescent="0.3">
      <c r="A55" t="s">
        <v>119</v>
      </c>
      <c r="B55">
        <v>1</v>
      </c>
      <c r="G55" t="s">
        <v>119</v>
      </c>
      <c r="I55" t="s">
        <v>120</v>
      </c>
      <c r="J55" t="str">
        <f>G52</f>
        <v>5.15</v>
      </c>
      <c r="K55" t="s">
        <v>23</v>
      </c>
    </row>
    <row r="56" spans="1:15" ht="14.25" customHeight="1" x14ac:dyDescent="0.3">
      <c r="A56" s="5">
        <v>6</v>
      </c>
      <c r="B56" s="5">
        <f>Suivi!H55</f>
        <v>1</v>
      </c>
      <c r="G56">
        <v>6</v>
      </c>
      <c r="H56" t="s">
        <v>121</v>
      </c>
      <c r="J56" s="5"/>
      <c r="K56" s="5"/>
      <c r="L56" s="5"/>
      <c r="M56" s="5"/>
      <c r="N56" s="5"/>
      <c r="O56" s="5"/>
    </row>
    <row r="57" spans="1:15" ht="14.25" customHeight="1" x14ac:dyDescent="0.3">
      <c r="A57" t="s">
        <v>122</v>
      </c>
      <c r="B57">
        <v>1</v>
      </c>
      <c r="G57" t="s">
        <v>122</v>
      </c>
      <c r="I57" t="s">
        <v>123</v>
      </c>
      <c r="J57" t="str">
        <f>G53</f>
        <v>5.16</v>
      </c>
      <c r="K57" t="s">
        <v>23</v>
      </c>
    </row>
  </sheetData>
  <dataValidations count="1">
    <dataValidation type="list" allowBlank="1" sqref="K5:K57 M5:M57 O5:O57" xr:uid="{00000000-0002-0000-0100-000000000000}">
      <formula1>$E$6:$E$9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"/>
  <sheetViews>
    <sheetView zoomScaleNormal="100" workbookViewId="0"/>
  </sheetViews>
  <sheetFormatPr baseColWidth="10" defaultColWidth="8.88671875" defaultRowHeight="14.4" x14ac:dyDescent="0.3"/>
  <sheetData>
    <row r="1" spans="1:1" ht="14.25" customHeight="1" x14ac:dyDescent="0.3">
      <c r="A1" t="s">
        <v>124</v>
      </c>
    </row>
    <row r="2" spans="1:1" ht="14.25" customHeight="1" x14ac:dyDescent="0.3">
      <c r="A2" t="s">
        <v>23</v>
      </c>
    </row>
    <row r="3" spans="1:1" ht="14.25" customHeight="1" x14ac:dyDescent="0.3">
      <c r="A3" t="s">
        <v>27</v>
      </c>
    </row>
    <row r="4" spans="1:1" ht="14.25" customHeight="1" x14ac:dyDescent="0.3">
      <c r="A4" t="s">
        <v>30</v>
      </c>
    </row>
    <row r="5" spans="1:1" ht="14.25" customHeight="1" x14ac:dyDescent="0.3">
      <c r="A5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zoomScaleNormal="100" workbookViewId="0">
      <selection activeCell="L8" sqref="L8"/>
    </sheetView>
  </sheetViews>
  <sheetFormatPr baseColWidth="10" defaultColWidth="8.88671875" defaultRowHeight="14.4" x14ac:dyDescent="0.3"/>
  <sheetData>
    <row r="1" spans="1:1" ht="14.25" customHeight="1" x14ac:dyDescent="0.3">
      <c r="A1" t="s">
        <v>125</v>
      </c>
    </row>
    <row r="3" spans="1:1" ht="14.25" customHeight="1" x14ac:dyDescent="0.3">
      <c r="A3" t="s">
        <v>126</v>
      </c>
    </row>
    <row r="4" spans="1:1" ht="14.25" customHeight="1" x14ac:dyDescent="0.3">
      <c r="A4" t="s">
        <v>127</v>
      </c>
    </row>
    <row r="5" spans="1:1" ht="14.25" customHeight="1" x14ac:dyDescent="0.3">
      <c r="A5" t="s">
        <v>128</v>
      </c>
    </row>
    <row r="6" spans="1:1" ht="14.25" customHeight="1" x14ac:dyDescent="0.3">
      <c r="A6" t="s">
        <v>129</v>
      </c>
    </row>
    <row r="7" spans="1:1" ht="14.25" customHeight="1" x14ac:dyDescent="0.3">
      <c r="A7" t="s">
        <v>130</v>
      </c>
    </row>
    <row r="8" spans="1:1" ht="14.25" customHeight="1" x14ac:dyDescent="0.3">
      <c r="A8" t="s">
        <v>131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Suivi</vt:lpstr>
      <vt:lpstr>Paramètres</vt:lpstr>
      <vt:lpstr>Tableau1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Guy-Franck FOURCROY</cp:lastModifiedBy>
  <cp:revision>0</cp:revision>
  <cp:lastPrinted>2026-10-11T14:32:02Z</cp:lastPrinted>
  <dcterms:created xsi:type="dcterms:W3CDTF">2026-10-11T12:53:05Z</dcterms:created>
  <dcterms:modified xsi:type="dcterms:W3CDTF">2026-10-11T17:32:06Z</dcterms:modified>
  <dc:language>en-US</dc:language>
</cp:coreProperties>
</file>
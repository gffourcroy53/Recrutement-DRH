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Gantt" sheetId="1" state="visible" r:id="rId1"/>
    <sheet name="Suivi" sheetId="2" state="visible" r:id="rId2"/>
    <sheet name="Paramètres" sheetId="3" state="visible" r:id="rId3"/>
    <sheet name="Tableau1" sheetId="4" state="hidden" r:id="rId4"/>
    <sheet name="Instructions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d"/>
  </numFmts>
  <fonts count="10">
    <font>
      <name val="Calibri"/>
      <charset val="1"/>
      <family val="2"/>
      <color theme="1"/>
      <sz val="11"/>
    </font>
    <font>
      <name val="Calibri"/>
      <charset val="1"/>
      <b val="1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b val="1"/>
      <sz val="13"/>
    </font>
    <font>
      <b val="1"/>
      <sz val="8"/>
    </font>
    <font>
      <sz val="8"/>
    </font>
    <font>
      <b val="1"/>
      <sz val="9"/>
    </font>
    <font>
      <b val="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7" fillId="0" borderId="0" pivotButton="0" quotePrefix="0" xfId="0"/>
    <xf numFmtId="164" fontId="6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8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0" borderId="0" pivotButton="0" quotePrefix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001F3864"/>
        </patternFill>
      </fill>
    </dxf>
    <dxf>
      <fill>
        <patternFill patternType="solid">
          <fgColor rgb="004472C4"/>
        </patternFill>
      </fill>
    </dxf>
    <dxf>
      <fill>
        <patternFill patternType="solid">
          <fgColor rgb="00E7E6E6"/>
        </patternFill>
      </fill>
    </dxf>
    <dxf>
      <font>
        <b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6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  <col width="2.3" customWidth="1" min="110" max="110"/>
    <col width="2.3" customWidth="1" min="111" max="111"/>
    <col width="2.3" customWidth="1" min="112" max="112"/>
    <col width="2.3" customWidth="1" min="113" max="113"/>
    <col width="2.3" customWidth="1" min="114" max="114"/>
    <col width="2.3" customWidth="1" min="115" max="115"/>
    <col width="2.3" customWidth="1" min="116" max="116"/>
    <col width="2.3" customWidth="1" min="117" max="117"/>
    <col width="2.3" customWidth="1" min="118" max="118"/>
    <col width="2.3" customWidth="1" min="119" max="119"/>
    <col width="2.3" customWidth="1" min="120" max="120"/>
    <col width="2.3" customWidth="1" min="121" max="121"/>
    <col width="2.3" customWidth="1" min="122" max="122"/>
    <col width="2.3" customWidth="1" min="123" max="123"/>
  </cols>
  <sheetData>
    <row r="1">
      <c r="A1" s="7" t="inlineStr">
        <is>
          <t>GANTT — Planification des recrutements (généré dynamiquement depuis la feuille Suivi)</t>
        </is>
      </c>
    </row>
    <row r="2">
      <c r="D2" s="8">
        <f>IF(DAY(D$3)=1,TEXT(D$3,"mmmm"),"")</f>
        <v/>
      </c>
      <c r="E2" s="8">
        <f>IF(DAY(E$3)=1,TEXT(E$3,"mmmm"),"")</f>
        <v/>
      </c>
      <c r="F2" s="8">
        <f>IF(DAY(F$3)=1,TEXT(F$3,"mmmm"),"")</f>
        <v/>
      </c>
      <c r="G2" s="8">
        <f>IF(DAY(G$3)=1,TEXT(G$3,"mmmm"),"")</f>
        <v/>
      </c>
      <c r="H2" s="8">
        <f>IF(DAY(H$3)=1,TEXT(H$3,"mmmm"),"")</f>
        <v/>
      </c>
      <c r="I2" s="8">
        <f>IF(DAY(I$3)=1,TEXT(I$3,"mmmm"),"")</f>
        <v/>
      </c>
      <c r="J2" s="8">
        <f>IF(DAY(J$3)=1,TEXT(J$3,"mmmm"),"")</f>
        <v/>
      </c>
      <c r="K2" s="8">
        <f>IF(DAY(K$3)=1,TEXT(K$3,"mmmm"),"")</f>
        <v/>
      </c>
      <c r="L2" s="8">
        <f>IF(DAY(L$3)=1,TEXT(L$3,"mmmm"),"")</f>
        <v/>
      </c>
      <c r="M2" s="8">
        <f>IF(DAY(M$3)=1,TEXT(M$3,"mmmm"),"")</f>
        <v/>
      </c>
      <c r="N2" s="8">
        <f>IF(DAY(N$3)=1,TEXT(N$3,"mmmm"),"")</f>
        <v/>
      </c>
      <c r="O2" s="8">
        <f>IF(DAY(O$3)=1,TEXT(O$3,"mmmm"),"")</f>
        <v/>
      </c>
      <c r="P2" s="8">
        <f>IF(DAY(P$3)=1,TEXT(P$3,"mmmm"),"")</f>
        <v/>
      </c>
      <c r="Q2" s="8">
        <f>IF(DAY(Q$3)=1,TEXT(Q$3,"mmmm"),"")</f>
        <v/>
      </c>
      <c r="R2" s="8">
        <f>IF(DAY(R$3)=1,TEXT(R$3,"mmmm"),"")</f>
        <v/>
      </c>
      <c r="S2" s="8">
        <f>IF(DAY(S$3)=1,TEXT(S$3,"mmmm"),"")</f>
        <v/>
      </c>
      <c r="T2" s="8">
        <f>IF(DAY(T$3)=1,TEXT(T$3,"mmmm"),"")</f>
        <v/>
      </c>
      <c r="U2" s="8">
        <f>IF(DAY(U$3)=1,TEXT(U$3,"mmmm"),"")</f>
        <v/>
      </c>
      <c r="V2" s="8">
        <f>IF(DAY(V$3)=1,TEXT(V$3,"mmmm"),"")</f>
        <v/>
      </c>
      <c r="W2" s="8">
        <f>IF(DAY(W$3)=1,TEXT(W$3,"mmmm"),"")</f>
        <v/>
      </c>
      <c r="X2" s="8">
        <f>IF(DAY(X$3)=1,TEXT(X$3,"mmmm"),"")</f>
        <v/>
      </c>
      <c r="Y2" s="8">
        <f>IF(DAY(Y$3)=1,TEXT(Y$3,"mmmm"),"")</f>
        <v/>
      </c>
      <c r="Z2" s="8">
        <f>IF(DAY(Z$3)=1,TEXT(Z$3,"mmmm"),"")</f>
        <v/>
      </c>
      <c r="AA2" s="8">
        <f>IF(DAY(AA$3)=1,TEXT(AA$3,"mmmm"),"")</f>
        <v/>
      </c>
      <c r="AB2" s="8">
        <f>IF(DAY(AB$3)=1,TEXT(AB$3,"mmmm"),"")</f>
        <v/>
      </c>
      <c r="AC2" s="8">
        <f>IF(DAY(AC$3)=1,TEXT(AC$3,"mmmm"),"")</f>
        <v/>
      </c>
      <c r="AD2" s="8">
        <f>IF(DAY(AD$3)=1,TEXT(AD$3,"mmmm"),"")</f>
        <v/>
      </c>
      <c r="AE2" s="8">
        <f>IF(DAY(AE$3)=1,TEXT(AE$3,"mmmm"),"")</f>
        <v/>
      </c>
      <c r="AF2" s="8">
        <f>IF(DAY(AF$3)=1,TEXT(AF$3,"mmmm"),"")</f>
        <v/>
      </c>
      <c r="AG2" s="8">
        <f>IF(DAY(AG$3)=1,TEXT(AG$3,"mmmm"),"")</f>
        <v/>
      </c>
      <c r="AH2" s="8">
        <f>IF(DAY(AH$3)=1,TEXT(AH$3,"mmmm"),"")</f>
        <v/>
      </c>
      <c r="AI2" s="8">
        <f>IF(DAY(AI$3)=1,TEXT(AI$3,"mmmm"),"")</f>
        <v/>
      </c>
      <c r="AJ2" s="8">
        <f>IF(DAY(AJ$3)=1,TEXT(AJ$3,"mmmm"),"")</f>
        <v/>
      </c>
      <c r="AK2" s="8">
        <f>IF(DAY(AK$3)=1,TEXT(AK$3,"mmmm"),"")</f>
        <v/>
      </c>
      <c r="AL2" s="8">
        <f>IF(DAY(AL$3)=1,TEXT(AL$3,"mmmm"),"")</f>
        <v/>
      </c>
      <c r="AM2" s="8">
        <f>IF(DAY(AM$3)=1,TEXT(AM$3,"mmmm"),"")</f>
        <v/>
      </c>
      <c r="AN2" s="8">
        <f>IF(DAY(AN$3)=1,TEXT(AN$3,"mmmm"),"")</f>
        <v/>
      </c>
      <c r="AO2" s="8">
        <f>IF(DAY(AO$3)=1,TEXT(AO$3,"mmmm"),"")</f>
        <v/>
      </c>
      <c r="AP2" s="8">
        <f>IF(DAY(AP$3)=1,TEXT(AP$3,"mmmm"),"")</f>
        <v/>
      </c>
      <c r="AQ2" s="8">
        <f>IF(DAY(AQ$3)=1,TEXT(AQ$3,"mmmm"),"")</f>
        <v/>
      </c>
      <c r="AR2" s="8">
        <f>IF(DAY(AR$3)=1,TEXT(AR$3,"mmmm"),"")</f>
        <v/>
      </c>
      <c r="AS2" s="8">
        <f>IF(DAY(AS$3)=1,TEXT(AS$3,"mmmm"),"")</f>
        <v/>
      </c>
      <c r="AT2" s="8">
        <f>IF(DAY(AT$3)=1,TEXT(AT$3,"mmmm"),"")</f>
        <v/>
      </c>
      <c r="AU2" s="8">
        <f>IF(DAY(AU$3)=1,TEXT(AU$3,"mmmm"),"")</f>
        <v/>
      </c>
      <c r="AV2" s="8">
        <f>IF(DAY(AV$3)=1,TEXT(AV$3,"mmmm"),"")</f>
        <v/>
      </c>
      <c r="AW2" s="8">
        <f>IF(DAY(AW$3)=1,TEXT(AW$3,"mmmm"),"")</f>
        <v/>
      </c>
      <c r="AX2" s="8">
        <f>IF(DAY(AX$3)=1,TEXT(AX$3,"mmmm"),"")</f>
        <v/>
      </c>
      <c r="AY2" s="8">
        <f>IF(DAY(AY$3)=1,TEXT(AY$3,"mmmm"),"")</f>
        <v/>
      </c>
      <c r="AZ2" s="8">
        <f>IF(DAY(AZ$3)=1,TEXT(AZ$3,"mmmm"),"")</f>
        <v/>
      </c>
      <c r="BA2" s="8">
        <f>IF(DAY(BA$3)=1,TEXT(BA$3,"mmmm"),"")</f>
        <v/>
      </c>
      <c r="BB2" s="8">
        <f>IF(DAY(BB$3)=1,TEXT(BB$3,"mmmm"),"")</f>
        <v/>
      </c>
      <c r="BC2" s="8">
        <f>IF(DAY(BC$3)=1,TEXT(BC$3,"mmmm"),"")</f>
        <v/>
      </c>
      <c r="BD2" s="8">
        <f>IF(DAY(BD$3)=1,TEXT(BD$3,"mmmm"),"")</f>
        <v/>
      </c>
      <c r="BE2" s="8">
        <f>IF(DAY(BE$3)=1,TEXT(BE$3,"mmmm"),"")</f>
        <v/>
      </c>
      <c r="BF2" s="8">
        <f>IF(DAY(BF$3)=1,TEXT(BF$3,"mmmm"),"")</f>
        <v/>
      </c>
      <c r="BG2" s="8">
        <f>IF(DAY(BG$3)=1,TEXT(BG$3,"mmmm"),"")</f>
        <v/>
      </c>
      <c r="BH2" s="8">
        <f>IF(DAY(BH$3)=1,TEXT(BH$3,"mmmm"),"")</f>
        <v/>
      </c>
      <c r="BI2" s="8">
        <f>IF(DAY(BI$3)=1,TEXT(BI$3,"mmmm"),"")</f>
        <v/>
      </c>
      <c r="BJ2" s="8">
        <f>IF(DAY(BJ$3)=1,TEXT(BJ$3,"mmmm"),"")</f>
        <v/>
      </c>
      <c r="BK2" s="8">
        <f>IF(DAY(BK$3)=1,TEXT(BK$3,"mmmm"),"")</f>
        <v/>
      </c>
      <c r="BL2" s="8">
        <f>IF(DAY(BL$3)=1,TEXT(BL$3,"mmmm"),"")</f>
        <v/>
      </c>
      <c r="BM2" s="8">
        <f>IF(DAY(BM$3)=1,TEXT(BM$3,"mmmm"),"")</f>
        <v/>
      </c>
      <c r="BN2" s="8">
        <f>IF(DAY(BN$3)=1,TEXT(BN$3,"mmmm"),"")</f>
        <v/>
      </c>
      <c r="BO2" s="8">
        <f>IF(DAY(BO$3)=1,TEXT(BO$3,"mmmm"),"")</f>
        <v/>
      </c>
      <c r="BP2" s="8">
        <f>IF(DAY(BP$3)=1,TEXT(BP$3,"mmmm"),"")</f>
        <v/>
      </c>
      <c r="BQ2" s="8">
        <f>IF(DAY(BQ$3)=1,TEXT(BQ$3,"mmmm"),"")</f>
        <v/>
      </c>
      <c r="BR2" s="8">
        <f>IF(DAY(BR$3)=1,TEXT(BR$3,"mmmm"),"")</f>
        <v/>
      </c>
      <c r="BS2" s="8">
        <f>IF(DAY(BS$3)=1,TEXT(BS$3,"mmmm"),"")</f>
        <v/>
      </c>
      <c r="BT2" s="8">
        <f>IF(DAY(BT$3)=1,TEXT(BT$3,"mmmm"),"")</f>
        <v/>
      </c>
      <c r="BU2" s="8">
        <f>IF(DAY(BU$3)=1,TEXT(BU$3,"mmmm"),"")</f>
        <v/>
      </c>
      <c r="BV2" s="8">
        <f>IF(DAY(BV$3)=1,TEXT(BV$3,"mmmm"),"")</f>
        <v/>
      </c>
      <c r="BW2" s="8">
        <f>IF(DAY(BW$3)=1,TEXT(BW$3,"mmmm"),"")</f>
        <v/>
      </c>
      <c r="BX2" s="8">
        <f>IF(DAY(BX$3)=1,TEXT(BX$3,"mmmm"),"")</f>
        <v/>
      </c>
      <c r="BY2" s="8">
        <f>IF(DAY(BY$3)=1,TEXT(BY$3,"mmmm"),"")</f>
        <v/>
      </c>
      <c r="BZ2" s="8">
        <f>IF(DAY(BZ$3)=1,TEXT(BZ$3,"mmmm"),"")</f>
        <v/>
      </c>
      <c r="CA2" s="8">
        <f>IF(DAY(CA$3)=1,TEXT(CA$3,"mmmm"),"")</f>
        <v/>
      </c>
      <c r="CB2" s="8">
        <f>IF(DAY(CB$3)=1,TEXT(CB$3,"mmmm"),"")</f>
        <v/>
      </c>
      <c r="CC2" s="8">
        <f>IF(DAY(CC$3)=1,TEXT(CC$3,"mmmm"),"")</f>
        <v/>
      </c>
      <c r="CD2" s="8">
        <f>IF(DAY(CD$3)=1,TEXT(CD$3,"mmmm"),"")</f>
        <v/>
      </c>
      <c r="CE2" s="8">
        <f>IF(DAY(CE$3)=1,TEXT(CE$3,"mmmm"),"")</f>
        <v/>
      </c>
      <c r="CF2" s="8">
        <f>IF(DAY(CF$3)=1,TEXT(CF$3,"mmmm"),"")</f>
        <v/>
      </c>
      <c r="CG2" s="8">
        <f>IF(DAY(CG$3)=1,TEXT(CG$3,"mmmm"),"")</f>
        <v/>
      </c>
      <c r="CH2" s="8">
        <f>IF(DAY(CH$3)=1,TEXT(CH$3,"mmmm"),"")</f>
        <v/>
      </c>
      <c r="CI2" s="8">
        <f>IF(DAY(CI$3)=1,TEXT(CI$3,"mmmm"),"")</f>
        <v/>
      </c>
      <c r="CJ2" s="8">
        <f>IF(DAY(CJ$3)=1,TEXT(CJ$3,"mmmm"),"")</f>
        <v/>
      </c>
      <c r="CK2" s="8">
        <f>IF(DAY(CK$3)=1,TEXT(CK$3,"mmmm"),"")</f>
        <v/>
      </c>
      <c r="CL2" s="8">
        <f>IF(DAY(CL$3)=1,TEXT(CL$3,"mmmm"),"")</f>
        <v/>
      </c>
      <c r="CM2" s="8">
        <f>IF(DAY(CM$3)=1,TEXT(CM$3,"mmmm"),"")</f>
        <v/>
      </c>
      <c r="CN2" s="8">
        <f>IF(DAY(CN$3)=1,TEXT(CN$3,"mmmm"),"")</f>
        <v/>
      </c>
      <c r="CO2" s="8">
        <f>IF(DAY(CO$3)=1,TEXT(CO$3,"mmmm"),"")</f>
        <v/>
      </c>
      <c r="CP2" s="8">
        <f>IF(DAY(CP$3)=1,TEXT(CP$3,"mmmm"),"")</f>
        <v/>
      </c>
      <c r="CQ2" s="8">
        <f>IF(DAY(CQ$3)=1,TEXT(CQ$3,"mmmm"),"")</f>
        <v/>
      </c>
      <c r="CR2" s="8">
        <f>IF(DAY(CR$3)=1,TEXT(CR$3,"mmmm"),"")</f>
        <v/>
      </c>
      <c r="CS2" s="8">
        <f>IF(DAY(CS$3)=1,TEXT(CS$3,"mmmm"),"")</f>
        <v/>
      </c>
      <c r="CT2" s="8">
        <f>IF(DAY(CT$3)=1,TEXT(CT$3,"mmmm"),"")</f>
        <v/>
      </c>
      <c r="CU2" s="8">
        <f>IF(DAY(CU$3)=1,TEXT(CU$3,"mmmm"),"")</f>
        <v/>
      </c>
      <c r="CV2" s="8">
        <f>IF(DAY(CV$3)=1,TEXT(CV$3,"mmmm"),"")</f>
        <v/>
      </c>
      <c r="CW2" s="8">
        <f>IF(DAY(CW$3)=1,TEXT(CW$3,"mmmm"),"")</f>
        <v/>
      </c>
      <c r="CX2" s="8">
        <f>IF(DAY(CX$3)=1,TEXT(CX$3,"mmmm"),"")</f>
        <v/>
      </c>
      <c r="CY2" s="8">
        <f>IF(DAY(CY$3)=1,TEXT(CY$3,"mmmm"),"")</f>
        <v/>
      </c>
      <c r="CZ2" s="8">
        <f>IF(DAY(CZ$3)=1,TEXT(CZ$3,"mmmm"),"")</f>
        <v/>
      </c>
      <c r="DA2" s="8">
        <f>IF(DAY(DA$3)=1,TEXT(DA$3,"mmmm"),"")</f>
        <v/>
      </c>
      <c r="DB2" s="8">
        <f>IF(DAY(DB$3)=1,TEXT(DB$3,"mmmm"),"")</f>
        <v/>
      </c>
      <c r="DC2" s="8">
        <f>IF(DAY(DC$3)=1,TEXT(DC$3,"mmmm"),"")</f>
        <v/>
      </c>
      <c r="DD2" s="8">
        <f>IF(DAY(DD$3)=1,TEXT(DD$3,"mmmm"),"")</f>
        <v/>
      </c>
      <c r="DE2" s="8">
        <f>IF(DAY(DE$3)=1,TEXT(DE$3,"mmmm"),"")</f>
        <v/>
      </c>
      <c r="DF2" s="8">
        <f>IF(DAY(DF$3)=1,TEXT(DF$3,"mmmm"),"")</f>
        <v/>
      </c>
      <c r="DG2" s="8">
        <f>IF(DAY(DG$3)=1,TEXT(DG$3,"mmmm"),"")</f>
        <v/>
      </c>
      <c r="DH2" s="8">
        <f>IF(DAY(DH$3)=1,TEXT(DH$3,"mmmm"),"")</f>
        <v/>
      </c>
      <c r="DI2" s="8">
        <f>IF(DAY(DI$3)=1,TEXT(DI$3,"mmmm"),"")</f>
        <v/>
      </c>
      <c r="DJ2" s="8">
        <f>IF(DAY(DJ$3)=1,TEXT(DJ$3,"mmmm"),"")</f>
        <v/>
      </c>
      <c r="DK2" s="8">
        <f>IF(DAY(DK$3)=1,TEXT(DK$3,"mmmm"),"")</f>
        <v/>
      </c>
      <c r="DL2" s="8">
        <f>IF(DAY(DL$3)=1,TEXT(DL$3,"mmmm"),"")</f>
        <v/>
      </c>
      <c r="DM2" s="8">
        <f>IF(DAY(DM$3)=1,TEXT(DM$3,"mmmm"),"")</f>
        <v/>
      </c>
      <c r="DN2" s="8">
        <f>IF(DAY(DN$3)=1,TEXT(DN$3,"mmmm"),"")</f>
        <v/>
      </c>
      <c r="DO2" s="8">
        <f>IF(DAY(DO$3)=1,TEXT(DO$3,"mmmm"),"")</f>
        <v/>
      </c>
      <c r="DP2" s="8">
        <f>IF(DAY(DP$3)=1,TEXT(DP$3,"mmmm"),"")</f>
        <v/>
      </c>
      <c r="DQ2" s="8">
        <f>IF(DAY(DQ$3)=1,TEXT(DQ$3,"mmmm"),"")</f>
        <v/>
      </c>
      <c r="DR2" s="8">
        <f>IF(DAY(DR$3)=1,TEXT(DR$3,"mmmm"),"")</f>
        <v/>
      </c>
      <c r="DS2" s="8">
        <f>IF(DAY(DS$3)=1,TEXT(DS$3,"mmmm"),"")</f>
        <v/>
      </c>
    </row>
    <row r="3">
      <c r="A3" s="9" t="inlineStr">
        <is>
          <t>ID</t>
        </is>
      </c>
      <c r="B3" s="9" t="inlineStr">
        <is>
          <t>Étape</t>
        </is>
      </c>
      <c r="C3" s="9" t="inlineStr">
        <is>
          <t>Statut</t>
        </is>
      </c>
      <c r="D3" s="10">
        <f>Suivi!$A$6</f>
        <v/>
      </c>
      <c r="E3" s="10">
        <f>D3+1</f>
        <v/>
      </c>
      <c r="F3" s="10">
        <f>E3+1</f>
        <v/>
      </c>
      <c r="G3" s="10">
        <f>F3+1</f>
        <v/>
      </c>
      <c r="H3" s="10">
        <f>G3+1</f>
        <v/>
      </c>
      <c r="I3" s="10">
        <f>H3+1</f>
        <v/>
      </c>
      <c r="J3" s="10">
        <f>I3+1</f>
        <v/>
      </c>
      <c r="K3" s="10">
        <f>J3+1</f>
        <v/>
      </c>
      <c r="L3" s="10">
        <f>K3+1</f>
        <v/>
      </c>
      <c r="M3" s="10">
        <f>L3+1</f>
        <v/>
      </c>
      <c r="N3" s="10">
        <f>M3+1</f>
        <v/>
      </c>
      <c r="O3" s="10">
        <f>N3+1</f>
        <v/>
      </c>
      <c r="P3" s="10">
        <f>O3+1</f>
        <v/>
      </c>
      <c r="Q3" s="10">
        <f>P3+1</f>
        <v/>
      </c>
      <c r="R3" s="10">
        <f>Q3+1</f>
        <v/>
      </c>
      <c r="S3" s="10">
        <f>R3+1</f>
        <v/>
      </c>
      <c r="T3" s="10">
        <f>S3+1</f>
        <v/>
      </c>
      <c r="U3" s="10">
        <f>T3+1</f>
        <v/>
      </c>
      <c r="V3" s="10">
        <f>U3+1</f>
        <v/>
      </c>
      <c r="W3" s="10">
        <f>V3+1</f>
        <v/>
      </c>
      <c r="X3" s="10">
        <f>W3+1</f>
        <v/>
      </c>
      <c r="Y3" s="10">
        <f>X3+1</f>
        <v/>
      </c>
      <c r="Z3" s="10">
        <f>Y3+1</f>
        <v/>
      </c>
      <c r="AA3" s="10">
        <f>Z3+1</f>
        <v/>
      </c>
      <c r="AB3" s="10">
        <f>AA3+1</f>
        <v/>
      </c>
      <c r="AC3" s="10">
        <f>AB3+1</f>
        <v/>
      </c>
      <c r="AD3" s="10">
        <f>AC3+1</f>
        <v/>
      </c>
      <c r="AE3" s="10">
        <f>AD3+1</f>
        <v/>
      </c>
      <c r="AF3" s="10">
        <f>AE3+1</f>
        <v/>
      </c>
      <c r="AG3" s="10">
        <f>AF3+1</f>
        <v/>
      </c>
      <c r="AH3" s="10">
        <f>AG3+1</f>
        <v/>
      </c>
      <c r="AI3" s="10">
        <f>AH3+1</f>
        <v/>
      </c>
      <c r="AJ3" s="10">
        <f>AI3+1</f>
        <v/>
      </c>
      <c r="AK3" s="10">
        <f>AJ3+1</f>
        <v/>
      </c>
      <c r="AL3" s="10">
        <f>AK3+1</f>
        <v/>
      </c>
      <c r="AM3" s="10">
        <f>AL3+1</f>
        <v/>
      </c>
      <c r="AN3" s="10">
        <f>AM3+1</f>
        <v/>
      </c>
      <c r="AO3" s="10">
        <f>AN3+1</f>
        <v/>
      </c>
      <c r="AP3" s="10">
        <f>AO3+1</f>
        <v/>
      </c>
      <c r="AQ3" s="10">
        <f>AP3+1</f>
        <v/>
      </c>
      <c r="AR3" s="10">
        <f>AQ3+1</f>
        <v/>
      </c>
      <c r="AS3" s="10">
        <f>AR3+1</f>
        <v/>
      </c>
      <c r="AT3" s="10">
        <f>AS3+1</f>
        <v/>
      </c>
      <c r="AU3" s="10">
        <f>AT3+1</f>
        <v/>
      </c>
      <c r="AV3" s="10">
        <f>AU3+1</f>
        <v/>
      </c>
      <c r="AW3" s="10">
        <f>AV3+1</f>
        <v/>
      </c>
      <c r="AX3" s="10">
        <f>AW3+1</f>
        <v/>
      </c>
      <c r="AY3" s="10">
        <f>AX3+1</f>
        <v/>
      </c>
      <c r="AZ3" s="10">
        <f>AY3+1</f>
        <v/>
      </c>
      <c r="BA3" s="10">
        <f>AZ3+1</f>
        <v/>
      </c>
      <c r="BB3" s="10">
        <f>BA3+1</f>
        <v/>
      </c>
      <c r="BC3" s="10">
        <f>BB3+1</f>
        <v/>
      </c>
      <c r="BD3" s="10">
        <f>BC3+1</f>
        <v/>
      </c>
      <c r="BE3" s="10">
        <f>BD3+1</f>
        <v/>
      </c>
      <c r="BF3" s="10">
        <f>BE3+1</f>
        <v/>
      </c>
      <c r="BG3" s="10">
        <f>BF3+1</f>
        <v/>
      </c>
      <c r="BH3" s="10">
        <f>BG3+1</f>
        <v/>
      </c>
      <c r="BI3" s="10">
        <f>BH3+1</f>
        <v/>
      </c>
      <c r="BJ3" s="10">
        <f>BI3+1</f>
        <v/>
      </c>
      <c r="BK3" s="10">
        <f>BJ3+1</f>
        <v/>
      </c>
      <c r="BL3" s="10">
        <f>BK3+1</f>
        <v/>
      </c>
      <c r="BM3" s="10">
        <f>BL3+1</f>
        <v/>
      </c>
      <c r="BN3" s="10">
        <f>BM3+1</f>
        <v/>
      </c>
      <c r="BO3" s="10">
        <f>BN3+1</f>
        <v/>
      </c>
      <c r="BP3" s="10">
        <f>BO3+1</f>
        <v/>
      </c>
      <c r="BQ3" s="10">
        <f>BP3+1</f>
        <v/>
      </c>
      <c r="BR3" s="10">
        <f>BQ3+1</f>
        <v/>
      </c>
      <c r="BS3" s="10">
        <f>BR3+1</f>
        <v/>
      </c>
      <c r="BT3" s="10">
        <f>BS3+1</f>
        <v/>
      </c>
      <c r="BU3" s="10">
        <f>BT3+1</f>
        <v/>
      </c>
      <c r="BV3" s="10">
        <f>BU3+1</f>
        <v/>
      </c>
      <c r="BW3" s="10">
        <f>BV3+1</f>
        <v/>
      </c>
      <c r="BX3" s="10">
        <f>BW3+1</f>
        <v/>
      </c>
      <c r="BY3" s="10">
        <f>BX3+1</f>
        <v/>
      </c>
      <c r="BZ3" s="10">
        <f>BY3+1</f>
        <v/>
      </c>
      <c r="CA3" s="10">
        <f>BZ3+1</f>
        <v/>
      </c>
      <c r="CB3" s="10">
        <f>CA3+1</f>
        <v/>
      </c>
      <c r="CC3" s="10">
        <f>CB3+1</f>
        <v/>
      </c>
      <c r="CD3" s="10">
        <f>CC3+1</f>
        <v/>
      </c>
      <c r="CE3" s="10">
        <f>CD3+1</f>
        <v/>
      </c>
      <c r="CF3" s="10">
        <f>CE3+1</f>
        <v/>
      </c>
      <c r="CG3" s="10">
        <f>CF3+1</f>
        <v/>
      </c>
      <c r="CH3" s="10">
        <f>CG3+1</f>
        <v/>
      </c>
      <c r="CI3" s="10">
        <f>CH3+1</f>
        <v/>
      </c>
      <c r="CJ3" s="10">
        <f>CI3+1</f>
        <v/>
      </c>
      <c r="CK3" s="10">
        <f>CJ3+1</f>
        <v/>
      </c>
      <c r="CL3" s="10">
        <f>CK3+1</f>
        <v/>
      </c>
      <c r="CM3" s="10">
        <f>CL3+1</f>
        <v/>
      </c>
      <c r="CN3" s="10">
        <f>CM3+1</f>
        <v/>
      </c>
      <c r="CO3" s="10">
        <f>CN3+1</f>
        <v/>
      </c>
      <c r="CP3" s="10">
        <f>CO3+1</f>
        <v/>
      </c>
      <c r="CQ3" s="10">
        <f>CP3+1</f>
        <v/>
      </c>
      <c r="CR3" s="10">
        <f>CQ3+1</f>
        <v/>
      </c>
      <c r="CS3" s="10">
        <f>CR3+1</f>
        <v/>
      </c>
      <c r="CT3" s="10">
        <f>CS3+1</f>
        <v/>
      </c>
      <c r="CU3" s="10">
        <f>CT3+1</f>
        <v/>
      </c>
      <c r="CV3" s="10">
        <f>CU3+1</f>
        <v/>
      </c>
      <c r="CW3" s="10">
        <f>CV3+1</f>
        <v/>
      </c>
      <c r="CX3" s="10">
        <f>CW3+1</f>
        <v/>
      </c>
      <c r="CY3" s="10">
        <f>CX3+1</f>
        <v/>
      </c>
      <c r="CZ3" s="10">
        <f>CY3+1</f>
        <v/>
      </c>
      <c r="DA3" s="10">
        <f>CZ3+1</f>
        <v/>
      </c>
      <c r="DB3" s="10">
        <f>DA3+1</f>
        <v/>
      </c>
      <c r="DC3" s="10">
        <f>DB3+1</f>
        <v/>
      </c>
      <c r="DD3" s="10">
        <f>DC3+1</f>
        <v/>
      </c>
      <c r="DE3" s="10">
        <f>DD3+1</f>
        <v/>
      </c>
      <c r="DF3" s="10">
        <f>DE3+1</f>
        <v/>
      </c>
      <c r="DG3" s="10">
        <f>DF3+1</f>
        <v/>
      </c>
      <c r="DH3" s="10">
        <f>DG3+1</f>
        <v/>
      </c>
      <c r="DI3" s="10">
        <f>DH3+1</f>
        <v/>
      </c>
      <c r="DJ3" s="10">
        <f>DI3+1</f>
        <v/>
      </c>
      <c r="DK3" s="10">
        <f>DJ3+1</f>
        <v/>
      </c>
      <c r="DL3" s="10">
        <f>DK3+1</f>
        <v/>
      </c>
      <c r="DM3" s="10">
        <f>DL3+1</f>
        <v/>
      </c>
      <c r="DN3" s="10">
        <f>DM3+1</f>
        <v/>
      </c>
      <c r="DO3" s="10">
        <f>DN3+1</f>
        <v/>
      </c>
      <c r="DP3" s="10">
        <f>DO3+1</f>
        <v/>
      </c>
      <c r="DQ3" s="10">
        <f>DP3+1</f>
        <v/>
      </c>
      <c r="DR3" s="10">
        <f>DQ3+1</f>
        <v/>
      </c>
      <c r="DS3" s="10">
        <f>DR3+1</f>
        <v/>
      </c>
    </row>
    <row r="4">
      <c r="A4" s="11">
        <f>Suivi!B4</f>
        <v/>
      </c>
      <c r="B4">
        <f>IF(Suivi!D4="",Suivi!C4,Suivi!D4)</f>
        <v/>
      </c>
      <c r="C4" s="12">
        <f>IF(Suivi!G4="","",Suivi!G4)</f>
        <v/>
      </c>
    </row>
    <row r="5">
      <c r="A5" s="11">
        <f>Suivi!B5</f>
        <v/>
      </c>
      <c r="B5">
        <f>IF(Suivi!D5="",Suivi!C5,Suivi!D5)</f>
        <v/>
      </c>
      <c r="C5" s="12">
        <f>IF(Suivi!G5="","",Suivi!G5)</f>
        <v/>
      </c>
    </row>
    <row r="6">
      <c r="A6" s="11">
        <f>Suivi!B6</f>
        <v/>
      </c>
      <c r="B6">
        <f>IF(Suivi!D6="",Suivi!C6,Suivi!D6)</f>
        <v/>
      </c>
      <c r="C6" s="12">
        <f>IF(Suivi!G6="","",Suivi!G6)</f>
        <v/>
      </c>
    </row>
    <row r="7">
      <c r="A7" s="11">
        <f>Suivi!B7</f>
        <v/>
      </c>
      <c r="B7">
        <f>IF(Suivi!D7="",Suivi!C7,Suivi!D7)</f>
        <v/>
      </c>
      <c r="C7" s="12">
        <f>IF(Suivi!G7="","",Suivi!G7)</f>
        <v/>
      </c>
    </row>
    <row r="8">
      <c r="A8" s="11">
        <f>Suivi!B8</f>
        <v/>
      </c>
      <c r="B8">
        <f>IF(Suivi!D8="",Suivi!C8,Suivi!D8)</f>
        <v/>
      </c>
      <c r="C8" s="12">
        <f>IF(Suivi!G8="","",Suivi!G8)</f>
        <v/>
      </c>
    </row>
    <row r="9">
      <c r="A9" s="11">
        <f>Suivi!B9</f>
        <v/>
      </c>
      <c r="B9">
        <f>IF(Suivi!D9="",Suivi!C9,Suivi!D9)</f>
        <v/>
      </c>
      <c r="C9" s="12">
        <f>IF(Suivi!G9="","",Suivi!G9)</f>
        <v/>
      </c>
    </row>
    <row r="10">
      <c r="A10" s="11">
        <f>Suivi!B10</f>
        <v/>
      </c>
      <c r="B10">
        <f>IF(Suivi!D10="",Suivi!C10,Suivi!D10)</f>
        <v/>
      </c>
      <c r="C10" s="12">
        <f>IF(Suivi!G10="","",Suivi!G10)</f>
        <v/>
      </c>
    </row>
    <row r="11">
      <c r="A11" s="11">
        <f>Suivi!B11</f>
        <v/>
      </c>
      <c r="B11">
        <f>IF(Suivi!D11="",Suivi!C11,Suivi!D11)</f>
        <v/>
      </c>
      <c r="C11" s="12">
        <f>IF(Suivi!G11="","",Suivi!G11)</f>
        <v/>
      </c>
    </row>
    <row r="12">
      <c r="A12" s="11">
        <f>Suivi!B12</f>
        <v/>
      </c>
      <c r="B12">
        <f>IF(Suivi!D12="",Suivi!C12,Suivi!D12)</f>
        <v/>
      </c>
      <c r="C12" s="12">
        <f>IF(Suivi!G12="","",Suivi!G12)</f>
        <v/>
      </c>
    </row>
    <row r="13">
      <c r="A13" s="11">
        <f>Suivi!B13</f>
        <v/>
      </c>
      <c r="B13">
        <f>IF(Suivi!D13="",Suivi!C13,Suivi!D13)</f>
        <v/>
      </c>
      <c r="C13" s="12">
        <f>IF(Suivi!G13="","",Suivi!G13)</f>
        <v/>
      </c>
    </row>
    <row r="14">
      <c r="A14" s="11">
        <f>Suivi!B14</f>
        <v/>
      </c>
      <c r="B14">
        <f>IF(Suivi!D14="",Suivi!C14,Suivi!D14)</f>
        <v/>
      </c>
      <c r="C14" s="12">
        <f>IF(Suivi!G14="","",Suivi!G14)</f>
        <v/>
      </c>
    </row>
    <row r="15">
      <c r="A15" s="11">
        <f>Suivi!B15</f>
        <v/>
      </c>
      <c r="B15">
        <f>IF(Suivi!D15="",Suivi!C15,Suivi!D15)</f>
        <v/>
      </c>
      <c r="C15" s="12">
        <f>IF(Suivi!G15="","",Suivi!G15)</f>
        <v/>
      </c>
    </row>
    <row r="16">
      <c r="A16" s="11">
        <f>Suivi!B16</f>
        <v/>
      </c>
      <c r="B16">
        <f>IF(Suivi!D16="",Suivi!C16,Suivi!D16)</f>
        <v/>
      </c>
      <c r="C16" s="12">
        <f>IF(Suivi!G16="","",Suivi!G16)</f>
        <v/>
      </c>
    </row>
    <row r="17">
      <c r="A17" s="11">
        <f>Suivi!B17</f>
        <v/>
      </c>
      <c r="B17">
        <f>IF(Suivi!D17="",Suivi!C17,Suivi!D17)</f>
        <v/>
      </c>
      <c r="C17" s="12">
        <f>IF(Suivi!G17="","",Suivi!G17)</f>
        <v/>
      </c>
    </row>
    <row r="18">
      <c r="A18" s="11">
        <f>Suivi!B18</f>
        <v/>
      </c>
      <c r="B18">
        <f>IF(Suivi!D18="",Suivi!C18,Suivi!D18)</f>
        <v/>
      </c>
      <c r="C18" s="12">
        <f>IF(Suivi!G18="","",Suivi!G18)</f>
        <v/>
      </c>
    </row>
    <row r="19">
      <c r="A19" s="11">
        <f>Suivi!B19</f>
        <v/>
      </c>
      <c r="B19">
        <f>IF(Suivi!D19="",Suivi!C19,Suivi!D19)</f>
        <v/>
      </c>
      <c r="C19" s="12">
        <f>IF(Suivi!G19="","",Suivi!G19)</f>
        <v/>
      </c>
    </row>
    <row r="20">
      <c r="A20" s="11">
        <f>Suivi!B20</f>
        <v/>
      </c>
      <c r="B20">
        <f>IF(Suivi!D20="",Suivi!C20,Suivi!D20)</f>
        <v/>
      </c>
      <c r="C20" s="12">
        <f>IF(Suivi!G20="","",Suivi!G20)</f>
        <v/>
      </c>
    </row>
    <row r="21">
      <c r="A21" s="11">
        <f>Suivi!B21</f>
        <v/>
      </c>
      <c r="B21">
        <f>IF(Suivi!D21="",Suivi!C21,Suivi!D21)</f>
        <v/>
      </c>
      <c r="C21" s="12">
        <f>IF(Suivi!G21="","",Suivi!G21)</f>
        <v/>
      </c>
    </row>
    <row r="22">
      <c r="A22" s="11">
        <f>Suivi!B22</f>
        <v/>
      </c>
      <c r="B22">
        <f>IF(Suivi!D22="",Suivi!C22,Suivi!D22)</f>
        <v/>
      </c>
      <c r="C22" s="12">
        <f>IF(Suivi!G22="","",Suivi!G22)</f>
        <v/>
      </c>
    </row>
    <row r="23">
      <c r="A23" s="11">
        <f>Suivi!B23</f>
        <v/>
      </c>
      <c r="B23">
        <f>IF(Suivi!D23="",Suivi!C23,Suivi!D23)</f>
        <v/>
      </c>
      <c r="C23" s="12">
        <f>IF(Suivi!G23="","",Suivi!G23)</f>
        <v/>
      </c>
    </row>
    <row r="24">
      <c r="A24" s="11">
        <f>Suivi!B24</f>
        <v/>
      </c>
      <c r="B24">
        <f>IF(Suivi!D24="",Suivi!C24,Suivi!D24)</f>
        <v/>
      </c>
      <c r="C24" s="12">
        <f>IF(Suivi!G24="","",Suivi!G24)</f>
        <v/>
      </c>
    </row>
    <row r="25">
      <c r="A25" s="11">
        <f>Suivi!B25</f>
        <v/>
      </c>
      <c r="B25">
        <f>IF(Suivi!D25="",Suivi!C25,Suivi!D25)</f>
        <v/>
      </c>
      <c r="C25" s="12">
        <f>IF(Suivi!G25="","",Suivi!G25)</f>
        <v/>
      </c>
    </row>
    <row r="26">
      <c r="A26" s="11">
        <f>Suivi!B26</f>
        <v/>
      </c>
      <c r="B26">
        <f>IF(Suivi!D26="",Suivi!C26,Suivi!D26)</f>
        <v/>
      </c>
      <c r="C26" s="12">
        <f>IF(Suivi!G26="","",Suivi!G26)</f>
        <v/>
      </c>
    </row>
    <row r="27">
      <c r="A27" s="11">
        <f>Suivi!B27</f>
        <v/>
      </c>
      <c r="B27">
        <f>IF(Suivi!D27="",Suivi!C27,Suivi!D27)</f>
        <v/>
      </c>
      <c r="C27" s="12">
        <f>IF(Suivi!G27="","",Suivi!G27)</f>
        <v/>
      </c>
    </row>
    <row r="28">
      <c r="A28" s="11">
        <f>Suivi!B28</f>
        <v/>
      </c>
      <c r="B28">
        <f>IF(Suivi!D28="",Suivi!C28,Suivi!D28)</f>
        <v/>
      </c>
      <c r="C28" s="12">
        <f>IF(Suivi!G28="","",Suivi!G28)</f>
        <v/>
      </c>
    </row>
    <row r="29">
      <c r="A29" s="11">
        <f>Suivi!B29</f>
        <v/>
      </c>
      <c r="B29">
        <f>IF(Suivi!D29="",Suivi!C29,Suivi!D29)</f>
        <v/>
      </c>
      <c r="C29" s="12">
        <f>IF(Suivi!G29="","",Suivi!G29)</f>
        <v/>
      </c>
    </row>
    <row r="30">
      <c r="A30" s="11">
        <f>Suivi!B30</f>
        <v/>
      </c>
      <c r="B30">
        <f>IF(Suivi!D30="",Suivi!C30,Suivi!D30)</f>
        <v/>
      </c>
      <c r="C30" s="12">
        <f>IF(Suivi!G30="","",Suivi!G30)</f>
        <v/>
      </c>
    </row>
    <row r="31">
      <c r="A31" s="11">
        <f>Suivi!B31</f>
        <v/>
      </c>
      <c r="B31">
        <f>IF(Suivi!D31="",Suivi!C31,Suivi!D31)</f>
        <v/>
      </c>
      <c r="C31" s="12">
        <f>IF(Suivi!G31="","",Suivi!G31)</f>
        <v/>
      </c>
    </row>
    <row r="32">
      <c r="A32" s="11">
        <f>Suivi!B32</f>
        <v/>
      </c>
      <c r="B32">
        <f>IF(Suivi!D32="",Suivi!C32,Suivi!D32)</f>
        <v/>
      </c>
      <c r="C32" s="12">
        <f>IF(Suivi!G32="","",Suivi!G32)</f>
        <v/>
      </c>
    </row>
    <row r="33">
      <c r="A33" s="11">
        <f>Suivi!B33</f>
        <v/>
      </c>
      <c r="B33">
        <f>IF(Suivi!D33="",Suivi!C33,Suivi!D33)</f>
        <v/>
      </c>
      <c r="C33" s="12">
        <f>IF(Suivi!G33="","",Suivi!G33)</f>
        <v/>
      </c>
    </row>
    <row r="34">
      <c r="A34" s="11">
        <f>Suivi!B34</f>
        <v/>
      </c>
      <c r="B34">
        <f>IF(Suivi!D34="",Suivi!C34,Suivi!D34)</f>
        <v/>
      </c>
      <c r="C34" s="12">
        <f>IF(Suivi!G34="","",Suivi!G34)</f>
        <v/>
      </c>
    </row>
    <row r="35">
      <c r="A35" s="11">
        <f>Suivi!B35</f>
        <v/>
      </c>
      <c r="B35">
        <f>IF(Suivi!D35="",Suivi!C35,Suivi!D35)</f>
        <v/>
      </c>
      <c r="C35" s="12">
        <f>IF(Suivi!G35="","",Suivi!G35)</f>
        <v/>
      </c>
    </row>
    <row r="36">
      <c r="A36" s="11">
        <f>Suivi!B36</f>
        <v/>
      </c>
      <c r="B36">
        <f>IF(Suivi!D36="",Suivi!C36,Suivi!D36)</f>
        <v/>
      </c>
      <c r="C36" s="12">
        <f>IF(Suivi!G36="","",Suivi!G36)</f>
        <v/>
      </c>
    </row>
    <row r="37">
      <c r="A37" s="11">
        <f>Suivi!B37</f>
        <v/>
      </c>
      <c r="B37">
        <f>IF(Suivi!D37="",Suivi!C37,Suivi!D37)</f>
        <v/>
      </c>
      <c r="C37" s="12">
        <f>IF(Suivi!G37="","",Suivi!G37)</f>
        <v/>
      </c>
    </row>
    <row r="38">
      <c r="A38" s="11">
        <f>Suivi!B38</f>
        <v/>
      </c>
      <c r="B38">
        <f>IF(Suivi!D38="",Suivi!C38,Suivi!D38)</f>
        <v/>
      </c>
      <c r="C38" s="12">
        <f>IF(Suivi!G38="","",Suivi!G38)</f>
        <v/>
      </c>
    </row>
    <row r="39">
      <c r="A39" s="11">
        <f>Suivi!B39</f>
        <v/>
      </c>
      <c r="B39">
        <f>IF(Suivi!D39="",Suivi!C39,Suivi!D39)</f>
        <v/>
      </c>
      <c r="C39" s="12">
        <f>IF(Suivi!G39="","",Suivi!G39)</f>
        <v/>
      </c>
    </row>
    <row r="40">
      <c r="A40" s="11">
        <f>Suivi!B40</f>
        <v/>
      </c>
      <c r="B40">
        <f>IF(Suivi!D40="",Suivi!C40,Suivi!D40)</f>
        <v/>
      </c>
      <c r="C40" s="12">
        <f>IF(Suivi!G40="","",Suivi!G40)</f>
        <v/>
      </c>
    </row>
    <row r="41">
      <c r="A41" s="11">
        <f>Suivi!B41</f>
        <v/>
      </c>
      <c r="B41">
        <f>IF(Suivi!D41="",Suivi!C41,Suivi!D41)</f>
        <v/>
      </c>
      <c r="C41" s="12">
        <f>IF(Suivi!G41="","",Suivi!G41)</f>
        <v/>
      </c>
    </row>
    <row r="42">
      <c r="A42" s="11">
        <f>Suivi!B42</f>
        <v/>
      </c>
      <c r="B42">
        <f>IF(Suivi!D42="",Suivi!C42,Suivi!D42)</f>
        <v/>
      </c>
      <c r="C42" s="12">
        <f>IF(Suivi!G42="","",Suivi!G42)</f>
        <v/>
      </c>
    </row>
    <row r="43">
      <c r="A43" s="11">
        <f>Suivi!B43</f>
        <v/>
      </c>
      <c r="B43">
        <f>IF(Suivi!D43="",Suivi!C43,Suivi!D43)</f>
        <v/>
      </c>
      <c r="C43" s="12">
        <f>IF(Suivi!G43="","",Suivi!G43)</f>
        <v/>
      </c>
    </row>
    <row r="44">
      <c r="A44" s="11">
        <f>Suivi!B44</f>
        <v/>
      </c>
      <c r="B44">
        <f>IF(Suivi!D44="",Suivi!C44,Suivi!D44)</f>
        <v/>
      </c>
      <c r="C44" s="12">
        <f>IF(Suivi!G44="","",Suivi!G44)</f>
        <v/>
      </c>
    </row>
    <row r="45">
      <c r="A45" s="11">
        <f>Suivi!B45</f>
        <v/>
      </c>
      <c r="B45">
        <f>IF(Suivi!D45="",Suivi!C45,Suivi!D45)</f>
        <v/>
      </c>
      <c r="C45" s="12">
        <f>IF(Suivi!G45="","",Suivi!G45)</f>
        <v/>
      </c>
    </row>
    <row r="46">
      <c r="A46" s="11">
        <f>Suivi!B46</f>
        <v/>
      </c>
      <c r="B46">
        <f>IF(Suivi!D46="",Suivi!C46,Suivi!D46)</f>
        <v/>
      </c>
      <c r="C46" s="12">
        <f>IF(Suivi!G46="","",Suivi!G46)</f>
        <v/>
      </c>
    </row>
    <row r="47">
      <c r="A47" s="11">
        <f>Suivi!B47</f>
        <v/>
      </c>
      <c r="B47">
        <f>IF(Suivi!D47="",Suivi!C47,Suivi!D47)</f>
        <v/>
      </c>
      <c r="C47" s="12">
        <f>IF(Suivi!G47="","",Suivi!G47)</f>
        <v/>
      </c>
    </row>
    <row r="48">
      <c r="A48" s="11">
        <f>Suivi!B48</f>
        <v/>
      </c>
      <c r="B48">
        <f>IF(Suivi!D48="",Suivi!C48,Suivi!D48)</f>
        <v/>
      </c>
      <c r="C48" s="12">
        <f>IF(Suivi!G48="","",Suivi!G48)</f>
        <v/>
      </c>
    </row>
    <row r="49">
      <c r="A49" s="11">
        <f>Suivi!B49</f>
        <v/>
      </c>
      <c r="B49">
        <f>IF(Suivi!D49="",Suivi!C49,Suivi!D49)</f>
        <v/>
      </c>
      <c r="C49" s="12">
        <f>IF(Suivi!G49="","",Suivi!G49)</f>
        <v/>
      </c>
    </row>
    <row r="50">
      <c r="A50" s="11">
        <f>Suivi!B50</f>
        <v/>
      </c>
      <c r="B50">
        <f>IF(Suivi!D50="",Suivi!C50,Suivi!D50)</f>
        <v/>
      </c>
      <c r="C50" s="12">
        <f>IF(Suivi!G50="","",Suivi!G50)</f>
        <v/>
      </c>
    </row>
    <row r="51">
      <c r="A51" s="11">
        <f>Suivi!B51</f>
        <v/>
      </c>
      <c r="B51">
        <f>IF(Suivi!D51="",Suivi!C51,Suivi!D51)</f>
        <v/>
      </c>
      <c r="C51" s="12">
        <f>IF(Suivi!G51="","",Suivi!G51)</f>
        <v/>
      </c>
    </row>
    <row r="52">
      <c r="A52" s="11">
        <f>Suivi!B52</f>
        <v/>
      </c>
      <c r="B52">
        <f>IF(Suivi!D52="",Suivi!C52,Suivi!D52)</f>
        <v/>
      </c>
      <c r="C52" s="12">
        <f>IF(Suivi!G52="","",Suivi!G52)</f>
        <v/>
      </c>
    </row>
    <row r="53">
      <c r="A53" s="11">
        <f>Suivi!B53</f>
        <v/>
      </c>
      <c r="B53">
        <f>IF(Suivi!D53="",Suivi!C53,Suivi!D53)</f>
        <v/>
      </c>
      <c r="C53" s="12">
        <f>IF(Suivi!G53="","",Suivi!G53)</f>
        <v/>
      </c>
    </row>
    <row r="54">
      <c r="A54" s="11">
        <f>Suivi!B54</f>
        <v/>
      </c>
      <c r="B54">
        <f>IF(Suivi!D54="",Suivi!C54,Suivi!D54)</f>
        <v/>
      </c>
      <c r="C54" s="12">
        <f>IF(Suivi!G54="","",Suivi!G54)</f>
        <v/>
      </c>
    </row>
    <row r="55">
      <c r="A55" s="11">
        <f>Suivi!B55</f>
        <v/>
      </c>
      <c r="B55">
        <f>IF(Suivi!D55="",Suivi!C55,Suivi!D55)</f>
        <v/>
      </c>
      <c r="C55" s="12">
        <f>IF(Suivi!G55="","",Suivi!G55)</f>
        <v/>
      </c>
    </row>
    <row r="56">
      <c r="A56" s="11">
        <f>Suivi!B56</f>
        <v/>
      </c>
      <c r="B56">
        <f>IF(Suivi!D56="",Suivi!C56,Suivi!D56)</f>
        <v/>
      </c>
      <c r="C56" s="12">
        <f>IF(Suivi!G56="","",Suivi!G56)</f>
        <v/>
      </c>
    </row>
    <row r="58">
      <c r="B58" s="13" t="inlineStr">
        <is>
          <t>Légende :</t>
        </is>
      </c>
      <c r="D58" s="14" t="n"/>
      <c r="E58" t="inlineStr">
        <is>
          <t>Macro-étape</t>
        </is>
      </c>
    </row>
    <row r="59">
      <c r="D59" s="15" t="n"/>
      <c r="E59" t="inlineStr">
        <is>
          <t>Tâche</t>
        </is>
      </c>
    </row>
    <row r="60">
      <c r="D60" s="16" t="n"/>
      <c r="E60" t="inlineStr">
        <is>
          <t>Week-end</t>
        </is>
      </c>
    </row>
    <row r="62">
      <c r="B62" s="17" t="inlineStr">
        <is>
          <t>Le graphique se met à jour automatiquement lorsque les dates changent dans les feuilles Paramètres / Suivi.</t>
        </is>
      </c>
    </row>
  </sheetData>
  <mergeCells count="1">
    <mergeCell ref="A1:T1"/>
  </mergeCells>
  <conditionalFormatting sqref="D4:DS56">
    <cfRule type="expression" priority="1" dxfId="2" stopIfTrue="1">
      <formula>AND(ISNUMBER($A4),D$3&gt;=Suivi!$E4,D$3&lt;=Suivi!$F4)</formula>
    </cfRule>
    <cfRule type="expression" priority="2" dxfId="3" stopIfTrue="1">
      <formula>AND(D$3&gt;=Suivi!$E4,D$3&lt;=IF(Suivi!$H4=0,Suivi!$E4,Suivi!$F4))</formula>
    </cfRule>
  </conditionalFormatting>
  <conditionalFormatting sqref="D2:DS56">
    <cfRule type="expression" priority="3" dxfId="4">
      <formula>OR(WEEKDAY(D$3,2)=6,WEEKDAY(D$3,2)=7)</formula>
    </cfRule>
  </conditionalFormatting>
  <conditionalFormatting sqref="A4:C56">
    <cfRule type="expression" priority="4" dxfId="5">
      <formula>ISNUMBER($A4)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H56"/>
  <sheetViews>
    <sheetView tabSelected="1" zoomScaleNormal="100" workbookViewId="0">
      <pane ySplit="3" topLeftCell="A4" activePane="bottomLeft" state="frozen"/>
      <selection pane="bottomLeft" activeCell="L8" sqref="L8"/>
    </sheetView>
  </sheetViews>
  <sheetFormatPr baseColWidth="10" defaultColWidth="8.88671875" defaultRowHeight="14.4"/>
  <cols>
    <col width="18.33203125" customWidth="1" min="1" max="1"/>
    <col width="11" customWidth="1" min="2" max="2"/>
    <col width="30" customWidth="1" min="3" max="3"/>
    <col width="34" customWidth="1" min="4" max="4"/>
    <col width="12" customWidth="1" min="5" max="6"/>
    <col width="20" customWidth="1" min="7" max="7"/>
    <col width="8" customWidth="1" min="8" max="8"/>
    <col width="8.88671875" customWidth="1" min="15" max="15"/>
  </cols>
  <sheetData>
    <row r="3" ht="14.25" customHeight="1">
      <c r="A3" s="1" t="inlineStr">
        <is>
          <t>Dossier</t>
        </is>
      </c>
      <c r="B3" s="2">
        <f>Paramètres!G4</f>
        <v/>
      </c>
      <c r="C3" s="2">
        <f>Paramètres!H4</f>
        <v/>
      </c>
      <c r="D3" s="2">
        <f>Paramètres!I4</f>
        <v/>
      </c>
      <c r="E3" s="1" t="inlineStr">
        <is>
          <t>Début le</t>
        </is>
      </c>
      <c r="F3" s="1" t="inlineStr">
        <is>
          <t>Fin prévue le</t>
        </is>
      </c>
      <c r="G3" s="1" t="inlineStr">
        <is>
          <t>Statut</t>
        </is>
      </c>
      <c r="H3" s="1" t="inlineStr">
        <is>
          <t>Durée (j ouvrés)</t>
        </is>
      </c>
    </row>
    <row r="4" ht="14.25" customHeight="1">
      <c r="A4" t="n">
        <v>1</v>
      </c>
      <c r="B4" s="3">
        <f>Paramètres!G5</f>
        <v/>
      </c>
      <c r="C4" s="3">
        <f>IF(Paramètres!H5="","",Paramètres!H5)</f>
        <v/>
      </c>
      <c r="D4" s="3">
        <f>IF(Paramètres!I5="","",Paramètres!I5)</f>
        <v/>
      </c>
      <c r="E4" s="4">
        <f>MIN(E5:E8)</f>
        <v/>
      </c>
      <c r="F4" s="4">
        <f>MAX(F5:F8)</f>
        <v/>
      </c>
      <c r="G4" t="inlineStr">
        <is>
          <t>En attente</t>
        </is>
      </c>
      <c r="H4">
        <f>NETWORKDAYS(E4,F4)</f>
        <v/>
      </c>
    </row>
    <row r="5" ht="14.25" customHeight="1">
      <c r="A5" s="1" t="inlineStr">
        <is>
          <t>DATE DEBUT PROJET</t>
        </is>
      </c>
      <c r="B5" s="3">
        <f>Paramètres!G6</f>
        <v/>
      </c>
      <c r="C5" s="3">
        <f>IF(Paramètres!H6="","",Paramètres!H6)</f>
        <v/>
      </c>
      <c r="D5" s="3">
        <f>IF(Paramètres!I6="","",Paramètres!I6)</f>
        <v/>
      </c>
      <c r="E5" s="4">
        <f>IF(Paramètres!J6&amp;Paramètres!L6&amp;Paramètres!N6="",WORKDAY($A$6-1,1),MAX(IF(Paramètres!J6="",0,IF(Paramètres!K6="",NA(),IF(RIGHT(TRIM(Paramètres!K6),3)="Fin",WORKDAY(IF(LEFT(TRIM(Paramètres!K6),1)="F",INDEX($F$4:$F$56,MATCH(Paramètres!J6,Paramètres!$G$5:$G$57,0)),INDEX($E$4:$E$56,MATCH(Paramètres!J6,Paramètres!$G$5:$G$57,0))),1-$H5),IF(LEFT(TRIM(Paramètres!K6),1)="F",WORKDAY(IF(LEFT(TRIM(Paramètres!K6),1)="F",INDEX($F$4:$F$56,MATCH(Paramètres!J6,Paramètres!$G$5:$G$57,0)),INDEX($E$4:$E$56,MATCH(Paramètres!J6,Paramètres!$G$5:$G$57,0))),1),IF(LEFT(TRIM(Paramètres!K6),1)="F",INDEX($F$4:$F$56,MATCH(Paramètres!J6,Paramètres!$G$5:$G$57,0)),INDEX($E$4:$E$56,MATCH(Paramètres!J6,Paramètres!$G$5:$G$57,0))))))),IF(Paramètres!L6="",0,IF(Paramètres!M6="",NA(),IF(RIGHT(TRIM(Paramètres!M6),3)="Fin",WORKDAY(IF(LEFT(TRIM(Paramètres!M6),1)="F",INDEX($F$4:$F$56,MATCH(Paramètres!L6,Paramètres!$G$5:$G$57,0)),INDEX($E$4:$E$56,MATCH(Paramètres!L6,Paramètres!$G$5:$G$57,0))),1-$H5),IF(LEFT(TRIM(Paramètres!M6),1)="F",WORKDAY(IF(LEFT(TRIM(Paramètres!M6),1)="F",INDEX($F$4:$F$56,MATCH(Paramètres!L6,Paramètres!$G$5:$G$57,0)),INDEX($E$4:$E$56,MATCH(Paramètres!L6,Paramètres!$G$5:$G$57,0))),1),IF(LEFT(TRIM(Paramètres!M6),1)="F",INDEX($F$4:$F$56,MATCH(Paramètres!L6,Paramètres!$G$5:$G$57,0)),INDEX($E$4:$E$56,MATCH(Paramètres!L6,Paramètres!$G$5:$G$57,0))))))),IF(Paramètres!N6="",0,IF(Paramètres!O6="",NA(),IF(RIGHT(TRIM(Paramètres!O6),3)="Fin",WORKDAY(IF(LEFT(TRIM(Paramètres!O6),1)="F",INDEX($F$4:$F$56,MATCH(Paramètres!N6,Paramètres!$G$5:$G$57,0)),INDEX($E$4:$E$56,MATCH(Paramètres!N6,Paramètres!$G$5:$G$57,0))),1-$H5),IF(LEFT(TRIM(Paramètres!O6),1)="F",WORKDAY(IF(LEFT(TRIM(Paramètres!O6),1)="F",INDEX($F$4:$F$56,MATCH(Paramètres!N6,Paramètres!$G$5:$G$57,0)),INDEX($E$4:$E$56,MATCH(Paramètres!N6,Paramètres!$G$5:$G$57,0))),1),IF(LEFT(TRIM(Paramètres!O6),1)="F",INDEX($F$4:$F$56,MATCH(Paramètres!N6,Paramètres!$G$5:$G$57,0)),INDEX($E$4:$E$56,MATCH(Paramètres!N6,Paramètres!$G$5:$G$57,0)))))))))</f>
        <v/>
      </c>
      <c r="F5" s="4">
        <f>IF($H5=0,WORKDAY(E5,-1),WORKDAY(E5,$H5-1))</f>
        <v/>
      </c>
      <c r="H5">
        <f>Paramètres!B6</f>
        <v/>
      </c>
    </row>
    <row r="6" ht="14.25" customHeight="1">
      <c r="A6" s="4" t="n">
        <v>46308</v>
      </c>
      <c r="B6" s="3">
        <f>Paramètres!G7</f>
        <v/>
      </c>
      <c r="C6" s="3">
        <f>IF(Paramètres!H7="","",Paramètres!H7)</f>
        <v/>
      </c>
      <c r="D6" s="3">
        <f>IF(Paramètres!I7="","",Paramètres!I7)</f>
        <v/>
      </c>
      <c r="E6" s="4">
        <f>IF(Paramètres!J7&amp;Paramètres!L7&amp;Paramètres!N7="",WORKDAY($A$6-1,1),MAX(IF(Paramètres!J7="",0,IF(Paramètres!K7="",NA(),IF(RIGHT(TRIM(Paramètres!K7),3)="Fin",WORKDAY(IF(LEFT(TRIM(Paramètres!K7),1)="F",INDEX($F$4:$F$56,MATCH(Paramètres!J7,Paramètres!$G$5:$G$57,0)),INDEX($E$4:$E$56,MATCH(Paramètres!J7,Paramètres!$G$5:$G$57,0))),1-$H6),IF(LEFT(TRIM(Paramètres!K7),1)="F",WORKDAY(IF(LEFT(TRIM(Paramètres!K7),1)="F",INDEX($F$4:$F$56,MATCH(Paramètres!J7,Paramètres!$G$5:$G$57,0)),INDEX($E$4:$E$56,MATCH(Paramètres!J7,Paramètres!$G$5:$G$57,0))),1),IF(LEFT(TRIM(Paramètres!K7),1)="F",INDEX($F$4:$F$56,MATCH(Paramètres!J7,Paramètres!$G$5:$G$57,0)),INDEX($E$4:$E$56,MATCH(Paramètres!J7,Paramètres!$G$5:$G$57,0))))))),IF(Paramètres!L7="",0,IF(Paramètres!M7="",NA(),IF(RIGHT(TRIM(Paramètres!M7),3)="Fin",WORKDAY(IF(LEFT(TRIM(Paramètres!M7),1)="F",INDEX($F$4:$F$56,MATCH(Paramètres!L7,Paramètres!$G$5:$G$57,0)),INDEX($E$4:$E$56,MATCH(Paramètres!L7,Paramètres!$G$5:$G$57,0))),1-$H6),IF(LEFT(TRIM(Paramètres!M7),1)="F",WORKDAY(IF(LEFT(TRIM(Paramètres!M7),1)="F",INDEX($F$4:$F$56,MATCH(Paramètres!L7,Paramètres!$G$5:$G$57,0)),INDEX($E$4:$E$56,MATCH(Paramètres!L7,Paramètres!$G$5:$G$57,0))),1),IF(LEFT(TRIM(Paramètres!M7),1)="F",INDEX($F$4:$F$56,MATCH(Paramètres!L7,Paramètres!$G$5:$G$57,0)),INDEX($E$4:$E$56,MATCH(Paramètres!L7,Paramètres!$G$5:$G$57,0))))))),IF(Paramètres!N7="",0,IF(Paramètres!O7="",NA(),IF(RIGHT(TRIM(Paramètres!O7),3)="Fin",WORKDAY(IF(LEFT(TRIM(Paramètres!O7),1)="F",INDEX($F$4:$F$56,MATCH(Paramètres!N7,Paramètres!$G$5:$G$57,0)),INDEX($E$4:$E$56,MATCH(Paramètres!N7,Paramètres!$G$5:$G$57,0))),1-$H6),IF(LEFT(TRIM(Paramètres!O7),1)="F",WORKDAY(IF(LEFT(TRIM(Paramètres!O7),1)="F",INDEX($F$4:$F$56,MATCH(Paramètres!N7,Paramètres!$G$5:$G$57,0)),INDEX($E$4:$E$56,MATCH(Paramètres!N7,Paramètres!$G$5:$G$57,0))),1),IF(LEFT(TRIM(Paramètres!O7),1)="F",INDEX($F$4:$F$56,MATCH(Paramètres!N7,Paramètres!$G$5:$G$57,0)),INDEX($E$4:$E$56,MATCH(Paramètres!N7,Paramètres!$G$5:$G$57,0)))))))))</f>
        <v/>
      </c>
      <c r="F6" s="4">
        <f>IF($H6=0,WORKDAY(E6,-1),WORKDAY(E6,$H6-1))</f>
        <v/>
      </c>
      <c r="H6">
        <f>Paramètres!B7</f>
        <v/>
      </c>
    </row>
    <row r="7" ht="14.25" customHeight="1">
      <c r="B7" s="3">
        <f>Paramètres!G8</f>
        <v/>
      </c>
      <c r="C7" s="3">
        <f>IF(Paramètres!H8="","",Paramètres!H8)</f>
        <v/>
      </c>
      <c r="D7" s="3">
        <f>IF(Paramètres!I8="","",Paramètres!I8)</f>
        <v/>
      </c>
      <c r="E7" s="4">
        <f>IF(Paramètres!J8&amp;Paramètres!L8&amp;Paramètres!N8="",WORKDAY($A$6-1,1),MAX(IF(Paramètres!J8="",0,IF(Paramètres!K8="",NA(),IF(RIGHT(TRIM(Paramètres!K8),3)="Fin",WORKDAY(IF(LEFT(TRIM(Paramètres!K8),1)="F",INDEX($F$4:$F$56,MATCH(Paramètres!J8,Paramètres!$G$5:$G$57,0)),INDEX($E$4:$E$56,MATCH(Paramètres!J8,Paramètres!$G$5:$G$57,0))),1-$H7),IF(LEFT(TRIM(Paramètres!K8),1)="F",WORKDAY(IF(LEFT(TRIM(Paramètres!K8),1)="F",INDEX($F$4:$F$56,MATCH(Paramètres!J8,Paramètres!$G$5:$G$57,0)),INDEX($E$4:$E$56,MATCH(Paramètres!J8,Paramètres!$G$5:$G$57,0))),1),IF(LEFT(TRIM(Paramètres!K8),1)="F",INDEX($F$4:$F$56,MATCH(Paramètres!J8,Paramètres!$G$5:$G$57,0)),INDEX($E$4:$E$56,MATCH(Paramètres!J8,Paramètres!$G$5:$G$57,0))))))),IF(Paramètres!L8="",0,IF(Paramètres!M8="",NA(),IF(RIGHT(TRIM(Paramètres!M8),3)="Fin",WORKDAY(IF(LEFT(TRIM(Paramètres!M8),1)="F",INDEX($F$4:$F$56,MATCH(Paramètres!L8,Paramètres!$G$5:$G$57,0)),INDEX($E$4:$E$56,MATCH(Paramètres!L8,Paramètres!$G$5:$G$57,0))),1-$H7),IF(LEFT(TRIM(Paramètres!M8),1)="F",WORKDAY(IF(LEFT(TRIM(Paramètres!M8),1)="F",INDEX($F$4:$F$56,MATCH(Paramètres!L8,Paramètres!$G$5:$G$57,0)),INDEX($E$4:$E$56,MATCH(Paramètres!L8,Paramètres!$G$5:$G$57,0))),1),IF(LEFT(TRIM(Paramètres!M8),1)="F",INDEX($F$4:$F$56,MATCH(Paramètres!L8,Paramètres!$G$5:$G$57,0)),INDEX($E$4:$E$56,MATCH(Paramètres!L8,Paramètres!$G$5:$G$57,0))))))),IF(Paramètres!N8="",0,IF(Paramètres!O8="",NA(),IF(RIGHT(TRIM(Paramètres!O8),3)="Fin",WORKDAY(IF(LEFT(TRIM(Paramètres!O8),1)="F",INDEX($F$4:$F$56,MATCH(Paramètres!N8,Paramètres!$G$5:$G$57,0)),INDEX($E$4:$E$56,MATCH(Paramètres!N8,Paramètres!$G$5:$G$57,0))),1-$H7),IF(LEFT(TRIM(Paramètres!O8),1)="F",WORKDAY(IF(LEFT(TRIM(Paramètres!O8),1)="F",INDEX($F$4:$F$56,MATCH(Paramètres!N8,Paramètres!$G$5:$G$57,0)),INDEX($E$4:$E$56,MATCH(Paramètres!N8,Paramètres!$G$5:$G$57,0))),1),IF(LEFT(TRIM(Paramètres!O8),1)="F",INDEX($F$4:$F$56,MATCH(Paramètres!N8,Paramètres!$G$5:$G$57,0)),INDEX($E$4:$E$56,MATCH(Paramètres!N8,Paramètres!$G$5:$G$57,0)))))))))</f>
        <v/>
      </c>
      <c r="F7" s="4">
        <f>IF($H7=0,WORKDAY(E7,-1),WORKDAY(E7,$H7-1))</f>
        <v/>
      </c>
      <c r="H7">
        <f>Paramètres!B8</f>
        <v/>
      </c>
    </row>
    <row r="8" ht="14.25" customHeight="1">
      <c r="B8" s="3">
        <f>Paramètres!G9</f>
        <v/>
      </c>
      <c r="C8" s="3">
        <f>IF(Paramètres!H9="","",Paramètres!H9)</f>
        <v/>
      </c>
      <c r="D8" s="3">
        <f>IF(Paramètres!I9="","",Paramètres!I9)</f>
        <v/>
      </c>
      <c r="E8" s="4">
        <f>IF(Paramètres!J9&amp;Paramètres!L9&amp;Paramètres!N9="",WORKDAY($A$6-1,1),MAX(IF(Paramètres!J9="",0,IF(Paramètres!K9="",NA(),IF(RIGHT(TRIM(Paramètres!K9),3)="Fin",WORKDAY(IF(LEFT(TRIM(Paramètres!K9),1)="F",INDEX($F$4:$F$56,MATCH(Paramètres!J9,Paramètres!$G$5:$G$57,0)),INDEX($E$4:$E$56,MATCH(Paramètres!J9,Paramètres!$G$5:$G$57,0))),1-$H8),IF(LEFT(TRIM(Paramètres!K9),1)="F",WORKDAY(IF(LEFT(TRIM(Paramètres!K9),1)="F",INDEX($F$4:$F$56,MATCH(Paramètres!J9,Paramètres!$G$5:$G$57,0)),INDEX($E$4:$E$56,MATCH(Paramètres!J9,Paramètres!$G$5:$G$57,0))),1),IF(LEFT(TRIM(Paramètres!K9),1)="F",INDEX($F$4:$F$56,MATCH(Paramètres!J9,Paramètres!$G$5:$G$57,0)),INDEX($E$4:$E$56,MATCH(Paramètres!J9,Paramètres!$G$5:$G$57,0))))))),IF(Paramètres!L9="",0,IF(Paramètres!M9="",NA(),IF(RIGHT(TRIM(Paramètres!M9),3)="Fin",WORKDAY(IF(LEFT(TRIM(Paramètres!M9),1)="F",INDEX($F$4:$F$56,MATCH(Paramètres!L9,Paramètres!$G$5:$G$57,0)),INDEX($E$4:$E$56,MATCH(Paramètres!L9,Paramètres!$G$5:$G$57,0))),1-$H8),IF(LEFT(TRIM(Paramètres!M9),1)="F",WORKDAY(IF(LEFT(TRIM(Paramètres!M9),1)="F",INDEX($F$4:$F$56,MATCH(Paramètres!L9,Paramètres!$G$5:$G$57,0)),INDEX($E$4:$E$56,MATCH(Paramètres!L9,Paramètres!$G$5:$G$57,0))),1),IF(LEFT(TRIM(Paramètres!M9),1)="F",INDEX($F$4:$F$56,MATCH(Paramètres!L9,Paramètres!$G$5:$G$57,0)),INDEX($E$4:$E$56,MATCH(Paramètres!L9,Paramètres!$G$5:$G$57,0))))))),IF(Paramètres!N9="",0,IF(Paramètres!O9="",NA(),IF(RIGHT(TRIM(Paramètres!O9),3)="Fin",WORKDAY(IF(LEFT(TRIM(Paramètres!O9),1)="F",INDEX($F$4:$F$56,MATCH(Paramètres!N9,Paramètres!$G$5:$G$57,0)),INDEX($E$4:$E$56,MATCH(Paramètres!N9,Paramètres!$G$5:$G$57,0))),1-$H8),IF(LEFT(TRIM(Paramètres!O9),1)="F",WORKDAY(IF(LEFT(TRIM(Paramètres!O9),1)="F",INDEX($F$4:$F$56,MATCH(Paramètres!N9,Paramètres!$G$5:$G$57,0)),INDEX($E$4:$E$56,MATCH(Paramètres!N9,Paramètres!$G$5:$G$57,0))),1),IF(LEFT(TRIM(Paramètres!O9),1)="F",INDEX($F$4:$F$56,MATCH(Paramètres!N9,Paramètres!$G$5:$G$57,0)),INDEX($E$4:$E$56,MATCH(Paramètres!N9,Paramètres!$G$5:$G$57,0)))))))))</f>
        <v/>
      </c>
      <c r="F8" s="4">
        <f>IF($H8=0,WORKDAY(E8,-1),WORKDAY(E8,$H8-1))</f>
        <v/>
      </c>
      <c r="H8">
        <f>Paramètres!B9</f>
        <v/>
      </c>
    </row>
    <row r="9" ht="14.25" customHeight="1">
      <c r="B9" s="3">
        <f>Paramètres!G10</f>
        <v/>
      </c>
      <c r="C9" s="3">
        <f>IF(Paramètres!H10="","",Paramètres!H10)</f>
        <v/>
      </c>
      <c r="D9" s="3">
        <f>IF(Paramètres!I10="","",Paramètres!I10)</f>
        <v/>
      </c>
      <c r="E9" s="4">
        <f>MIN(E10:E13)</f>
        <v/>
      </c>
      <c r="F9" s="4">
        <f>MAX(F10:F13)</f>
        <v/>
      </c>
      <c r="H9">
        <f>NETWORKDAYS(E9,F9)</f>
        <v/>
      </c>
    </row>
    <row r="10" ht="14.25" customHeight="1">
      <c r="B10" s="3">
        <f>Paramètres!G11</f>
        <v/>
      </c>
      <c r="C10" s="3">
        <f>IF(Paramètres!H11="","",Paramètres!H11)</f>
        <v/>
      </c>
      <c r="D10" s="3">
        <f>IF(Paramètres!I11="","",Paramètres!I11)</f>
        <v/>
      </c>
      <c r="E10" s="4">
        <f>IF(Paramètres!J11&amp;Paramètres!L11&amp;Paramètres!N11="",WORKDAY($A$6-1,1),MAX(IF(Paramètres!J11="",0,IF(Paramètres!K11="",NA(),IF(RIGHT(TRIM(Paramètres!K11),3)="Fin",WORKDAY(IF(LEFT(TRIM(Paramètres!K11),1)="F",INDEX($F$4:$F$56,MATCH(Paramètres!J11,Paramètres!$G$5:$G$57,0)),INDEX($E$4:$E$56,MATCH(Paramètres!J11,Paramètres!$G$5:$G$57,0))),1-$H10),IF(LEFT(TRIM(Paramètres!K11),1)="F",WORKDAY(IF(LEFT(TRIM(Paramètres!K11),1)="F",INDEX($F$4:$F$56,MATCH(Paramètres!J11,Paramètres!$G$5:$G$57,0)),INDEX($E$4:$E$56,MATCH(Paramètres!J11,Paramètres!$G$5:$G$57,0))),1),IF(LEFT(TRIM(Paramètres!K11),1)="F",INDEX($F$4:$F$56,MATCH(Paramètres!J11,Paramètres!$G$5:$G$57,0)),INDEX($E$4:$E$56,MATCH(Paramètres!J11,Paramètres!$G$5:$G$57,0))))))),IF(Paramètres!L11="",0,IF(Paramètres!M11="",NA(),IF(RIGHT(TRIM(Paramètres!M11),3)="Fin",WORKDAY(IF(LEFT(TRIM(Paramètres!M11),1)="F",INDEX($F$4:$F$56,MATCH(Paramètres!L11,Paramètres!$G$5:$G$57,0)),INDEX($E$4:$E$56,MATCH(Paramètres!L11,Paramètres!$G$5:$G$57,0))),1-$H10),IF(LEFT(TRIM(Paramètres!M11),1)="F",WORKDAY(IF(LEFT(TRIM(Paramètres!M11),1)="F",INDEX($F$4:$F$56,MATCH(Paramètres!L11,Paramètres!$G$5:$G$57,0)),INDEX($E$4:$E$56,MATCH(Paramètres!L11,Paramètres!$G$5:$G$57,0))),1),IF(LEFT(TRIM(Paramètres!M11),1)="F",INDEX($F$4:$F$56,MATCH(Paramètres!L11,Paramètres!$G$5:$G$57,0)),INDEX($E$4:$E$56,MATCH(Paramètres!L11,Paramètres!$G$5:$G$57,0))))))),IF(Paramètres!N11="",0,IF(Paramètres!O11="",NA(),IF(RIGHT(TRIM(Paramètres!O11),3)="Fin",WORKDAY(IF(LEFT(TRIM(Paramètres!O11),1)="F",INDEX($F$4:$F$56,MATCH(Paramètres!N11,Paramètres!$G$5:$G$57,0)),INDEX($E$4:$E$56,MATCH(Paramètres!N11,Paramètres!$G$5:$G$57,0))),1-$H10),IF(LEFT(TRIM(Paramètres!O11),1)="F",WORKDAY(IF(LEFT(TRIM(Paramètres!O11),1)="F",INDEX($F$4:$F$56,MATCH(Paramètres!N11,Paramètres!$G$5:$G$57,0)),INDEX($E$4:$E$56,MATCH(Paramètres!N11,Paramètres!$G$5:$G$57,0))),1),IF(LEFT(TRIM(Paramètres!O11),1)="F",INDEX($F$4:$F$56,MATCH(Paramètres!N11,Paramètres!$G$5:$G$57,0)),INDEX($E$4:$E$56,MATCH(Paramètres!N11,Paramètres!$G$5:$G$57,0)))))))))</f>
        <v/>
      </c>
      <c r="F10" s="4">
        <f>IF($H10=0,WORKDAY(E10,-1),WORKDAY(E10,$H10-1))</f>
        <v/>
      </c>
      <c r="H10">
        <f>Paramètres!B11</f>
        <v/>
      </c>
    </row>
    <row r="11" ht="14.25" customHeight="1">
      <c r="B11" s="3">
        <f>Paramètres!G12</f>
        <v/>
      </c>
      <c r="C11" s="3">
        <f>IF(Paramètres!H12="","",Paramètres!H12)</f>
        <v/>
      </c>
      <c r="D11" s="3">
        <f>IF(Paramètres!I12="","",Paramètres!I12)</f>
        <v/>
      </c>
      <c r="E11" s="4">
        <f>IF(Paramètres!J12&amp;Paramètres!L12&amp;Paramètres!N12="",WORKDAY($A$6-1,1),MAX(IF(Paramètres!J12="",0,IF(Paramètres!K12="",NA(),IF(RIGHT(TRIM(Paramètres!K12),3)="Fin",WORKDAY(IF(LEFT(TRIM(Paramètres!K12),1)="F",INDEX($F$4:$F$56,MATCH(Paramètres!J12,Paramètres!$G$5:$G$57,0)),INDEX($E$4:$E$56,MATCH(Paramètres!J12,Paramètres!$G$5:$G$57,0))),1-$H11),IF(LEFT(TRIM(Paramètres!K12),1)="F",WORKDAY(IF(LEFT(TRIM(Paramètres!K12),1)="F",INDEX($F$4:$F$56,MATCH(Paramètres!J12,Paramètres!$G$5:$G$57,0)),INDEX($E$4:$E$56,MATCH(Paramètres!J12,Paramètres!$G$5:$G$57,0))),1),IF(LEFT(TRIM(Paramètres!K12),1)="F",INDEX($F$4:$F$56,MATCH(Paramètres!J12,Paramètres!$G$5:$G$57,0)),INDEX($E$4:$E$56,MATCH(Paramètres!J12,Paramètres!$G$5:$G$57,0))))))),IF(Paramètres!L12="",0,IF(Paramètres!M12="",NA(),IF(RIGHT(TRIM(Paramètres!M12),3)="Fin",WORKDAY(IF(LEFT(TRIM(Paramètres!M12),1)="F",INDEX($F$4:$F$56,MATCH(Paramètres!L12,Paramètres!$G$5:$G$57,0)),INDEX($E$4:$E$56,MATCH(Paramètres!L12,Paramètres!$G$5:$G$57,0))),1-$H11),IF(LEFT(TRIM(Paramètres!M12),1)="F",WORKDAY(IF(LEFT(TRIM(Paramètres!M12),1)="F",INDEX($F$4:$F$56,MATCH(Paramètres!L12,Paramètres!$G$5:$G$57,0)),INDEX($E$4:$E$56,MATCH(Paramètres!L12,Paramètres!$G$5:$G$57,0))),1),IF(LEFT(TRIM(Paramètres!M12),1)="F",INDEX($F$4:$F$56,MATCH(Paramètres!L12,Paramètres!$G$5:$G$57,0)),INDEX($E$4:$E$56,MATCH(Paramètres!L12,Paramètres!$G$5:$G$57,0))))))),IF(Paramètres!N12="",0,IF(Paramètres!O12="",NA(),IF(RIGHT(TRIM(Paramètres!O12),3)="Fin",WORKDAY(IF(LEFT(TRIM(Paramètres!O12),1)="F",INDEX($F$4:$F$56,MATCH(Paramètres!N12,Paramètres!$G$5:$G$57,0)),INDEX($E$4:$E$56,MATCH(Paramètres!N12,Paramètres!$G$5:$G$57,0))),1-$H11),IF(LEFT(TRIM(Paramètres!O12),1)="F",WORKDAY(IF(LEFT(TRIM(Paramètres!O12),1)="F",INDEX($F$4:$F$56,MATCH(Paramètres!N12,Paramètres!$G$5:$G$57,0)),INDEX($E$4:$E$56,MATCH(Paramètres!N12,Paramètres!$G$5:$G$57,0))),1),IF(LEFT(TRIM(Paramètres!O12),1)="F",INDEX($F$4:$F$56,MATCH(Paramètres!N12,Paramètres!$G$5:$G$57,0)),INDEX($E$4:$E$56,MATCH(Paramètres!N12,Paramètres!$G$5:$G$57,0)))))))))</f>
        <v/>
      </c>
      <c r="F11" s="4">
        <f>IF($H11=0,WORKDAY(E11,-1),WORKDAY(E11,$H11-1))</f>
        <v/>
      </c>
      <c r="H11">
        <f>Paramètres!B12</f>
        <v/>
      </c>
    </row>
    <row r="12" ht="14.25" customHeight="1">
      <c r="B12" s="3">
        <f>Paramètres!G13</f>
        <v/>
      </c>
      <c r="C12" s="3">
        <f>IF(Paramètres!H13="","",Paramètres!H13)</f>
        <v/>
      </c>
      <c r="D12" s="3">
        <f>IF(Paramètres!I13="","",Paramètres!I13)</f>
        <v/>
      </c>
      <c r="E12" s="4">
        <f>IF(Paramètres!J13&amp;Paramètres!L13&amp;Paramètres!N13="",WORKDAY($A$6-1,1),MAX(IF(Paramètres!J13="",0,IF(Paramètres!K13="",NA(),IF(RIGHT(TRIM(Paramètres!K13),3)="Fin",WORKDAY(IF(LEFT(TRIM(Paramètres!K13),1)="F",INDEX($F$4:$F$56,MATCH(Paramètres!J13,Paramètres!$G$5:$G$57,0)),INDEX($E$4:$E$56,MATCH(Paramètres!J13,Paramètres!$G$5:$G$57,0))),1-$H12),IF(LEFT(TRIM(Paramètres!K13),1)="F",WORKDAY(IF(LEFT(TRIM(Paramètres!K13),1)="F",INDEX($F$4:$F$56,MATCH(Paramètres!J13,Paramètres!$G$5:$G$57,0)),INDEX($E$4:$E$56,MATCH(Paramètres!J13,Paramètres!$G$5:$G$57,0))),1),IF(LEFT(TRIM(Paramètres!K13),1)="F",INDEX($F$4:$F$56,MATCH(Paramètres!J13,Paramètres!$G$5:$G$57,0)),INDEX($E$4:$E$56,MATCH(Paramètres!J13,Paramètres!$G$5:$G$57,0))))))),IF(Paramètres!L13="",0,IF(Paramètres!M13="",NA(),IF(RIGHT(TRIM(Paramètres!M13),3)="Fin",WORKDAY(IF(LEFT(TRIM(Paramètres!M13),1)="F",INDEX($F$4:$F$56,MATCH(Paramètres!L13,Paramètres!$G$5:$G$57,0)),INDEX($E$4:$E$56,MATCH(Paramètres!L13,Paramètres!$G$5:$G$57,0))),1-$H12),IF(LEFT(TRIM(Paramètres!M13),1)="F",WORKDAY(IF(LEFT(TRIM(Paramètres!M13),1)="F",INDEX($F$4:$F$56,MATCH(Paramètres!L13,Paramètres!$G$5:$G$57,0)),INDEX($E$4:$E$56,MATCH(Paramètres!L13,Paramètres!$G$5:$G$57,0))),1),IF(LEFT(TRIM(Paramètres!M13),1)="F",INDEX($F$4:$F$56,MATCH(Paramètres!L13,Paramètres!$G$5:$G$57,0)),INDEX($E$4:$E$56,MATCH(Paramètres!L13,Paramètres!$G$5:$G$57,0))))))),IF(Paramètres!N13="",0,IF(Paramètres!O13="",NA(),IF(RIGHT(TRIM(Paramètres!O13),3)="Fin",WORKDAY(IF(LEFT(TRIM(Paramètres!O13),1)="F",INDEX($F$4:$F$56,MATCH(Paramètres!N13,Paramètres!$G$5:$G$57,0)),INDEX($E$4:$E$56,MATCH(Paramètres!N13,Paramètres!$G$5:$G$57,0))),1-$H12),IF(LEFT(TRIM(Paramètres!O13),1)="F",WORKDAY(IF(LEFT(TRIM(Paramètres!O13),1)="F",INDEX($F$4:$F$56,MATCH(Paramètres!N13,Paramètres!$G$5:$G$57,0)),INDEX($E$4:$E$56,MATCH(Paramètres!N13,Paramètres!$G$5:$G$57,0))),1),IF(LEFT(TRIM(Paramètres!O13),1)="F",INDEX($F$4:$F$56,MATCH(Paramètres!N13,Paramètres!$G$5:$G$57,0)),INDEX($E$4:$E$56,MATCH(Paramètres!N13,Paramètres!$G$5:$G$57,0)))))))))</f>
        <v/>
      </c>
      <c r="F12" s="4">
        <f>IF($H12=0,WORKDAY(E12,-1),WORKDAY(E12,$H12-1))</f>
        <v/>
      </c>
      <c r="H12">
        <f>Paramètres!B13</f>
        <v/>
      </c>
    </row>
    <row r="13" ht="14.25" customHeight="1">
      <c r="B13" s="3">
        <f>Paramètres!G14</f>
        <v/>
      </c>
      <c r="C13" s="3">
        <f>IF(Paramètres!H14="","",Paramètres!H14)</f>
        <v/>
      </c>
      <c r="D13" s="3">
        <f>IF(Paramètres!I14="","",Paramètres!I14)</f>
        <v/>
      </c>
      <c r="E13" s="4">
        <f>IF(Paramètres!J14&amp;Paramètres!L14&amp;Paramètres!N14="",WORKDAY($A$6-1,1),MAX(IF(Paramètres!J14="",0,IF(Paramètres!K14="",NA(),IF(RIGHT(TRIM(Paramètres!K14),3)="Fin",WORKDAY(IF(LEFT(TRIM(Paramètres!K14),1)="F",INDEX($F$4:$F$56,MATCH(Paramètres!J14,Paramètres!$G$5:$G$57,0)),INDEX($E$4:$E$56,MATCH(Paramètres!J14,Paramètres!$G$5:$G$57,0))),1-$H13),IF(LEFT(TRIM(Paramètres!K14),1)="F",WORKDAY(IF(LEFT(TRIM(Paramètres!K14),1)="F",INDEX($F$4:$F$56,MATCH(Paramètres!J14,Paramètres!$G$5:$G$57,0)),INDEX($E$4:$E$56,MATCH(Paramètres!J14,Paramètres!$G$5:$G$57,0))),1),IF(LEFT(TRIM(Paramètres!K14),1)="F",INDEX($F$4:$F$56,MATCH(Paramètres!J14,Paramètres!$G$5:$G$57,0)),INDEX($E$4:$E$56,MATCH(Paramètres!J14,Paramètres!$G$5:$G$57,0))))))),IF(Paramètres!L14="",0,IF(Paramètres!M14="",NA(),IF(RIGHT(TRIM(Paramètres!M14),3)="Fin",WORKDAY(IF(LEFT(TRIM(Paramètres!M14),1)="F",INDEX($F$4:$F$56,MATCH(Paramètres!L14,Paramètres!$G$5:$G$57,0)),INDEX($E$4:$E$56,MATCH(Paramètres!L14,Paramètres!$G$5:$G$57,0))),1-$H13),IF(LEFT(TRIM(Paramètres!M14),1)="F",WORKDAY(IF(LEFT(TRIM(Paramètres!M14),1)="F",INDEX($F$4:$F$56,MATCH(Paramètres!L14,Paramètres!$G$5:$G$57,0)),INDEX($E$4:$E$56,MATCH(Paramètres!L14,Paramètres!$G$5:$G$57,0))),1),IF(LEFT(TRIM(Paramètres!M14),1)="F",INDEX($F$4:$F$56,MATCH(Paramètres!L14,Paramètres!$G$5:$G$57,0)),INDEX($E$4:$E$56,MATCH(Paramètres!L14,Paramètres!$G$5:$G$57,0))))))),IF(Paramètres!N14="",0,IF(Paramètres!O14="",NA(),IF(RIGHT(TRIM(Paramètres!O14),3)="Fin",WORKDAY(IF(LEFT(TRIM(Paramètres!O14),1)="F",INDEX($F$4:$F$56,MATCH(Paramètres!N14,Paramètres!$G$5:$G$57,0)),INDEX($E$4:$E$56,MATCH(Paramètres!N14,Paramètres!$G$5:$G$57,0))),1-$H13),IF(LEFT(TRIM(Paramètres!O14),1)="F",WORKDAY(IF(LEFT(TRIM(Paramètres!O14),1)="F",INDEX($F$4:$F$56,MATCH(Paramètres!N14,Paramètres!$G$5:$G$57,0)),INDEX($E$4:$E$56,MATCH(Paramètres!N14,Paramètres!$G$5:$G$57,0))),1),IF(LEFT(TRIM(Paramètres!O14),1)="F",INDEX($F$4:$F$56,MATCH(Paramètres!N14,Paramètres!$G$5:$G$57,0)),INDEX($E$4:$E$56,MATCH(Paramètres!N14,Paramètres!$G$5:$G$57,0)))))))))</f>
        <v/>
      </c>
      <c r="F13" s="4">
        <f>IF($H13=0,WORKDAY(E13,-1),WORKDAY(E13,$H13-1))</f>
        <v/>
      </c>
      <c r="H13">
        <f>Paramètres!B14</f>
        <v/>
      </c>
    </row>
    <row r="14" ht="14.25" customHeight="1">
      <c r="B14" s="3">
        <f>Paramètres!G15</f>
        <v/>
      </c>
      <c r="C14" s="3">
        <f>IF(Paramètres!H15="","",Paramètres!H15)</f>
        <v/>
      </c>
      <c r="D14" s="3">
        <f>IF(Paramètres!I15="","",Paramètres!I15)</f>
        <v/>
      </c>
      <c r="E14" s="4">
        <f>MIN(E15:E30)</f>
        <v/>
      </c>
      <c r="F14" s="4">
        <f>MAX(F15:F30)</f>
        <v/>
      </c>
      <c r="H14">
        <f>NETWORKDAYS(E14,F14)</f>
        <v/>
      </c>
    </row>
    <row r="15" ht="14.25" customHeight="1">
      <c r="B15" s="3">
        <f>Paramètres!G16</f>
        <v/>
      </c>
      <c r="C15" s="3">
        <f>IF(Paramètres!H16="","",Paramètres!H16)</f>
        <v/>
      </c>
      <c r="D15" s="3">
        <f>IF(Paramètres!I16="","",Paramètres!I16)</f>
        <v/>
      </c>
      <c r="E15" s="4">
        <f>IF(Paramètres!J16&amp;Paramètres!L16&amp;Paramètres!N16="",WORKDAY($A$6-1,1),MAX(IF(Paramètres!J16="",0,IF(Paramètres!K16="",NA(),IF(RIGHT(TRIM(Paramètres!K16),3)="Fin",WORKDAY(IF(LEFT(TRIM(Paramètres!K16),1)="F",INDEX($F$4:$F$56,MATCH(Paramètres!J16,Paramètres!$G$5:$G$57,0)),INDEX($E$4:$E$56,MATCH(Paramètres!J16,Paramètres!$G$5:$G$57,0))),1-$H15),IF(LEFT(TRIM(Paramètres!K16),1)="F",WORKDAY(IF(LEFT(TRIM(Paramètres!K16),1)="F",INDEX($F$4:$F$56,MATCH(Paramètres!J16,Paramètres!$G$5:$G$57,0)),INDEX($E$4:$E$56,MATCH(Paramètres!J16,Paramètres!$G$5:$G$57,0))),1),IF(LEFT(TRIM(Paramètres!K16),1)="F",INDEX($F$4:$F$56,MATCH(Paramètres!J16,Paramètres!$G$5:$G$57,0)),INDEX($E$4:$E$56,MATCH(Paramètres!J16,Paramètres!$G$5:$G$57,0))))))),IF(Paramètres!L16="",0,IF(Paramètres!M16="",NA(),IF(RIGHT(TRIM(Paramètres!M16),3)="Fin",WORKDAY(IF(LEFT(TRIM(Paramètres!M16),1)="F",INDEX($F$4:$F$56,MATCH(Paramètres!L16,Paramètres!$G$5:$G$57,0)),INDEX($E$4:$E$56,MATCH(Paramètres!L16,Paramètres!$G$5:$G$57,0))),1-$H15),IF(LEFT(TRIM(Paramètres!M16),1)="F",WORKDAY(IF(LEFT(TRIM(Paramètres!M16),1)="F",INDEX($F$4:$F$56,MATCH(Paramètres!L16,Paramètres!$G$5:$G$57,0)),INDEX($E$4:$E$56,MATCH(Paramètres!L16,Paramètres!$G$5:$G$57,0))),1),IF(LEFT(TRIM(Paramètres!M16),1)="F",INDEX($F$4:$F$56,MATCH(Paramètres!L16,Paramètres!$G$5:$G$57,0)),INDEX($E$4:$E$56,MATCH(Paramètres!L16,Paramètres!$G$5:$G$57,0))))))),IF(Paramètres!N16="",0,IF(Paramètres!O16="",NA(),IF(RIGHT(TRIM(Paramètres!O16),3)="Fin",WORKDAY(IF(LEFT(TRIM(Paramètres!O16),1)="F",INDEX($F$4:$F$56,MATCH(Paramètres!N16,Paramètres!$G$5:$G$57,0)),INDEX($E$4:$E$56,MATCH(Paramètres!N16,Paramètres!$G$5:$G$57,0))),1-$H15),IF(LEFT(TRIM(Paramètres!O16),1)="F",WORKDAY(IF(LEFT(TRIM(Paramètres!O16),1)="F",INDEX($F$4:$F$56,MATCH(Paramètres!N16,Paramètres!$G$5:$G$57,0)),INDEX($E$4:$E$56,MATCH(Paramètres!N16,Paramètres!$G$5:$G$57,0))),1),IF(LEFT(TRIM(Paramètres!O16),1)="F",INDEX($F$4:$F$56,MATCH(Paramètres!N16,Paramètres!$G$5:$G$57,0)),INDEX($E$4:$E$56,MATCH(Paramètres!N16,Paramètres!$G$5:$G$57,0)))))))))</f>
        <v/>
      </c>
      <c r="F15" s="4">
        <f>IF($H15=0,WORKDAY(E15,-1),WORKDAY(E15,$H15-1))</f>
        <v/>
      </c>
      <c r="H15">
        <f>Paramètres!B16</f>
        <v/>
      </c>
    </row>
    <row r="16" ht="14.25" customHeight="1">
      <c r="B16" s="3">
        <f>Paramètres!G17</f>
        <v/>
      </c>
      <c r="C16" s="3">
        <f>IF(Paramètres!H17="","",Paramètres!H17)</f>
        <v/>
      </c>
      <c r="D16" s="3">
        <f>IF(Paramètres!I17="","",Paramètres!I17)</f>
        <v/>
      </c>
      <c r="E16" s="4">
        <f>IF(Paramètres!J17&amp;Paramètres!L17&amp;Paramètres!N17="",WORKDAY($A$6-1,1),MAX(IF(Paramètres!J17="",0,IF(Paramètres!K17="",NA(),IF(RIGHT(TRIM(Paramètres!K17),3)="Fin",WORKDAY(IF(LEFT(TRIM(Paramètres!K17),1)="F",INDEX($F$4:$F$56,MATCH(Paramètres!J17,Paramètres!$G$5:$G$57,0)),INDEX($E$4:$E$56,MATCH(Paramètres!J17,Paramètres!$G$5:$G$57,0))),1-$H16),IF(LEFT(TRIM(Paramètres!K17),1)="F",WORKDAY(IF(LEFT(TRIM(Paramètres!K17),1)="F",INDEX($F$4:$F$56,MATCH(Paramètres!J17,Paramètres!$G$5:$G$57,0)),INDEX($E$4:$E$56,MATCH(Paramètres!J17,Paramètres!$G$5:$G$57,0))),1),IF(LEFT(TRIM(Paramètres!K17),1)="F",INDEX($F$4:$F$56,MATCH(Paramètres!J17,Paramètres!$G$5:$G$57,0)),INDEX($E$4:$E$56,MATCH(Paramètres!J17,Paramètres!$G$5:$G$57,0))))))),IF(Paramètres!L17="",0,IF(Paramètres!M17="",NA(),IF(RIGHT(TRIM(Paramètres!M17),3)="Fin",WORKDAY(IF(LEFT(TRIM(Paramètres!M17),1)="F",INDEX($F$4:$F$56,MATCH(Paramètres!L17,Paramètres!$G$5:$G$57,0)),INDEX($E$4:$E$56,MATCH(Paramètres!L17,Paramètres!$G$5:$G$57,0))),1-$H16),IF(LEFT(TRIM(Paramètres!M17),1)="F",WORKDAY(IF(LEFT(TRIM(Paramètres!M17),1)="F",INDEX($F$4:$F$56,MATCH(Paramètres!L17,Paramètres!$G$5:$G$57,0)),INDEX($E$4:$E$56,MATCH(Paramètres!L17,Paramètres!$G$5:$G$57,0))),1),IF(LEFT(TRIM(Paramètres!M17),1)="F",INDEX($F$4:$F$56,MATCH(Paramètres!L17,Paramètres!$G$5:$G$57,0)),INDEX($E$4:$E$56,MATCH(Paramètres!L17,Paramètres!$G$5:$G$57,0))))))),IF(Paramètres!N17="",0,IF(Paramètres!O17="",NA(),IF(RIGHT(TRIM(Paramètres!O17),3)="Fin",WORKDAY(IF(LEFT(TRIM(Paramètres!O17),1)="F",INDEX($F$4:$F$56,MATCH(Paramètres!N17,Paramètres!$G$5:$G$57,0)),INDEX($E$4:$E$56,MATCH(Paramètres!N17,Paramètres!$G$5:$G$57,0))),1-$H16),IF(LEFT(TRIM(Paramètres!O17),1)="F",WORKDAY(IF(LEFT(TRIM(Paramètres!O17),1)="F",INDEX($F$4:$F$56,MATCH(Paramètres!N17,Paramètres!$G$5:$G$57,0)),INDEX($E$4:$E$56,MATCH(Paramètres!N17,Paramètres!$G$5:$G$57,0))),1),IF(LEFT(TRIM(Paramètres!O17),1)="F",INDEX($F$4:$F$56,MATCH(Paramètres!N17,Paramètres!$G$5:$G$57,0)),INDEX($E$4:$E$56,MATCH(Paramètres!N17,Paramètres!$G$5:$G$57,0)))))))))</f>
        <v/>
      </c>
      <c r="F16" s="4">
        <f>IF($H16=0,WORKDAY(E16,-1),WORKDAY(E16,$H16-1))</f>
        <v/>
      </c>
      <c r="H16">
        <f>Paramètres!B17</f>
        <v/>
      </c>
    </row>
    <row r="17" ht="14.25" customHeight="1">
      <c r="B17" s="3">
        <f>Paramètres!G18</f>
        <v/>
      </c>
      <c r="C17" s="3">
        <f>IF(Paramètres!H18="","",Paramètres!H18)</f>
        <v/>
      </c>
      <c r="D17" s="3">
        <f>IF(Paramètres!I18="","",Paramètres!I18)</f>
        <v/>
      </c>
      <c r="E17" s="4">
        <f>IF(Paramètres!J18&amp;Paramètres!L18&amp;Paramètres!N18="",WORKDAY($A$6-1,1),MAX(IF(Paramètres!J18="",0,IF(Paramètres!K18="",NA(),IF(RIGHT(TRIM(Paramètres!K18),3)="Fin",WORKDAY(IF(LEFT(TRIM(Paramètres!K18),1)="F",INDEX($F$4:$F$56,MATCH(Paramètres!J18,Paramètres!$G$5:$G$57,0)),INDEX($E$4:$E$56,MATCH(Paramètres!J18,Paramètres!$G$5:$G$57,0))),1-$H17),IF(LEFT(TRIM(Paramètres!K18),1)="F",WORKDAY(IF(LEFT(TRIM(Paramètres!K18),1)="F",INDEX($F$4:$F$56,MATCH(Paramètres!J18,Paramètres!$G$5:$G$57,0)),INDEX($E$4:$E$56,MATCH(Paramètres!J18,Paramètres!$G$5:$G$57,0))),1),IF(LEFT(TRIM(Paramètres!K18),1)="F",INDEX($F$4:$F$56,MATCH(Paramètres!J18,Paramètres!$G$5:$G$57,0)),INDEX($E$4:$E$56,MATCH(Paramètres!J18,Paramètres!$G$5:$G$57,0))))))),IF(Paramètres!L18="",0,IF(Paramètres!M18="",NA(),IF(RIGHT(TRIM(Paramètres!M18),3)="Fin",WORKDAY(IF(LEFT(TRIM(Paramètres!M18),1)="F",INDEX($F$4:$F$56,MATCH(Paramètres!L18,Paramètres!$G$5:$G$57,0)),INDEX($E$4:$E$56,MATCH(Paramètres!L18,Paramètres!$G$5:$G$57,0))),1-$H17),IF(LEFT(TRIM(Paramètres!M18),1)="F",WORKDAY(IF(LEFT(TRIM(Paramètres!M18),1)="F",INDEX($F$4:$F$56,MATCH(Paramètres!L18,Paramètres!$G$5:$G$57,0)),INDEX($E$4:$E$56,MATCH(Paramètres!L18,Paramètres!$G$5:$G$57,0))),1),IF(LEFT(TRIM(Paramètres!M18),1)="F",INDEX($F$4:$F$56,MATCH(Paramètres!L18,Paramètres!$G$5:$G$57,0)),INDEX($E$4:$E$56,MATCH(Paramètres!L18,Paramètres!$G$5:$G$57,0))))))),IF(Paramètres!N18="",0,IF(Paramètres!O18="",NA(),IF(RIGHT(TRIM(Paramètres!O18),3)="Fin",WORKDAY(IF(LEFT(TRIM(Paramètres!O18),1)="F",INDEX($F$4:$F$56,MATCH(Paramètres!N18,Paramètres!$G$5:$G$57,0)),INDEX($E$4:$E$56,MATCH(Paramètres!N18,Paramètres!$G$5:$G$57,0))),1-$H17),IF(LEFT(TRIM(Paramètres!O18),1)="F",WORKDAY(IF(LEFT(TRIM(Paramètres!O18),1)="F",INDEX($F$4:$F$56,MATCH(Paramètres!N18,Paramètres!$G$5:$G$57,0)),INDEX($E$4:$E$56,MATCH(Paramètres!N18,Paramètres!$G$5:$G$57,0))),1),IF(LEFT(TRIM(Paramètres!O18),1)="F",INDEX($F$4:$F$56,MATCH(Paramètres!N18,Paramètres!$G$5:$G$57,0)),INDEX($E$4:$E$56,MATCH(Paramètres!N18,Paramètres!$G$5:$G$57,0)))))))))</f>
        <v/>
      </c>
      <c r="F17" s="4">
        <f>IF($H17=0,WORKDAY(E17,-1),WORKDAY(E17,$H17-1))</f>
        <v/>
      </c>
      <c r="H17">
        <f>Paramètres!B18</f>
        <v/>
      </c>
    </row>
    <row r="18" ht="14.25" customHeight="1">
      <c r="B18" s="3">
        <f>Paramètres!G19</f>
        <v/>
      </c>
      <c r="C18" s="3">
        <f>IF(Paramètres!H19="","",Paramètres!H19)</f>
        <v/>
      </c>
      <c r="D18" s="3">
        <f>IF(Paramètres!I19="","",Paramètres!I19)</f>
        <v/>
      </c>
      <c r="E18" s="4">
        <f>IF(Paramètres!J19&amp;Paramètres!L19&amp;Paramètres!N19="",WORKDAY($A$6-1,1),MAX(IF(Paramètres!J19="",0,IF(Paramètres!K19="",NA(),IF(RIGHT(TRIM(Paramètres!K19),3)="Fin",WORKDAY(IF(LEFT(TRIM(Paramètres!K19),1)="F",INDEX($F$4:$F$56,MATCH(Paramètres!J19,Paramètres!$G$5:$G$57,0)),INDEX($E$4:$E$56,MATCH(Paramètres!J19,Paramètres!$G$5:$G$57,0))),1-$H18),IF(LEFT(TRIM(Paramètres!K19),1)="F",WORKDAY(IF(LEFT(TRIM(Paramètres!K19),1)="F",INDEX($F$4:$F$56,MATCH(Paramètres!J19,Paramètres!$G$5:$G$57,0)),INDEX($E$4:$E$56,MATCH(Paramètres!J19,Paramètres!$G$5:$G$57,0))),1),IF(LEFT(TRIM(Paramètres!K19),1)="F",INDEX($F$4:$F$56,MATCH(Paramètres!J19,Paramètres!$G$5:$G$57,0)),INDEX($E$4:$E$56,MATCH(Paramètres!J19,Paramètres!$G$5:$G$57,0))))))),IF(Paramètres!L19="",0,IF(Paramètres!M19="",NA(),IF(RIGHT(TRIM(Paramètres!M19),3)="Fin",WORKDAY(IF(LEFT(TRIM(Paramètres!M19),1)="F",INDEX($F$4:$F$56,MATCH(Paramètres!L19,Paramètres!$G$5:$G$57,0)),INDEX($E$4:$E$56,MATCH(Paramètres!L19,Paramètres!$G$5:$G$57,0))),1-$H18),IF(LEFT(TRIM(Paramètres!M19),1)="F",WORKDAY(IF(LEFT(TRIM(Paramètres!M19),1)="F",INDEX($F$4:$F$56,MATCH(Paramètres!L19,Paramètres!$G$5:$G$57,0)),INDEX($E$4:$E$56,MATCH(Paramètres!L19,Paramètres!$G$5:$G$57,0))),1),IF(LEFT(TRIM(Paramètres!M19),1)="F",INDEX($F$4:$F$56,MATCH(Paramètres!L19,Paramètres!$G$5:$G$57,0)),INDEX($E$4:$E$56,MATCH(Paramètres!L19,Paramètres!$G$5:$G$57,0))))))),IF(Paramètres!N19="",0,IF(Paramètres!O19="",NA(),IF(RIGHT(TRIM(Paramètres!O19),3)="Fin",WORKDAY(IF(LEFT(TRIM(Paramètres!O19),1)="F",INDEX($F$4:$F$56,MATCH(Paramètres!N19,Paramètres!$G$5:$G$57,0)),INDEX($E$4:$E$56,MATCH(Paramètres!N19,Paramètres!$G$5:$G$57,0))),1-$H18),IF(LEFT(TRIM(Paramètres!O19),1)="F",WORKDAY(IF(LEFT(TRIM(Paramètres!O19),1)="F",INDEX($F$4:$F$56,MATCH(Paramètres!N19,Paramètres!$G$5:$G$57,0)),INDEX($E$4:$E$56,MATCH(Paramètres!N19,Paramètres!$G$5:$G$57,0))),1),IF(LEFT(TRIM(Paramètres!O19),1)="F",INDEX($F$4:$F$56,MATCH(Paramètres!N19,Paramètres!$G$5:$G$57,0)),INDEX($E$4:$E$56,MATCH(Paramètres!N19,Paramètres!$G$5:$G$57,0)))))))))</f>
        <v/>
      </c>
      <c r="F18" s="4">
        <f>IF($H18=0,WORKDAY(E18,-1),WORKDAY(E18,$H18-1))</f>
        <v/>
      </c>
      <c r="H18">
        <f>Paramètres!B19</f>
        <v/>
      </c>
    </row>
    <row r="19" ht="14.25" customHeight="1">
      <c r="B19" s="3">
        <f>Paramètres!G20</f>
        <v/>
      </c>
      <c r="C19" s="3">
        <f>IF(Paramètres!H20="","",Paramètres!H20)</f>
        <v/>
      </c>
      <c r="D19" s="3">
        <f>IF(Paramètres!I20="","",Paramètres!I20)</f>
        <v/>
      </c>
      <c r="E19" s="4">
        <f>IF(Paramètres!J20&amp;Paramètres!L20&amp;Paramètres!N20="",WORKDAY($A$6-1,1),MAX(IF(Paramètres!J20="",0,IF(Paramètres!K20="",NA(),IF(RIGHT(TRIM(Paramètres!K20),3)="Fin",WORKDAY(IF(LEFT(TRIM(Paramètres!K20),1)="F",INDEX($F$4:$F$56,MATCH(Paramètres!J20,Paramètres!$G$5:$G$57,0)),INDEX($E$4:$E$56,MATCH(Paramètres!J20,Paramètres!$G$5:$G$57,0))),1-$H19),IF(LEFT(TRIM(Paramètres!K20),1)="F",WORKDAY(IF(LEFT(TRIM(Paramètres!K20),1)="F",INDEX($F$4:$F$56,MATCH(Paramètres!J20,Paramètres!$G$5:$G$57,0)),INDEX($E$4:$E$56,MATCH(Paramètres!J20,Paramètres!$G$5:$G$57,0))),1),IF(LEFT(TRIM(Paramètres!K20),1)="F",INDEX($F$4:$F$56,MATCH(Paramètres!J20,Paramètres!$G$5:$G$57,0)),INDEX($E$4:$E$56,MATCH(Paramètres!J20,Paramètres!$G$5:$G$57,0))))))),IF(Paramètres!L20="",0,IF(Paramètres!M20="",NA(),IF(RIGHT(TRIM(Paramètres!M20),3)="Fin",WORKDAY(IF(LEFT(TRIM(Paramètres!M20),1)="F",INDEX($F$4:$F$56,MATCH(Paramètres!L20,Paramètres!$G$5:$G$57,0)),INDEX($E$4:$E$56,MATCH(Paramètres!L20,Paramètres!$G$5:$G$57,0))),1-$H19),IF(LEFT(TRIM(Paramètres!M20),1)="F",WORKDAY(IF(LEFT(TRIM(Paramètres!M20),1)="F",INDEX($F$4:$F$56,MATCH(Paramètres!L20,Paramètres!$G$5:$G$57,0)),INDEX($E$4:$E$56,MATCH(Paramètres!L20,Paramètres!$G$5:$G$57,0))),1),IF(LEFT(TRIM(Paramètres!M20),1)="F",INDEX($F$4:$F$56,MATCH(Paramètres!L20,Paramètres!$G$5:$G$57,0)),INDEX($E$4:$E$56,MATCH(Paramètres!L20,Paramètres!$G$5:$G$57,0))))))),IF(Paramètres!N20="",0,IF(Paramètres!O20="",NA(),IF(RIGHT(TRIM(Paramètres!O20),3)="Fin",WORKDAY(IF(LEFT(TRIM(Paramètres!O20),1)="F",INDEX($F$4:$F$56,MATCH(Paramètres!N20,Paramètres!$G$5:$G$57,0)),INDEX($E$4:$E$56,MATCH(Paramètres!N20,Paramètres!$G$5:$G$57,0))),1-$H19),IF(LEFT(TRIM(Paramètres!O20),1)="F",WORKDAY(IF(LEFT(TRIM(Paramètres!O20),1)="F",INDEX($F$4:$F$56,MATCH(Paramètres!N20,Paramètres!$G$5:$G$57,0)),INDEX($E$4:$E$56,MATCH(Paramètres!N20,Paramètres!$G$5:$G$57,0))),1),IF(LEFT(TRIM(Paramètres!O20),1)="F",INDEX($F$4:$F$56,MATCH(Paramètres!N20,Paramètres!$G$5:$G$57,0)),INDEX($E$4:$E$56,MATCH(Paramètres!N20,Paramètres!$G$5:$G$57,0)))))))))</f>
        <v/>
      </c>
      <c r="F19" s="4">
        <f>IF($H19=0,WORKDAY(E19,-1),WORKDAY(E19,$H19-1))</f>
        <v/>
      </c>
      <c r="H19">
        <f>Paramètres!B20</f>
        <v/>
      </c>
    </row>
    <row r="20" ht="14.25" customHeight="1">
      <c r="B20" s="3">
        <f>Paramètres!G21</f>
        <v/>
      </c>
      <c r="C20" s="3">
        <f>IF(Paramètres!H21="","",Paramètres!H21)</f>
        <v/>
      </c>
      <c r="D20" s="3">
        <f>IF(Paramètres!I21="","",Paramètres!I21)</f>
        <v/>
      </c>
      <c r="E20" s="4">
        <f>IF(Paramètres!J21&amp;Paramètres!L21&amp;Paramètres!N21="",WORKDAY($A$6-1,1),MAX(IF(Paramètres!J21="",0,IF(Paramètres!K21="",NA(),IF(RIGHT(TRIM(Paramètres!K21),3)="Fin",WORKDAY(IF(LEFT(TRIM(Paramètres!K21),1)="F",INDEX($F$4:$F$56,MATCH(Paramètres!J21,Paramètres!$G$5:$G$57,0)),INDEX($E$4:$E$56,MATCH(Paramètres!J21,Paramètres!$G$5:$G$57,0))),1-$H20),IF(LEFT(TRIM(Paramètres!K21),1)="F",WORKDAY(IF(LEFT(TRIM(Paramètres!K21),1)="F",INDEX($F$4:$F$56,MATCH(Paramètres!J21,Paramètres!$G$5:$G$57,0)),INDEX($E$4:$E$56,MATCH(Paramètres!J21,Paramètres!$G$5:$G$57,0))),1),IF(LEFT(TRIM(Paramètres!K21),1)="F",INDEX($F$4:$F$56,MATCH(Paramètres!J21,Paramètres!$G$5:$G$57,0)),INDEX($E$4:$E$56,MATCH(Paramètres!J21,Paramètres!$G$5:$G$57,0))))))),IF(Paramètres!L21="",0,IF(Paramètres!M21="",NA(),IF(RIGHT(TRIM(Paramètres!M21),3)="Fin",WORKDAY(IF(LEFT(TRIM(Paramètres!M21),1)="F",INDEX($F$4:$F$56,MATCH(Paramètres!L21,Paramètres!$G$5:$G$57,0)),INDEX($E$4:$E$56,MATCH(Paramètres!L21,Paramètres!$G$5:$G$57,0))),1-$H20),IF(LEFT(TRIM(Paramètres!M21),1)="F",WORKDAY(IF(LEFT(TRIM(Paramètres!M21),1)="F",INDEX($F$4:$F$56,MATCH(Paramètres!L21,Paramètres!$G$5:$G$57,0)),INDEX($E$4:$E$56,MATCH(Paramètres!L21,Paramètres!$G$5:$G$57,0))),1),IF(LEFT(TRIM(Paramètres!M21),1)="F",INDEX($F$4:$F$56,MATCH(Paramètres!L21,Paramètres!$G$5:$G$57,0)),INDEX($E$4:$E$56,MATCH(Paramètres!L21,Paramètres!$G$5:$G$57,0))))))),IF(Paramètres!N21="",0,IF(Paramètres!O21="",NA(),IF(RIGHT(TRIM(Paramètres!O21),3)="Fin",WORKDAY(IF(LEFT(TRIM(Paramètres!O21),1)="F",INDEX($F$4:$F$56,MATCH(Paramètres!N21,Paramètres!$G$5:$G$57,0)),INDEX($E$4:$E$56,MATCH(Paramètres!N21,Paramètres!$G$5:$G$57,0))),1-$H20),IF(LEFT(TRIM(Paramètres!O21),1)="F",WORKDAY(IF(LEFT(TRIM(Paramètres!O21),1)="F",INDEX($F$4:$F$56,MATCH(Paramètres!N21,Paramètres!$G$5:$G$57,0)),INDEX($E$4:$E$56,MATCH(Paramètres!N21,Paramètres!$G$5:$G$57,0))),1),IF(LEFT(TRIM(Paramètres!O21),1)="F",INDEX($F$4:$F$56,MATCH(Paramètres!N21,Paramètres!$G$5:$G$57,0)),INDEX($E$4:$E$56,MATCH(Paramètres!N21,Paramètres!$G$5:$G$57,0)))))))))</f>
        <v/>
      </c>
      <c r="F20" s="4">
        <f>IF($H20=0,WORKDAY(E20,-1),WORKDAY(E20,$H20-1))</f>
        <v/>
      </c>
      <c r="H20">
        <f>Paramètres!B21</f>
        <v/>
      </c>
    </row>
    <row r="21" ht="14.25" customHeight="1">
      <c r="B21" s="3">
        <f>Paramètres!G22</f>
        <v/>
      </c>
      <c r="C21" s="3">
        <f>IF(Paramètres!H22="","",Paramètres!H22)</f>
        <v/>
      </c>
      <c r="D21" s="3">
        <f>IF(Paramètres!I22="","",Paramètres!I22)</f>
        <v/>
      </c>
      <c r="E21" s="4">
        <f>IF(Paramètres!J22&amp;Paramètres!L22&amp;Paramètres!N22="",WORKDAY($A$6-1,1),MAX(IF(Paramètres!J22="",0,IF(Paramètres!K22="",NA(),IF(RIGHT(TRIM(Paramètres!K22),3)="Fin",WORKDAY(IF(LEFT(TRIM(Paramètres!K22),1)="F",INDEX($F$4:$F$56,MATCH(Paramètres!J22,Paramètres!$G$5:$G$57,0)),INDEX($E$4:$E$56,MATCH(Paramètres!J22,Paramètres!$G$5:$G$57,0))),1-$H21),IF(LEFT(TRIM(Paramètres!K22),1)="F",WORKDAY(IF(LEFT(TRIM(Paramètres!K22),1)="F",INDEX($F$4:$F$56,MATCH(Paramètres!J22,Paramètres!$G$5:$G$57,0)),INDEX($E$4:$E$56,MATCH(Paramètres!J22,Paramètres!$G$5:$G$57,0))),1),IF(LEFT(TRIM(Paramètres!K22),1)="F",INDEX($F$4:$F$56,MATCH(Paramètres!J22,Paramètres!$G$5:$G$57,0)),INDEX($E$4:$E$56,MATCH(Paramètres!J22,Paramètres!$G$5:$G$57,0))))))),IF(Paramètres!L22="",0,IF(Paramètres!M22="",NA(),IF(RIGHT(TRIM(Paramètres!M22),3)="Fin",WORKDAY(IF(LEFT(TRIM(Paramètres!M22),1)="F",INDEX($F$4:$F$56,MATCH(Paramètres!L22,Paramètres!$G$5:$G$57,0)),INDEX($E$4:$E$56,MATCH(Paramètres!L22,Paramètres!$G$5:$G$57,0))),1-$H21),IF(LEFT(TRIM(Paramètres!M22),1)="F",WORKDAY(IF(LEFT(TRIM(Paramètres!M22),1)="F",INDEX($F$4:$F$56,MATCH(Paramètres!L22,Paramètres!$G$5:$G$57,0)),INDEX($E$4:$E$56,MATCH(Paramètres!L22,Paramètres!$G$5:$G$57,0))),1),IF(LEFT(TRIM(Paramètres!M22),1)="F",INDEX($F$4:$F$56,MATCH(Paramètres!L22,Paramètres!$G$5:$G$57,0)),INDEX($E$4:$E$56,MATCH(Paramètres!L22,Paramètres!$G$5:$G$57,0))))))),IF(Paramètres!N22="",0,IF(Paramètres!O22="",NA(),IF(RIGHT(TRIM(Paramètres!O22),3)="Fin",WORKDAY(IF(LEFT(TRIM(Paramètres!O22),1)="F",INDEX($F$4:$F$56,MATCH(Paramètres!N22,Paramètres!$G$5:$G$57,0)),INDEX($E$4:$E$56,MATCH(Paramètres!N22,Paramètres!$G$5:$G$57,0))),1-$H21),IF(LEFT(TRIM(Paramètres!O22),1)="F",WORKDAY(IF(LEFT(TRIM(Paramètres!O22),1)="F",INDEX($F$4:$F$56,MATCH(Paramètres!N22,Paramètres!$G$5:$G$57,0)),INDEX($E$4:$E$56,MATCH(Paramètres!N22,Paramètres!$G$5:$G$57,0))),1),IF(LEFT(TRIM(Paramètres!O22),1)="F",INDEX($F$4:$F$56,MATCH(Paramètres!N22,Paramètres!$G$5:$G$57,0)),INDEX($E$4:$E$56,MATCH(Paramètres!N22,Paramètres!$G$5:$G$57,0)))))))))</f>
        <v/>
      </c>
      <c r="F21" s="4">
        <f>IF($H21=0,WORKDAY(E21,-1),WORKDAY(E21,$H21-1))</f>
        <v/>
      </c>
      <c r="H21">
        <f>Paramètres!B22</f>
        <v/>
      </c>
    </row>
    <row r="22" ht="14.25" customHeight="1">
      <c r="B22" s="3">
        <f>Paramètres!G23</f>
        <v/>
      </c>
      <c r="C22" s="3">
        <f>IF(Paramètres!H23="","",Paramètres!H23)</f>
        <v/>
      </c>
      <c r="D22" s="3">
        <f>IF(Paramètres!I23="","",Paramètres!I23)</f>
        <v/>
      </c>
      <c r="E22" s="4">
        <f>IF(Paramètres!J23&amp;Paramètres!L23&amp;Paramètres!N23="",WORKDAY($A$6-1,1),MAX(IF(Paramètres!J23="",0,IF(Paramètres!K23="",NA(),IF(RIGHT(TRIM(Paramètres!K23),3)="Fin",WORKDAY(IF(LEFT(TRIM(Paramètres!K23),1)="F",INDEX($F$4:$F$56,MATCH(Paramètres!J23,Paramètres!$G$5:$G$57,0)),INDEX($E$4:$E$56,MATCH(Paramètres!J23,Paramètres!$G$5:$G$57,0))),1-$H22),IF(LEFT(TRIM(Paramètres!K23),1)="F",WORKDAY(IF(LEFT(TRIM(Paramètres!K23),1)="F",INDEX($F$4:$F$56,MATCH(Paramètres!J23,Paramètres!$G$5:$G$57,0)),INDEX($E$4:$E$56,MATCH(Paramètres!J23,Paramètres!$G$5:$G$57,0))),1),IF(LEFT(TRIM(Paramètres!K23),1)="F",INDEX($F$4:$F$56,MATCH(Paramètres!J23,Paramètres!$G$5:$G$57,0)),INDEX($E$4:$E$56,MATCH(Paramètres!J23,Paramètres!$G$5:$G$57,0))))))),IF(Paramètres!L23="",0,IF(Paramètres!M23="",NA(),IF(RIGHT(TRIM(Paramètres!M23),3)="Fin",WORKDAY(IF(LEFT(TRIM(Paramètres!M23),1)="F",INDEX($F$4:$F$56,MATCH(Paramètres!L23,Paramètres!$G$5:$G$57,0)),INDEX($E$4:$E$56,MATCH(Paramètres!L23,Paramètres!$G$5:$G$57,0))),1-$H22),IF(LEFT(TRIM(Paramètres!M23),1)="F",WORKDAY(IF(LEFT(TRIM(Paramètres!M23),1)="F",INDEX($F$4:$F$56,MATCH(Paramètres!L23,Paramètres!$G$5:$G$57,0)),INDEX($E$4:$E$56,MATCH(Paramètres!L23,Paramètres!$G$5:$G$57,0))),1),IF(LEFT(TRIM(Paramètres!M23),1)="F",INDEX($F$4:$F$56,MATCH(Paramètres!L23,Paramètres!$G$5:$G$57,0)),INDEX($E$4:$E$56,MATCH(Paramètres!L23,Paramètres!$G$5:$G$57,0))))))),IF(Paramètres!N23="",0,IF(Paramètres!O23="",NA(),IF(RIGHT(TRIM(Paramètres!O23),3)="Fin",WORKDAY(IF(LEFT(TRIM(Paramètres!O23),1)="F",INDEX($F$4:$F$56,MATCH(Paramètres!N23,Paramètres!$G$5:$G$57,0)),INDEX($E$4:$E$56,MATCH(Paramètres!N23,Paramètres!$G$5:$G$57,0))),1-$H22),IF(LEFT(TRIM(Paramètres!O23),1)="F",WORKDAY(IF(LEFT(TRIM(Paramètres!O23),1)="F",INDEX($F$4:$F$56,MATCH(Paramètres!N23,Paramètres!$G$5:$G$57,0)),INDEX($E$4:$E$56,MATCH(Paramètres!N23,Paramètres!$G$5:$G$57,0))),1),IF(LEFT(TRIM(Paramètres!O23),1)="F",INDEX($F$4:$F$56,MATCH(Paramètres!N23,Paramètres!$G$5:$G$57,0)),INDEX($E$4:$E$56,MATCH(Paramètres!N23,Paramètres!$G$5:$G$57,0)))))))))</f>
        <v/>
      </c>
      <c r="F22" s="4">
        <f>IF($H22=0,WORKDAY(E22,-1),WORKDAY(E22,$H22-1))</f>
        <v/>
      </c>
      <c r="H22">
        <f>Paramètres!B23</f>
        <v/>
      </c>
    </row>
    <row r="23" ht="14.25" customHeight="1">
      <c r="B23" s="3">
        <f>Paramètres!G24</f>
        <v/>
      </c>
      <c r="C23" s="3">
        <f>IF(Paramètres!H24="","",Paramètres!H24)</f>
        <v/>
      </c>
      <c r="D23" s="3">
        <f>IF(Paramètres!I24="","",Paramètres!I24)</f>
        <v/>
      </c>
      <c r="E23" s="4">
        <f>IF(Paramètres!J24&amp;Paramètres!L24&amp;Paramètres!N24="",WORKDAY($A$6-1,1),MAX(IF(Paramètres!J24="",0,IF(Paramètres!K24="",NA(),IF(RIGHT(TRIM(Paramètres!K24),3)="Fin",WORKDAY(IF(LEFT(TRIM(Paramètres!K24),1)="F",INDEX($F$4:$F$56,MATCH(Paramètres!J24,Paramètres!$G$5:$G$57,0)),INDEX($E$4:$E$56,MATCH(Paramètres!J24,Paramètres!$G$5:$G$57,0))),1-$H23),IF(LEFT(TRIM(Paramètres!K24),1)="F",WORKDAY(IF(LEFT(TRIM(Paramètres!K24),1)="F",INDEX($F$4:$F$56,MATCH(Paramètres!J24,Paramètres!$G$5:$G$57,0)),INDEX($E$4:$E$56,MATCH(Paramètres!J24,Paramètres!$G$5:$G$57,0))),1),IF(LEFT(TRIM(Paramètres!K24),1)="F",INDEX($F$4:$F$56,MATCH(Paramètres!J24,Paramètres!$G$5:$G$57,0)),INDEX($E$4:$E$56,MATCH(Paramètres!J24,Paramètres!$G$5:$G$57,0))))))),IF(Paramètres!L24="",0,IF(Paramètres!M24="",NA(),IF(RIGHT(TRIM(Paramètres!M24),3)="Fin",WORKDAY(IF(LEFT(TRIM(Paramètres!M24),1)="F",INDEX($F$4:$F$56,MATCH(Paramètres!L24,Paramètres!$G$5:$G$57,0)),INDEX($E$4:$E$56,MATCH(Paramètres!L24,Paramètres!$G$5:$G$57,0))),1-$H23),IF(LEFT(TRIM(Paramètres!M24),1)="F",WORKDAY(IF(LEFT(TRIM(Paramètres!M24),1)="F",INDEX($F$4:$F$56,MATCH(Paramètres!L24,Paramètres!$G$5:$G$57,0)),INDEX($E$4:$E$56,MATCH(Paramètres!L24,Paramètres!$G$5:$G$57,0))),1),IF(LEFT(TRIM(Paramètres!M24),1)="F",INDEX($F$4:$F$56,MATCH(Paramètres!L24,Paramètres!$G$5:$G$57,0)),INDEX($E$4:$E$56,MATCH(Paramètres!L24,Paramètres!$G$5:$G$57,0))))))),IF(Paramètres!N24="",0,IF(Paramètres!O24="",NA(),IF(RIGHT(TRIM(Paramètres!O24),3)="Fin",WORKDAY(IF(LEFT(TRIM(Paramètres!O24),1)="F",INDEX($F$4:$F$56,MATCH(Paramètres!N24,Paramètres!$G$5:$G$57,0)),INDEX($E$4:$E$56,MATCH(Paramètres!N24,Paramètres!$G$5:$G$57,0))),1-$H23),IF(LEFT(TRIM(Paramètres!O24),1)="F",WORKDAY(IF(LEFT(TRIM(Paramètres!O24),1)="F",INDEX($F$4:$F$56,MATCH(Paramètres!N24,Paramètres!$G$5:$G$57,0)),INDEX($E$4:$E$56,MATCH(Paramètres!N24,Paramètres!$G$5:$G$57,0))),1),IF(LEFT(TRIM(Paramètres!O24),1)="F",INDEX($F$4:$F$56,MATCH(Paramètres!N24,Paramètres!$G$5:$G$57,0)),INDEX($E$4:$E$56,MATCH(Paramètres!N24,Paramètres!$G$5:$G$57,0)))))))))</f>
        <v/>
      </c>
      <c r="F23" s="4">
        <f>IF($H23=0,WORKDAY(E23,-1),WORKDAY(E23,$H23-1))</f>
        <v/>
      </c>
      <c r="H23">
        <f>Paramètres!B24</f>
        <v/>
      </c>
    </row>
    <row r="24" ht="14.25" customHeight="1">
      <c r="B24" s="3">
        <f>Paramètres!G25</f>
        <v/>
      </c>
      <c r="C24" s="3">
        <f>IF(Paramètres!H25="","",Paramètres!H25)</f>
        <v/>
      </c>
      <c r="D24" s="3">
        <f>IF(Paramètres!I25="","",Paramètres!I25)</f>
        <v/>
      </c>
      <c r="E24" s="4">
        <f>IF(Paramètres!J25&amp;Paramètres!L25&amp;Paramètres!N25="",WORKDAY($A$6-1,1),MAX(IF(Paramètres!J25="",0,IF(Paramètres!K25="",NA(),IF(RIGHT(TRIM(Paramètres!K25),3)="Fin",WORKDAY(IF(LEFT(TRIM(Paramètres!K25),1)="F",INDEX($F$4:$F$56,MATCH(Paramètres!J25,Paramètres!$G$5:$G$57,0)),INDEX($E$4:$E$56,MATCH(Paramètres!J25,Paramètres!$G$5:$G$57,0))),1-$H24),IF(LEFT(TRIM(Paramètres!K25),1)="F",WORKDAY(IF(LEFT(TRIM(Paramètres!K25),1)="F",INDEX($F$4:$F$56,MATCH(Paramètres!J25,Paramètres!$G$5:$G$57,0)),INDEX($E$4:$E$56,MATCH(Paramètres!J25,Paramètres!$G$5:$G$57,0))),1),IF(LEFT(TRIM(Paramètres!K25),1)="F",INDEX($F$4:$F$56,MATCH(Paramètres!J25,Paramètres!$G$5:$G$57,0)),INDEX($E$4:$E$56,MATCH(Paramètres!J25,Paramètres!$G$5:$G$57,0))))))),IF(Paramètres!L25="",0,IF(Paramètres!M25="",NA(),IF(RIGHT(TRIM(Paramètres!M25),3)="Fin",WORKDAY(IF(LEFT(TRIM(Paramètres!M25),1)="F",INDEX($F$4:$F$56,MATCH(Paramètres!L25,Paramètres!$G$5:$G$57,0)),INDEX($E$4:$E$56,MATCH(Paramètres!L25,Paramètres!$G$5:$G$57,0))),1-$H24),IF(LEFT(TRIM(Paramètres!M25),1)="F",WORKDAY(IF(LEFT(TRIM(Paramètres!M25),1)="F",INDEX($F$4:$F$56,MATCH(Paramètres!L25,Paramètres!$G$5:$G$57,0)),INDEX($E$4:$E$56,MATCH(Paramètres!L25,Paramètres!$G$5:$G$57,0))),1),IF(LEFT(TRIM(Paramètres!M25),1)="F",INDEX($F$4:$F$56,MATCH(Paramètres!L25,Paramètres!$G$5:$G$57,0)),INDEX($E$4:$E$56,MATCH(Paramètres!L25,Paramètres!$G$5:$G$57,0))))))),IF(Paramètres!N25="",0,IF(Paramètres!O25="",NA(),IF(RIGHT(TRIM(Paramètres!O25),3)="Fin",WORKDAY(IF(LEFT(TRIM(Paramètres!O25),1)="F",INDEX($F$4:$F$56,MATCH(Paramètres!N25,Paramètres!$G$5:$G$57,0)),INDEX($E$4:$E$56,MATCH(Paramètres!N25,Paramètres!$G$5:$G$57,0))),1-$H24),IF(LEFT(TRIM(Paramètres!O25),1)="F",WORKDAY(IF(LEFT(TRIM(Paramètres!O25),1)="F",INDEX($F$4:$F$56,MATCH(Paramètres!N25,Paramètres!$G$5:$G$57,0)),INDEX($E$4:$E$56,MATCH(Paramètres!N25,Paramètres!$G$5:$G$57,0))),1),IF(LEFT(TRIM(Paramètres!O25),1)="F",INDEX($F$4:$F$56,MATCH(Paramètres!N25,Paramètres!$G$5:$G$57,0)),INDEX($E$4:$E$56,MATCH(Paramètres!N25,Paramètres!$G$5:$G$57,0)))))))))</f>
        <v/>
      </c>
      <c r="F24" s="4">
        <f>IF($H24=0,WORKDAY(E24,-1),WORKDAY(E24,$H24-1))</f>
        <v/>
      </c>
      <c r="H24">
        <f>Paramètres!B25</f>
        <v/>
      </c>
    </row>
    <row r="25" ht="14.25" customHeight="1">
      <c r="B25" s="3">
        <f>Paramètres!G26</f>
        <v/>
      </c>
      <c r="C25" s="3">
        <f>IF(Paramètres!H26="","",Paramètres!H26)</f>
        <v/>
      </c>
      <c r="D25" s="3">
        <f>IF(Paramètres!I26="","",Paramètres!I26)</f>
        <v/>
      </c>
      <c r="E25" s="4">
        <f>IF(Paramètres!J26&amp;Paramètres!L26&amp;Paramètres!N26="",WORKDAY($A$6-1,1),MAX(IF(Paramètres!J26="",0,IF(Paramètres!K26="",NA(),IF(RIGHT(TRIM(Paramètres!K26),3)="Fin",WORKDAY(IF(LEFT(TRIM(Paramètres!K26),1)="F",INDEX($F$4:$F$56,MATCH(Paramètres!J26,Paramètres!$G$5:$G$57,0)),INDEX($E$4:$E$56,MATCH(Paramètres!J26,Paramètres!$G$5:$G$57,0))),1-$H25),IF(LEFT(TRIM(Paramètres!K26),1)="F",WORKDAY(IF(LEFT(TRIM(Paramètres!K26),1)="F",INDEX($F$4:$F$56,MATCH(Paramètres!J26,Paramètres!$G$5:$G$57,0)),INDEX($E$4:$E$56,MATCH(Paramètres!J26,Paramètres!$G$5:$G$57,0))),1),IF(LEFT(TRIM(Paramètres!K26),1)="F",INDEX($F$4:$F$56,MATCH(Paramètres!J26,Paramètres!$G$5:$G$57,0)),INDEX($E$4:$E$56,MATCH(Paramètres!J26,Paramètres!$G$5:$G$57,0))))))),IF(Paramètres!L26="",0,IF(Paramètres!M26="",NA(),IF(RIGHT(TRIM(Paramètres!M26),3)="Fin",WORKDAY(IF(LEFT(TRIM(Paramètres!M26),1)="F",INDEX($F$4:$F$56,MATCH(Paramètres!L26,Paramètres!$G$5:$G$57,0)),INDEX($E$4:$E$56,MATCH(Paramètres!L26,Paramètres!$G$5:$G$57,0))),1-$H25),IF(LEFT(TRIM(Paramètres!M26),1)="F",WORKDAY(IF(LEFT(TRIM(Paramètres!M26),1)="F",INDEX($F$4:$F$56,MATCH(Paramètres!L26,Paramètres!$G$5:$G$57,0)),INDEX($E$4:$E$56,MATCH(Paramètres!L26,Paramètres!$G$5:$G$57,0))),1),IF(LEFT(TRIM(Paramètres!M26),1)="F",INDEX($F$4:$F$56,MATCH(Paramètres!L26,Paramètres!$G$5:$G$57,0)),INDEX($E$4:$E$56,MATCH(Paramètres!L26,Paramètres!$G$5:$G$57,0))))))),IF(Paramètres!N26="",0,IF(Paramètres!O26="",NA(),IF(RIGHT(TRIM(Paramètres!O26),3)="Fin",WORKDAY(IF(LEFT(TRIM(Paramètres!O26),1)="F",INDEX($F$4:$F$56,MATCH(Paramètres!N26,Paramètres!$G$5:$G$57,0)),INDEX($E$4:$E$56,MATCH(Paramètres!N26,Paramètres!$G$5:$G$57,0))),1-$H25),IF(LEFT(TRIM(Paramètres!O26),1)="F",WORKDAY(IF(LEFT(TRIM(Paramètres!O26),1)="F",INDEX($F$4:$F$56,MATCH(Paramètres!N26,Paramètres!$G$5:$G$57,0)),INDEX($E$4:$E$56,MATCH(Paramètres!N26,Paramètres!$G$5:$G$57,0))),1),IF(LEFT(TRIM(Paramètres!O26),1)="F",INDEX($F$4:$F$56,MATCH(Paramètres!N26,Paramètres!$G$5:$G$57,0)),INDEX($E$4:$E$56,MATCH(Paramètres!N26,Paramètres!$G$5:$G$57,0)))))))))</f>
        <v/>
      </c>
      <c r="F25" s="4">
        <f>IF($H25=0,WORKDAY(E25,-1),WORKDAY(E25,$H25-1))</f>
        <v/>
      </c>
      <c r="H25">
        <f>Paramètres!B26</f>
        <v/>
      </c>
    </row>
    <row r="26" ht="14.25" customHeight="1">
      <c r="B26" s="3">
        <f>Paramètres!G27</f>
        <v/>
      </c>
      <c r="C26" s="3">
        <f>IF(Paramètres!H27="","",Paramètres!H27)</f>
        <v/>
      </c>
      <c r="D26" s="3">
        <f>IF(Paramètres!I27="","",Paramètres!I27)</f>
        <v/>
      </c>
      <c r="E26" s="4">
        <f>IF(Paramètres!J27&amp;Paramètres!L27&amp;Paramètres!N27="",WORKDAY($A$6-1,1),MAX(IF(Paramètres!J27="",0,IF(Paramètres!K27="",NA(),IF(RIGHT(TRIM(Paramètres!K27),3)="Fin",WORKDAY(IF(LEFT(TRIM(Paramètres!K27),1)="F",INDEX($F$4:$F$56,MATCH(Paramètres!J27,Paramètres!$G$5:$G$57,0)),INDEX($E$4:$E$56,MATCH(Paramètres!J27,Paramètres!$G$5:$G$57,0))),1-$H26),IF(LEFT(TRIM(Paramètres!K27),1)="F",WORKDAY(IF(LEFT(TRIM(Paramètres!K27),1)="F",INDEX($F$4:$F$56,MATCH(Paramètres!J27,Paramètres!$G$5:$G$57,0)),INDEX($E$4:$E$56,MATCH(Paramètres!J27,Paramètres!$G$5:$G$57,0))),1),IF(LEFT(TRIM(Paramètres!K27),1)="F",INDEX($F$4:$F$56,MATCH(Paramètres!J27,Paramètres!$G$5:$G$57,0)),INDEX($E$4:$E$56,MATCH(Paramètres!J27,Paramètres!$G$5:$G$57,0))))))),IF(Paramètres!L27="",0,IF(Paramètres!M27="",NA(),IF(RIGHT(TRIM(Paramètres!M27),3)="Fin",WORKDAY(IF(LEFT(TRIM(Paramètres!M27),1)="F",INDEX($F$4:$F$56,MATCH(Paramètres!L27,Paramètres!$G$5:$G$57,0)),INDEX($E$4:$E$56,MATCH(Paramètres!L27,Paramètres!$G$5:$G$57,0))),1-$H26),IF(LEFT(TRIM(Paramètres!M27),1)="F",WORKDAY(IF(LEFT(TRIM(Paramètres!M27),1)="F",INDEX($F$4:$F$56,MATCH(Paramètres!L27,Paramètres!$G$5:$G$57,0)),INDEX($E$4:$E$56,MATCH(Paramètres!L27,Paramètres!$G$5:$G$57,0))),1),IF(LEFT(TRIM(Paramètres!M27),1)="F",INDEX($F$4:$F$56,MATCH(Paramètres!L27,Paramètres!$G$5:$G$57,0)),INDEX($E$4:$E$56,MATCH(Paramètres!L27,Paramètres!$G$5:$G$57,0))))))),IF(Paramètres!N27="",0,IF(Paramètres!O27="",NA(),IF(RIGHT(TRIM(Paramètres!O27),3)="Fin",WORKDAY(IF(LEFT(TRIM(Paramètres!O27),1)="F",INDEX($F$4:$F$56,MATCH(Paramètres!N27,Paramètres!$G$5:$G$57,0)),INDEX($E$4:$E$56,MATCH(Paramètres!N27,Paramètres!$G$5:$G$57,0))),1-$H26),IF(LEFT(TRIM(Paramètres!O27),1)="F",WORKDAY(IF(LEFT(TRIM(Paramètres!O27),1)="F",INDEX($F$4:$F$56,MATCH(Paramètres!N27,Paramètres!$G$5:$G$57,0)),INDEX($E$4:$E$56,MATCH(Paramètres!N27,Paramètres!$G$5:$G$57,0))),1),IF(LEFT(TRIM(Paramètres!O27),1)="F",INDEX($F$4:$F$56,MATCH(Paramètres!N27,Paramètres!$G$5:$G$57,0)),INDEX($E$4:$E$56,MATCH(Paramètres!N27,Paramètres!$G$5:$G$57,0)))))))))</f>
        <v/>
      </c>
      <c r="F26" s="4">
        <f>IF($H26=0,WORKDAY(E26,-1),WORKDAY(E26,$H26-1))</f>
        <v/>
      </c>
      <c r="H26">
        <f>Paramètres!B27</f>
        <v/>
      </c>
    </row>
    <row r="27" ht="14.25" customHeight="1">
      <c r="B27" s="3">
        <f>Paramètres!G28</f>
        <v/>
      </c>
      <c r="C27" s="3">
        <f>IF(Paramètres!H28="","",Paramètres!H28)</f>
        <v/>
      </c>
      <c r="D27" s="3">
        <f>IF(Paramètres!I28="","",Paramètres!I28)</f>
        <v/>
      </c>
      <c r="E27" s="4">
        <f>IF(Paramètres!J28&amp;Paramètres!L28&amp;Paramètres!N28="",WORKDAY($A$6-1,1),MAX(IF(Paramètres!J28="",0,IF(Paramètres!K28="",NA(),IF(RIGHT(TRIM(Paramètres!K28),3)="Fin",WORKDAY(IF(LEFT(TRIM(Paramètres!K28),1)="F",INDEX($F$4:$F$56,MATCH(Paramètres!J28,Paramètres!$G$5:$G$57,0)),INDEX($E$4:$E$56,MATCH(Paramètres!J28,Paramètres!$G$5:$G$57,0))),1-$H27),IF(LEFT(TRIM(Paramètres!K28),1)="F",WORKDAY(IF(LEFT(TRIM(Paramètres!K28),1)="F",INDEX($F$4:$F$56,MATCH(Paramètres!J28,Paramètres!$G$5:$G$57,0)),INDEX($E$4:$E$56,MATCH(Paramètres!J28,Paramètres!$G$5:$G$57,0))),1),IF(LEFT(TRIM(Paramètres!K28),1)="F",INDEX($F$4:$F$56,MATCH(Paramètres!J28,Paramètres!$G$5:$G$57,0)),INDEX($E$4:$E$56,MATCH(Paramètres!J28,Paramètres!$G$5:$G$57,0))))))),IF(Paramètres!L28="",0,IF(Paramètres!M28="",NA(),IF(RIGHT(TRIM(Paramètres!M28),3)="Fin",WORKDAY(IF(LEFT(TRIM(Paramètres!M28),1)="F",INDEX($F$4:$F$56,MATCH(Paramètres!L28,Paramètres!$G$5:$G$57,0)),INDEX($E$4:$E$56,MATCH(Paramètres!L28,Paramètres!$G$5:$G$57,0))),1-$H27),IF(LEFT(TRIM(Paramètres!M28),1)="F",WORKDAY(IF(LEFT(TRIM(Paramètres!M28),1)="F",INDEX($F$4:$F$56,MATCH(Paramètres!L28,Paramètres!$G$5:$G$57,0)),INDEX($E$4:$E$56,MATCH(Paramètres!L28,Paramètres!$G$5:$G$57,0))),1),IF(LEFT(TRIM(Paramètres!M28),1)="F",INDEX($F$4:$F$56,MATCH(Paramètres!L28,Paramètres!$G$5:$G$57,0)),INDEX($E$4:$E$56,MATCH(Paramètres!L28,Paramètres!$G$5:$G$57,0))))))),IF(Paramètres!N28="",0,IF(Paramètres!O28="",NA(),IF(RIGHT(TRIM(Paramètres!O28),3)="Fin",WORKDAY(IF(LEFT(TRIM(Paramètres!O28),1)="F",INDEX($F$4:$F$56,MATCH(Paramètres!N28,Paramètres!$G$5:$G$57,0)),INDEX($E$4:$E$56,MATCH(Paramètres!N28,Paramètres!$G$5:$G$57,0))),1-$H27),IF(LEFT(TRIM(Paramètres!O28),1)="F",WORKDAY(IF(LEFT(TRIM(Paramètres!O28),1)="F",INDEX($F$4:$F$56,MATCH(Paramètres!N28,Paramètres!$G$5:$G$57,0)),INDEX($E$4:$E$56,MATCH(Paramètres!N28,Paramètres!$G$5:$G$57,0))),1),IF(LEFT(TRIM(Paramètres!O28),1)="F",INDEX($F$4:$F$56,MATCH(Paramètres!N28,Paramètres!$G$5:$G$57,0)),INDEX($E$4:$E$56,MATCH(Paramètres!N28,Paramètres!$G$5:$G$57,0)))))))))</f>
        <v/>
      </c>
      <c r="F27" s="4">
        <f>IF($H27=0,WORKDAY(E27,-1),WORKDAY(E27,$H27-1))</f>
        <v/>
      </c>
      <c r="H27">
        <f>Paramètres!B28</f>
        <v/>
      </c>
    </row>
    <row r="28" ht="14.25" customHeight="1">
      <c r="B28" s="3">
        <f>Paramètres!G29</f>
        <v/>
      </c>
      <c r="C28" s="3">
        <f>IF(Paramètres!H29="","",Paramètres!H29)</f>
        <v/>
      </c>
      <c r="D28" s="3">
        <f>IF(Paramètres!I29="","",Paramètres!I29)</f>
        <v/>
      </c>
      <c r="E28" s="4">
        <f>IF(Paramètres!J29&amp;Paramètres!L29&amp;Paramètres!N29="",WORKDAY($A$6-1,1),MAX(IF(Paramètres!J29="",0,IF(Paramètres!K29="",NA(),IF(RIGHT(TRIM(Paramètres!K29),3)="Fin",WORKDAY(IF(LEFT(TRIM(Paramètres!K29),1)="F",INDEX($F$4:$F$56,MATCH(Paramètres!J29,Paramètres!$G$5:$G$57,0)),INDEX($E$4:$E$56,MATCH(Paramètres!J29,Paramètres!$G$5:$G$57,0))),1-$H28),IF(LEFT(TRIM(Paramètres!K29),1)="F",WORKDAY(IF(LEFT(TRIM(Paramètres!K29),1)="F",INDEX($F$4:$F$56,MATCH(Paramètres!J29,Paramètres!$G$5:$G$57,0)),INDEX($E$4:$E$56,MATCH(Paramètres!J29,Paramètres!$G$5:$G$57,0))),1),IF(LEFT(TRIM(Paramètres!K29),1)="F",INDEX($F$4:$F$56,MATCH(Paramètres!J29,Paramètres!$G$5:$G$57,0)),INDEX($E$4:$E$56,MATCH(Paramètres!J29,Paramètres!$G$5:$G$57,0))))))),IF(Paramètres!L29="",0,IF(Paramètres!M29="",NA(),IF(RIGHT(TRIM(Paramètres!M29),3)="Fin",WORKDAY(IF(LEFT(TRIM(Paramètres!M29),1)="F",INDEX($F$4:$F$56,MATCH(Paramètres!L29,Paramètres!$G$5:$G$57,0)),INDEX($E$4:$E$56,MATCH(Paramètres!L29,Paramètres!$G$5:$G$57,0))),1-$H28),IF(LEFT(TRIM(Paramètres!M29),1)="F",WORKDAY(IF(LEFT(TRIM(Paramètres!M29),1)="F",INDEX($F$4:$F$56,MATCH(Paramètres!L29,Paramètres!$G$5:$G$57,0)),INDEX($E$4:$E$56,MATCH(Paramètres!L29,Paramètres!$G$5:$G$57,0))),1),IF(LEFT(TRIM(Paramètres!M29),1)="F",INDEX($F$4:$F$56,MATCH(Paramètres!L29,Paramètres!$G$5:$G$57,0)),INDEX($E$4:$E$56,MATCH(Paramètres!L29,Paramètres!$G$5:$G$57,0))))))),IF(Paramètres!N29="",0,IF(Paramètres!O29="",NA(),IF(RIGHT(TRIM(Paramètres!O29),3)="Fin",WORKDAY(IF(LEFT(TRIM(Paramètres!O29),1)="F",INDEX($F$4:$F$56,MATCH(Paramètres!N29,Paramètres!$G$5:$G$57,0)),INDEX($E$4:$E$56,MATCH(Paramètres!N29,Paramètres!$G$5:$G$57,0))),1-$H28),IF(LEFT(TRIM(Paramètres!O29),1)="F",WORKDAY(IF(LEFT(TRIM(Paramètres!O29),1)="F",INDEX($F$4:$F$56,MATCH(Paramètres!N29,Paramètres!$G$5:$G$57,0)),INDEX($E$4:$E$56,MATCH(Paramètres!N29,Paramètres!$G$5:$G$57,0))),1),IF(LEFT(TRIM(Paramètres!O29),1)="F",INDEX($F$4:$F$56,MATCH(Paramètres!N29,Paramètres!$G$5:$G$57,0)),INDEX($E$4:$E$56,MATCH(Paramètres!N29,Paramètres!$G$5:$G$57,0)))))))))</f>
        <v/>
      </c>
      <c r="F28" s="4">
        <f>IF($H28=0,WORKDAY(E28,-1),WORKDAY(E28,$H28-1))</f>
        <v/>
      </c>
      <c r="H28">
        <f>Paramètres!B29</f>
        <v/>
      </c>
    </row>
    <row r="29" ht="14.25" customHeight="1">
      <c r="B29" s="3">
        <f>Paramètres!G30</f>
        <v/>
      </c>
      <c r="C29" s="3">
        <f>IF(Paramètres!H30="","",Paramètres!H30)</f>
        <v/>
      </c>
      <c r="D29" s="3">
        <f>IF(Paramètres!I30="","",Paramètres!I30)</f>
        <v/>
      </c>
      <c r="E29" s="4">
        <f>IF(Paramètres!J30&amp;Paramètres!L30&amp;Paramètres!N30="",WORKDAY($A$6-1,1),MAX(IF(Paramètres!J30="",0,IF(Paramètres!K30="",NA(),IF(RIGHT(TRIM(Paramètres!K30),3)="Fin",WORKDAY(IF(LEFT(TRIM(Paramètres!K30),1)="F",INDEX($F$4:$F$56,MATCH(Paramètres!J30,Paramètres!$G$5:$G$57,0)),INDEX($E$4:$E$56,MATCH(Paramètres!J30,Paramètres!$G$5:$G$57,0))),1-$H29),IF(LEFT(TRIM(Paramètres!K30),1)="F",WORKDAY(IF(LEFT(TRIM(Paramètres!K30),1)="F",INDEX($F$4:$F$56,MATCH(Paramètres!J30,Paramètres!$G$5:$G$57,0)),INDEX($E$4:$E$56,MATCH(Paramètres!J30,Paramètres!$G$5:$G$57,0))),1),IF(LEFT(TRIM(Paramètres!K30),1)="F",INDEX($F$4:$F$56,MATCH(Paramètres!J30,Paramètres!$G$5:$G$57,0)),INDEX($E$4:$E$56,MATCH(Paramètres!J30,Paramètres!$G$5:$G$57,0))))))),IF(Paramètres!L30="",0,IF(Paramètres!M30="",NA(),IF(RIGHT(TRIM(Paramètres!M30),3)="Fin",WORKDAY(IF(LEFT(TRIM(Paramètres!M30),1)="F",INDEX($F$4:$F$56,MATCH(Paramètres!L30,Paramètres!$G$5:$G$57,0)),INDEX($E$4:$E$56,MATCH(Paramètres!L30,Paramètres!$G$5:$G$57,0))),1-$H29),IF(LEFT(TRIM(Paramètres!M30),1)="F",WORKDAY(IF(LEFT(TRIM(Paramètres!M30),1)="F",INDEX($F$4:$F$56,MATCH(Paramètres!L30,Paramètres!$G$5:$G$57,0)),INDEX($E$4:$E$56,MATCH(Paramètres!L30,Paramètres!$G$5:$G$57,0))),1),IF(LEFT(TRIM(Paramètres!M30),1)="F",INDEX($F$4:$F$56,MATCH(Paramètres!L30,Paramètres!$G$5:$G$57,0)),INDEX($E$4:$E$56,MATCH(Paramètres!L30,Paramètres!$G$5:$G$57,0))))))),IF(Paramètres!N30="",0,IF(Paramètres!O30="",NA(),IF(RIGHT(TRIM(Paramètres!O30),3)="Fin",WORKDAY(IF(LEFT(TRIM(Paramètres!O30),1)="F",INDEX($F$4:$F$56,MATCH(Paramètres!N30,Paramètres!$G$5:$G$57,0)),INDEX($E$4:$E$56,MATCH(Paramètres!N30,Paramètres!$G$5:$G$57,0))),1-$H29),IF(LEFT(TRIM(Paramètres!O30),1)="F",WORKDAY(IF(LEFT(TRIM(Paramètres!O30),1)="F",INDEX($F$4:$F$56,MATCH(Paramètres!N30,Paramètres!$G$5:$G$57,0)),INDEX($E$4:$E$56,MATCH(Paramètres!N30,Paramètres!$G$5:$G$57,0))),1),IF(LEFT(TRIM(Paramètres!O30),1)="F",INDEX($F$4:$F$56,MATCH(Paramètres!N30,Paramètres!$G$5:$G$57,0)),INDEX($E$4:$E$56,MATCH(Paramètres!N30,Paramètres!$G$5:$G$57,0)))))))))</f>
        <v/>
      </c>
      <c r="F29" s="4">
        <f>IF($H29=0,WORKDAY(E29,-1),WORKDAY(E29,$H29-1))</f>
        <v/>
      </c>
      <c r="H29">
        <f>Paramètres!B30</f>
        <v/>
      </c>
    </row>
    <row r="30" ht="14.25" customHeight="1">
      <c r="B30" s="3">
        <f>Paramètres!G31</f>
        <v/>
      </c>
      <c r="C30" s="3">
        <f>IF(Paramètres!H31="","",Paramètres!H31)</f>
        <v/>
      </c>
      <c r="D30" s="3">
        <f>IF(Paramètres!I31="","",Paramètres!I31)</f>
        <v/>
      </c>
      <c r="E30" s="4">
        <f>IF(Paramètres!J31&amp;Paramètres!L31&amp;Paramètres!N31="",WORKDAY($A$6-1,1),MAX(IF(Paramètres!J31="",0,IF(Paramètres!K31="",NA(),IF(RIGHT(TRIM(Paramètres!K31),3)="Fin",WORKDAY(IF(LEFT(TRIM(Paramètres!K31),1)="F",INDEX($F$4:$F$56,MATCH(Paramètres!J31,Paramètres!$G$5:$G$57,0)),INDEX($E$4:$E$56,MATCH(Paramètres!J31,Paramètres!$G$5:$G$57,0))),1-$H30),IF(LEFT(TRIM(Paramètres!K31),1)="F",WORKDAY(IF(LEFT(TRIM(Paramètres!K31),1)="F",INDEX($F$4:$F$56,MATCH(Paramètres!J31,Paramètres!$G$5:$G$57,0)),INDEX($E$4:$E$56,MATCH(Paramètres!J31,Paramètres!$G$5:$G$57,0))),1),IF(LEFT(TRIM(Paramètres!K31),1)="F",INDEX($F$4:$F$56,MATCH(Paramètres!J31,Paramètres!$G$5:$G$57,0)),INDEX($E$4:$E$56,MATCH(Paramètres!J31,Paramètres!$G$5:$G$57,0))))))),IF(Paramètres!L31="",0,IF(Paramètres!M31="",NA(),IF(RIGHT(TRIM(Paramètres!M31),3)="Fin",WORKDAY(IF(LEFT(TRIM(Paramètres!M31),1)="F",INDEX($F$4:$F$56,MATCH(Paramètres!L31,Paramètres!$G$5:$G$57,0)),INDEX($E$4:$E$56,MATCH(Paramètres!L31,Paramètres!$G$5:$G$57,0))),1-$H30),IF(LEFT(TRIM(Paramètres!M31),1)="F",WORKDAY(IF(LEFT(TRIM(Paramètres!M31),1)="F",INDEX($F$4:$F$56,MATCH(Paramètres!L31,Paramètres!$G$5:$G$57,0)),INDEX($E$4:$E$56,MATCH(Paramètres!L31,Paramètres!$G$5:$G$57,0))),1),IF(LEFT(TRIM(Paramètres!M31),1)="F",INDEX($F$4:$F$56,MATCH(Paramètres!L31,Paramètres!$G$5:$G$57,0)),INDEX($E$4:$E$56,MATCH(Paramètres!L31,Paramètres!$G$5:$G$57,0))))))),IF(Paramètres!N31="",0,IF(Paramètres!O31="",NA(),IF(RIGHT(TRIM(Paramètres!O31),3)="Fin",WORKDAY(IF(LEFT(TRIM(Paramètres!O31),1)="F",INDEX($F$4:$F$56,MATCH(Paramètres!N31,Paramètres!$G$5:$G$57,0)),INDEX($E$4:$E$56,MATCH(Paramètres!N31,Paramètres!$G$5:$G$57,0))),1-$H30),IF(LEFT(TRIM(Paramètres!O31),1)="F",WORKDAY(IF(LEFT(TRIM(Paramètres!O31),1)="F",INDEX($F$4:$F$56,MATCH(Paramètres!N31,Paramètres!$G$5:$G$57,0)),INDEX($E$4:$E$56,MATCH(Paramètres!N31,Paramètres!$G$5:$G$57,0))),1),IF(LEFT(TRIM(Paramètres!O31),1)="F",INDEX($F$4:$F$56,MATCH(Paramètres!N31,Paramètres!$G$5:$G$57,0)),INDEX($E$4:$E$56,MATCH(Paramètres!N31,Paramètres!$G$5:$G$57,0)))))))))</f>
        <v/>
      </c>
      <c r="F30" s="4">
        <f>IF($H30=0,WORKDAY(E30,-1),WORKDAY(E30,$H30-1))</f>
        <v/>
      </c>
      <c r="H30">
        <f>Paramètres!B31</f>
        <v/>
      </c>
    </row>
    <row r="31" ht="14.25" customHeight="1">
      <c r="B31" s="3">
        <f>Paramètres!G32</f>
        <v/>
      </c>
      <c r="C31" s="3">
        <f>IF(Paramètres!H32="","",Paramètres!H32)</f>
        <v/>
      </c>
      <c r="D31" s="3">
        <f>IF(Paramètres!I32="","",Paramètres!I32)</f>
        <v/>
      </c>
      <c r="E31" s="4">
        <f>MIN(E32:E35)</f>
        <v/>
      </c>
      <c r="F31" s="4">
        <f>MAX(F32:F35)</f>
        <v/>
      </c>
      <c r="H31">
        <f>NETWORKDAYS(E31,F31)</f>
        <v/>
      </c>
    </row>
    <row r="32" ht="14.25" customHeight="1">
      <c r="B32" s="3">
        <f>Paramètres!G33</f>
        <v/>
      </c>
      <c r="C32" s="3">
        <f>IF(Paramètres!H33="","",Paramètres!H33)</f>
        <v/>
      </c>
      <c r="D32" s="3">
        <f>IF(Paramètres!I33="","",Paramètres!I33)</f>
        <v/>
      </c>
      <c r="E32" s="4">
        <f>IF(Paramètres!J33&amp;Paramètres!L33&amp;Paramètres!N33="",WORKDAY($A$6-1,1),MAX(IF(Paramètres!J33="",0,IF(Paramètres!K33="",NA(),IF(RIGHT(TRIM(Paramètres!K33),3)="Fin",WORKDAY(IF(LEFT(TRIM(Paramètres!K33),1)="F",INDEX($F$4:$F$56,MATCH(Paramètres!J33,Paramètres!$G$5:$G$57,0)),INDEX($E$4:$E$56,MATCH(Paramètres!J33,Paramètres!$G$5:$G$57,0))),1-$H32),IF(LEFT(TRIM(Paramètres!K33),1)="F",WORKDAY(IF(LEFT(TRIM(Paramètres!K33),1)="F",INDEX($F$4:$F$56,MATCH(Paramètres!J33,Paramètres!$G$5:$G$57,0)),INDEX($E$4:$E$56,MATCH(Paramètres!J33,Paramètres!$G$5:$G$57,0))),1),IF(LEFT(TRIM(Paramètres!K33),1)="F",INDEX($F$4:$F$56,MATCH(Paramètres!J33,Paramètres!$G$5:$G$57,0)),INDEX($E$4:$E$56,MATCH(Paramètres!J33,Paramètres!$G$5:$G$57,0))))))),IF(Paramètres!L33="",0,IF(Paramètres!M33="",NA(),IF(RIGHT(TRIM(Paramètres!M33),3)="Fin",WORKDAY(IF(LEFT(TRIM(Paramètres!M33),1)="F",INDEX($F$4:$F$56,MATCH(Paramètres!L33,Paramètres!$G$5:$G$57,0)),INDEX($E$4:$E$56,MATCH(Paramètres!L33,Paramètres!$G$5:$G$57,0))),1-$H32),IF(LEFT(TRIM(Paramètres!M33),1)="F",WORKDAY(IF(LEFT(TRIM(Paramètres!M33),1)="F",INDEX($F$4:$F$56,MATCH(Paramètres!L33,Paramètres!$G$5:$G$57,0)),INDEX($E$4:$E$56,MATCH(Paramètres!L33,Paramètres!$G$5:$G$57,0))),1),IF(LEFT(TRIM(Paramètres!M33),1)="F",INDEX($F$4:$F$56,MATCH(Paramètres!L33,Paramètres!$G$5:$G$57,0)),INDEX($E$4:$E$56,MATCH(Paramètres!L33,Paramètres!$G$5:$G$57,0))))))),IF(Paramètres!N33="",0,IF(Paramètres!O33="",NA(),IF(RIGHT(TRIM(Paramètres!O33),3)="Fin",WORKDAY(IF(LEFT(TRIM(Paramètres!O33),1)="F",INDEX($F$4:$F$56,MATCH(Paramètres!N33,Paramètres!$G$5:$G$57,0)),INDEX($E$4:$E$56,MATCH(Paramètres!N33,Paramètres!$G$5:$G$57,0))),1-$H32),IF(LEFT(TRIM(Paramètres!O33),1)="F",WORKDAY(IF(LEFT(TRIM(Paramètres!O33),1)="F",INDEX($F$4:$F$56,MATCH(Paramètres!N33,Paramètres!$G$5:$G$57,0)),INDEX($E$4:$E$56,MATCH(Paramètres!N33,Paramètres!$G$5:$G$57,0))),1),IF(LEFT(TRIM(Paramètres!O33),1)="F",INDEX($F$4:$F$56,MATCH(Paramètres!N33,Paramètres!$G$5:$G$57,0)),INDEX($E$4:$E$56,MATCH(Paramètres!N33,Paramètres!$G$5:$G$57,0)))))))))</f>
        <v/>
      </c>
      <c r="F32" s="4">
        <f>IF($H32=0,WORKDAY(E32,-1),WORKDAY(E32,$H32-1))</f>
        <v/>
      </c>
      <c r="H32">
        <f>Paramètres!B33</f>
        <v/>
      </c>
    </row>
    <row r="33" ht="14.25" customHeight="1">
      <c r="B33" s="3">
        <f>Paramètres!G34</f>
        <v/>
      </c>
      <c r="C33" s="3">
        <f>IF(Paramètres!H34="","",Paramètres!H34)</f>
        <v/>
      </c>
      <c r="D33" s="3">
        <f>IF(Paramètres!I34="","",Paramètres!I34)</f>
        <v/>
      </c>
      <c r="E33" s="4">
        <f>IF(Paramètres!J34&amp;Paramètres!L34&amp;Paramètres!N34="",WORKDAY($A$6-1,1),MAX(IF(Paramètres!J34="",0,IF(Paramètres!K34="",NA(),IF(RIGHT(TRIM(Paramètres!K34),3)="Fin",WORKDAY(IF(LEFT(TRIM(Paramètres!K34),1)="F",INDEX($F$4:$F$56,MATCH(Paramètres!J34,Paramètres!$G$5:$G$57,0)),INDEX($E$4:$E$56,MATCH(Paramètres!J34,Paramètres!$G$5:$G$57,0))),1-$H33),IF(LEFT(TRIM(Paramètres!K34),1)="F",WORKDAY(IF(LEFT(TRIM(Paramètres!K34),1)="F",INDEX($F$4:$F$56,MATCH(Paramètres!J34,Paramètres!$G$5:$G$57,0)),INDEX($E$4:$E$56,MATCH(Paramètres!J34,Paramètres!$G$5:$G$57,0))),1),IF(LEFT(TRIM(Paramètres!K34),1)="F",INDEX($F$4:$F$56,MATCH(Paramètres!J34,Paramètres!$G$5:$G$57,0)),INDEX($E$4:$E$56,MATCH(Paramètres!J34,Paramètres!$G$5:$G$57,0))))))),IF(Paramètres!L34="",0,IF(Paramètres!M34="",NA(),IF(RIGHT(TRIM(Paramètres!M34),3)="Fin",WORKDAY(IF(LEFT(TRIM(Paramètres!M34),1)="F",INDEX($F$4:$F$56,MATCH(Paramètres!L34,Paramètres!$G$5:$G$57,0)),INDEX($E$4:$E$56,MATCH(Paramètres!L34,Paramètres!$G$5:$G$57,0))),1-$H33),IF(LEFT(TRIM(Paramètres!M34),1)="F",WORKDAY(IF(LEFT(TRIM(Paramètres!M34),1)="F",INDEX($F$4:$F$56,MATCH(Paramètres!L34,Paramètres!$G$5:$G$57,0)),INDEX($E$4:$E$56,MATCH(Paramètres!L34,Paramètres!$G$5:$G$57,0))),1),IF(LEFT(TRIM(Paramètres!M34),1)="F",INDEX($F$4:$F$56,MATCH(Paramètres!L34,Paramètres!$G$5:$G$57,0)),INDEX($E$4:$E$56,MATCH(Paramètres!L34,Paramètres!$G$5:$G$57,0))))))),IF(Paramètres!N34="",0,IF(Paramètres!O34="",NA(),IF(RIGHT(TRIM(Paramètres!O34),3)="Fin",WORKDAY(IF(LEFT(TRIM(Paramètres!O34),1)="F",INDEX($F$4:$F$56,MATCH(Paramètres!N34,Paramètres!$G$5:$G$57,0)),INDEX($E$4:$E$56,MATCH(Paramètres!N34,Paramètres!$G$5:$G$57,0))),1-$H33),IF(LEFT(TRIM(Paramètres!O34),1)="F",WORKDAY(IF(LEFT(TRIM(Paramètres!O34),1)="F",INDEX($F$4:$F$56,MATCH(Paramètres!N34,Paramètres!$G$5:$G$57,0)),INDEX($E$4:$E$56,MATCH(Paramètres!N34,Paramètres!$G$5:$G$57,0))),1),IF(LEFT(TRIM(Paramètres!O34),1)="F",INDEX($F$4:$F$56,MATCH(Paramètres!N34,Paramètres!$G$5:$G$57,0)),INDEX($E$4:$E$56,MATCH(Paramètres!N34,Paramètres!$G$5:$G$57,0)))))))))</f>
        <v/>
      </c>
      <c r="F33" s="4">
        <f>IF($H33=0,WORKDAY(E33,-1),WORKDAY(E33,$H33-1))</f>
        <v/>
      </c>
      <c r="H33">
        <f>Paramètres!B34</f>
        <v/>
      </c>
    </row>
    <row r="34" ht="14.25" customHeight="1">
      <c r="B34" s="3">
        <f>Paramètres!G35</f>
        <v/>
      </c>
      <c r="C34" s="3">
        <f>IF(Paramètres!H35="","",Paramètres!H35)</f>
        <v/>
      </c>
      <c r="D34" s="3">
        <f>IF(Paramètres!I35="","",Paramètres!I35)</f>
        <v/>
      </c>
      <c r="E34" s="4">
        <f>IF(Paramètres!J35&amp;Paramètres!L35&amp;Paramètres!N35="",WORKDAY($A$6-1,1),MAX(IF(Paramètres!J35="",0,IF(Paramètres!K35="",NA(),IF(RIGHT(TRIM(Paramètres!K35),3)="Fin",WORKDAY(IF(LEFT(TRIM(Paramètres!K35),1)="F",INDEX($F$4:$F$56,MATCH(Paramètres!J35,Paramètres!$G$5:$G$57,0)),INDEX($E$4:$E$56,MATCH(Paramètres!J35,Paramètres!$G$5:$G$57,0))),1-$H34),IF(LEFT(TRIM(Paramètres!K35),1)="F",WORKDAY(IF(LEFT(TRIM(Paramètres!K35),1)="F",INDEX($F$4:$F$56,MATCH(Paramètres!J35,Paramètres!$G$5:$G$57,0)),INDEX($E$4:$E$56,MATCH(Paramètres!J35,Paramètres!$G$5:$G$57,0))),1),IF(LEFT(TRIM(Paramètres!K35),1)="F",INDEX($F$4:$F$56,MATCH(Paramètres!J35,Paramètres!$G$5:$G$57,0)),INDEX($E$4:$E$56,MATCH(Paramètres!J35,Paramètres!$G$5:$G$57,0))))))),IF(Paramètres!L35="",0,IF(Paramètres!M35="",NA(),IF(RIGHT(TRIM(Paramètres!M35),3)="Fin",WORKDAY(IF(LEFT(TRIM(Paramètres!M35),1)="F",INDEX($F$4:$F$56,MATCH(Paramètres!L35,Paramètres!$G$5:$G$57,0)),INDEX($E$4:$E$56,MATCH(Paramètres!L35,Paramètres!$G$5:$G$57,0))),1-$H34),IF(LEFT(TRIM(Paramètres!M35),1)="F",WORKDAY(IF(LEFT(TRIM(Paramètres!M35),1)="F",INDEX($F$4:$F$56,MATCH(Paramètres!L35,Paramètres!$G$5:$G$57,0)),INDEX($E$4:$E$56,MATCH(Paramètres!L35,Paramètres!$G$5:$G$57,0))),1),IF(LEFT(TRIM(Paramètres!M35),1)="F",INDEX($F$4:$F$56,MATCH(Paramètres!L35,Paramètres!$G$5:$G$57,0)),INDEX($E$4:$E$56,MATCH(Paramètres!L35,Paramètres!$G$5:$G$57,0))))))),IF(Paramètres!N35="",0,IF(Paramètres!O35="",NA(),IF(RIGHT(TRIM(Paramètres!O35),3)="Fin",WORKDAY(IF(LEFT(TRIM(Paramètres!O35),1)="F",INDEX($F$4:$F$56,MATCH(Paramètres!N35,Paramètres!$G$5:$G$57,0)),INDEX($E$4:$E$56,MATCH(Paramètres!N35,Paramètres!$G$5:$G$57,0))),1-$H34),IF(LEFT(TRIM(Paramètres!O35),1)="F",WORKDAY(IF(LEFT(TRIM(Paramètres!O35),1)="F",INDEX($F$4:$F$56,MATCH(Paramètres!N35,Paramètres!$G$5:$G$57,0)),INDEX($E$4:$E$56,MATCH(Paramètres!N35,Paramètres!$G$5:$G$57,0))),1),IF(LEFT(TRIM(Paramètres!O35),1)="F",INDEX($F$4:$F$56,MATCH(Paramètres!N35,Paramètres!$G$5:$G$57,0)),INDEX($E$4:$E$56,MATCH(Paramètres!N35,Paramètres!$G$5:$G$57,0)))))))))</f>
        <v/>
      </c>
      <c r="F34" s="4">
        <f>IF($H34=0,WORKDAY(E34,-1),WORKDAY(E34,$H34-1))</f>
        <v/>
      </c>
      <c r="H34">
        <f>Paramètres!B35</f>
        <v/>
      </c>
    </row>
    <row r="35" ht="14.25" customHeight="1">
      <c r="B35" s="3">
        <f>Paramètres!G36</f>
        <v/>
      </c>
      <c r="C35" s="3">
        <f>IF(Paramètres!H36="","",Paramètres!H36)</f>
        <v/>
      </c>
      <c r="D35" s="3">
        <f>IF(Paramètres!I36="","",Paramètres!I36)</f>
        <v/>
      </c>
      <c r="E35" s="4">
        <f>IF(Paramètres!J36&amp;Paramètres!L36&amp;Paramètres!N36="",WORKDAY($A$6-1,1),MAX(IF(Paramètres!J36="",0,IF(Paramètres!K36="",NA(),IF(RIGHT(TRIM(Paramètres!K36),3)="Fin",WORKDAY(IF(LEFT(TRIM(Paramètres!K36),1)="F",INDEX($F$4:$F$56,MATCH(Paramètres!J36,Paramètres!$G$5:$G$57,0)),INDEX($E$4:$E$56,MATCH(Paramètres!J36,Paramètres!$G$5:$G$57,0))),1-$H35),IF(LEFT(TRIM(Paramètres!K36),1)="F",WORKDAY(IF(LEFT(TRIM(Paramètres!K36),1)="F",INDEX($F$4:$F$56,MATCH(Paramètres!J36,Paramètres!$G$5:$G$57,0)),INDEX($E$4:$E$56,MATCH(Paramètres!J36,Paramètres!$G$5:$G$57,0))),1),IF(LEFT(TRIM(Paramètres!K36),1)="F",INDEX($F$4:$F$56,MATCH(Paramètres!J36,Paramètres!$G$5:$G$57,0)),INDEX($E$4:$E$56,MATCH(Paramètres!J36,Paramètres!$G$5:$G$57,0))))))),IF(Paramètres!L36="",0,IF(Paramètres!M36="",NA(),IF(RIGHT(TRIM(Paramètres!M36),3)="Fin",WORKDAY(IF(LEFT(TRIM(Paramètres!M36),1)="F",INDEX($F$4:$F$56,MATCH(Paramètres!L36,Paramètres!$G$5:$G$57,0)),INDEX($E$4:$E$56,MATCH(Paramètres!L36,Paramètres!$G$5:$G$57,0))),1-$H35),IF(LEFT(TRIM(Paramètres!M36),1)="F",WORKDAY(IF(LEFT(TRIM(Paramètres!M36),1)="F",INDEX($F$4:$F$56,MATCH(Paramètres!L36,Paramètres!$G$5:$G$57,0)),INDEX($E$4:$E$56,MATCH(Paramètres!L36,Paramètres!$G$5:$G$57,0))),1),IF(LEFT(TRIM(Paramètres!M36),1)="F",INDEX($F$4:$F$56,MATCH(Paramètres!L36,Paramètres!$G$5:$G$57,0)),INDEX($E$4:$E$56,MATCH(Paramètres!L36,Paramètres!$G$5:$G$57,0))))))),IF(Paramètres!N36="",0,IF(Paramètres!O36="",NA(),IF(RIGHT(TRIM(Paramètres!O36),3)="Fin",WORKDAY(IF(LEFT(TRIM(Paramètres!O36),1)="F",INDEX($F$4:$F$56,MATCH(Paramètres!N36,Paramètres!$G$5:$G$57,0)),INDEX($E$4:$E$56,MATCH(Paramètres!N36,Paramètres!$G$5:$G$57,0))),1-$H35),IF(LEFT(TRIM(Paramètres!O36),1)="F",WORKDAY(IF(LEFT(TRIM(Paramètres!O36),1)="F",INDEX($F$4:$F$56,MATCH(Paramètres!N36,Paramètres!$G$5:$G$57,0)),INDEX($E$4:$E$56,MATCH(Paramètres!N36,Paramètres!$G$5:$G$57,0))),1),IF(LEFT(TRIM(Paramètres!O36),1)="F",INDEX($F$4:$F$56,MATCH(Paramètres!N36,Paramètres!$G$5:$G$57,0)),INDEX($E$4:$E$56,MATCH(Paramètres!N36,Paramètres!$G$5:$G$57,0)))))))))</f>
        <v/>
      </c>
      <c r="F35" s="4">
        <f>IF($H35=0,WORKDAY(E35,-1),WORKDAY(E35,$H35-1))</f>
        <v/>
      </c>
      <c r="H35">
        <f>Paramètres!B36</f>
        <v/>
      </c>
    </row>
    <row r="36" ht="14.25" customHeight="1">
      <c r="B36" s="3">
        <f>Paramètres!G37</f>
        <v/>
      </c>
      <c r="C36" s="3">
        <f>IF(Paramètres!H37="","",Paramètres!H37)</f>
        <v/>
      </c>
      <c r="D36" s="3">
        <f>IF(Paramètres!I37="","",Paramètres!I37)</f>
        <v/>
      </c>
      <c r="E36" s="4">
        <f>MIN(E37:E54)</f>
        <v/>
      </c>
      <c r="F36" s="4">
        <f>MAX(F37:F54)</f>
        <v/>
      </c>
      <c r="H36">
        <f>NETWORKDAYS(E36,F36)</f>
        <v/>
      </c>
    </row>
    <row r="37" ht="14.25" customHeight="1">
      <c r="B37" s="3">
        <f>Paramètres!G38</f>
        <v/>
      </c>
      <c r="C37" s="3">
        <f>IF(Paramètres!H38="","",Paramètres!H38)</f>
        <v/>
      </c>
      <c r="D37" s="3">
        <f>IF(Paramètres!I38="","",Paramètres!I38)</f>
        <v/>
      </c>
      <c r="E37" s="4">
        <f>IF(Paramètres!J38&amp;Paramètres!L38&amp;Paramètres!N38="",WORKDAY($A$6-1,1),MAX(IF(Paramètres!J38="",0,IF(Paramètres!K38="",NA(),IF(RIGHT(TRIM(Paramètres!K38),3)="Fin",WORKDAY(IF(LEFT(TRIM(Paramètres!K38),1)="F",INDEX($F$4:$F$56,MATCH(Paramètres!J38,Paramètres!$G$5:$G$57,0)),INDEX($E$4:$E$56,MATCH(Paramètres!J38,Paramètres!$G$5:$G$57,0))),1-$H37),IF(LEFT(TRIM(Paramètres!K38),1)="F",WORKDAY(IF(LEFT(TRIM(Paramètres!K38),1)="F",INDEX($F$4:$F$56,MATCH(Paramètres!J38,Paramètres!$G$5:$G$57,0)),INDEX($E$4:$E$56,MATCH(Paramètres!J38,Paramètres!$G$5:$G$57,0))),1),IF(LEFT(TRIM(Paramètres!K38),1)="F",INDEX($F$4:$F$56,MATCH(Paramètres!J38,Paramètres!$G$5:$G$57,0)),INDEX($E$4:$E$56,MATCH(Paramètres!J38,Paramètres!$G$5:$G$57,0))))))),IF(Paramètres!L38="",0,IF(Paramètres!M38="",NA(),IF(RIGHT(TRIM(Paramètres!M38),3)="Fin",WORKDAY(IF(LEFT(TRIM(Paramètres!M38),1)="F",INDEX($F$4:$F$56,MATCH(Paramètres!L38,Paramètres!$G$5:$G$57,0)),INDEX($E$4:$E$56,MATCH(Paramètres!L38,Paramètres!$G$5:$G$57,0))),1-$H37),IF(LEFT(TRIM(Paramètres!M38),1)="F",WORKDAY(IF(LEFT(TRIM(Paramètres!M38),1)="F",INDEX($F$4:$F$56,MATCH(Paramètres!L38,Paramètres!$G$5:$G$57,0)),INDEX($E$4:$E$56,MATCH(Paramètres!L38,Paramètres!$G$5:$G$57,0))),1),IF(LEFT(TRIM(Paramètres!M38),1)="F",INDEX($F$4:$F$56,MATCH(Paramètres!L38,Paramètres!$G$5:$G$57,0)),INDEX($E$4:$E$56,MATCH(Paramètres!L38,Paramètres!$G$5:$G$57,0))))))),IF(Paramètres!N38="",0,IF(Paramètres!O38="",NA(),IF(RIGHT(TRIM(Paramètres!O38),3)="Fin",WORKDAY(IF(LEFT(TRIM(Paramètres!O38),1)="F",INDEX($F$4:$F$56,MATCH(Paramètres!N38,Paramètres!$G$5:$G$57,0)),INDEX($E$4:$E$56,MATCH(Paramètres!N38,Paramètres!$G$5:$G$57,0))),1-$H37),IF(LEFT(TRIM(Paramètres!O38),1)="F",WORKDAY(IF(LEFT(TRIM(Paramètres!O38),1)="F",INDEX($F$4:$F$56,MATCH(Paramètres!N38,Paramètres!$G$5:$G$57,0)),INDEX($E$4:$E$56,MATCH(Paramètres!N38,Paramètres!$G$5:$G$57,0))),1),IF(LEFT(TRIM(Paramètres!O38),1)="F",INDEX($F$4:$F$56,MATCH(Paramètres!N38,Paramètres!$G$5:$G$57,0)),INDEX($E$4:$E$56,MATCH(Paramètres!N38,Paramètres!$G$5:$G$57,0)))))))))</f>
        <v/>
      </c>
      <c r="F37" s="4">
        <f>IF($H37=0,WORKDAY(E37,-1),WORKDAY(E37,$H37-1))</f>
        <v/>
      </c>
      <c r="H37">
        <f>Paramètres!B38</f>
        <v/>
      </c>
    </row>
    <row r="38" ht="14.25" customHeight="1">
      <c r="B38" s="3">
        <f>Paramètres!G39</f>
        <v/>
      </c>
      <c r="C38" s="3">
        <f>IF(Paramètres!H39="","",Paramètres!H39)</f>
        <v/>
      </c>
      <c r="D38" s="3">
        <f>IF(Paramètres!I39="","",Paramètres!I39)</f>
        <v/>
      </c>
      <c r="E38" s="4">
        <f>IF(Paramètres!J39&amp;Paramètres!L39&amp;Paramètres!N39="",WORKDAY($A$6-1,1),MAX(IF(Paramètres!J39="",0,IF(Paramètres!K39="",NA(),IF(RIGHT(TRIM(Paramètres!K39),3)="Fin",WORKDAY(IF(LEFT(TRIM(Paramètres!K39),1)="F",INDEX($F$4:$F$56,MATCH(Paramètres!J39,Paramètres!$G$5:$G$57,0)),INDEX($E$4:$E$56,MATCH(Paramètres!J39,Paramètres!$G$5:$G$57,0))),1-$H38),IF(LEFT(TRIM(Paramètres!K39),1)="F",WORKDAY(IF(LEFT(TRIM(Paramètres!K39),1)="F",INDEX($F$4:$F$56,MATCH(Paramètres!J39,Paramètres!$G$5:$G$57,0)),INDEX($E$4:$E$56,MATCH(Paramètres!J39,Paramètres!$G$5:$G$57,0))),1),IF(LEFT(TRIM(Paramètres!K39),1)="F",INDEX($F$4:$F$56,MATCH(Paramètres!J39,Paramètres!$G$5:$G$57,0)),INDEX($E$4:$E$56,MATCH(Paramètres!J39,Paramètres!$G$5:$G$57,0))))))),IF(Paramètres!L39="",0,IF(Paramètres!M39="",NA(),IF(RIGHT(TRIM(Paramètres!M39),3)="Fin",WORKDAY(IF(LEFT(TRIM(Paramètres!M39),1)="F",INDEX($F$4:$F$56,MATCH(Paramètres!L39,Paramètres!$G$5:$G$57,0)),INDEX($E$4:$E$56,MATCH(Paramètres!L39,Paramètres!$G$5:$G$57,0))),1-$H38),IF(LEFT(TRIM(Paramètres!M39),1)="F",WORKDAY(IF(LEFT(TRIM(Paramètres!M39),1)="F",INDEX($F$4:$F$56,MATCH(Paramètres!L39,Paramètres!$G$5:$G$57,0)),INDEX($E$4:$E$56,MATCH(Paramètres!L39,Paramètres!$G$5:$G$57,0))),1),IF(LEFT(TRIM(Paramètres!M39),1)="F",INDEX($F$4:$F$56,MATCH(Paramètres!L39,Paramètres!$G$5:$G$57,0)),INDEX($E$4:$E$56,MATCH(Paramètres!L39,Paramètres!$G$5:$G$57,0))))))),IF(Paramètres!N39="",0,IF(Paramètres!O39="",NA(),IF(RIGHT(TRIM(Paramètres!O39),3)="Fin",WORKDAY(IF(LEFT(TRIM(Paramètres!O39),1)="F",INDEX($F$4:$F$56,MATCH(Paramètres!N39,Paramètres!$G$5:$G$57,0)),INDEX($E$4:$E$56,MATCH(Paramètres!N39,Paramètres!$G$5:$G$57,0))),1-$H38),IF(LEFT(TRIM(Paramètres!O39),1)="F",WORKDAY(IF(LEFT(TRIM(Paramètres!O39),1)="F",INDEX($F$4:$F$56,MATCH(Paramètres!N39,Paramètres!$G$5:$G$57,0)),INDEX($E$4:$E$56,MATCH(Paramètres!N39,Paramètres!$G$5:$G$57,0))),1),IF(LEFT(TRIM(Paramètres!O39),1)="F",INDEX($F$4:$F$56,MATCH(Paramètres!N39,Paramètres!$G$5:$G$57,0)),INDEX($E$4:$E$56,MATCH(Paramètres!N39,Paramètres!$G$5:$G$57,0)))))))))</f>
        <v/>
      </c>
      <c r="F38" s="4">
        <f>IF($H38=0,WORKDAY(E38,-1),WORKDAY(E38,$H38-1))</f>
        <v/>
      </c>
      <c r="H38">
        <f>Paramètres!B39</f>
        <v/>
      </c>
    </row>
    <row r="39" ht="14.25" customHeight="1">
      <c r="B39" s="3">
        <f>Paramètres!G40</f>
        <v/>
      </c>
      <c r="C39" s="3">
        <f>IF(Paramètres!H40="","",Paramètres!H40)</f>
        <v/>
      </c>
      <c r="D39" s="3">
        <f>IF(Paramètres!I40="","",Paramètres!I40)</f>
        <v/>
      </c>
      <c r="E39" s="4">
        <f>IF(Paramètres!J40&amp;Paramètres!L40&amp;Paramètres!N40="",WORKDAY($A$6-1,1),MAX(IF(Paramètres!J40="",0,IF(Paramètres!K40="",NA(),IF(RIGHT(TRIM(Paramètres!K40),3)="Fin",WORKDAY(IF(LEFT(TRIM(Paramètres!K40),1)="F",INDEX($F$4:$F$56,MATCH(Paramètres!J40,Paramètres!$G$5:$G$57,0)),INDEX($E$4:$E$56,MATCH(Paramètres!J40,Paramètres!$G$5:$G$57,0))),1-$H39),IF(LEFT(TRIM(Paramètres!K40),1)="F",WORKDAY(IF(LEFT(TRIM(Paramètres!K40),1)="F",INDEX($F$4:$F$56,MATCH(Paramètres!J40,Paramètres!$G$5:$G$57,0)),INDEX($E$4:$E$56,MATCH(Paramètres!J40,Paramètres!$G$5:$G$57,0))),1),IF(LEFT(TRIM(Paramètres!K40),1)="F",INDEX($F$4:$F$56,MATCH(Paramètres!J40,Paramètres!$G$5:$G$57,0)),INDEX($E$4:$E$56,MATCH(Paramètres!J40,Paramètres!$G$5:$G$57,0))))))),IF(Paramètres!L40="",0,IF(Paramètres!M40="",NA(),IF(RIGHT(TRIM(Paramètres!M40),3)="Fin",WORKDAY(IF(LEFT(TRIM(Paramètres!M40),1)="F",INDEX($F$4:$F$56,MATCH(Paramètres!L40,Paramètres!$G$5:$G$57,0)),INDEX($E$4:$E$56,MATCH(Paramètres!L40,Paramètres!$G$5:$G$57,0))),1-$H39),IF(LEFT(TRIM(Paramètres!M40),1)="F",WORKDAY(IF(LEFT(TRIM(Paramètres!M40),1)="F",INDEX($F$4:$F$56,MATCH(Paramètres!L40,Paramètres!$G$5:$G$57,0)),INDEX($E$4:$E$56,MATCH(Paramètres!L40,Paramètres!$G$5:$G$57,0))),1),IF(LEFT(TRIM(Paramètres!M40),1)="F",INDEX($F$4:$F$56,MATCH(Paramètres!L40,Paramètres!$G$5:$G$57,0)),INDEX($E$4:$E$56,MATCH(Paramètres!L40,Paramètres!$G$5:$G$57,0))))))),IF(Paramètres!N40="",0,IF(Paramètres!O40="",NA(),IF(RIGHT(TRIM(Paramètres!O40),3)="Fin",WORKDAY(IF(LEFT(TRIM(Paramètres!O40),1)="F",INDEX($F$4:$F$56,MATCH(Paramètres!N40,Paramètres!$G$5:$G$57,0)),INDEX($E$4:$E$56,MATCH(Paramètres!N40,Paramètres!$G$5:$G$57,0))),1-$H39),IF(LEFT(TRIM(Paramètres!O40),1)="F",WORKDAY(IF(LEFT(TRIM(Paramètres!O40),1)="F",INDEX($F$4:$F$56,MATCH(Paramètres!N40,Paramètres!$G$5:$G$57,0)),INDEX($E$4:$E$56,MATCH(Paramètres!N40,Paramètres!$G$5:$G$57,0))),1),IF(LEFT(TRIM(Paramètres!O40),1)="F",INDEX($F$4:$F$56,MATCH(Paramètres!N40,Paramètres!$G$5:$G$57,0)),INDEX($E$4:$E$56,MATCH(Paramètres!N40,Paramètres!$G$5:$G$57,0)))))))))</f>
        <v/>
      </c>
      <c r="F39" s="4">
        <f>IF($H39=0,WORKDAY(E39,-1),WORKDAY(E39,$H39-1))</f>
        <v/>
      </c>
      <c r="H39">
        <f>Paramètres!B40</f>
        <v/>
      </c>
    </row>
    <row r="40" ht="14.25" customHeight="1">
      <c r="B40" s="3">
        <f>Paramètres!G41</f>
        <v/>
      </c>
      <c r="C40" s="3">
        <f>IF(Paramètres!H41="","",Paramètres!H41)</f>
        <v/>
      </c>
      <c r="D40" s="3">
        <f>IF(Paramètres!I41="","",Paramètres!I41)</f>
        <v/>
      </c>
      <c r="E40" s="4">
        <f>IF(Paramètres!J41&amp;Paramètres!L41&amp;Paramètres!N41="",WORKDAY($A$6-1,1),MAX(IF(Paramètres!J41="",0,IF(Paramètres!K41="",NA(),IF(RIGHT(TRIM(Paramètres!K41),3)="Fin",WORKDAY(IF(LEFT(TRIM(Paramètres!K41),1)="F",INDEX($F$4:$F$56,MATCH(Paramètres!J41,Paramètres!$G$5:$G$57,0)),INDEX($E$4:$E$56,MATCH(Paramètres!J41,Paramètres!$G$5:$G$57,0))),1-$H40),IF(LEFT(TRIM(Paramètres!K41),1)="F",WORKDAY(IF(LEFT(TRIM(Paramètres!K41),1)="F",INDEX($F$4:$F$56,MATCH(Paramètres!J41,Paramètres!$G$5:$G$57,0)),INDEX($E$4:$E$56,MATCH(Paramètres!J41,Paramètres!$G$5:$G$57,0))),1),IF(LEFT(TRIM(Paramètres!K41),1)="F",INDEX($F$4:$F$56,MATCH(Paramètres!J41,Paramètres!$G$5:$G$57,0)),INDEX($E$4:$E$56,MATCH(Paramètres!J41,Paramètres!$G$5:$G$57,0))))))),IF(Paramètres!L41="",0,IF(Paramètres!M41="",NA(),IF(RIGHT(TRIM(Paramètres!M41),3)="Fin",WORKDAY(IF(LEFT(TRIM(Paramètres!M41),1)="F",INDEX($F$4:$F$56,MATCH(Paramètres!L41,Paramètres!$G$5:$G$57,0)),INDEX($E$4:$E$56,MATCH(Paramètres!L41,Paramètres!$G$5:$G$57,0))),1-$H40),IF(LEFT(TRIM(Paramètres!M41),1)="F",WORKDAY(IF(LEFT(TRIM(Paramètres!M41),1)="F",INDEX($F$4:$F$56,MATCH(Paramètres!L41,Paramètres!$G$5:$G$57,0)),INDEX($E$4:$E$56,MATCH(Paramètres!L41,Paramètres!$G$5:$G$57,0))),1),IF(LEFT(TRIM(Paramètres!M41),1)="F",INDEX($F$4:$F$56,MATCH(Paramètres!L41,Paramètres!$G$5:$G$57,0)),INDEX($E$4:$E$56,MATCH(Paramètres!L41,Paramètres!$G$5:$G$57,0))))))),IF(Paramètres!N41="",0,IF(Paramètres!O41="",NA(),IF(RIGHT(TRIM(Paramètres!O41),3)="Fin",WORKDAY(IF(LEFT(TRIM(Paramètres!O41),1)="F",INDEX($F$4:$F$56,MATCH(Paramètres!N41,Paramètres!$G$5:$G$57,0)),INDEX($E$4:$E$56,MATCH(Paramètres!N41,Paramètres!$G$5:$G$57,0))),1-$H40),IF(LEFT(TRIM(Paramètres!O41),1)="F",WORKDAY(IF(LEFT(TRIM(Paramètres!O41),1)="F",INDEX($F$4:$F$56,MATCH(Paramètres!N41,Paramètres!$G$5:$G$57,0)),INDEX($E$4:$E$56,MATCH(Paramètres!N41,Paramètres!$G$5:$G$57,0))),1),IF(LEFT(TRIM(Paramètres!O41),1)="F",INDEX($F$4:$F$56,MATCH(Paramètres!N41,Paramètres!$G$5:$G$57,0)),INDEX($E$4:$E$56,MATCH(Paramètres!N41,Paramètres!$G$5:$G$57,0)))))))))</f>
        <v/>
      </c>
      <c r="F40" s="4">
        <f>IF($H40=0,WORKDAY(E40,-1),WORKDAY(E40,$H40-1))</f>
        <v/>
      </c>
      <c r="H40">
        <f>Paramètres!B41</f>
        <v/>
      </c>
    </row>
    <row r="41" ht="14.25" customHeight="1">
      <c r="B41" s="3">
        <f>Paramètres!G42</f>
        <v/>
      </c>
      <c r="C41" s="3">
        <f>IF(Paramètres!H42="","",Paramètres!H42)</f>
        <v/>
      </c>
      <c r="D41" s="3">
        <f>IF(Paramètres!I42="","",Paramètres!I42)</f>
        <v/>
      </c>
      <c r="E41" s="4">
        <f>IF(Paramètres!J42&amp;Paramètres!L42&amp;Paramètres!N42="",WORKDAY($A$6-1,1),MAX(IF(Paramètres!J42="",0,IF(Paramètres!K42="",NA(),IF(RIGHT(TRIM(Paramètres!K42),3)="Fin",WORKDAY(IF(LEFT(TRIM(Paramètres!K42),1)="F",INDEX($F$4:$F$56,MATCH(Paramètres!J42,Paramètres!$G$5:$G$57,0)),INDEX($E$4:$E$56,MATCH(Paramètres!J42,Paramètres!$G$5:$G$57,0))),1-$H41),IF(LEFT(TRIM(Paramètres!K42),1)="F",WORKDAY(IF(LEFT(TRIM(Paramètres!K42),1)="F",INDEX($F$4:$F$56,MATCH(Paramètres!J42,Paramètres!$G$5:$G$57,0)),INDEX($E$4:$E$56,MATCH(Paramètres!J42,Paramètres!$G$5:$G$57,0))),1),IF(LEFT(TRIM(Paramètres!K42),1)="F",INDEX($F$4:$F$56,MATCH(Paramètres!J42,Paramètres!$G$5:$G$57,0)),INDEX($E$4:$E$56,MATCH(Paramètres!J42,Paramètres!$G$5:$G$57,0))))))),IF(Paramètres!L42="",0,IF(Paramètres!M42="",NA(),IF(RIGHT(TRIM(Paramètres!M42),3)="Fin",WORKDAY(IF(LEFT(TRIM(Paramètres!M42),1)="F",INDEX($F$4:$F$56,MATCH(Paramètres!L42,Paramètres!$G$5:$G$57,0)),INDEX($E$4:$E$56,MATCH(Paramètres!L42,Paramètres!$G$5:$G$57,0))),1-$H41),IF(LEFT(TRIM(Paramètres!M42),1)="F",WORKDAY(IF(LEFT(TRIM(Paramètres!M42),1)="F",INDEX($F$4:$F$56,MATCH(Paramètres!L42,Paramètres!$G$5:$G$57,0)),INDEX($E$4:$E$56,MATCH(Paramètres!L42,Paramètres!$G$5:$G$57,0))),1),IF(LEFT(TRIM(Paramètres!M42),1)="F",INDEX($F$4:$F$56,MATCH(Paramètres!L42,Paramètres!$G$5:$G$57,0)),INDEX($E$4:$E$56,MATCH(Paramètres!L42,Paramètres!$G$5:$G$57,0))))))),IF(Paramètres!N42="",0,IF(Paramètres!O42="",NA(),IF(RIGHT(TRIM(Paramètres!O42),3)="Fin",WORKDAY(IF(LEFT(TRIM(Paramètres!O42),1)="F",INDEX($F$4:$F$56,MATCH(Paramètres!N42,Paramètres!$G$5:$G$57,0)),INDEX($E$4:$E$56,MATCH(Paramètres!N42,Paramètres!$G$5:$G$57,0))),1-$H41),IF(LEFT(TRIM(Paramètres!O42),1)="F",WORKDAY(IF(LEFT(TRIM(Paramètres!O42),1)="F",INDEX($F$4:$F$56,MATCH(Paramètres!N42,Paramètres!$G$5:$G$57,0)),INDEX($E$4:$E$56,MATCH(Paramètres!N42,Paramètres!$G$5:$G$57,0))),1),IF(LEFT(TRIM(Paramètres!O42),1)="F",INDEX($F$4:$F$56,MATCH(Paramètres!N42,Paramètres!$G$5:$G$57,0)),INDEX($E$4:$E$56,MATCH(Paramètres!N42,Paramètres!$G$5:$G$57,0)))))))))</f>
        <v/>
      </c>
      <c r="F41" s="4">
        <f>IF($H41=0,WORKDAY(E41,-1),WORKDAY(E41,$H41-1))</f>
        <v/>
      </c>
      <c r="H41">
        <f>Paramètres!B42</f>
        <v/>
      </c>
    </row>
    <row r="42" ht="14.25" customHeight="1">
      <c r="B42" s="3">
        <f>Paramètres!G43</f>
        <v/>
      </c>
      <c r="C42" s="3">
        <f>IF(Paramètres!H43="","",Paramètres!H43)</f>
        <v/>
      </c>
      <c r="D42" s="3">
        <f>IF(Paramètres!I43="","",Paramètres!I43)</f>
        <v/>
      </c>
      <c r="E42" s="4">
        <f>IF(Paramètres!J43&amp;Paramètres!L43&amp;Paramètres!N43="",WORKDAY($A$6-1,1),MAX(IF(Paramètres!J43="",0,IF(Paramètres!K43="",NA(),IF(RIGHT(TRIM(Paramètres!K43),3)="Fin",WORKDAY(IF(LEFT(TRIM(Paramètres!K43),1)="F",INDEX($F$4:$F$56,MATCH(Paramètres!J43,Paramètres!$G$5:$G$57,0)),INDEX($E$4:$E$56,MATCH(Paramètres!J43,Paramètres!$G$5:$G$57,0))),1-$H42),IF(LEFT(TRIM(Paramètres!K43),1)="F",WORKDAY(IF(LEFT(TRIM(Paramètres!K43),1)="F",INDEX($F$4:$F$56,MATCH(Paramètres!J43,Paramètres!$G$5:$G$57,0)),INDEX($E$4:$E$56,MATCH(Paramètres!J43,Paramètres!$G$5:$G$57,0))),1),IF(LEFT(TRIM(Paramètres!K43),1)="F",INDEX($F$4:$F$56,MATCH(Paramètres!J43,Paramètres!$G$5:$G$57,0)),INDEX($E$4:$E$56,MATCH(Paramètres!J43,Paramètres!$G$5:$G$57,0))))))),IF(Paramètres!L43="",0,IF(Paramètres!M43="",NA(),IF(RIGHT(TRIM(Paramètres!M43),3)="Fin",WORKDAY(IF(LEFT(TRIM(Paramètres!M43),1)="F",INDEX($F$4:$F$56,MATCH(Paramètres!L43,Paramètres!$G$5:$G$57,0)),INDEX($E$4:$E$56,MATCH(Paramètres!L43,Paramètres!$G$5:$G$57,0))),1-$H42),IF(LEFT(TRIM(Paramètres!M43),1)="F",WORKDAY(IF(LEFT(TRIM(Paramètres!M43),1)="F",INDEX($F$4:$F$56,MATCH(Paramètres!L43,Paramètres!$G$5:$G$57,0)),INDEX($E$4:$E$56,MATCH(Paramètres!L43,Paramètres!$G$5:$G$57,0))),1),IF(LEFT(TRIM(Paramètres!M43),1)="F",INDEX($F$4:$F$56,MATCH(Paramètres!L43,Paramètres!$G$5:$G$57,0)),INDEX($E$4:$E$56,MATCH(Paramètres!L43,Paramètres!$G$5:$G$57,0))))))),IF(Paramètres!N43="",0,IF(Paramètres!O43="",NA(),IF(RIGHT(TRIM(Paramètres!O43),3)="Fin",WORKDAY(IF(LEFT(TRIM(Paramètres!O43),1)="F",INDEX($F$4:$F$56,MATCH(Paramètres!N43,Paramètres!$G$5:$G$57,0)),INDEX($E$4:$E$56,MATCH(Paramètres!N43,Paramètres!$G$5:$G$57,0))),1-$H42),IF(LEFT(TRIM(Paramètres!O43),1)="F",WORKDAY(IF(LEFT(TRIM(Paramètres!O43),1)="F",INDEX($F$4:$F$56,MATCH(Paramètres!N43,Paramètres!$G$5:$G$57,0)),INDEX($E$4:$E$56,MATCH(Paramètres!N43,Paramètres!$G$5:$G$57,0))),1),IF(LEFT(TRIM(Paramètres!O43),1)="F",INDEX($F$4:$F$56,MATCH(Paramètres!N43,Paramètres!$G$5:$G$57,0)),INDEX($E$4:$E$56,MATCH(Paramètres!N43,Paramètres!$G$5:$G$57,0)))))))))</f>
        <v/>
      </c>
      <c r="F42" s="4">
        <f>IF($H42=0,WORKDAY(E42,-1),WORKDAY(E42,$H42-1))</f>
        <v/>
      </c>
      <c r="H42">
        <f>Paramètres!B43</f>
        <v/>
      </c>
    </row>
    <row r="43" ht="14.25" customHeight="1">
      <c r="B43" s="3">
        <f>Paramètres!G44</f>
        <v/>
      </c>
      <c r="C43" s="3">
        <f>IF(Paramètres!H44="","",Paramètres!H44)</f>
        <v/>
      </c>
      <c r="D43" s="3">
        <f>IF(Paramètres!I44="","",Paramètres!I44)</f>
        <v/>
      </c>
      <c r="E43" s="4">
        <f>IF(Paramètres!J44&amp;Paramètres!L44&amp;Paramètres!N44="",WORKDAY($A$6-1,1),MAX(IF(Paramètres!J44="",0,IF(Paramètres!K44="",NA(),IF(RIGHT(TRIM(Paramètres!K44),3)="Fin",WORKDAY(IF(LEFT(TRIM(Paramètres!K44),1)="F",INDEX($F$4:$F$56,MATCH(Paramètres!J44,Paramètres!$G$5:$G$57,0)),INDEX($E$4:$E$56,MATCH(Paramètres!J44,Paramètres!$G$5:$G$57,0))),1-$H43),IF(LEFT(TRIM(Paramètres!K44),1)="F",WORKDAY(IF(LEFT(TRIM(Paramètres!K44),1)="F",INDEX($F$4:$F$56,MATCH(Paramètres!J44,Paramètres!$G$5:$G$57,0)),INDEX($E$4:$E$56,MATCH(Paramètres!J44,Paramètres!$G$5:$G$57,0))),1),IF(LEFT(TRIM(Paramètres!K44),1)="F",INDEX($F$4:$F$56,MATCH(Paramètres!J44,Paramètres!$G$5:$G$57,0)),INDEX($E$4:$E$56,MATCH(Paramètres!J44,Paramètres!$G$5:$G$57,0))))))),IF(Paramètres!L44="",0,IF(Paramètres!M44="",NA(),IF(RIGHT(TRIM(Paramètres!M44),3)="Fin",WORKDAY(IF(LEFT(TRIM(Paramètres!M44),1)="F",INDEX($F$4:$F$56,MATCH(Paramètres!L44,Paramètres!$G$5:$G$57,0)),INDEX($E$4:$E$56,MATCH(Paramètres!L44,Paramètres!$G$5:$G$57,0))),1-$H43),IF(LEFT(TRIM(Paramètres!M44),1)="F",WORKDAY(IF(LEFT(TRIM(Paramètres!M44),1)="F",INDEX($F$4:$F$56,MATCH(Paramètres!L44,Paramètres!$G$5:$G$57,0)),INDEX($E$4:$E$56,MATCH(Paramètres!L44,Paramètres!$G$5:$G$57,0))),1),IF(LEFT(TRIM(Paramètres!M44),1)="F",INDEX($F$4:$F$56,MATCH(Paramètres!L44,Paramètres!$G$5:$G$57,0)),INDEX($E$4:$E$56,MATCH(Paramètres!L44,Paramètres!$G$5:$G$57,0))))))),IF(Paramètres!N44="",0,IF(Paramètres!O44="",NA(),IF(RIGHT(TRIM(Paramètres!O44),3)="Fin",WORKDAY(IF(LEFT(TRIM(Paramètres!O44),1)="F",INDEX($F$4:$F$56,MATCH(Paramètres!N44,Paramètres!$G$5:$G$57,0)),INDEX($E$4:$E$56,MATCH(Paramètres!N44,Paramètres!$G$5:$G$57,0))),1-$H43),IF(LEFT(TRIM(Paramètres!O44),1)="F",WORKDAY(IF(LEFT(TRIM(Paramètres!O44),1)="F",INDEX($F$4:$F$56,MATCH(Paramètres!N44,Paramètres!$G$5:$G$57,0)),INDEX($E$4:$E$56,MATCH(Paramètres!N44,Paramètres!$G$5:$G$57,0))),1),IF(LEFT(TRIM(Paramètres!O44),1)="F",INDEX($F$4:$F$56,MATCH(Paramètres!N44,Paramètres!$G$5:$G$57,0)),INDEX($E$4:$E$56,MATCH(Paramètres!N44,Paramètres!$G$5:$G$57,0)))))))))</f>
        <v/>
      </c>
      <c r="F43" s="4">
        <f>IF($H43=0,WORKDAY(E43,-1),WORKDAY(E43,$H43-1))</f>
        <v/>
      </c>
      <c r="H43">
        <f>Paramètres!B44</f>
        <v/>
      </c>
    </row>
    <row r="44" ht="14.25" customHeight="1">
      <c r="B44" s="3">
        <f>Paramètres!G45</f>
        <v/>
      </c>
      <c r="C44" s="3">
        <f>IF(Paramètres!H45="","",Paramètres!H45)</f>
        <v/>
      </c>
      <c r="D44" s="3">
        <f>IF(Paramètres!I45="","",Paramètres!I45)</f>
        <v/>
      </c>
      <c r="E44" s="4">
        <f>IF(Paramètres!J45&amp;Paramètres!L45&amp;Paramètres!N45="",WORKDAY($A$6-1,1),MAX(IF(Paramètres!J45="",0,IF(Paramètres!K45="",NA(),IF(RIGHT(TRIM(Paramètres!K45),3)="Fin",WORKDAY(IF(LEFT(TRIM(Paramètres!K45),1)="F",INDEX($F$4:$F$56,MATCH(Paramètres!J45,Paramètres!$G$5:$G$57,0)),INDEX($E$4:$E$56,MATCH(Paramètres!J45,Paramètres!$G$5:$G$57,0))),1-$H44),IF(LEFT(TRIM(Paramètres!K45),1)="F",WORKDAY(IF(LEFT(TRIM(Paramètres!K45),1)="F",INDEX($F$4:$F$56,MATCH(Paramètres!J45,Paramètres!$G$5:$G$57,0)),INDEX($E$4:$E$56,MATCH(Paramètres!J45,Paramètres!$G$5:$G$57,0))),1),IF(LEFT(TRIM(Paramètres!K45),1)="F",INDEX($F$4:$F$56,MATCH(Paramètres!J45,Paramètres!$G$5:$G$57,0)),INDEX($E$4:$E$56,MATCH(Paramètres!J45,Paramètres!$G$5:$G$57,0))))))),IF(Paramètres!L45="",0,IF(Paramètres!M45="",NA(),IF(RIGHT(TRIM(Paramètres!M45),3)="Fin",WORKDAY(IF(LEFT(TRIM(Paramètres!M45),1)="F",INDEX($F$4:$F$56,MATCH(Paramètres!L45,Paramètres!$G$5:$G$57,0)),INDEX($E$4:$E$56,MATCH(Paramètres!L45,Paramètres!$G$5:$G$57,0))),1-$H44),IF(LEFT(TRIM(Paramètres!M45),1)="F",WORKDAY(IF(LEFT(TRIM(Paramètres!M45),1)="F",INDEX($F$4:$F$56,MATCH(Paramètres!L45,Paramètres!$G$5:$G$57,0)),INDEX($E$4:$E$56,MATCH(Paramètres!L45,Paramètres!$G$5:$G$57,0))),1),IF(LEFT(TRIM(Paramètres!M45),1)="F",INDEX($F$4:$F$56,MATCH(Paramètres!L45,Paramètres!$G$5:$G$57,0)),INDEX($E$4:$E$56,MATCH(Paramètres!L45,Paramètres!$G$5:$G$57,0))))))),IF(Paramètres!N45="",0,IF(Paramètres!O45="",NA(),IF(RIGHT(TRIM(Paramètres!O45),3)="Fin",WORKDAY(IF(LEFT(TRIM(Paramètres!O45),1)="F",INDEX($F$4:$F$56,MATCH(Paramètres!N45,Paramètres!$G$5:$G$57,0)),INDEX($E$4:$E$56,MATCH(Paramètres!N45,Paramètres!$G$5:$G$57,0))),1-$H44),IF(LEFT(TRIM(Paramètres!O45),1)="F",WORKDAY(IF(LEFT(TRIM(Paramètres!O45),1)="F",INDEX($F$4:$F$56,MATCH(Paramètres!N45,Paramètres!$G$5:$G$57,0)),INDEX($E$4:$E$56,MATCH(Paramètres!N45,Paramètres!$G$5:$G$57,0))),1),IF(LEFT(TRIM(Paramètres!O45),1)="F",INDEX($F$4:$F$56,MATCH(Paramètres!N45,Paramètres!$G$5:$G$57,0)),INDEX($E$4:$E$56,MATCH(Paramètres!N45,Paramètres!$G$5:$G$57,0)))))))))</f>
        <v/>
      </c>
      <c r="F44" s="4">
        <f>IF($H44=0,WORKDAY(E44,-1),WORKDAY(E44,$H44-1))</f>
        <v/>
      </c>
      <c r="H44">
        <f>Paramètres!B45</f>
        <v/>
      </c>
    </row>
    <row r="45" ht="14.25" customHeight="1">
      <c r="B45" s="3">
        <f>Paramètres!G46</f>
        <v/>
      </c>
      <c r="C45" s="3">
        <f>IF(Paramètres!H46="","",Paramètres!H46)</f>
        <v/>
      </c>
      <c r="D45" s="3">
        <f>IF(Paramètres!I46="","",Paramètres!I46)</f>
        <v/>
      </c>
      <c r="E45" s="4">
        <f>IF(Paramètres!J46&amp;Paramètres!L46&amp;Paramètres!N46="",WORKDAY($A$6-1,1),MAX(IF(Paramètres!J46="",0,IF(Paramètres!K46="",NA(),IF(RIGHT(TRIM(Paramètres!K46),3)="Fin",WORKDAY(IF(LEFT(TRIM(Paramètres!K46),1)="F",INDEX($F$4:$F$56,MATCH(Paramètres!J46,Paramètres!$G$5:$G$57,0)),INDEX($E$4:$E$56,MATCH(Paramètres!J46,Paramètres!$G$5:$G$57,0))),1-$H45),IF(LEFT(TRIM(Paramètres!K46),1)="F",WORKDAY(IF(LEFT(TRIM(Paramètres!K46),1)="F",INDEX($F$4:$F$56,MATCH(Paramètres!J46,Paramètres!$G$5:$G$57,0)),INDEX($E$4:$E$56,MATCH(Paramètres!J46,Paramètres!$G$5:$G$57,0))),1),IF(LEFT(TRIM(Paramètres!K46),1)="F",INDEX($F$4:$F$56,MATCH(Paramètres!J46,Paramètres!$G$5:$G$57,0)),INDEX($E$4:$E$56,MATCH(Paramètres!J46,Paramètres!$G$5:$G$57,0))))))),IF(Paramètres!L46="",0,IF(Paramètres!M46="",NA(),IF(RIGHT(TRIM(Paramètres!M46),3)="Fin",WORKDAY(IF(LEFT(TRIM(Paramètres!M46),1)="F",INDEX($F$4:$F$56,MATCH(Paramètres!L46,Paramètres!$G$5:$G$57,0)),INDEX($E$4:$E$56,MATCH(Paramètres!L46,Paramètres!$G$5:$G$57,0))),1-$H45),IF(LEFT(TRIM(Paramètres!M46),1)="F",WORKDAY(IF(LEFT(TRIM(Paramètres!M46),1)="F",INDEX($F$4:$F$56,MATCH(Paramètres!L46,Paramètres!$G$5:$G$57,0)),INDEX($E$4:$E$56,MATCH(Paramètres!L46,Paramètres!$G$5:$G$57,0))),1),IF(LEFT(TRIM(Paramètres!M46),1)="F",INDEX($F$4:$F$56,MATCH(Paramètres!L46,Paramètres!$G$5:$G$57,0)),INDEX($E$4:$E$56,MATCH(Paramètres!L46,Paramètres!$G$5:$G$57,0))))))),IF(Paramètres!N46="",0,IF(Paramètres!O46="",NA(),IF(RIGHT(TRIM(Paramètres!O46),3)="Fin",WORKDAY(IF(LEFT(TRIM(Paramètres!O46),1)="F",INDEX($F$4:$F$56,MATCH(Paramètres!N46,Paramètres!$G$5:$G$57,0)),INDEX($E$4:$E$56,MATCH(Paramètres!N46,Paramètres!$G$5:$G$57,0))),1-$H45),IF(LEFT(TRIM(Paramètres!O46),1)="F",WORKDAY(IF(LEFT(TRIM(Paramètres!O46),1)="F",INDEX($F$4:$F$56,MATCH(Paramètres!N46,Paramètres!$G$5:$G$57,0)),INDEX($E$4:$E$56,MATCH(Paramètres!N46,Paramètres!$G$5:$G$57,0))),1),IF(LEFT(TRIM(Paramètres!O46),1)="F",INDEX($F$4:$F$56,MATCH(Paramètres!N46,Paramètres!$G$5:$G$57,0)),INDEX($E$4:$E$56,MATCH(Paramètres!N46,Paramètres!$G$5:$G$57,0)))))))))</f>
        <v/>
      </c>
      <c r="F45" s="4">
        <f>IF($H45=0,WORKDAY(E45,-1),WORKDAY(E45,$H45-1))</f>
        <v/>
      </c>
      <c r="H45">
        <f>Paramètres!B46</f>
        <v/>
      </c>
    </row>
    <row r="46" ht="14.25" customHeight="1">
      <c r="B46" s="3">
        <f>Paramètres!G47</f>
        <v/>
      </c>
      <c r="C46" s="3">
        <f>IF(Paramètres!H47="","",Paramètres!H47)</f>
        <v/>
      </c>
      <c r="D46" s="3">
        <f>IF(Paramètres!I47="","",Paramètres!I47)</f>
        <v/>
      </c>
      <c r="E46" s="4">
        <f>IF(Paramètres!J47&amp;Paramètres!L47&amp;Paramètres!N47="",WORKDAY($A$6-1,1),MAX(IF(Paramètres!J47="",0,IF(Paramètres!K47="",NA(),IF(RIGHT(TRIM(Paramètres!K47),3)="Fin",WORKDAY(IF(LEFT(TRIM(Paramètres!K47),1)="F",INDEX($F$4:$F$56,MATCH(Paramètres!J47,Paramètres!$G$5:$G$57,0)),INDEX($E$4:$E$56,MATCH(Paramètres!J47,Paramètres!$G$5:$G$57,0))),1-$H46),IF(LEFT(TRIM(Paramètres!K47),1)="F",WORKDAY(IF(LEFT(TRIM(Paramètres!K47),1)="F",INDEX($F$4:$F$56,MATCH(Paramètres!J47,Paramètres!$G$5:$G$57,0)),INDEX($E$4:$E$56,MATCH(Paramètres!J47,Paramètres!$G$5:$G$57,0))),1),IF(LEFT(TRIM(Paramètres!K47),1)="F",INDEX($F$4:$F$56,MATCH(Paramètres!J47,Paramètres!$G$5:$G$57,0)),INDEX($E$4:$E$56,MATCH(Paramètres!J47,Paramètres!$G$5:$G$57,0))))))),IF(Paramètres!L47="",0,IF(Paramètres!M47="",NA(),IF(RIGHT(TRIM(Paramètres!M47),3)="Fin",WORKDAY(IF(LEFT(TRIM(Paramètres!M47),1)="F",INDEX($F$4:$F$56,MATCH(Paramètres!L47,Paramètres!$G$5:$G$57,0)),INDEX($E$4:$E$56,MATCH(Paramètres!L47,Paramètres!$G$5:$G$57,0))),1-$H46),IF(LEFT(TRIM(Paramètres!M47),1)="F",WORKDAY(IF(LEFT(TRIM(Paramètres!M47),1)="F",INDEX($F$4:$F$56,MATCH(Paramètres!L47,Paramètres!$G$5:$G$57,0)),INDEX($E$4:$E$56,MATCH(Paramètres!L47,Paramètres!$G$5:$G$57,0))),1),IF(LEFT(TRIM(Paramètres!M47),1)="F",INDEX($F$4:$F$56,MATCH(Paramètres!L47,Paramètres!$G$5:$G$57,0)),INDEX($E$4:$E$56,MATCH(Paramètres!L47,Paramètres!$G$5:$G$57,0))))))),IF(Paramètres!N47="",0,IF(Paramètres!O47="",NA(),IF(RIGHT(TRIM(Paramètres!O47),3)="Fin",WORKDAY(IF(LEFT(TRIM(Paramètres!O47),1)="F",INDEX($F$4:$F$56,MATCH(Paramètres!N47,Paramètres!$G$5:$G$57,0)),INDEX($E$4:$E$56,MATCH(Paramètres!N47,Paramètres!$G$5:$G$57,0))),1-$H46),IF(LEFT(TRIM(Paramètres!O47),1)="F",WORKDAY(IF(LEFT(TRIM(Paramètres!O47),1)="F",INDEX($F$4:$F$56,MATCH(Paramètres!N47,Paramètres!$G$5:$G$57,0)),INDEX($E$4:$E$56,MATCH(Paramètres!N47,Paramètres!$G$5:$G$57,0))),1),IF(LEFT(TRIM(Paramètres!O47),1)="F",INDEX($F$4:$F$56,MATCH(Paramètres!N47,Paramètres!$G$5:$G$57,0)),INDEX($E$4:$E$56,MATCH(Paramètres!N47,Paramètres!$G$5:$G$57,0)))))))))</f>
        <v/>
      </c>
      <c r="F46" s="4">
        <f>IF($H46=0,WORKDAY(E46,-1),WORKDAY(E46,$H46-1))</f>
        <v/>
      </c>
      <c r="H46">
        <f>Paramètres!B47</f>
        <v/>
      </c>
    </row>
    <row r="47" ht="14.25" customHeight="1">
      <c r="B47" s="3">
        <f>Paramètres!G48</f>
        <v/>
      </c>
      <c r="C47" s="3">
        <f>IF(Paramètres!H48="","",Paramètres!H48)</f>
        <v/>
      </c>
      <c r="D47" s="3">
        <f>IF(Paramètres!I48="","",Paramètres!I48)</f>
        <v/>
      </c>
      <c r="E47" s="4">
        <f>IF(Paramètres!J48&amp;Paramètres!L48&amp;Paramètres!N48="",WORKDAY($A$6-1,1),MAX(IF(Paramètres!J48="",0,IF(Paramètres!K48="",NA(),IF(RIGHT(TRIM(Paramètres!K48),3)="Fin",WORKDAY(IF(LEFT(TRIM(Paramètres!K48),1)="F",INDEX($F$4:$F$56,MATCH(Paramètres!J48,Paramètres!$G$5:$G$57,0)),INDEX($E$4:$E$56,MATCH(Paramètres!J48,Paramètres!$G$5:$G$57,0))),1-$H47),IF(LEFT(TRIM(Paramètres!K48),1)="F",WORKDAY(IF(LEFT(TRIM(Paramètres!K48),1)="F",INDEX($F$4:$F$56,MATCH(Paramètres!J48,Paramètres!$G$5:$G$57,0)),INDEX($E$4:$E$56,MATCH(Paramètres!J48,Paramètres!$G$5:$G$57,0))),1),IF(LEFT(TRIM(Paramètres!K48),1)="F",INDEX($F$4:$F$56,MATCH(Paramètres!J48,Paramètres!$G$5:$G$57,0)),INDEX($E$4:$E$56,MATCH(Paramètres!J48,Paramètres!$G$5:$G$57,0))))))),IF(Paramètres!L48="",0,IF(Paramètres!M48="",NA(),IF(RIGHT(TRIM(Paramètres!M48),3)="Fin",WORKDAY(IF(LEFT(TRIM(Paramètres!M48),1)="F",INDEX($F$4:$F$56,MATCH(Paramètres!L48,Paramètres!$G$5:$G$57,0)),INDEX($E$4:$E$56,MATCH(Paramètres!L48,Paramètres!$G$5:$G$57,0))),1-$H47),IF(LEFT(TRIM(Paramètres!M48),1)="F",WORKDAY(IF(LEFT(TRIM(Paramètres!M48),1)="F",INDEX($F$4:$F$56,MATCH(Paramètres!L48,Paramètres!$G$5:$G$57,0)),INDEX($E$4:$E$56,MATCH(Paramètres!L48,Paramètres!$G$5:$G$57,0))),1),IF(LEFT(TRIM(Paramètres!M48),1)="F",INDEX($F$4:$F$56,MATCH(Paramètres!L48,Paramètres!$G$5:$G$57,0)),INDEX($E$4:$E$56,MATCH(Paramètres!L48,Paramètres!$G$5:$G$57,0))))))),IF(Paramètres!N48="",0,IF(Paramètres!O48="",NA(),IF(RIGHT(TRIM(Paramètres!O48),3)="Fin",WORKDAY(IF(LEFT(TRIM(Paramètres!O48),1)="F",INDEX($F$4:$F$56,MATCH(Paramètres!N48,Paramètres!$G$5:$G$57,0)),INDEX($E$4:$E$56,MATCH(Paramètres!N48,Paramètres!$G$5:$G$57,0))),1-$H47),IF(LEFT(TRIM(Paramètres!O48),1)="F",WORKDAY(IF(LEFT(TRIM(Paramètres!O48),1)="F",INDEX($F$4:$F$56,MATCH(Paramètres!N48,Paramètres!$G$5:$G$57,0)),INDEX($E$4:$E$56,MATCH(Paramètres!N48,Paramètres!$G$5:$G$57,0))),1),IF(LEFT(TRIM(Paramètres!O48),1)="F",INDEX($F$4:$F$56,MATCH(Paramètres!N48,Paramètres!$G$5:$G$57,0)),INDEX($E$4:$E$56,MATCH(Paramètres!N48,Paramètres!$G$5:$G$57,0)))))))))</f>
        <v/>
      </c>
      <c r="F47" s="4">
        <f>IF($H47=0,WORKDAY(E47,-1),WORKDAY(E47,$H47-1))</f>
        <v/>
      </c>
      <c r="H47">
        <f>Paramètres!B48</f>
        <v/>
      </c>
    </row>
    <row r="48" ht="14.25" customHeight="1">
      <c r="B48" s="3">
        <f>Paramètres!G49</f>
        <v/>
      </c>
      <c r="C48" s="3">
        <f>IF(Paramètres!H49="","",Paramètres!H49)</f>
        <v/>
      </c>
      <c r="D48" s="3">
        <f>IF(Paramètres!I49="","",Paramètres!I49)</f>
        <v/>
      </c>
      <c r="E48" s="4">
        <f>IF(Paramètres!J49&amp;Paramètres!L49&amp;Paramètres!N49="",WORKDAY($A$6-1,1),MAX(IF(Paramètres!J49="",0,IF(Paramètres!K49="",NA(),IF(RIGHT(TRIM(Paramètres!K49),3)="Fin",WORKDAY(IF(LEFT(TRIM(Paramètres!K49),1)="F",INDEX($F$4:$F$56,MATCH(Paramètres!J49,Paramètres!$G$5:$G$57,0)),INDEX($E$4:$E$56,MATCH(Paramètres!J49,Paramètres!$G$5:$G$57,0))),1-$H48),IF(LEFT(TRIM(Paramètres!K49),1)="F",WORKDAY(IF(LEFT(TRIM(Paramètres!K49),1)="F",INDEX($F$4:$F$56,MATCH(Paramètres!J49,Paramètres!$G$5:$G$57,0)),INDEX($E$4:$E$56,MATCH(Paramètres!J49,Paramètres!$G$5:$G$57,0))),1),IF(LEFT(TRIM(Paramètres!K49),1)="F",INDEX($F$4:$F$56,MATCH(Paramètres!J49,Paramètres!$G$5:$G$57,0)),INDEX($E$4:$E$56,MATCH(Paramètres!J49,Paramètres!$G$5:$G$57,0))))))),IF(Paramètres!L49="",0,IF(Paramètres!M49="",NA(),IF(RIGHT(TRIM(Paramètres!M49),3)="Fin",WORKDAY(IF(LEFT(TRIM(Paramètres!M49),1)="F",INDEX($F$4:$F$56,MATCH(Paramètres!L49,Paramètres!$G$5:$G$57,0)),INDEX($E$4:$E$56,MATCH(Paramètres!L49,Paramètres!$G$5:$G$57,0))),1-$H48),IF(LEFT(TRIM(Paramètres!M49),1)="F",WORKDAY(IF(LEFT(TRIM(Paramètres!M49),1)="F",INDEX($F$4:$F$56,MATCH(Paramètres!L49,Paramètres!$G$5:$G$57,0)),INDEX($E$4:$E$56,MATCH(Paramètres!L49,Paramètres!$G$5:$G$57,0))),1),IF(LEFT(TRIM(Paramètres!M49),1)="F",INDEX($F$4:$F$56,MATCH(Paramètres!L49,Paramètres!$G$5:$G$57,0)),INDEX($E$4:$E$56,MATCH(Paramètres!L49,Paramètres!$G$5:$G$57,0))))))),IF(Paramètres!N49="",0,IF(Paramètres!O49="",NA(),IF(RIGHT(TRIM(Paramètres!O49),3)="Fin",WORKDAY(IF(LEFT(TRIM(Paramètres!O49),1)="F",INDEX($F$4:$F$56,MATCH(Paramètres!N49,Paramètres!$G$5:$G$57,0)),INDEX($E$4:$E$56,MATCH(Paramètres!N49,Paramètres!$G$5:$G$57,0))),1-$H48),IF(LEFT(TRIM(Paramètres!O49),1)="F",WORKDAY(IF(LEFT(TRIM(Paramètres!O49),1)="F",INDEX($F$4:$F$56,MATCH(Paramètres!N49,Paramètres!$G$5:$G$57,0)),INDEX($E$4:$E$56,MATCH(Paramètres!N49,Paramètres!$G$5:$G$57,0))),1),IF(LEFT(TRIM(Paramètres!O49),1)="F",INDEX($F$4:$F$56,MATCH(Paramètres!N49,Paramètres!$G$5:$G$57,0)),INDEX($E$4:$E$56,MATCH(Paramètres!N49,Paramètres!$G$5:$G$57,0)))))))))</f>
        <v/>
      </c>
      <c r="F48" s="4">
        <f>IF($H48=0,WORKDAY(E48,-1),WORKDAY(E48,$H48-1))</f>
        <v/>
      </c>
      <c r="H48">
        <f>Paramètres!B49</f>
        <v/>
      </c>
    </row>
    <row r="49" ht="14.25" customHeight="1">
      <c r="B49" s="3">
        <f>Paramètres!G50</f>
        <v/>
      </c>
      <c r="C49" s="3">
        <f>IF(Paramètres!H50="","",Paramètres!H50)</f>
        <v/>
      </c>
      <c r="D49" s="3">
        <f>IF(Paramètres!I50="","",Paramètres!I50)</f>
        <v/>
      </c>
      <c r="E49" s="4">
        <f>IF(Paramètres!J50&amp;Paramètres!L50&amp;Paramètres!N50="",WORKDAY($A$6-1,1),MAX(IF(Paramètres!J50="",0,IF(Paramètres!K50="",NA(),IF(RIGHT(TRIM(Paramètres!K50),3)="Fin",WORKDAY(IF(LEFT(TRIM(Paramètres!K50),1)="F",INDEX($F$4:$F$56,MATCH(Paramètres!J50,Paramètres!$G$5:$G$57,0)),INDEX($E$4:$E$56,MATCH(Paramètres!J50,Paramètres!$G$5:$G$57,0))),1-$H49),IF(LEFT(TRIM(Paramètres!K50),1)="F",WORKDAY(IF(LEFT(TRIM(Paramètres!K50),1)="F",INDEX($F$4:$F$56,MATCH(Paramètres!J50,Paramètres!$G$5:$G$57,0)),INDEX($E$4:$E$56,MATCH(Paramètres!J50,Paramètres!$G$5:$G$57,0))),1),IF(LEFT(TRIM(Paramètres!K50),1)="F",INDEX($F$4:$F$56,MATCH(Paramètres!J50,Paramètres!$G$5:$G$57,0)),INDEX($E$4:$E$56,MATCH(Paramètres!J50,Paramètres!$G$5:$G$57,0))))))),IF(Paramètres!L50="",0,IF(Paramètres!M50="",NA(),IF(RIGHT(TRIM(Paramètres!M50),3)="Fin",WORKDAY(IF(LEFT(TRIM(Paramètres!M50),1)="F",INDEX($F$4:$F$56,MATCH(Paramètres!L50,Paramètres!$G$5:$G$57,0)),INDEX($E$4:$E$56,MATCH(Paramètres!L50,Paramètres!$G$5:$G$57,0))),1-$H49),IF(LEFT(TRIM(Paramètres!M50),1)="F",WORKDAY(IF(LEFT(TRIM(Paramètres!M50),1)="F",INDEX($F$4:$F$56,MATCH(Paramètres!L50,Paramètres!$G$5:$G$57,0)),INDEX($E$4:$E$56,MATCH(Paramètres!L50,Paramètres!$G$5:$G$57,0))),1),IF(LEFT(TRIM(Paramètres!M50),1)="F",INDEX($F$4:$F$56,MATCH(Paramètres!L50,Paramètres!$G$5:$G$57,0)),INDEX($E$4:$E$56,MATCH(Paramètres!L50,Paramètres!$G$5:$G$57,0))))))),IF(Paramètres!N50="",0,IF(Paramètres!O50="",NA(),IF(RIGHT(TRIM(Paramètres!O50),3)="Fin",WORKDAY(IF(LEFT(TRIM(Paramètres!O50),1)="F",INDEX($F$4:$F$56,MATCH(Paramètres!N50,Paramètres!$G$5:$G$57,0)),INDEX($E$4:$E$56,MATCH(Paramètres!N50,Paramètres!$G$5:$G$57,0))),1-$H49),IF(LEFT(TRIM(Paramètres!O50),1)="F",WORKDAY(IF(LEFT(TRIM(Paramètres!O50),1)="F",INDEX($F$4:$F$56,MATCH(Paramètres!N50,Paramètres!$G$5:$G$57,0)),INDEX($E$4:$E$56,MATCH(Paramètres!N50,Paramètres!$G$5:$G$57,0))),1),IF(LEFT(TRIM(Paramètres!O50),1)="F",INDEX($F$4:$F$56,MATCH(Paramètres!N50,Paramètres!$G$5:$G$57,0)),INDEX($E$4:$E$56,MATCH(Paramètres!N50,Paramètres!$G$5:$G$57,0)))))))))</f>
        <v/>
      </c>
      <c r="F49" s="4">
        <f>IF($H49=0,WORKDAY(E49,-1),WORKDAY(E49,$H49-1))</f>
        <v/>
      </c>
      <c r="H49">
        <f>Paramètres!B50</f>
        <v/>
      </c>
    </row>
    <row r="50" ht="14.25" customHeight="1">
      <c r="B50" s="3">
        <f>Paramètres!G51</f>
        <v/>
      </c>
      <c r="C50" s="3">
        <f>IF(Paramètres!H51="","",Paramètres!H51)</f>
        <v/>
      </c>
      <c r="D50" s="3">
        <f>IF(Paramètres!I51="","",Paramètres!I51)</f>
        <v/>
      </c>
      <c r="E50" s="4">
        <f>IF(Paramètres!J51&amp;Paramètres!L51&amp;Paramètres!N51="",WORKDAY($A$6-1,1),MAX(IF(Paramètres!J51="",0,IF(Paramètres!K51="",NA(),IF(RIGHT(TRIM(Paramètres!K51),3)="Fin",WORKDAY(IF(LEFT(TRIM(Paramètres!K51),1)="F",INDEX($F$4:$F$56,MATCH(Paramètres!J51,Paramètres!$G$5:$G$57,0)),INDEX($E$4:$E$56,MATCH(Paramètres!J51,Paramètres!$G$5:$G$57,0))),1-$H50),IF(LEFT(TRIM(Paramètres!K51),1)="F",WORKDAY(IF(LEFT(TRIM(Paramètres!K51),1)="F",INDEX($F$4:$F$56,MATCH(Paramètres!J51,Paramètres!$G$5:$G$57,0)),INDEX($E$4:$E$56,MATCH(Paramètres!J51,Paramètres!$G$5:$G$57,0))),1),IF(LEFT(TRIM(Paramètres!K51),1)="F",INDEX($F$4:$F$56,MATCH(Paramètres!J51,Paramètres!$G$5:$G$57,0)),INDEX($E$4:$E$56,MATCH(Paramètres!J51,Paramètres!$G$5:$G$57,0))))))),IF(Paramètres!L51="",0,IF(Paramètres!M51="",NA(),IF(RIGHT(TRIM(Paramètres!M51),3)="Fin",WORKDAY(IF(LEFT(TRIM(Paramètres!M51),1)="F",INDEX($F$4:$F$56,MATCH(Paramètres!L51,Paramètres!$G$5:$G$57,0)),INDEX($E$4:$E$56,MATCH(Paramètres!L51,Paramètres!$G$5:$G$57,0))),1-$H50),IF(LEFT(TRIM(Paramètres!M51),1)="F",WORKDAY(IF(LEFT(TRIM(Paramètres!M51),1)="F",INDEX($F$4:$F$56,MATCH(Paramètres!L51,Paramètres!$G$5:$G$57,0)),INDEX($E$4:$E$56,MATCH(Paramètres!L51,Paramètres!$G$5:$G$57,0))),1),IF(LEFT(TRIM(Paramètres!M51),1)="F",INDEX($F$4:$F$56,MATCH(Paramètres!L51,Paramètres!$G$5:$G$57,0)),INDEX($E$4:$E$56,MATCH(Paramètres!L51,Paramètres!$G$5:$G$57,0))))))),IF(Paramètres!N51="",0,IF(Paramètres!O51="",NA(),IF(RIGHT(TRIM(Paramètres!O51),3)="Fin",WORKDAY(IF(LEFT(TRIM(Paramètres!O51),1)="F",INDEX($F$4:$F$56,MATCH(Paramètres!N51,Paramètres!$G$5:$G$57,0)),INDEX($E$4:$E$56,MATCH(Paramètres!N51,Paramètres!$G$5:$G$57,0))),1-$H50),IF(LEFT(TRIM(Paramètres!O51),1)="F",WORKDAY(IF(LEFT(TRIM(Paramètres!O51),1)="F",INDEX($F$4:$F$56,MATCH(Paramètres!N51,Paramètres!$G$5:$G$57,0)),INDEX($E$4:$E$56,MATCH(Paramètres!N51,Paramètres!$G$5:$G$57,0))),1),IF(LEFT(TRIM(Paramètres!O51),1)="F",INDEX($F$4:$F$56,MATCH(Paramètres!N51,Paramètres!$G$5:$G$57,0)),INDEX($E$4:$E$56,MATCH(Paramètres!N51,Paramètres!$G$5:$G$57,0)))))))))</f>
        <v/>
      </c>
      <c r="F50" s="4">
        <f>IF($H50=0,WORKDAY(E50,-1),WORKDAY(E50,$H50-1))</f>
        <v/>
      </c>
      <c r="H50">
        <f>Paramètres!B51</f>
        <v/>
      </c>
    </row>
    <row r="51" ht="14.25" customHeight="1">
      <c r="B51" s="3">
        <f>Paramètres!G52</f>
        <v/>
      </c>
      <c r="C51" s="3">
        <f>IF(Paramètres!H52="","",Paramètres!H52)</f>
        <v/>
      </c>
      <c r="D51" s="3">
        <f>IF(Paramètres!I52="","",Paramètres!I52)</f>
        <v/>
      </c>
      <c r="E51" s="4">
        <f>IF(Paramètres!J52&amp;Paramètres!L52&amp;Paramètres!N52="",WORKDAY($A$6-1,1),MAX(IF(Paramètres!J52="",0,IF(Paramètres!K52="",NA(),IF(RIGHT(TRIM(Paramètres!K52),3)="Fin",WORKDAY(IF(LEFT(TRIM(Paramètres!K52),1)="F",INDEX($F$4:$F$56,MATCH(Paramètres!J52,Paramètres!$G$5:$G$57,0)),INDEX($E$4:$E$56,MATCH(Paramètres!J52,Paramètres!$G$5:$G$57,0))),1-$H51),IF(LEFT(TRIM(Paramètres!K52),1)="F",WORKDAY(IF(LEFT(TRIM(Paramètres!K52),1)="F",INDEX($F$4:$F$56,MATCH(Paramètres!J52,Paramètres!$G$5:$G$57,0)),INDEX($E$4:$E$56,MATCH(Paramètres!J52,Paramètres!$G$5:$G$57,0))),1),IF(LEFT(TRIM(Paramètres!K52),1)="F",INDEX($F$4:$F$56,MATCH(Paramètres!J52,Paramètres!$G$5:$G$57,0)),INDEX($E$4:$E$56,MATCH(Paramètres!J52,Paramètres!$G$5:$G$57,0))))))),IF(Paramètres!L52="",0,IF(Paramètres!M52="",NA(),IF(RIGHT(TRIM(Paramètres!M52),3)="Fin",WORKDAY(IF(LEFT(TRIM(Paramètres!M52),1)="F",INDEX($F$4:$F$56,MATCH(Paramètres!L52,Paramètres!$G$5:$G$57,0)),INDEX($E$4:$E$56,MATCH(Paramètres!L52,Paramètres!$G$5:$G$57,0))),1-$H51),IF(LEFT(TRIM(Paramètres!M52),1)="F",WORKDAY(IF(LEFT(TRIM(Paramètres!M52),1)="F",INDEX($F$4:$F$56,MATCH(Paramètres!L52,Paramètres!$G$5:$G$57,0)),INDEX($E$4:$E$56,MATCH(Paramètres!L52,Paramètres!$G$5:$G$57,0))),1),IF(LEFT(TRIM(Paramètres!M52),1)="F",INDEX($F$4:$F$56,MATCH(Paramètres!L52,Paramètres!$G$5:$G$57,0)),INDEX($E$4:$E$56,MATCH(Paramètres!L52,Paramètres!$G$5:$G$57,0))))))),IF(Paramètres!N52="",0,IF(Paramètres!O52="",NA(),IF(RIGHT(TRIM(Paramètres!O52),3)="Fin",WORKDAY(IF(LEFT(TRIM(Paramètres!O52),1)="F",INDEX($F$4:$F$56,MATCH(Paramètres!N52,Paramètres!$G$5:$G$57,0)),INDEX($E$4:$E$56,MATCH(Paramètres!N52,Paramètres!$G$5:$G$57,0))),1-$H51),IF(LEFT(TRIM(Paramètres!O52),1)="F",WORKDAY(IF(LEFT(TRIM(Paramètres!O52),1)="F",INDEX($F$4:$F$56,MATCH(Paramètres!N52,Paramètres!$G$5:$G$57,0)),INDEX($E$4:$E$56,MATCH(Paramètres!N52,Paramètres!$G$5:$G$57,0))),1),IF(LEFT(TRIM(Paramètres!O52),1)="F",INDEX($F$4:$F$56,MATCH(Paramètres!N52,Paramètres!$G$5:$G$57,0)),INDEX($E$4:$E$56,MATCH(Paramètres!N52,Paramètres!$G$5:$G$57,0)))))))))</f>
        <v/>
      </c>
      <c r="F51" s="4">
        <f>IF($H51=0,WORKDAY(E51,-1),WORKDAY(E51,$H51-1))</f>
        <v/>
      </c>
      <c r="H51">
        <f>Paramètres!B52</f>
        <v/>
      </c>
    </row>
    <row r="52" ht="14.25" customHeight="1">
      <c r="B52" s="3">
        <f>Paramètres!G53</f>
        <v/>
      </c>
      <c r="C52" s="3">
        <f>IF(Paramètres!H53="","",Paramètres!H53)</f>
        <v/>
      </c>
      <c r="D52" s="3">
        <f>IF(Paramètres!I53="","",Paramètres!I53)</f>
        <v/>
      </c>
      <c r="E52" s="4">
        <f>IF(Paramètres!J53&amp;Paramètres!L53&amp;Paramètres!N53="",WORKDAY($A$6-1,1),MAX(IF(Paramètres!J53="",0,IF(Paramètres!K53="",NA(),IF(RIGHT(TRIM(Paramètres!K53),3)="Fin",WORKDAY(IF(LEFT(TRIM(Paramètres!K53),1)="F",INDEX($F$4:$F$56,MATCH(Paramètres!J53,Paramètres!$G$5:$G$57,0)),INDEX($E$4:$E$56,MATCH(Paramètres!J53,Paramètres!$G$5:$G$57,0))),1-$H52),IF(LEFT(TRIM(Paramètres!K53),1)="F",WORKDAY(IF(LEFT(TRIM(Paramètres!K53),1)="F",INDEX($F$4:$F$56,MATCH(Paramètres!J53,Paramètres!$G$5:$G$57,0)),INDEX($E$4:$E$56,MATCH(Paramètres!J53,Paramètres!$G$5:$G$57,0))),1),IF(LEFT(TRIM(Paramètres!K53),1)="F",INDEX($F$4:$F$56,MATCH(Paramètres!J53,Paramètres!$G$5:$G$57,0)),INDEX($E$4:$E$56,MATCH(Paramètres!J53,Paramètres!$G$5:$G$57,0))))))),IF(Paramètres!L53="",0,IF(Paramètres!M53="",NA(),IF(RIGHT(TRIM(Paramètres!M53),3)="Fin",WORKDAY(IF(LEFT(TRIM(Paramètres!M53),1)="F",INDEX($F$4:$F$56,MATCH(Paramètres!L53,Paramètres!$G$5:$G$57,0)),INDEX($E$4:$E$56,MATCH(Paramètres!L53,Paramètres!$G$5:$G$57,0))),1-$H52),IF(LEFT(TRIM(Paramètres!M53),1)="F",WORKDAY(IF(LEFT(TRIM(Paramètres!M53),1)="F",INDEX($F$4:$F$56,MATCH(Paramètres!L53,Paramètres!$G$5:$G$57,0)),INDEX($E$4:$E$56,MATCH(Paramètres!L53,Paramètres!$G$5:$G$57,0))),1),IF(LEFT(TRIM(Paramètres!M53),1)="F",INDEX($F$4:$F$56,MATCH(Paramètres!L53,Paramètres!$G$5:$G$57,0)),INDEX($E$4:$E$56,MATCH(Paramètres!L53,Paramètres!$G$5:$G$57,0))))))),IF(Paramètres!N53="",0,IF(Paramètres!O53="",NA(),IF(RIGHT(TRIM(Paramètres!O53),3)="Fin",WORKDAY(IF(LEFT(TRIM(Paramètres!O53),1)="F",INDEX($F$4:$F$56,MATCH(Paramètres!N53,Paramètres!$G$5:$G$57,0)),INDEX($E$4:$E$56,MATCH(Paramètres!N53,Paramètres!$G$5:$G$57,0))),1-$H52),IF(LEFT(TRIM(Paramètres!O53),1)="F",WORKDAY(IF(LEFT(TRIM(Paramètres!O53),1)="F",INDEX($F$4:$F$56,MATCH(Paramètres!N53,Paramètres!$G$5:$G$57,0)),INDEX($E$4:$E$56,MATCH(Paramètres!N53,Paramètres!$G$5:$G$57,0))),1),IF(LEFT(TRIM(Paramètres!O53),1)="F",INDEX($F$4:$F$56,MATCH(Paramètres!N53,Paramètres!$G$5:$G$57,0)),INDEX($E$4:$E$56,MATCH(Paramètres!N53,Paramètres!$G$5:$G$57,0)))))))))</f>
        <v/>
      </c>
      <c r="F52" s="4">
        <f>IF($H52=0,WORKDAY(E52,-1),WORKDAY(E52,$H52-1))</f>
        <v/>
      </c>
      <c r="H52">
        <f>Paramètres!B53</f>
        <v/>
      </c>
    </row>
    <row r="53" ht="14.25" customHeight="1">
      <c r="B53">
        <f>Paramètres!G54</f>
        <v/>
      </c>
      <c r="C53">
        <f>IF(Paramètres!H54="","",Paramètres!H54)</f>
        <v/>
      </c>
      <c r="D53">
        <f>IF(Paramètres!I54="","",Paramètres!I54)</f>
        <v/>
      </c>
      <c r="E53" s="4">
        <f>IF(Paramètres!J54&amp;Paramètres!L54&amp;Paramètres!N54="",WORKDAY($A$6-1,1),MAX(IF(Paramètres!J54="",0,IF(Paramètres!K54="",NA(),IF(RIGHT(TRIM(Paramètres!K54),3)="Fin",WORKDAY(IF(LEFT(TRIM(Paramètres!K54),1)="F",INDEX($F$4:$F$56,MATCH(Paramètres!J54,Paramètres!$G$5:$G$57,0)),INDEX($E$4:$E$56,MATCH(Paramètres!J54,Paramètres!$G$5:$G$57,0))),1-$H53),IF(LEFT(TRIM(Paramètres!K54),1)="F",WORKDAY(IF(LEFT(TRIM(Paramètres!K54),1)="F",INDEX($F$4:$F$56,MATCH(Paramètres!J54,Paramètres!$G$5:$G$57,0)),INDEX($E$4:$E$56,MATCH(Paramètres!J54,Paramètres!$G$5:$G$57,0))),1),IF(LEFT(TRIM(Paramètres!K54),1)="F",INDEX($F$4:$F$56,MATCH(Paramètres!J54,Paramètres!$G$5:$G$57,0)),INDEX($E$4:$E$56,MATCH(Paramètres!J54,Paramètres!$G$5:$G$57,0))))))),IF(Paramètres!L54="",0,IF(Paramètres!M54="",NA(),IF(RIGHT(TRIM(Paramètres!M54),3)="Fin",WORKDAY(IF(LEFT(TRIM(Paramètres!M54),1)="F",INDEX($F$4:$F$56,MATCH(Paramètres!L54,Paramètres!$G$5:$G$57,0)),INDEX($E$4:$E$56,MATCH(Paramètres!L54,Paramètres!$G$5:$G$57,0))),1-$H53),IF(LEFT(TRIM(Paramètres!M54),1)="F",WORKDAY(IF(LEFT(TRIM(Paramètres!M54),1)="F",INDEX($F$4:$F$56,MATCH(Paramètres!L54,Paramètres!$G$5:$G$57,0)),INDEX($E$4:$E$56,MATCH(Paramètres!L54,Paramètres!$G$5:$G$57,0))),1),IF(LEFT(TRIM(Paramètres!M54),1)="F",INDEX($F$4:$F$56,MATCH(Paramètres!L54,Paramètres!$G$5:$G$57,0)),INDEX($E$4:$E$56,MATCH(Paramètres!L54,Paramètres!$G$5:$G$57,0))))))),IF(Paramètres!N54="",0,IF(Paramètres!O54="",NA(),IF(RIGHT(TRIM(Paramètres!O54),3)="Fin",WORKDAY(IF(LEFT(TRIM(Paramètres!O54),1)="F",INDEX($F$4:$F$56,MATCH(Paramètres!N54,Paramètres!$G$5:$G$57,0)),INDEX($E$4:$E$56,MATCH(Paramètres!N54,Paramètres!$G$5:$G$57,0))),1-$H53),IF(LEFT(TRIM(Paramètres!O54),1)="F",WORKDAY(IF(LEFT(TRIM(Paramètres!O54),1)="F",INDEX($F$4:$F$56,MATCH(Paramètres!N54,Paramètres!$G$5:$G$57,0)),INDEX($E$4:$E$56,MATCH(Paramètres!N54,Paramètres!$G$5:$G$57,0))),1),IF(LEFT(TRIM(Paramètres!O54),1)="F",INDEX($F$4:$F$56,MATCH(Paramètres!N54,Paramètres!$G$5:$G$57,0)),INDEX($E$4:$E$56,MATCH(Paramètres!N54,Paramètres!$G$5:$G$57,0)))))))))</f>
        <v/>
      </c>
      <c r="F53" s="4">
        <f>IF($H53=0,WORKDAY(E53,-1),WORKDAY(E53,$H53-1))</f>
        <v/>
      </c>
      <c r="H53">
        <f>Paramètres!B54</f>
        <v/>
      </c>
    </row>
    <row r="54" ht="14.25" customHeight="1">
      <c r="B54">
        <f>Paramètres!G55</f>
        <v/>
      </c>
      <c r="C54">
        <f>IF(Paramètres!H55="","",Paramètres!H55)</f>
        <v/>
      </c>
      <c r="D54">
        <f>IF(Paramètres!I55="","",Paramètres!I55)</f>
        <v/>
      </c>
      <c r="E54" s="4">
        <f>IF(Paramètres!J55&amp;Paramètres!L55&amp;Paramètres!N55="",WORKDAY($A$6-1,1),MAX(IF(Paramètres!J55="",0,IF(Paramètres!K55="",NA(),IF(RIGHT(TRIM(Paramètres!K55),3)="Fin",WORKDAY(IF(LEFT(TRIM(Paramètres!K55),1)="F",INDEX($F$4:$F$56,MATCH(Paramètres!J55,Paramètres!$G$5:$G$57,0)),INDEX($E$4:$E$56,MATCH(Paramètres!J55,Paramètres!$G$5:$G$57,0))),1-$H54),IF(LEFT(TRIM(Paramètres!K55),1)="F",WORKDAY(IF(LEFT(TRIM(Paramètres!K55),1)="F",INDEX($F$4:$F$56,MATCH(Paramètres!J55,Paramètres!$G$5:$G$57,0)),INDEX($E$4:$E$56,MATCH(Paramètres!J55,Paramètres!$G$5:$G$57,0))),1),IF(LEFT(TRIM(Paramètres!K55),1)="F",INDEX($F$4:$F$56,MATCH(Paramètres!J55,Paramètres!$G$5:$G$57,0)),INDEX($E$4:$E$56,MATCH(Paramètres!J55,Paramètres!$G$5:$G$57,0))))))),IF(Paramètres!L55="",0,IF(Paramètres!M55="",NA(),IF(RIGHT(TRIM(Paramètres!M55),3)="Fin",WORKDAY(IF(LEFT(TRIM(Paramètres!M55),1)="F",INDEX($F$4:$F$56,MATCH(Paramètres!L55,Paramètres!$G$5:$G$57,0)),INDEX($E$4:$E$56,MATCH(Paramètres!L55,Paramètres!$G$5:$G$57,0))),1-$H54),IF(LEFT(TRIM(Paramètres!M55),1)="F",WORKDAY(IF(LEFT(TRIM(Paramètres!M55),1)="F",INDEX($F$4:$F$56,MATCH(Paramètres!L55,Paramètres!$G$5:$G$57,0)),INDEX($E$4:$E$56,MATCH(Paramètres!L55,Paramètres!$G$5:$G$57,0))),1),IF(LEFT(TRIM(Paramètres!M55),1)="F",INDEX($F$4:$F$56,MATCH(Paramètres!L55,Paramètres!$G$5:$G$57,0)),INDEX($E$4:$E$56,MATCH(Paramètres!L55,Paramètres!$G$5:$G$57,0))))))),IF(Paramètres!N55="",0,IF(Paramètres!O55="",NA(),IF(RIGHT(TRIM(Paramètres!O55),3)="Fin",WORKDAY(IF(LEFT(TRIM(Paramètres!O55),1)="F",INDEX($F$4:$F$56,MATCH(Paramètres!N55,Paramètres!$G$5:$G$57,0)),INDEX($E$4:$E$56,MATCH(Paramètres!N55,Paramètres!$G$5:$G$57,0))),1-$H54),IF(LEFT(TRIM(Paramètres!O55),1)="F",WORKDAY(IF(LEFT(TRIM(Paramètres!O55),1)="F",INDEX($F$4:$F$56,MATCH(Paramètres!N55,Paramètres!$G$5:$G$57,0)),INDEX($E$4:$E$56,MATCH(Paramètres!N55,Paramètres!$G$5:$G$57,0))),1),IF(LEFT(TRIM(Paramètres!O55),1)="F",INDEX($F$4:$F$56,MATCH(Paramètres!N55,Paramètres!$G$5:$G$57,0)),INDEX($E$4:$E$56,MATCH(Paramètres!N55,Paramètres!$G$5:$G$57,0)))))))))</f>
        <v/>
      </c>
      <c r="F54" s="4">
        <f>IF($H54=0,WORKDAY(E54,-1),WORKDAY(E54,$H54-1))</f>
        <v/>
      </c>
      <c r="H54">
        <f>Paramètres!B55</f>
        <v/>
      </c>
    </row>
    <row r="55" ht="14.25" customHeight="1">
      <c r="B55">
        <f>Paramètres!G56</f>
        <v/>
      </c>
      <c r="C55">
        <f>IF(Paramètres!H56="","",Paramètres!H56)</f>
        <v/>
      </c>
      <c r="D55">
        <f>IF(Paramètres!I56="","",Paramètres!I56)</f>
        <v/>
      </c>
      <c r="E55" s="4">
        <f>MIN(E56:E56)</f>
        <v/>
      </c>
      <c r="F55" s="4">
        <f>MAX(F56:F56)</f>
        <v/>
      </c>
      <c r="H55">
        <f>NETWORKDAYS(E55,F55)</f>
        <v/>
      </c>
    </row>
    <row r="56" ht="14.25" customHeight="1">
      <c r="B56">
        <f>Paramètres!G57</f>
        <v/>
      </c>
      <c r="C56">
        <f>IF(Paramètres!H57="","",Paramètres!H57)</f>
        <v/>
      </c>
      <c r="D56">
        <f>IF(Paramètres!I57="","",Paramètres!I57)</f>
        <v/>
      </c>
      <c r="E56" s="4">
        <f>IF(Paramètres!J57&amp;Paramètres!L57&amp;Paramètres!N57="",WORKDAY($A$6-1,1),MAX(IF(Paramètres!J57="",0,IF(Paramètres!K57="",NA(),IF(RIGHT(TRIM(Paramètres!K57),3)="Fin",WORKDAY(IF(LEFT(TRIM(Paramètres!K57),1)="F",INDEX($F$4:$F$56,MATCH(Paramètres!J57,Paramètres!$G$5:$G$57,0)),INDEX($E$4:$E$56,MATCH(Paramètres!J57,Paramètres!$G$5:$G$57,0))),1-$H56),IF(LEFT(TRIM(Paramètres!K57),1)="F",WORKDAY(IF(LEFT(TRIM(Paramètres!K57),1)="F",INDEX($F$4:$F$56,MATCH(Paramètres!J57,Paramètres!$G$5:$G$57,0)),INDEX($E$4:$E$56,MATCH(Paramètres!J57,Paramètres!$G$5:$G$57,0))),1),IF(LEFT(TRIM(Paramètres!K57),1)="F",INDEX($F$4:$F$56,MATCH(Paramètres!J57,Paramètres!$G$5:$G$57,0)),INDEX($E$4:$E$56,MATCH(Paramètres!J57,Paramètres!$G$5:$G$57,0))))))),IF(Paramètres!L57="",0,IF(Paramètres!M57="",NA(),IF(RIGHT(TRIM(Paramètres!M57),3)="Fin",WORKDAY(IF(LEFT(TRIM(Paramètres!M57),1)="F",INDEX($F$4:$F$56,MATCH(Paramètres!L57,Paramètres!$G$5:$G$57,0)),INDEX($E$4:$E$56,MATCH(Paramètres!L57,Paramètres!$G$5:$G$57,0))),1-$H56),IF(LEFT(TRIM(Paramètres!M57),1)="F",WORKDAY(IF(LEFT(TRIM(Paramètres!M57),1)="F",INDEX($F$4:$F$56,MATCH(Paramètres!L57,Paramètres!$G$5:$G$57,0)),INDEX($E$4:$E$56,MATCH(Paramètres!L57,Paramètres!$G$5:$G$57,0))),1),IF(LEFT(TRIM(Paramètres!M57),1)="F",INDEX($F$4:$F$56,MATCH(Paramètres!L57,Paramètres!$G$5:$G$57,0)),INDEX($E$4:$E$56,MATCH(Paramètres!L57,Paramètres!$G$5:$G$57,0))))))),IF(Paramètres!N57="",0,IF(Paramètres!O57="",NA(),IF(RIGHT(TRIM(Paramètres!O57),3)="Fin",WORKDAY(IF(LEFT(TRIM(Paramètres!O57),1)="F",INDEX($F$4:$F$56,MATCH(Paramètres!N57,Paramètres!$G$5:$G$57,0)),INDEX($E$4:$E$56,MATCH(Paramètres!N57,Paramètres!$G$5:$G$57,0))),1-$H56),IF(LEFT(TRIM(Paramètres!O57),1)="F",WORKDAY(IF(LEFT(TRIM(Paramètres!O57),1)="F",INDEX($F$4:$F$56,MATCH(Paramètres!N57,Paramètres!$G$5:$G$57,0)),INDEX($E$4:$E$56,MATCH(Paramètres!N57,Paramètres!$G$5:$G$57,0))),1),IF(LEFT(TRIM(Paramètres!O57),1)="F",INDEX($F$4:$F$56,MATCH(Paramètres!N57,Paramètres!$G$5:$G$57,0)),INDEX($E$4:$E$56,MATCH(Paramètres!N57,Paramètres!$G$5:$G$57,0)))))))))</f>
        <v/>
      </c>
      <c r="F56" s="4">
        <f>IF($H56=0,WORKDAY(E56,-1),WORKDAY(E56,$H56-1))</f>
        <v/>
      </c>
      <c r="H56">
        <f>Paramètres!B57</f>
        <v/>
      </c>
    </row>
  </sheetData>
  <conditionalFormatting sqref="B4:H56">
    <cfRule type="expression" priority="2" dxfId="0">
      <formula>AND(ISNUMBER($F4),TODAY()&gt;$F4,$G4&lt;&gt;"Réalisé",$G4&lt;&gt;"Clôturé")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Paramètres!$C$6:$C$11</xm:f>
          </x14:formula1>
          <x14:formula2>
            <xm:f>0</xm:f>
          </x14:formula2>
          <xm:sqref>G4:G56</xm:sqref>
        </x14:dataValidation>
      </x14:dataValidations>
    </ext>
  </extLst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zoomScaleNormal="100" workbookViewId="0">
      <selection activeCell="A4" sqref="A4"/>
    </sheetView>
  </sheetViews>
  <sheetFormatPr baseColWidth="10" defaultColWidth="8.88671875" defaultRowHeight="14.4"/>
  <cols>
    <col width="34.5546875" customWidth="1" min="1" max="1"/>
    <col width="10.5546875" customWidth="1" min="2" max="2"/>
    <col width="20" customWidth="1" min="3" max="3"/>
    <col width="16" customWidth="1" min="5" max="5"/>
    <col width="9.77734375" customWidth="1" min="7" max="7"/>
    <col width="25.109375" customWidth="1" min="8" max="8"/>
    <col width="28.5546875" customWidth="1" min="9" max="9"/>
    <col width="13" customWidth="1" min="10" max="10"/>
    <col width="16" customWidth="1" min="11" max="11"/>
    <col width="13" customWidth="1" min="12" max="12"/>
    <col width="16" customWidth="1" min="13" max="13"/>
    <col width="13" customWidth="1" min="14" max="14"/>
    <col width="16" customWidth="1" min="15" max="15"/>
  </cols>
  <sheetData>
    <row r="1" ht="14.25" customHeight="1">
      <c r="A1" s="1" t="inlineStr">
        <is>
          <t>DATE DEBUT PROJET</t>
        </is>
      </c>
      <c r="B1" s="4">
        <f>Suivi!A6</f>
        <v/>
      </c>
    </row>
    <row r="2" ht="14.25" customHeight="1">
      <c r="A2" t="inlineStr">
        <is>
          <t>La date de début se modifie dans Suivi!A6</t>
        </is>
      </c>
    </row>
    <row r="4" ht="14.25" customHeight="1">
      <c r="A4" s="1" t="inlineStr">
        <is>
          <t>Identifiant</t>
        </is>
      </c>
      <c r="B4" s="1" t="inlineStr">
        <is>
          <t>Durée (jours ouvrés)</t>
        </is>
      </c>
      <c r="C4" s="1" t="inlineStr">
        <is>
          <t>Status</t>
        </is>
      </c>
      <c r="E4" s="1" t="inlineStr">
        <is>
          <t>Type de lien</t>
        </is>
      </c>
      <c r="G4" s="1" t="inlineStr">
        <is>
          <t>Identifiant</t>
        </is>
      </c>
      <c r="H4" s="1" t="inlineStr">
        <is>
          <t>Macro Etape</t>
        </is>
      </c>
      <c r="I4" s="1" t="inlineStr">
        <is>
          <t>Etape</t>
        </is>
      </c>
      <c r="J4" s="1" t="inlineStr">
        <is>
          <t>Tache 1 liée</t>
        </is>
      </c>
      <c r="K4" s="1" t="inlineStr">
        <is>
          <t>Type lien 1</t>
        </is>
      </c>
      <c r="L4" s="1" t="inlineStr">
        <is>
          <t>Tache 2 liée</t>
        </is>
      </c>
      <c r="M4" s="1" t="inlineStr">
        <is>
          <t>Type lien 2</t>
        </is>
      </c>
      <c r="N4" s="1" t="inlineStr">
        <is>
          <t>Tache 3 liée</t>
        </is>
      </c>
      <c r="O4" s="1" t="inlineStr">
        <is>
          <t>Type lien 3</t>
        </is>
      </c>
    </row>
    <row r="5" ht="14.25" customHeight="1">
      <c r="A5" s="5" t="n">
        <v>1</v>
      </c>
      <c r="B5" s="5">
        <f>Suivi!H4</f>
        <v/>
      </c>
      <c r="C5">
        <f>FALSE()</f>
        <v/>
      </c>
      <c r="G5" t="n">
        <v>1</v>
      </c>
      <c r="H5" t="inlineStr">
        <is>
          <t>Demande de recrutement</t>
        </is>
      </c>
      <c r="J5" s="5" t="n"/>
      <c r="K5" s="5" t="n"/>
      <c r="L5" s="5" t="n"/>
      <c r="M5" s="5" t="n"/>
      <c r="N5" s="5" t="n"/>
      <c r="O5" s="5" t="n"/>
    </row>
    <row r="6" ht="14.25" customHeight="1">
      <c r="A6" t="inlineStr">
        <is>
          <t>1.1</t>
        </is>
      </c>
      <c r="B6" t="n">
        <v>15</v>
      </c>
      <c r="C6" t="inlineStr">
        <is>
          <t>A prendre en charge</t>
        </is>
      </c>
      <c r="E6" t="inlineStr">
        <is>
          <t>Début → Début</t>
        </is>
      </c>
      <c r="G6" t="inlineStr">
        <is>
          <t>1.1</t>
        </is>
      </c>
      <c r="I6" t="inlineStr">
        <is>
          <t>Go de Sandra</t>
        </is>
      </c>
    </row>
    <row r="7" ht="14.25" customHeight="1">
      <c r="A7" t="inlineStr">
        <is>
          <t>1.2</t>
        </is>
      </c>
      <c r="B7" t="n">
        <v>1</v>
      </c>
      <c r="C7" t="inlineStr">
        <is>
          <t>En cours</t>
        </is>
      </c>
      <c r="E7" t="inlineStr">
        <is>
          <t>Fin → Début</t>
        </is>
      </c>
      <c r="G7" t="inlineStr">
        <is>
          <t>1.2</t>
        </is>
      </c>
      <c r="I7" t="inlineStr">
        <is>
          <t>Transmission Angélique</t>
        </is>
      </c>
      <c r="J7">
        <f>G11</f>
        <v/>
      </c>
      <c r="K7" t="inlineStr">
        <is>
          <t>Fin → Début</t>
        </is>
      </c>
      <c r="L7">
        <f>G12</f>
        <v/>
      </c>
      <c r="M7" t="inlineStr">
        <is>
          <t>Fin → Début</t>
        </is>
      </c>
      <c r="N7">
        <f>G13</f>
        <v/>
      </c>
      <c r="O7" t="inlineStr">
        <is>
          <t>Fin → Début</t>
        </is>
      </c>
    </row>
    <row r="8" ht="14.25" customHeight="1">
      <c r="A8" t="inlineStr">
        <is>
          <t>1.3</t>
        </is>
      </c>
      <c r="B8" t="n">
        <v>1</v>
      </c>
      <c r="C8" t="inlineStr">
        <is>
          <t>En attente</t>
        </is>
      </c>
      <c r="E8" t="inlineStr">
        <is>
          <t>Début → Fin</t>
        </is>
      </c>
      <c r="G8" t="inlineStr">
        <is>
          <t>1.3</t>
        </is>
      </c>
      <c r="I8" t="inlineStr">
        <is>
          <t>Retour Dates Angélique</t>
        </is>
      </c>
      <c r="J8">
        <f>G7</f>
        <v/>
      </c>
      <c r="K8" t="inlineStr">
        <is>
          <t>Fin → Début</t>
        </is>
      </c>
    </row>
    <row r="9" ht="14.25" customHeight="1">
      <c r="A9" t="inlineStr">
        <is>
          <t>1.4</t>
        </is>
      </c>
      <c r="B9" t="n">
        <v>1</v>
      </c>
      <c r="C9" t="inlineStr">
        <is>
          <t>Alerte retard</t>
        </is>
      </c>
      <c r="E9" t="inlineStr">
        <is>
          <t>Fin → Fin</t>
        </is>
      </c>
      <c r="G9" t="inlineStr">
        <is>
          <t>1.4</t>
        </is>
      </c>
      <c r="I9" t="inlineStr">
        <is>
          <t>Retour Membres Angélique</t>
        </is>
      </c>
      <c r="J9">
        <f>G8</f>
        <v/>
      </c>
      <c r="K9" t="inlineStr">
        <is>
          <t>Fin → Fin</t>
        </is>
      </c>
    </row>
    <row r="10" ht="14.25" customHeight="1">
      <c r="A10" s="5" t="n">
        <v>2</v>
      </c>
      <c r="B10" s="5">
        <f>Suivi!H9</f>
        <v/>
      </c>
      <c r="C10" t="inlineStr">
        <is>
          <t>Réalisé</t>
        </is>
      </c>
      <c r="G10" t="n">
        <v>2</v>
      </c>
      <c r="H10" t="inlineStr">
        <is>
          <t>Publicité</t>
        </is>
      </c>
      <c r="J10" s="5" t="n"/>
      <c r="K10" s="5" t="n"/>
      <c r="L10" s="5" t="n"/>
      <c r="M10" s="5" t="n"/>
      <c r="N10" s="5" t="n"/>
      <c r="O10" s="5" t="n"/>
    </row>
    <row r="11" ht="14.25" customHeight="1">
      <c r="A11" t="inlineStr">
        <is>
          <t>2.1</t>
        </is>
      </c>
      <c r="B11" t="n">
        <v>15</v>
      </c>
      <c r="C11" t="inlineStr">
        <is>
          <t>Clôturé</t>
        </is>
      </c>
      <c r="G11" t="inlineStr">
        <is>
          <t>2.1</t>
        </is>
      </c>
      <c r="I11" t="inlineStr">
        <is>
          <t>Publicité Interne</t>
        </is>
      </c>
      <c r="J11">
        <f>G6</f>
        <v/>
      </c>
      <c r="K11" t="inlineStr">
        <is>
          <t>Fin → Début</t>
        </is>
      </c>
    </row>
    <row r="12" ht="14.25" customHeight="1">
      <c r="A12" t="inlineStr">
        <is>
          <t>2.2</t>
        </is>
      </c>
      <c r="B12" t="n">
        <v>30</v>
      </c>
      <c r="G12" t="inlineStr">
        <is>
          <t>2.2</t>
        </is>
      </c>
      <c r="I12" t="inlineStr">
        <is>
          <t>Publicité externe</t>
        </is>
      </c>
      <c r="J12" t="inlineStr">
        <is>
          <t>1.1</t>
        </is>
      </c>
      <c r="K12" t="inlineStr">
        <is>
          <t>Fin → Début</t>
        </is>
      </c>
    </row>
    <row r="13" ht="14.25" customHeight="1">
      <c r="A13" t="inlineStr">
        <is>
          <t>2.3</t>
        </is>
      </c>
      <c r="B13" t="n">
        <v>0</v>
      </c>
      <c r="G13" t="inlineStr">
        <is>
          <t>2.3</t>
        </is>
      </c>
      <c r="I13" t="inlineStr">
        <is>
          <t>Publicité durée fixée</t>
        </is>
      </c>
      <c r="J13" t="inlineStr">
        <is>
          <t>1.1</t>
        </is>
      </c>
      <c r="K13" t="inlineStr">
        <is>
          <t>Fin → Début</t>
        </is>
      </c>
    </row>
    <row r="14" ht="14.25" customHeight="1">
      <c r="A14" t="inlineStr">
        <is>
          <t>2.4</t>
        </is>
      </c>
      <c r="B14" t="n">
        <v>1</v>
      </c>
      <c r="G14" t="inlineStr">
        <is>
          <t>2.4</t>
        </is>
      </c>
      <c r="I14" t="inlineStr">
        <is>
          <t>Fin de publicité</t>
        </is>
      </c>
      <c r="J14">
        <f>G11</f>
        <v/>
      </c>
      <c r="K14" t="inlineStr">
        <is>
          <t>Fin → Fin</t>
        </is>
      </c>
      <c r="L14">
        <f>G12</f>
        <v/>
      </c>
      <c r="M14" t="inlineStr">
        <is>
          <t>Fin → Fin</t>
        </is>
      </c>
      <c r="N14">
        <f>G13</f>
        <v/>
      </c>
      <c r="O14" t="inlineStr">
        <is>
          <t>Fin → Fin</t>
        </is>
      </c>
    </row>
    <row r="15" ht="14.25" customHeight="1">
      <c r="A15" s="5" t="n">
        <v>3</v>
      </c>
      <c r="B15" s="5">
        <f>Suivi!H14</f>
        <v/>
      </c>
      <c r="G15" t="n">
        <v>3</v>
      </c>
      <c r="H15" t="inlineStr">
        <is>
          <t>Choix des candidats pour CS</t>
        </is>
      </c>
      <c r="J15" s="5" t="n"/>
      <c r="K15" s="5" t="n"/>
      <c r="L15" s="5" t="n"/>
      <c r="M15" s="5" t="n"/>
      <c r="N15" s="5" t="n"/>
      <c r="O15" s="5" t="n"/>
    </row>
    <row r="16" ht="14.25" customHeight="1">
      <c r="A16" t="inlineStr">
        <is>
          <t>3.1</t>
        </is>
      </c>
      <c r="B16" t="n">
        <v>1</v>
      </c>
      <c r="G16" t="inlineStr">
        <is>
          <t>3.1</t>
        </is>
      </c>
      <c r="I16" t="inlineStr">
        <is>
          <t>Réception des CV</t>
        </is>
      </c>
      <c r="J16">
        <f>G12</f>
        <v/>
      </c>
      <c r="K16" t="inlineStr">
        <is>
          <t>Début → Début</t>
        </is>
      </c>
      <c r="L16">
        <f>G13</f>
        <v/>
      </c>
      <c r="M16" t="inlineStr">
        <is>
          <t>Début → Début</t>
        </is>
      </c>
      <c r="N16">
        <f>G14</f>
        <v/>
      </c>
      <c r="O16" t="inlineStr">
        <is>
          <t>Début → Début</t>
        </is>
      </c>
    </row>
    <row r="17" ht="14.25" customHeight="1">
      <c r="A17" t="inlineStr">
        <is>
          <t>3.2</t>
        </is>
      </c>
      <c r="B17" t="n">
        <v>1</v>
      </c>
      <c r="G17" t="inlineStr">
        <is>
          <t>3.2</t>
        </is>
      </c>
      <c r="I17" t="inlineStr">
        <is>
          <t>Tri des CV</t>
        </is>
      </c>
      <c r="J17">
        <f>G14</f>
        <v/>
      </c>
      <c r="K17" t="inlineStr">
        <is>
          <t>Début → Début</t>
        </is>
      </c>
    </row>
    <row r="18" ht="14.25" customHeight="1">
      <c r="A18" t="inlineStr">
        <is>
          <t>3.3</t>
        </is>
      </c>
      <c r="B18" t="n">
        <v>1</v>
      </c>
      <c r="G18" t="inlineStr">
        <is>
          <t>3.3</t>
        </is>
      </c>
      <c r="I18" t="inlineStr">
        <is>
          <t>Tableau analyse</t>
        </is>
      </c>
      <c r="J18">
        <f>G17</f>
        <v/>
      </c>
      <c r="K18" t="inlineStr">
        <is>
          <t>Début → Début</t>
        </is>
      </c>
    </row>
    <row r="19" ht="14.25" customHeight="1">
      <c r="A19" t="inlineStr">
        <is>
          <t>3.4</t>
        </is>
      </c>
      <c r="B19" t="n">
        <v>1</v>
      </c>
      <c r="G19" t="inlineStr">
        <is>
          <t>3.4</t>
        </is>
      </c>
      <c r="I19" t="inlineStr">
        <is>
          <t>Liste des CV retenus gestionnaire</t>
        </is>
      </c>
      <c r="J19">
        <f>G18</f>
        <v/>
      </c>
      <c r="K19" t="inlineStr">
        <is>
          <t>Fin → Début</t>
        </is>
      </c>
    </row>
    <row r="20" ht="14.25" customHeight="1">
      <c r="A20" t="inlineStr">
        <is>
          <t>3.5</t>
        </is>
      </c>
      <c r="B20" t="n">
        <v>1</v>
      </c>
      <c r="G20" t="inlineStr">
        <is>
          <t>3.5</t>
        </is>
      </c>
      <c r="I20" t="inlineStr">
        <is>
          <t>Transmission Sandra</t>
        </is>
      </c>
      <c r="J20">
        <f>G19</f>
        <v/>
      </c>
      <c r="K20" t="inlineStr">
        <is>
          <t>Fin → Début</t>
        </is>
      </c>
    </row>
    <row r="21" ht="14.25" customHeight="1">
      <c r="A21" t="inlineStr">
        <is>
          <t>3.6</t>
        </is>
      </c>
      <c r="B21" t="n">
        <v>2</v>
      </c>
      <c r="G21" t="inlineStr">
        <is>
          <t>3.6</t>
        </is>
      </c>
      <c r="I21" t="inlineStr">
        <is>
          <t>Validation Sandra</t>
        </is>
      </c>
      <c r="J21">
        <f>G20</f>
        <v/>
      </c>
      <c r="K21" t="inlineStr">
        <is>
          <t>Fin → Début</t>
        </is>
      </c>
    </row>
    <row r="22" ht="14.25" customHeight="1">
      <c r="A22" t="inlineStr">
        <is>
          <t>3.7</t>
        </is>
      </c>
      <c r="B22" t="n">
        <v>1</v>
      </c>
      <c r="G22" t="inlineStr">
        <is>
          <t>3.7</t>
        </is>
      </c>
      <c r="I22" t="inlineStr">
        <is>
          <t>Transmission CDS</t>
        </is>
      </c>
      <c r="J22">
        <f>G21</f>
        <v/>
      </c>
      <c r="K22" t="inlineStr">
        <is>
          <t>Fin → Fin</t>
        </is>
      </c>
    </row>
    <row r="23" ht="14.25" customHeight="1">
      <c r="A23" t="inlineStr">
        <is>
          <t>3.8</t>
        </is>
      </c>
      <c r="B23" t="n">
        <v>5</v>
      </c>
      <c r="G23" t="inlineStr">
        <is>
          <t>3.8</t>
        </is>
      </c>
      <c r="I23" t="inlineStr">
        <is>
          <t>Validation CDS</t>
        </is>
      </c>
      <c r="J23">
        <f>G22</f>
        <v/>
      </c>
      <c r="K23" t="inlineStr">
        <is>
          <t>Fin → Début</t>
        </is>
      </c>
    </row>
    <row r="24" ht="14.25" customHeight="1">
      <c r="A24" t="inlineStr">
        <is>
          <t>3.9</t>
        </is>
      </c>
      <c r="B24" t="n">
        <v>2</v>
      </c>
      <c r="G24" t="inlineStr">
        <is>
          <t>3.9</t>
        </is>
      </c>
      <c r="I24" t="inlineStr">
        <is>
          <t>Validation Sandra</t>
        </is>
      </c>
      <c r="J24">
        <f>G23</f>
        <v/>
      </c>
      <c r="K24" t="inlineStr">
        <is>
          <t>Fin → Fin</t>
        </is>
      </c>
    </row>
    <row r="25" ht="14.25" customHeight="1">
      <c r="A25" t="inlineStr">
        <is>
          <t>3.10</t>
        </is>
      </c>
      <c r="B25" t="n">
        <v>1</v>
      </c>
      <c r="G25" t="inlineStr">
        <is>
          <t>3.10</t>
        </is>
      </c>
      <c r="I25" t="inlineStr">
        <is>
          <t>Liste des candidats retenus</t>
        </is>
      </c>
      <c r="J25" t="inlineStr">
        <is>
          <t>3.8</t>
        </is>
      </c>
      <c r="K25" t="inlineStr">
        <is>
          <t>Fin → Début</t>
        </is>
      </c>
    </row>
    <row r="26" ht="14.25" customHeight="1">
      <c r="A26" t="inlineStr">
        <is>
          <t>3.11</t>
        </is>
      </c>
      <c r="B26" t="n">
        <v>1</v>
      </c>
      <c r="G26" t="inlineStr">
        <is>
          <t>3.11</t>
        </is>
      </c>
      <c r="I26" t="inlineStr">
        <is>
          <t>Vérification si date CS</t>
        </is>
      </c>
      <c r="J26">
        <f>G8</f>
        <v/>
      </c>
      <c r="K26" t="inlineStr">
        <is>
          <t>Fin → Début</t>
        </is>
      </c>
    </row>
    <row r="27" ht="14.25" customHeight="1">
      <c r="A27" t="inlineStr">
        <is>
          <t>3.12</t>
        </is>
      </c>
      <c r="B27" t="n">
        <v>1</v>
      </c>
      <c r="G27" t="inlineStr">
        <is>
          <t>3.12</t>
        </is>
      </c>
      <c r="I27" t="inlineStr">
        <is>
          <t>Convocation Tél + Gestmax</t>
        </is>
      </c>
      <c r="J27">
        <f>G25</f>
        <v/>
      </c>
      <c r="K27" t="inlineStr">
        <is>
          <t>Fin → Début</t>
        </is>
      </c>
    </row>
    <row r="28" ht="14.25" customHeight="1">
      <c r="A28" t="inlineStr">
        <is>
          <t>3.13</t>
        </is>
      </c>
      <c r="B28" t="n">
        <v>3</v>
      </c>
      <c r="G28" t="inlineStr">
        <is>
          <t>3.13</t>
        </is>
      </c>
      <c r="I28" t="inlineStr">
        <is>
          <t>Candidats - validation présence</t>
        </is>
      </c>
      <c r="J28">
        <f>G27</f>
        <v/>
      </c>
      <c r="K28" t="inlineStr">
        <is>
          <t>Début → Début</t>
        </is>
      </c>
    </row>
    <row r="29" ht="14.25" customHeight="1">
      <c r="A29" t="inlineStr">
        <is>
          <t>3.14</t>
        </is>
      </c>
      <c r="B29" t="n">
        <v>1</v>
      </c>
      <c r="G29" t="inlineStr">
        <is>
          <t>3.14</t>
        </is>
      </c>
      <c r="I29" t="inlineStr">
        <is>
          <t>GESTMAX - bascule validation CS</t>
        </is>
      </c>
      <c r="J29">
        <f>G28</f>
        <v/>
      </c>
      <c r="K29" t="inlineStr">
        <is>
          <t>Début → Début</t>
        </is>
      </c>
    </row>
    <row r="30" ht="14.25" customHeight="1">
      <c r="A30" t="inlineStr">
        <is>
          <t>3.15</t>
        </is>
      </c>
      <c r="B30" t="n">
        <v>1</v>
      </c>
      <c r="G30" t="inlineStr">
        <is>
          <t>3.15</t>
        </is>
      </c>
      <c r="I30" t="inlineStr">
        <is>
          <t>Liste des candidats à l'accueil</t>
        </is>
      </c>
      <c r="J30">
        <f>G28</f>
        <v/>
      </c>
      <c r="K30" t="inlineStr">
        <is>
          <t>Début → Début</t>
        </is>
      </c>
      <c r="L30">
        <f>G26</f>
        <v/>
      </c>
      <c r="M30" t="inlineStr">
        <is>
          <t>Fin → Début</t>
        </is>
      </c>
    </row>
    <row r="31" ht="14.25" customHeight="1">
      <c r="A31" t="inlineStr">
        <is>
          <t>3.16</t>
        </is>
      </c>
      <c r="B31" t="n">
        <v>1</v>
      </c>
      <c r="G31" t="inlineStr">
        <is>
          <t>3.16</t>
        </is>
      </c>
      <c r="I31" t="inlineStr">
        <is>
          <t>Tenue des CS</t>
        </is>
      </c>
      <c r="J31">
        <f>G28</f>
        <v/>
      </c>
      <c r="K31" t="inlineStr">
        <is>
          <t>Fin → Début</t>
        </is>
      </c>
    </row>
    <row r="32" ht="14.25" customHeight="1">
      <c r="A32" s="5" t="n">
        <v>4</v>
      </c>
      <c r="B32" s="5">
        <f>Suivi!H31</f>
        <v/>
      </c>
      <c r="G32" t="n">
        <v>4</v>
      </c>
      <c r="H32" t="inlineStr">
        <is>
          <t>Choix des candidats pour Jury</t>
        </is>
      </c>
      <c r="J32" s="5" t="n"/>
      <c r="K32" s="5" t="n"/>
      <c r="L32" s="5" t="n"/>
      <c r="M32" s="5" t="n"/>
      <c r="N32" s="5" t="n"/>
      <c r="O32" s="5" t="n"/>
    </row>
    <row r="33" ht="14.25" customHeight="1">
      <c r="A33" t="inlineStr">
        <is>
          <t>4.1</t>
        </is>
      </c>
      <c r="B33" t="n">
        <v>2</v>
      </c>
      <c r="G33" t="inlineStr">
        <is>
          <t>4.1</t>
        </is>
      </c>
      <c r="I33" t="inlineStr">
        <is>
          <t>Liste des candidats retenus au CS</t>
        </is>
      </c>
      <c r="J33">
        <f>G31</f>
        <v/>
      </c>
      <c r="K33" t="inlineStr">
        <is>
          <t>Fin → Début</t>
        </is>
      </c>
    </row>
    <row r="34" ht="14.25" customHeight="1">
      <c r="A34" t="inlineStr">
        <is>
          <t>4.2</t>
        </is>
      </c>
      <c r="B34" t="n">
        <v>1</v>
      </c>
      <c r="G34" t="inlineStr">
        <is>
          <t>4.2</t>
        </is>
      </c>
      <c r="I34" t="inlineStr">
        <is>
          <t>Informer les candidats du résultat</t>
        </is>
      </c>
      <c r="J34">
        <f>G33</f>
        <v/>
      </c>
      <c r="K34" t="inlineStr">
        <is>
          <t>Fin → Début</t>
        </is>
      </c>
    </row>
    <row r="35" ht="14.25" customHeight="1">
      <c r="A35" t="inlineStr">
        <is>
          <t>4.3</t>
        </is>
      </c>
      <c r="B35" t="n">
        <v>3</v>
      </c>
      <c r="G35" t="inlineStr">
        <is>
          <t>4.3</t>
        </is>
      </c>
      <c r="I35" t="inlineStr">
        <is>
          <t>Acceptation candidats jury</t>
        </is>
      </c>
      <c r="J35">
        <f>G34</f>
        <v/>
      </c>
      <c r="K35" t="inlineStr">
        <is>
          <t>Début → Début</t>
        </is>
      </c>
    </row>
    <row r="36" ht="14.25" customHeight="1">
      <c r="A36" t="inlineStr">
        <is>
          <t>4.4</t>
        </is>
      </c>
      <c r="B36" t="n">
        <v>1</v>
      </c>
      <c r="G36" t="inlineStr">
        <is>
          <t>4.4</t>
        </is>
      </c>
      <c r="I36" t="inlineStr">
        <is>
          <t>Clôture du CS</t>
        </is>
      </c>
      <c r="J36">
        <f>G35</f>
        <v/>
      </c>
      <c r="K36" t="inlineStr">
        <is>
          <t>Fin → Début</t>
        </is>
      </c>
    </row>
    <row r="37" ht="14.25" customHeight="1">
      <c r="A37" s="5" t="n">
        <v>5</v>
      </c>
      <c r="B37" s="5">
        <f>Suivi!H36</f>
        <v/>
      </c>
      <c r="G37" t="n">
        <v>5</v>
      </c>
      <c r="H37" t="inlineStr">
        <is>
          <t>Jury</t>
        </is>
      </c>
      <c r="J37" s="5" t="n"/>
      <c r="K37" s="5" t="n"/>
      <c r="L37" s="5" t="n"/>
      <c r="M37" s="5" t="n"/>
      <c r="N37" s="5" t="n"/>
      <c r="O37" s="5" t="n"/>
    </row>
    <row r="38" ht="14.25" customHeight="1">
      <c r="A38" t="inlineStr">
        <is>
          <t>5.1</t>
        </is>
      </c>
      <c r="B38" t="n">
        <v>2</v>
      </c>
      <c r="G38" t="inlineStr">
        <is>
          <t>5.1</t>
        </is>
      </c>
      <c r="H38" s="6" t="n"/>
      <c r="I38" t="inlineStr">
        <is>
          <t>Liste des candidats au jury</t>
        </is>
      </c>
      <c r="J38">
        <f>G35</f>
        <v/>
      </c>
      <c r="K38" t="inlineStr">
        <is>
          <t>Fin → Début</t>
        </is>
      </c>
    </row>
    <row r="39" ht="14.25" customHeight="1">
      <c r="A39" t="inlineStr">
        <is>
          <t>5.2</t>
        </is>
      </c>
      <c r="B39" t="n">
        <v>1</v>
      </c>
      <c r="G39" t="inlineStr">
        <is>
          <t>5.2</t>
        </is>
      </c>
      <c r="I39" t="inlineStr">
        <is>
          <t>Liste des élus présents au jury</t>
        </is>
      </c>
      <c r="J39">
        <f>G9</f>
        <v/>
      </c>
      <c r="K39" t="inlineStr">
        <is>
          <t>Fin → Début</t>
        </is>
      </c>
    </row>
    <row r="40" ht="14.25" customHeight="1">
      <c r="A40" t="inlineStr">
        <is>
          <t>5.3</t>
        </is>
      </c>
      <c r="B40" t="n">
        <v>1</v>
      </c>
      <c r="G40" t="inlineStr">
        <is>
          <t>5.3</t>
        </is>
      </c>
      <c r="I40" t="inlineStr">
        <is>
          <t>Convocation Tél + Gestmax</t>
        </is>
      </c>
      <c r="J40">
        <f>G8</f>
        <v/>
      </c>
      <c r="K40" t="inlineStr">
        <is>
          <t>Fin → Début</t>
        </is>
      </c>
      <c r="L40">
        <f>G38</f>
        <v/>
      </c>
      <c r="M40" t="inlineStr">
        <is>
          <t>Début → Début</t>
        </is>
      </c>
    </row>
    <row r="41" ht="14.25" customHeight="1">
      <c r="A41" t="inlineStr">
        <is>
          <t>5.4</t>
        </is>
      </c>
      <c r="B41" t="n">
        <v>3</v>
      </c>
      <c r="G41" t="inlineStr">
        <is>
          <t>5.4</t>
        </is>
      </c>
      <c r="I41" t="inlineStr">
        <is>
          <t>Candidats - validation présence</t>
        </is>
      </c>
      <c r="J41">
        <f>G40</f>
        <v/>
      </c>
      <c r="K41" t="inlineStr">
        <is>
          <t>Début → Début</t>
        </is>
      </c>
    </row>
    <row r="42" ht="14.25" customHeight="1">
      <c r="A42" t="inlineStr">
        <is>
          <t>5.5</t>
        </is>
      </c>
      <c r="B42" t="n">
        <v>1</v>
      </c>
      <c r="G42" t="inlineStr">
        <is>
          <t>5.5</t>
        </is>
      </c>
      <c r="I42" t="inlineStr">
        <is>
          <t>GESTMAX - bascule validation jury</t>
        </is>
      </c>
      <c r="J42">
        <f>G41</f>
        <v/>
      </c>
      <c r="K42" t="inlineStr">
        <is>
          <t>Début → Fin</t>
        </is>
      </c>
    </row>
    <row r="43" ht="14.25" customHeight="1">
      <c r="A43" t="inlineStr">
        <is>
          <t>5.6</t>
        </is>
      </c>
      <c r="B43" t="n">
        <v>1</v>
      </c>
      <c r="G43" t="inlineStr">
        <is>
          <t>5.6</t>
        </is>
      </c>
      <c r="I43" t="inlineStr">
        <is>
          <t>Dossier papier Jury (CV/LM + PV)</t>
        </is>
      </c>
      <c r="J43">
        <f>G41</f>
        <v/>
      </c>
      <c r="K43" t="inlineStr">
        <is>
          <t>Fin → Début</t>
        </is>
      </c>
      <c r="L43">
        <f>J8</f>
        <v/>
      </c>
      <c r="M43" t="inlineStr">
        <is>
          <t>Fin → Début</t>
        </is>
      </c>
    </row>
    <row r="44" ht="14.25" customHeight="1">
      <c r="A44" t="inlineStr">
        <is>
          <t>5.7</t>
        </is>
      </c>
      <c r="B44" t="n">
        <v>1</v>
      </c>
      <c r="G44" t="inlineStr">
        <is>
          <t>5.7</t>
        </is>
      </c>
      <c r="I44" t="inlineStr">
        <is>
          <t>Liste des candidats à l'accueil</t>
        </is>
      </c>
      <c r="J44">
        <f>G42</f>
        <v/>
      </c>
      <c r="K44" t="inlineStr">
        <is>
          <t>Fin → Début</t>
        </is>
      </c>
    </row>
    <row r="45" ht="14.25" customHeight="1">
      <c r="A45" t="inlineStr">
        <is>
          <t>5.8</t>
        </is>
      </c>
      <c r="B45" t="n">
        <v>1</v>
      </c>
      <c r="G45" t="inlineStr">
        <is>
          <t>5.8</t>
        </is>
      </c>
      <c r="I45" t="inlineStr">
        <is>
          <t>Tenue du Jury</t>
        </is>
      </c>
      <c r="J45">
        <f>G44</f>
        <v/>
      </c>
      <c r="K45" t="inlineStr">
        <is>
          <t>Fin → Fin</t>
        </is>
      </c>
    </row>
    <row r="46" ht="14.25" customHeight="1">
      <c r="A46" t="inlineStr">
        <is>
          <t>5.9</t>
        </is>
      </c>
      <c r="B46" t="n">
        <v>1</v>
      </c>
      <c r="G46" t="inlineStr">
        <is>
          <t>5.9</t>
        </is>
      </c>
      <c r="I46" t="inlineStr">
        <is>
          <t>Candidat retenu par le jury</t>
        </is>
      </c>
      <c r="J46">
        <f>G45</f>
        <v/>
      </c>
      <c r="K46" t="inlineStr">
        <is>
          <t>Fin → Début</t>
        </is>
      </c>
    </row>
    <row r="47" ht="14.25" customHeight="1">
      <c r="A47" t="inlineStr">
        <is>
          <t>5.10</t>
        </is>
      </c>
      <c r="B47" t="n">
        <v>2</v>
      </c>
      <c r="G47" t="inlineStr">
        <is>
          <t>5.10</t>
        </is>
      </c>
      <c r="I47" t="inlineStr">
        <is>
          <t>Informer le candidat</t>
        </is>
      </c>
      <c r="J47">
        <f>G46</f>
        <v/>
      </c>
      <c r="K47" t="inlineStr">
        <is>
          <t>Fin → Début</t>
        </is>
      </c>
    </row>
    <row r="48" ht="14.25" customHeight="1">
      <c r="A48" t="inlineStr">
        <is>
          <t>5.11</t>
        </is>
      </c>
      <c r="B48" t="n">
        <v>1</v>
      </c>
      <c r="G48" t="inlineStr">
        <is>
          <t>5.11</t>
        </is>
      </c>
      <c r="I48" t="inlineStr">
        <is>
          <t>information chef de service</t>
        </is>
      </c>
      <c r="J48">
        <f>G47</f>
        <v/>
      </c>
      <c r="K48" t="inlineStr">
        <is>
          <t>Fin → Début</t>
        </is>
      </c>
    </row>
    <row r="49" ht="14.25" customHeight="1">
      <c r="A49" t="inlineStr">
        <is>
          <t>5.12</t>
        </is>
      </c>
      <c r="B49" t="n">
        <v>5</v>
      </c>
      <c r="G49" t="inlineStr">
        <is>
          <t>5.12</t>
        </is>
      </c>
      <c r="I49" t="inlineStr">
        <is>
          <t>Temps réflexion/propo. Salariale</t>
        </is>
      </c>
      <c r="J49">
        <f>G47</f>
        <v/>
      </c>
      <c r="K49" t="inlineStr">
        <is>
          <t>Début → Début</t>
        </is>
      </c>
    </row>
    <row r="50" ht="14.25" customHeight="1">
      <c r="A50" t="inlineStr">
        <is>
          <t>5.13</t>
        </is>
      </c>
      <c r="B50" t="n">
        <v>1</v>
      </c>
      <c r="G50" t="inlineStr">
        <is>
          <t>5.13</t>
        </is>
      </c>
      <c r="I50" t="inlineStr">
        <is>
          <t>Retour du candidat</t>
        </is>
      </c>
      <c r="J50">
        <f>G49</f>
        <v/>
      </c>
      <c r="K50" t="inlineStr">
        <is>
          <t>Fin → Début</t>
        </is>
      </c>
    </row>
    <row r="51" ht="14.25" customHeight="1">
      <c r="A51" t="inlineStr">
        <is>
          <t>5.14</t>
        </is>
      </c>
      <c r="B51" t="n">
        <v>1</v>
      </c>
      <c r="G51" t="inlineStr">
        <is>
          <t>5.14</t>
        </is>
      </c>
      <c r="I51" t="inlineStr">
        <is>
          <t>information chef de service</t>
        </is>
      </c>
      <c r="J51">
        <f>G50</f>
        <v/>
      </c>
      <c r="K51" t="inlineStr">
        <is>
          <t>Fin → Début</t>
        </is>
      </c>
    </row>
    <row r="52" ht="14.25" customHeight="1">
      <c r="A52" t="inlineStr">
        <is>
          <t>5.15</t>
        </is>
      </c>
      <c r="B52" t="n">
        <v>10</v>
      </c>
      <c r="G52" t="inlineStr">
        <is>
          <t>5.15</t>
        </is>
      </c>
      <c r="I52" t="inlineStr">
        <is>
          <t>GESTMAX - valide recrutement</t>
        </is>
      </c>
      <c r="J52">
        <f>G50</f>
        <v/>
      </c>
      <c r="K52" t="inlineStr">
        <is>
          <t>Fin → Début</t>
        </is>
      </c>
    </row>
    <row r="53" ht="14.25" customHeight="1">
      <c r="A53" t="inlineStr">
        <is>
          <t>5.16</t>
        </is>
      </c>
      <c r="B53" t="n">
        <v>1</v>
      </c>
      <c r="G53" t="inlineStr">
        <is>
          <t>5.16</t>
        </is>
      </c>
      <c r="I53" t="inlineStr">
        <is>
          <t>Courrier de recrutement</t>
        </is>
      </c>
      <c r="J53">
        <f>G52</f>
        <v/>
      </c>
      <c r="K53" t="inlineStr">
        <is>
          <t>Début → Début</t>
        </is>
      </c>
    </row>
    <row r="54" ht="14.25" customHeight="1">
      <c r="A54" t="inlineStr">
        <is>
          <t>5.17</t>
        </is>
      </c>
      <c r="B54" t="n">
        <v>1</v>
      </c>
      <c r="G54" t="inlineStr">
        <is>
          <t>5.17</t>
        </is>
      </c>
      <c r="I54" t="inlineStr">
        <is>
          <t>Clôture du jury</t>
        </is>
      </c>
      <c r="J54">
        <f>G50</f>
        <v/>
      </c>
      <c r="K54" t="inlineStr">
        <is>
          <t>Début → Début</t>
        </is>
      </c>
    </row>
    <row r="55" ht="14.25" customHeight="1">
      <c r="A55" t="inlineStr">
        <is>
          <t>5.18</t>
        </is>
      </c>
      <c r="B55" t="n">
        <v>1</v>
      </c>
      <c r="G55" t="inlineStr">
        <is>
          <t>5.18</t>
        </is>
      </c>
      <c r="I55" t="inlineStr">
        <is>
          <t>Clôture avis de recrutement</t>
        </is>
      </c>
      <c r="J55">
        <f>G52</f>
        <v/>
      </c>
      <c r="K55" t="inlineStr">
        <is>
          <t>Début → Début</t>
        </is>
      </c>
    </row>
    <row r="56" ht="14.25" customHeight="1">
      <c r="A56" s="5" t="n">
        <v>6</v>
      </c>
      <c r="B56" s="5">
        <f>Suivi!H55</f>
        <v/>
      </c>
      <c r="G56" t="n">
        <v>6</v>
      </c>
      <c r="H56" t="inlineStr">
        <is>
          <t>Procédure de recrutement</t>
        </is>
      </c>
      <c r="J56" s="5" t="n"/>
      <c r="K56" s="5" t="n"/>
      <c r="L56" s="5" t="n"/>
      <c r="M56" s="5" t="n"/>
      <c r="N56" s="5" t="n"/>
      <c r="O56" s="5" t="n"/>
    </row>
    <row r="57" ht="14.25" customHeight="1">
      <c r="A57" t="inlineStr">
        <is>
          <t>6.1</t>
        </is>
      </c>
      <c r="B57" t="n">
        <v>1</v>
      </c>
      <c r="G57" t="inlineStr">
        <is>
          <t>6.1</t>
        </is>
      </c>
      <c r="I57" t="inlineStr">
        <is>
          <t>Gestmax - demande pièces admis.</t>
        </is>
      </c>
      <c r="J57">
        <f>G53</f>
        <v/>
      </c>
      <c r="K57" t="inlineStr">
        <is>
          <t>Début → Début</t>
        </is>
      </c>
    </row>
  </sheetData>
  <dataValidations count="1">
    <dataValidation sqref="K5:K57 M5:M57 O5:O57" showDropDown="0" showInputMessage="0" showErrorMessage="0" allowBlank="1" type="list">
      <formula1>$E$6:$E$9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workbookViewId="0">
      <selection activeCell="A1" sqref="A1"/>
    </sheetView>
  </sheetViews>
  <sheetFormatPr baseColWidth="10" defaultColWidth="8.88671875" defaultRowHeight="14.4"/>
  <sheetData>
    <row r="1" ht="14.25" customHeight="1">
      <c r="A1" t="inlineStr">
        <is>
          <t>Colonne1</t>
        </is>
      </c>
    </row>
    <row r="2" ht="14.25" customHeight="1">
      <c r="A2" t="inlineStr">
        <is>
          <t>Début → Début</t>
        </is>
      </c>
    </row>
    <row r="3" ht="14.25" customHeight="1">
      <c r="A3" t="inlineStr">
        <is>
          <t>Fin → Début</t>
        </is>
      </c>
    </row>
    <row r="4" ht="14.25" customHeight="1">
      <c r="A4" t="inlineStr">
        <is>
          <t>Début → Fin</t>
        </is>
      </c>
    </row>
    <row r="5" ht="14.25" customHeight="1">
      <c r="A5" t="inlineStr">
        <is>
          <t>Fin → Fin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zoomScaleNormal="100" workbookViewId="0">
      <selection activeCell="L8" sqref="L8"/>
    </sheetView>
  </sheetViews>
  <sheetFormatPr baseColWidth="10" defaultColWidth="8.88671875" defaultRowHeight="14.4"/>
  <sheetData>
    <row r="1" ht="14.25" customHeight="1">
      <c r="A1" t="inlineStr">
        <is>
          <t>GANTT DYNAMIQUE - MODE D'EMPLOI</t>
        </is>
      </c>
    </row>
    <row r="3" ht="14.25" customHeight="1">
      <c r="A3" t="inlineStr">
        <is>
          <t>1. Modifiez la date de début en Suivi!A6 (ex: 12/10/2026)</t>
        </is>
      </c>
    </row>
    <row r="4" ht="14.25" customHeight="1">
      <c r="A4" t="inlineStr">
        <is>
          <t>2. Modifiez les durées en Paramètres!B (colonne Durée), en jours ouvrés (lundi à vendredi, jours fériés non exclus)</t>
        </is>
      </c>
    </row>
    <row r="5" ht="14.25" customHeight="1">
      <c r="A5" t="inlineStr">
        <is>
          <t>3. Modifiez les liens en colonnes J:O (Tache liée + Type lien)</t>
        </is>
      </c>
    </row>
    <row r="6" ht="14.25" customHeight="1">
      <c r="A6" t="inlineStr">
        <is>
          <t>4. L'onglet Suivi se recalcule AUTOMATIQUEMENT (formules MAX)</t>
        </is>
      </c>
    </row>
    <row r="7" ht="14.25" customHeight="1">
      <c r="A7" t="inlineStr">
        <is>
          <t>5. Types de liens: Fin → Début (FS), Début → Début (SS), Fin → Fin (FF), Début → Fin (SF)</t>
        </is>
      </c>
    </row>
    <row r="8" ht="14.25" customHeight="1">
      <c r="A8" t="inlineStr">
        <is>
          <t>6. Les lignes grisées dans Paramètres (macro-étapes) se calculent d'après leurs sous-tâches : ne pas les modifier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2026-10-11T12:53:05Z</dcterms:created>
  <dcterms:modified xsi:type="dcterms:W3CDTF">2026-10-13T19:08:22Z</dcterms:modified>
  <cp:lastModifiedBy>Guy-Franck FOURCROY</cp:lastModifiedBy>
  <cp:revision>0</cp:revision>
  <cp:lastPrinted>2026-10-11T14:32:02Z</cp:lastPrinted>
</cp:coreProperties>
</file>